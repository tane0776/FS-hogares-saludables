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5a3f633e589a78/Trabajo/EAFIT/Proyectos/BD GDLAB (786926)/ENTREGA BID 15 MARZO/"/>
    </mc:Choice>
  </mc:AlternateContent>
  <xr:revisionPtr revIDLastSave="181" documentId="8_{30B437D2-BACB-4474-8EB9-DAE898FD3C74}" xr6:coauthVersionLast="47" xr6:coauthVersionMax="47" xr10:uidLastSave="{EDBD9B11-24EB-49C2-B0CD-23E9C1A363C8}"/>
  <bookViews>
    <workbookView xWindow="-108" yWindow="-108" windowWidth="23256" windowHeight="12456" activeTab="1" xr2:uid="{3FAFB222-00E2-4986-BC89-B6C602724374}"/>
  </bookViews>
  <sheets>
    <sheet name="ESTRUCTURA" sheetId="5" r:id="rId1"/>
    <sheet name="HOGARES-BASELINE" sheetId="1" r:id="rId2"/>
    <sheet name="INDIVIDUOS-BASELINE" sheetId="2" r:id="rId3"/>
    <sheet name="HOGARES-ENDLINE" sheetId="3" r:id="rId4"/>
    <sheet name="INDIVIDUOS-ENDLINE" sheetId="4" r:id="rId5"/>
  </sheets>
  <externalReferences>
    <externalReference r:id="rId6"/>
  </externalReferences>
  <definedNames>
    <definedName name="_xlnm._FilterDatabase" localSheetId="1" hidden="1">'HOGARES-BASELINE'!$A$1:$I$1164</definedName>
    <definedName name="_xlnm._FilterDatabase" localSheetId="3" hidden="1">'HOGARES-ENDLINE'!$A$1:$B$3945</definedName>
    <definedName name="_xlnm._FilterDatabase" localSheetId="2" hidden="1">'INDIVIDUOS-BASELINE'!$A$1:$F$3945</definedName>
    <definedName name="_xlnm._FilterDatabase" localSheetId="4" hidden="1">'INDIVIDUOS-ENDLINE'!$A$1:$F$3945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25" i="4" l="1"/>
  <c r="D3120" i="4"/>
  <c r="D3111" i="4"/>
  <c r="D2987" i="4"/>
  <c r="D2440" i="4"/>
  <c r="D2436" i="4"/>
  <c r="D2434" i="4"/>
  <c r="D2432" i="4"/>
  <c r="D1851" i="4"/>
  <c r="D1850" i="4"/>
  <c r="D1440" i="4"/>
  <c r="D1438" i="4"/>
  <c r="D1437" i="4"/>
  <c r="D1435" i="4"/>
  <c r="D1434" i="4"/>
  <c r="D1366" i="4"/>
  <c r="D1362" i="4"/>
  <c r="D1357" i="4"/>
  <c r="D1355" i="4"/>
  <c r="D1173" i="4"/>
  <c r="D54" i="4"/>
  <c r="D52" i="4"/>
  <c r="D51" i="4"/>
  <c r="D47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4" i="4"/>
  <c r="D3123" i="4"/>
  <c r="D3122" i="4"/>
  <c r="D3121" i="4"/>
  <c r="D3119" i="4"/>
  <c r="D3118" i="4"/>
  <c r="D3117" i="4"/>
  <c r="D3116" i="4"/>
  <c r="D3115" i="4"/>
  <c r="D3114" i="4"/>
  <c r="D3113" i="4"/>
  <c r="D3112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39" i="4"/>
  <c r="D2438" i="4"/>
  <c r="D2437" i="4"/>
  <c r="D2435" i="4"/>
  <c r="D2433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39" i="4"/>
  <c r="D1436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5" i="4"/>
  <c r="D1364" i="4"/>
  <c r="D1363" i="4"/>
  <c r="D1361" i="4"/>
  <c r="D1360" i="4"/>
  <c r="D1359" i="4"/>
  <c r="D1358" i="4"/>
  <c r="D1356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3" i="4"/>
  <c r="D50" i="4"/>
  <c r="D49" i="4"/>
  <c r="D48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3014" i="2"/>
  <c r="D3012" i="2"/>
  <c r="D2411" i="2"/>
  <c r="D2409" i="2"/>
  <c r="D2372" i="2"/>
  <c r="D2368" i="2"/>
  <c r="D2364" i="2"/>
  <c r="D2362" i="2"/>
  <c r="D2161" i="2"/>
  <c r="D1378" i="2"/>
  <c r="D879" i="2"/>
  <c r="D875" i="2"/>
  <c r="D729" i="2"/>
  <c r="D177" i="2"/>
  <c r="D22" i="2"/>
  <c r="D14" i="2"/>
  <c r="D13" i="2"/>
  <c r="D12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3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0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1" i="2"/>
  <c r="D2370" i="2"/>
  <c r="D2369" i="2"/>
  <c r="D2367" i="2"/>
  <c r="D2366" i="2"/>
  <c r="D2365" i="2"/>
  <c r="D2363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8" i="2"/>
  <c r="D877" i="2"/>
  <c r="D876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1" i="2"/>
  <c r="D20" i="2"/>
  <c r="D19" i="2"/>
  <c r="D18" i="2"/>
  <c r="D17" i="2"/>
  <c r="D16" i="2"/>
  <c r="D15" i="2"/>
  <c r="D11" i="2"/>
  <c r="D10" i="2"/>
  <c r="D9" i="2"/>
  <c r="D8" i="2"/>
  <c r="D7" i="2"/>
  <c r="D6" i="2"/>
  <c r="D5" i="2"/>
  <c r="D4" i="2"/>
  <c r="D3" i="2"/>
  <c r="D2" i="2"/>
  <c r="F26" i="1"/>
  <c r="F292" i="1"/>
  <c r="F402" i="1"/>
  <c r="F508" i="1"/>
  <c r="F1156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I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I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I897" i="1" s="1"/>
  <c r="E3078" i="2" s="1"/>
  <c r="F3078" i="2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I945" i="1" s="1"/>
  <c r="E3254" i="2" s="1"/>
  <c r="F3254" i="2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I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F988" i="1" s="1"/>
  <c r="E989" i="1"/>
  <c r="F989" i="1" s="1"/>
  <c r="E990" i="1"/>
  <c r="F990" i="1" s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F1000" i="1" s="1"/>
  <c r="E1001" i="1"/>
  <c r="F1001" i="1" s="1"/>
  <c r="E1002" i="1"/>
  <c r="F1002" i="1" s="1"/>
  <c r="E1003" i="1"/>
  <c r="F1003" i="1" s="1"/>
  <c r="E1004" i="1"/>
  <c r="F1004" i="1" s="1"/>
  <c r="E1005" i="1"/>
  <c r="F1005" i="1" s="1"/>
  <c r="E1006" i="1"/>
  <c r="F1006" i="1" s="1"/>
  <c r="E1007" i="1"/>
  <c r="F1007" i="1" s="1"/>
  <c r="E1008" i="1"/>
  <c r="F1008" i="1" s="1"/>
  <c r="E1009" i="1"/>
  <c r="F1009" i="1" s="1"/>
  <c r="I1009" i="1" s="1"/>
  <c r="E1010" i="1"/>
  <c r="F1010" i="1" s="1"/>
  <c r="E1011" i="1"/>
  <c r="F1011" i="1" s="1"/>
  <c r="E1012" i="1"/>
  <c r="F1012" i="1" s="1"/>
  <c r="E1013" i="1"/>
  <c r="F1013" i="1" s="1"/>
  <c r="E1014" i="1"/>
  <c r="F1014" i="1" s="1"/>
  <c r="E1015" i="1"/>
  <c r="F1015" i="1" s="1"/>
  <c r="E1016" i="1"/>
  <c r="F1016" i="1" s="1"/>
  <c r="E1017" i="1"/>
  <c r="F1017" i="1" s="1"/>
  <c r="E1018" i="1"/>
  <c r="F1018" i="1" s="1"/>
  <c r="E1019" i="1"/>
  <c r="F1019" i="1" s="1"/>
  <c r="E1020" i="1"/>
  <c r="F1020" i="1" s="1"/>
  <c r="E1021" i="1"/>
  <c r="F1021" i="1" s="1"/>
  <c r="E1022" i="1"/>
  <c r="F1022" i="1" s="1"/>
  <c r="E1023" i="1"/>
  <c r="F1023" i="1" s="1"/>
  <c r="E1024" i="1"/>
  <c r="F1024" i="1" s="1"/>
  <c r="E1025" i="1"/>
  <c r="F1025" i="1" s="1"/>
  <c r="I1025" i="1" s="1"/>
  <c r="E1026" i="1"/>
  <c r="F1026" i="1" s="1"/>
  <c r="E1027" i="1"/>
  <c r="F1027" i="1" s="1"/>
  <c r="E1028" i="1"/>
  <c r="F1028" i="1" s="1"/>
  <c r="E1029" i="1"/>
  <c r="F1029" i="1" s="1"/>
  <c r="E1030" i="1"/>
  <c r="F1030" i="1" s="1"/>
  <c r="E1031" i="1"/>
  <c r="F1031" i="1" s="1"/>
  <c r="E1032" i="1"/>
  <c r="F1032" i="1" s="1"/>
  <c r="E1033" i="1"/>
  <c r="F1033" i="1" s="1"/>
  <c r="E1034" i="1"/>
  <c r="F1034" i="1" s="1"/>
  <c r="I1034" i="1" s="1"/>
  <c r="E1035" i="1"/>
  <c r="F1035" i="1" s="1"/>
  <c r="E1036" i="1"/>
  <c r="F1036" i="1" s="1"/>
  <c r="E1037" i="1"/>
  <c r="F1037" i="1" s="1"/>
  <c r="E1038" i="1"/>
  <c r="F1038" i="1" s="1"/>
  <c r="E1039" i="1"/>
  <c r="F1039" i="1" s="1"/>
  <c r="E1040" i="1"/>
  <c r="F1040" i="1" s="1"/>
  <c r="E1041" i="1"/>
  <c r="F1041" i="1" s="1"/>
  <c r="E1042" i="1"/>
  <c r="F1042" i="1" s="1"/>
  <c r="E1043" i="1"/>
  <c r="F1043" i="1" s="1"/>
  <c r="E1044" i="1"/>
  <c r="F1044" i="1" s="1"/>
  <c r="E1045" i="1"/>
  <c r="F1045" i="1" s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F1054" i="1" s="1"/>
  <c r="E1055" i="1"/>
  <c r="F1055" i="1" s="1"/>
  <c r="E1056" i="1"/>
  <c r="F1056" i="1" s="1"/>
  <c r="E1057" i="1"/>
  <c r="F1057" i="1" s="1"/>
  <c r="E1058" i="1"/>
  <c r="F1058" i="1" s="1"/>
  <c r="I1058" i="1" s="1"/>
  <c r="E1059" i="1"/>
  <c r="F1059" i="1" s="1"/>
  <c r="E1060" i="1"/>
  <c r="F1060" i="1" s="1"/>
  <c r="E1061" i="1"/>
  <c r="F1061" i="1" s="1"/>
  <c r="E1062" i="1"/>
  <c r="F1062" i="1" s="1"/>
  <c r="E1063" i="1"/>
  <c r="F1063" i="1" s="1"/>
  <c r="E1064" i="1"/>
  <c r="F1064" i="1" s="1"/>
  <c r="E1065" i="1"/>
  <c r="F1065" i="1" s="1"/>
  <c r="E1066" i="1"/>
  <c r="F1066" i="1" s="1"/>
  <c r="E1067" i="1"/>
  <c r="F1067" i="1" s="1"/>
  <c r="E1068" i="1"/>
  <c r="F1068" i="1" s="1"/>
  <c r="E1069" i="1"/>
  <c r="F1069" i="1" s="1"/>
  <c r="E1070" i="1"/>
  <c r="F1070" i="1" s="1"/>
  <c r="E1071" i="1"/>
  <c r="F1071" i="1" s="1"/>
  <c r="E1072" i="1"/>
  <c r="F1072" i="1" s="1"/>
  <c r="I1072" i="1" s="1"/>
  <c r="E1073" i="1"/>
  <c r="F1073" i="1" s="1"/>
  <c r="I1073" i="1" s="1"/>
  <c r="E3683" i="2" s="1"/>
  <c r="F3683" i="2" s="1"/>
  <c r="E1074" i="1"/>
  <c r="F1074" i="1" s="1"/>
  <c r="I1074" i="1" s="1"/>
  <c r="E1075" i="1"/>
  <c r="F1075" i="1" s="1"/>
  <c r="E1076" i="1"/>
  <c r="F1076" i="1" s="1"/>
  <c r="E1077" i="1"/>
  <c r="F1077" i="1" s="1"/>
  <c r="E1078" i="1"/>
  <c r="F1078" i="1" s="1"/>
  <c r="E1079" i="1"/>
  <c r="F1079" i="1" s="1"/>
  <c r="E1080" i="1"/>
  <c r="F1080" i="1" s="1"/>
  <c r="I1080" i="1" s="1"/>
  <c r="E1081" i="1"/>
  <c r="F1081" i="1" s="1"/>
  <c r="E1082" i="1"/>
  <c r="F1082" i="1" s="1"/>
  <c r="I1082" i="1" s="1"/>
  <c r="E1083" i="1"/>
  <c r="F1083" i="1" s="1"/>
  <c r="E1084" i="1"/>
  <c r="F1084" i="1" s="1"/>
  <c r="E1085" i="1"/>
  <c r="F1085" i="1" s="1"/>
  <c r="E1086" i="1"/>
  <c r="F1086" i="1" s="1"/>
  <c r="E1087" i="1"/>
  <c r="F1087" i="1" s="1"/>
  <c r="E1088" i="1"/>
  <c r="F1088" i="1" s="1"/>
  <c r="E1089" i="1"/>
  <c r="F1089" i="1" s="1"/>
  <c r="I1089" i="1" s="1"/>
  <c r="E1090" i="1"/>
  <c r="F1090" i="1" s="1"/>
  <c r="I1090" i="1" s="1"/>
  <c r="E1091" i="1"/>
  <c r="F1091" i="1" s="1"/>
  <c r="E1092" i="1"/>
  <c r="F1092" i="1" s="1"/>
  <c r="E1093" i="1"/>
  <c r="F1093" i="1" s="1"/>
  <c r="E1094" i="1"/>
  <c r="F1094" i="1" s="1"/>
  <c r="E1095" i="1"/>
  <c r="F1095" i="1" s="1"/>
  <c r="E1096" i="1"/>
  <c r="F1096" i="1" s="1"/>
  <c r="E1097" i="1"/>
  <c r="F1097" i="1" s="1"/>
  <c r="E1098" i="1"/>
  <c r="F1098" i="1" s="1"/>
  <c r="I1098" i="1" s="1"/>
  <c r="E1099" i="1"/>
  <c r="F1099" i="1" s="1"/>
  <c r="E1100" i="1"/>
  <c r="F1100" i="1" s="1"/>
  <c r="E1101" i="1"/>
  <c r="F1101" i="1" s="1"/>
  <c r="E1102" i="1"/>
  <c r="F1102" i="1" s="1"/>
  <c r="E1103" i="1"/>
  <c r="F1103" i="1" s="1"/>
  <c r="E1104" i="1"/>
  <c r="F1104" i="1" s="1"/>
  <c r="I1104" i="1" s="1"/>
  <c r="E1105" i="1"/>
  <c r="F1105" i="1" s="1"/>
  <c r="E1106" i="1"/>
  <c r="F1106" i="1" s="1"/>
  <c r="E1107" i="1"/>
  <c r="F1107" i="1" s="1"/>
  <c r="E1108" i="1"/>
  <c r="F1108" i="1" s="1"/>
  <c r="E1109" i="1"/>
  <c r="F1109" i="1" s="1"/>
  <c r="E1110" i="1"/>
  <c r="F1110" i="1" s="1"/>
  <c r="E1111" i="1"/>
  <c r="F1111" i="1" s="1"/>
  <c r="E1112" i="1"/>
  <c r="F1112" i="1" s="1"/>
  <c r="I1112" i="1" s="1"/>
  <c r="E3811" i="2" s="1"/>
  <c r="F3811" i="2" s="1"/>
  <c r="E1113" i="1"/>
  <c r="F1113" i="1" s="1"/>
  <c r="E1114" i="1"/>
  <c r="F1114" i="1" s="1"/>
  <c r="E1115" i="1"/>
  <c r="F1115" i="1" s="1"/>
  <c r="E1116" i="1"/>
  <c r="F1116" i="1" s="1"/>
  <c r="E1117" i="1"/>
  <c r="F1117" i="1" s="1"/>
  <c r="E1118" i="1"/>
  <c r="F1118" i="1" s="1"/>
  <c r="E1119" i="1"/>
  <c r="F1119" i="1" s="1"/>
  <c r="E1120" i="1"/>
  <c r="F1120" i="1" s="1"/>
  <c r="I1120" i="1" s="1"/>
  <c r="E1121" i="1"/>
  <c r="F1121" i="1" s="1"/>
  <c r="E1122" i="1"/>
  <c r="F1122" i="1" s="1"/>
  <c r="I1122" i="1" s="1"/>
  <c r="E1123" i="1"/>
  <c r="F1123" i="1" s="1"/>
  <c r="E1124" i="1"/>
  <c r="F1124" i="1" s="1"/>
  <c r="E1125" i="1"/>
  <c r="F1125" i="1" s="1"/>
  <c r="E1126" i="1"/>
  <c r="F1126" i="1" s="1"/>
  <c r="E1127" i="1"/>
  <c r="F1127" i="1" s="1"/>
  <c r="E1128" i="1"/>
  <c r="F1128" i="1" s="1"/>
  <c r="I1128" i="1" s="1"/>
  <c r="E1129" i="1"/>
  <c r="F1129" i="1" s="1"/>
  <c r="E1130" i="1"/>
  <c r="F1130" i="1" s="1"/>
  <c r="E1131" i="1"/>
  <c r="F1131" i="1" s="1"/>
  <c r="E1132" i="1"/>
  <c r="F1132" i="1" s="1"/>
  <c r="E1133" i="1"/>
  <c r="F1133" i="1" s="1"/>
  <c r="E1134" i="1"/>
  <c r="F1134" i="1" s="1"/>
  <c r="E1135" i="1"/>
  <c r="F1135" i="1" s="1"/>
  <c r="E1136" i="1"/>
  <c r="F1136" i="1" s="1"/>
  <c r="I1136" i="1" s="1"/>
  <c r="E3875" i="2" s="1"/>
  <c r="F3875" i="2" s="1"/>
  <c r="E1137" i="1"/>
  <c r="F1137" i="1" s="1"/>
  <c r="I1137" i="1" s="1"/>
  <c r="E1138" i="1"/>
  <c r="F1138" i="1" s="1"/>
  <c r="I1138" i="1" s="1"/>
  <c r="E1139" i="1"/>
  <c r="F1139" i="1" s="1"/>
  <c r="E1140" i="1"/>
  <c r="F1140" i="1" s="1"/>
  <c r="E1141" i="1"/>
  <c r="F1141" i="1" s="1"/>
  <c r="E1142" i="1"/>
  <c r="F1142" i="1" s="1"/>
  <c r="E1143" i="1"/>
  <c r="F1143" i="1" s="1"/>
  <c r="E1144" i="1"/>
  <c r="F1144" i="1" s="1"/>
  <c r="I1144" i="1" s="1"/>
  <c r="E1145" i="1"/>
  <c r="F1145" i="1" s="1"/>
  <c r="E1146" i="1"/>
  <c r="F1146" i="1" s="1"/>
  <c r="I1146" i="1" s="1"/>
  <c r="E1147" i="1"/>
  <c r="F1147" i="1" s="1"/>
  <c r="E1148" i="1"/>
  <c r="F1148" i="1" s="1"/>
  <c r="E1149" i="1"/>
  <c r="F1149" i="1" s="1"/>
  <c r="E1150" i="1"/>
  <c r="F1150" i="1" s="1"/>
  <c r="E1151" i="1"/>
  <c r="F1151" i="1" s="1"/>
  <c r="E1152" i="1"/>
  <c r="F1152" i="1" s="1"/>
  <c r="I1152" i="1" s="1"/>
  <c r="E3916" i="2" s="1"/>
  <c r="F3916" i="2" s="1"/>
  <c r="E1153" i="1"/>
  <c r="F1153" i="1" s="1"/>
  <c r="I1153" i="1" s="1"/>
  <c r="E1154" i="1"/>
  <c r="F1154" i="1" s="1"/>
  <c r="I1154" i="1" s="1"/>
  <c r="E1155" i="1"/>
  <c r="F1155" i="1" s="1"/>
  <c r="E1156" i="1"/>
  <c r="E1157" i="1"/>
  <c r="F1157" i="1" s="1"/>
  <c r="E1158" i="1"/>
  <c r="F1158" i="1" s="1"/>
  <c r="E1159" i="1"/>
  <c r="F1159" i="1" s="1"/>
  <c r="E1160" i="1"/>
  <c r="F1160" i="1" s="1"/>
  <c r="I1160" i="1" s="1"/>
  <c r="E1161" i="1"/>
  <c r="F1161" i="1" s="1"/>
  <c r="E1162" i="1"/>
  <c r="F1162" i="1" s="1"/>
  <c r="I1162" i="1" s="1"/>
  <c r="E1163" i="1"/>
  <c r="F1163" i="1" s="1"/>
  <c r="E1164" i="1"/>
  <c r="F1164" i="1" s="1"/>
  <c r="E2" i="1"/>
  <c r="F2" i="1" s="1"/>
  <c r="D3" i="1"/>
  <c r="G3" i="1" s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G18" i="1" s="1"/>
  <c r="D19" i="1"/>
  <c r="G19" i="1" s="1"/>
  <c r="D20" i="1"/>
  <c r="G20" i="1" s="1"/>
  <c r="D21" i="1"/>
  <c r="G21" i="1" s="1"/>
  <c r="D22" i="1"/>
  <c r="G22" i="1" s="1"/>
  <c r="D23" i="1"/>
  <c r="G23" i="1" s="1"/>
  <c r="D24" i="1"/>
  <c r="G24" i="1" s="1"/>
  <c r="D25" i="1"/>
  <c r="G25" i="1" s="1"/>
  <c r="D26" i="1"/>
  <c r="G26" i="1" s="1"/>
  <c r="D27" i="1"/>
  <c r="G27" i="1" s="1"/>
  <c r="D28" i="1"/>
  <c r="G28" i="1" s="1"/>
  <c r="D29" i="1"/>
  <c r="G29" i="1" s="1"/>
  <c r="D30" i="1"/>
  <c r="G30" i="1" s="1"/>
  <c r="D31" i="1"/>
  <c r="G31" i="1" s="1"/>
  <c r="D32" i="1"/>
  <c r="G32" i="1" s="1"/>
  <c r="D33" i="1"/>
  <c r="G33" i="1" s="1"/>
  <c r="D34" i="1"/>
  <c r="G34" i="1" s="1"/>
  <c r="D35" i="1"/>
  <c r="G35" i="1" s="1"/>
  <c r="D36" i="1"/>
  <c r="G36" i="1" s="1"/>
  <c r="D37" i="1"/>
  <c r="G37" i="1" s="1"/>
  <c r="D38" i="1"/>
  <c r="G38" i="1" s="1"/>
  <c r="D39" i="1"/>
  <c r="G39" i="1" s="1"/>
  <c r="D40" i="1"/>
  <c r="G40" i="1" s="1"/>
  <c r="D41" i="1"/>
  <c r="G41" i="1" s="1"/>
  <c r="D42" i="1"/>
  <c r="G42" i="1" s="1"/>
  <c r="D43" i="1"/>
  <c r="G43" i="1" s="1"/>
  <c r="D44" i="1"/>
  <c r="G44" i="1" s="1"/>
  <c r="D45" i="1"/>
  <c r="G45" i="1" s="1"/>
  <c r="D46" i="1"/>
  <c r="G46" i="1" s="1"/>
  <c r="D47" i="1"/>
  <c r="G47" i="1" s="1"/>
  <c r="D48" i="1"/>
  <c r="G48" i="1" s="1"/>
  <c r="D49" i="1"/>
  <c r="G49" i="1" s="1"/>
  <c r="D50" i="1"/>
  <c r="G50" i="1" s="1"/>
  <c r="D51" i="1"/>
  <c r="G51" i="1" s="1"/>
  <c r="D52" i="1"/>
  <c r="G52" i="1" s="1"/>
  <c r="D53" i="1"/>
  <c r="G53" i="1" s="1"/>
  <c r="D54" i="1"/>
  <c r="G54" i="1" s="1"/>
  <c r="D55" i="1"/>
  <c r="G55" i="1" s="1"/>
  <c r="D56" i="1"/>
  <c r="G56" i="1" s="1"/>
  <c r="D57" i="1"/>
  <c r="G57" i="1" s="1"/>
  <c r="D58" i="1"/>
  <c r="G58" i="1" s="1"/>
  <c r="D59" i="1"/>
  <c r="G59" i="1" s="1"/>
  <c r="D60" i="1"/>
  <c r="G60" i="1" s="1"/>
  <c r="D61" i="1"/>
  <c r="G61" i="1" s="1"/>
  <c r="D62" i="1"/>
  <c r="G62" i="1" s="1"/>
  <c r="D63" i="1"/>
  <c r="G63" i="1" s="1"/>
  <c r="D64" i="1"/>
  <c r="G64" i="1" s="1"/>
  <c r="D65" i="1"/>
  <c r="G65" i="1" s="1"/>
  <c r="D66" i="1"/>
  <c r="G66" i="1" s="1"/>
  <c r="D67" i="1"/>
  <c r="G67" i="1" s="1"/>
  <c r="D68" i="1"/>
  <c r="G68" i="1" s="1"/>
  <c r="D69" i="1"/>
  <c r="G69" i="1" s="1"/>
  <c r="D70" i="1"/>
  <c r="G70" i="1" s="1"/>
  <c r="D71" i="1"/>
  <c r="G71" i="1" s="1"/>
  <c r="D72" i="1"/>
  <c r="G72" i="1" s="1"/>
  <c r="D73" i="1"/>
  <c r="G73" i="1" s="1"/>
  <c r="D74" i="1"/>
  <c r="G74" i="1" s="1"/>
  <c r="D75" i="1"/>
  <c r="G75" i="1" s="1"/>
  <c r="D76" i="1"/>
  <c r="G76" i="1" s="1"/>
  <c r="D77" i="1"/>
  <c r="G77" i="1" s="1"/>
  <c r="D78" i="1"/>
  <c r="G78" i="1" s="1"/>
  <c r="D79" i="1"/>
  <c r="G79" i="1" s="1"/>
  <c r="D80" i="1"/>
  <c r="G80" i="1" s="1"/>
  <c r="D81" i="1"/>
  <c r="G81" i="1" s="1"/>
  <c r="D82" i="1"/>
  <c r="G82" i="1" s="1"/>
  <c r="D83" i="1"/>
  <c r="G83" i="1" s="1"/>
  <c r="D84" i="1"/>
  <c r="G84" i="1" s="1"/>
  <c r="D85" i="1"/>
  <c r="G85" i="1" s="1"/>
  <c r="D86" i="1"/>
  <c r="G86" i="1" s="1"/>
  <c r="D87" i="1"/>
  <c r="G87" i="1" s="1"/>
  <c r="D88" i="1"/>
  <c r="G88" i="1" s="1"/>
  <c r="D89" i="1"/>
  <c r="G89" i="1" s="1"/>
  <c r="D90" i="1"/>
  <c r="G90" i="1" s="1"/>
  <c r="D91" i="1"/>
  <c r="G91" i="1" s="1"/>
  <c r="D92" i="1"/>
  <c r="G92" i="1" s="1"/>
  <c r="D93" i="1"/>
  <c r="G93" i="1" s="1"/>
  <c r="D94" i="1"/>
  <c r="G94" i="1" s="1"/>
  <c r="D95" i="1"/>
  <c r="G95" i="1" s="1"/>
  <c r="D96" i="1"/>
  <c r="G96" i="1" s="1"/>
  <c r="D97" i="1"/>
  <c r="G97" i="1" s="1"/>
  <c r="D98" i="1"/>
  <c r="G98" i="1" s="1"/>
  <c r="D99" i="1"/>
  <c r="G99" i="1" s="1"/>
  <c r="D100" i="1"/>
  <c r="G100" i="1" s="1"/>
  <c r="I100" i="1" s="1"/>
  <c r="D101" i="1"/>
  <c r="G101" i="1" s="1"/>
  <c r="D102" i="1"/>
  <c r="G102" i="1" s="1"/>
  <c r="D103" i="1"/>
  <c r="G103" i="1" s="1"/>
  <c r="D104" i="1"/>
  <c r="G104" i="1" s="1"/>
  <c r="D105" i="1"/>
  <c r="G105" i="1" s="1"/>
  <c r="D106" i="1"/>
  <c r="G106" i="1" s="1"/>
  <c r="D107" i="1"/>
  <c r="G107" i="1" s="1"/>
  <c r="D108" i="1"/>
  <c r="G108" i="1" s="1"/>
  <c r="D109" i="1"/>
  <c r="G109" i="1" s="1"/>
  <c r="D110" i="1"/>
  <c r="G110" i="1" s="1"/>
  <c r="D111" i="1"/>
  <c r="G111" i="1" s="1"/>
  <c r="D112" i="1"/>
  <c r="G112" i="1" s="1"/>
  <c r="D113" i="1"/>
  <c r="G113" i="1" s="1"/>
  <c r="D114" i="1"/>
  <c r="G114" i="1" s="1"/>
  <c r="D115" i="1"/>
  <c r="G115" i="1" s="1"/>
  <c r="D116" i="1"/>
  <c r="G116" i="1" s="1"/>
  <c r="D117" i="1"/>
  <c r="G117" i="1" s="1"/>
  <c r="D118" i="1"/>
  <c r="G118" i="1" s="1"/>
  <c r="D119" i="1"/>
  <c r="G119" i="1" s="1"/>
  <c r="D120" i="1"/>
  <c r="G120" i="1" s="1"/>
  <c r="D121" i="1"/>
  <c r="G121" i="1" s="1"/>
  <c r="D122" i="1"/>
  <c r="G122" i="1" s="1"/>
  <c r="D123" i="1"/>
  <c r="G123" i="1" s="1"/>
  <c r="D124" i="1"/>
  <c r="G124" i="1" s="1"/>
  <c r="D125" i="1"/>
  <c r="G125" i="1" s="1"/>
  <c r="D126" i="1"/>
  <c r="G126" i="1" s="1"/>
  <c r="D127" i="1"/>
  <c r="G127" i="1" s="1"/>
  <c r="D128" i="1"/>
  <c r="G128" i="1" s="1"/>
  <c r="D129" i="1"/>
  <c r="G129" i="1" s="1"/>
  <c r="D130" i="1"/>
  <c r="G130" i="1" s="1"/>
  <c r="D131" i="1"/>
  <c r="G131" i="1" s="1"/>
  <c r="D132" i="1"/>
  <c r="G132" i="1" s="1"/>
  <c r="D133" i="1"/>
  <c r="G133" i="1" s="1"/>
  <c r="D134" i="1"/>
  <c r="G134" i="1" s="1"/>
  <c r="D135" i="1"/>
  <c r="G135" i="1" s="1"/>
  <c r="D136" i="1"/>
  <c r="G136" i="1" s="1"/>
  <c r="D137" i="1"/>
  <c r="G137" i="1" s="1"/>
  <c r="D138" i="1"/>
  <c r="G138" i="1" s="1"/>
  <c r="D139" i="1"/>
  <c r="G139" i="1" s="1"/>
  <c r="D140" i="1"/>
  <c r="G140" i="1" s="1"/>
  <c r="D141" i="1"/>
  <c r="G141" i="1" s="1"/>
  <c r="D142" i="1"/>
  <c r="G142" i="1" s="1"/>
  <c r="D143" i="1"/>
  <c r="G143" i="1" s="1"/>
  <c r="D144" i="1"/>
  <c r="G144" i="1" s="1"/>
  <c r="D145" i="1"/>
  <c r="G145" i="1" s="1"/>
  <c r="D146" i="1"/>
  <c r="G146" i="1" s="1"/>
  <c r="D147" i="1"/>
  <c r="G147" i="1" s="1"/>
  <c r="D148" i="1"/>
  <c r="G148" i="1" s="1"/>
  <c r="D149" i="1"/>
  <c r="G149" i="1" s="1"/>
  <c r="D150" i="1"/>
  <c r="G150" i="1" s="1"/>
  <c r="D151" i="1"/>
  <c r="G151" i="1" s="1"/>
  <c r="D152" i="1"/>
  <c r="G152" i="1" s="1"/>
  <c r="D153" i="1"/>
  <c r="G153" i="1" s="1"/>
  <c r="D154" i="1"/>
  <c r="G154" i="1" s="1"/>
  <c r="D155" i="1"/>
  <c r="G155" i="1" s="1"/>
  <c r="D156" i="1"/>
  <c r="G156" i="1" s="1"/>
  <c r="D157" i="1"/>
  <c r="G157" i="1" s="1"/>
  <c r="D158" i="1"/>
  <c r="G158" i="1" s="1"/>
  <c r="D159" i="1"/>
  <c r="G159" i="1" s="1"/>
  <c r="D160" i="1"/>
  <c r="G160" i="1" s="1"/>
  <c r="D161" i="1"/>
  <c r="G161" i="1" s="1"/>
  <c r="D162" i="1"/>
  <c r="G162" i="1" s="1"/>
  <c r="D163" i="1"/>
  <c r="G163" i="1" s="1"/>
  <c r="D164" i="1"/>
  <c r="G164" i="1" s="1"/>
  <c r="I164" i="1" s="1"/>
  <c r="D165" i="1"/>
  <c r="G165" i="1" s="1"/>
  <c r="D166" i="1"/>
  <c r="G166" i="1" s="1"/>
  <c r="D167" i="1"/>
  <c r="G167" i="1" s="1"/>
  <c r="D168" i="1"/>
  <c r="G168" i="1" s="1"/>
  <c r="D169" i="1"/>
  <c r="G169" i="1" s="1"/>
  <c r="D170" i="1"/>
  <c r="G170" i="1" s="1"/>
  <c r="D171" i="1"/>
  <c r="G171" i="1" s="1"/>
  <c r="D172" i="1"/>
  <c r="G172" i="1" s="1"/>
  <c r="D173" i="1"/>
  <c r="G173" i="1" s="1"/>
  <c r="D174" i="1"/>
  <c r="G174" i="1" s="1"/>
  <c r="D175" i="1"/>
  <c r="G175" i="1" s="1"/>
  <c r="D176" i="1"/>
  <c r="G176" i="1" s="1"/>
  <c r="D177" i="1"/>
  <c r="G177" i="1" s="1"/>
  <c r="D178" i="1"/>
  <c r="G178" i="1" s="1"/>
  <c r="D179" i="1"/>
  <c r="G179" i="1" s="1"/>
  <c r="D180" i="1"/>
  <c r="G180" i="1" s="1"/>
  <c r="D181" i="1"/>
  <c r="G181" i="1" s="1"/>
  <c r="D182" i="1"/>
  <c r="G182" i="1" s="1"/>
  <c r="D183" i="1"/>
  <c r="G183" i="1" s="1"/>
  <c r="D184" i="1"/>
  <c r="G184" i="1" s="1"/>
  <c r="D185" i="1"/>
  <c r="G185" i="1" s="1"/>
  <c r="D186" i="1"/>
  <c r="G186" i="1" s="1"/>
  <c r="D187" i="1"/>
  <c r="G187" i="1" s="1"/>
  <c r="D188" i="1"/>
  <c r="G188" i="1" s="1"/>
  <c r="D189" i="1"/>
  <c r="G189" i="1" s="1"/>
  <c r="D190" i="1"/>
  <c r="G190" i="1" s="1"/>
  <c r="D191" i="1"/>
  <c r="G191" i="1" s="1"/>
  <c r="D192" i="1"/>
  <c r="G192" i="1" s="1"/>
  <c r="D193" i="1"/>
  <c r="G193" i="1" s="1"/>
  <c r="D194" i="1"/>
  <c r="G194" i="1" s="1"/>
  <c r="D195" i="1"/>
  <c r="G195" i="1" s="1"/>
  <c r="D196" i="1"/>
  <c r="G196" i="1" s="1"/>
  <c r="D197" i="1"/>
  <c r="G197" i="1" s="1"/>
  <c r="D198" i="1"/>
  <c r="G198" i="1" s="1"/>
  <c r="D199" i="1"/>
  <c r="G199" i="1" s="1"/>
  <c r="D200" i="1"/>
  <c r="G200" i="1" s="1"/>
  <c r="D201" i="1"/>
  <c r="G201" i="1" s="1"/>
  <c r="D202" i="1"/>
  <c r="G202" i="1" s="1"/>
  <c r="D203" i="1"/>
  <c r="G203" i="1" s="1"/>
  <c r="D204" i="1"/>
  <c r="G204" i="1" s="1"/>
  <c r="D205" i="1"/>
  <c r="G205" i="1" s="1"/>
  <c r="D206" i="1"/>
  <c r="G206" i="1" s="1"/>
  <c r="D207" i="1"/>
  <c r="G207" i="1" s="1"/>
  <c r="D208" i="1"/>
  <c r="G208" i="1" s="1"/>
  <c r="D209" i="1"/>
  <c r="G209" i="1" s="1"/>
  <c r="D210" i="1"/>
  <c r="G210" i="1" s="1"/>
  <c r="D211" i="1"/>
  <c r="G211" i="1" s="1"/>
  <c r="D212" i="1"/>
  <c r="G212" i="1" s="1"/>
  <c r="D213" i="1"/>
  <c r="G213" i="1" s="1"/>
  <c r="D214" i="1"/>
  <c r="G214" i="1" s="1"/>
  <c r="D215" i="1"/>
  <c r="G215" i="1" s="1"/>
  <c r="D216" i="1"/>
  <c r="G216" i="1" s="1"/>
  <c r="D217" i="1"/>
  <c r="G217" i="1" s="1"/>
  <c r="D218" i="1"/>
  <c r="G218" i="1" s="1"/>
  <c r="D219" i="1"/>
  <c r="G219" i="1" s="1"/>
  <c r="D220" i="1"/>
  <c r="G220" i="1" s="1"/>
  <c r="D221" i="1"/>
  <c r="G221" i="1" s="1"/>
  <c r="D222" i="1"/>
  <c r="G222" i="1" s="1"/>
  <c r="D223" i="1"/>
  <c r="G223" i="1" s="1"/>
  <c r="D224" i="1"/>
  <c r="G224" i="1" s="1"/>
  <c r="D225" i="1"/>
  <c r="G225" i="1" s="1"/>
  <c r="D226" i="1"/>
  <c r="G226" i="1" s="1"/>
  <c r="D227" i="1"/>
  <c r="G227" i="1" s="1"/>
  <c r="D228" i="1"/>
  <c r="G228" i="1" s="1"/>
  <c r="D229" i="1"/>
  <c r="G229" i="1" s="1"/>
  <c r="D230" i="1"/>
  <c r="G230" i="1" s="1"/>
  <c r="D231" i="1"/>
  <c r="G231" i="1" s="1"/>
  <c r="D232" i="1"/>
  <c r="G232" i="1" s="1"/>
  <c r="D233" i="1"/>
  <c r="G233" i="1" s="1"/>
  <c r="D234" i="1"/>
  <c r="G234" i="1" s="1"/>
  <c r="D235" i="1"/>
  <c r="G235" i="1" s="1"/>
  <c r="D236" i="1"/>
  <c r="G236" i="1" s="1"/>
  <c r="D237" i="1"/>
  <c r="G237" i="1" s="1"/>
  <c r="D238" i="1"/>
  <c r="G238" i="1" s="1"/>
  <c r="D239" i="1"/>
  <c r="G239" i="1" s="1"/>
  <c r="D240" i="1"/>
  <c r="G240" i="1" s="1"/>
  <c r="D241" i="1"/>
  <c r="G241" i="1" s="1"/>
  <c r="D242" i="1"/>
  <c r="G242" i="1" s="1"/>
  <c r="D243" i="1"/>
  <c r="G243" i="1" s="1"/>
  <c r="D244" i="1"/>
  <c r="G244" i="1" s="1"/>
  <c r="I244" i="1" s="1"/>
  <c r="D245" i="1"/>
  <c r="G245" i="1" s="1"/>
  <c r="D246" i="1"/>
  <c r="G246" i="1" s="1"/>
  <c r="D247" i="1"/>
  <c r="G247" i="1" s="1"/>
  <c r="D248" i="1"/>
  <c r="G248" i="1" s="1"/>
  <c r="D249" i="1"/>
  <c r="G249" i="1" s="1"/>
  <c r="D250" i="1"/>
  <c r="G250" i="1" s="1"/>
  <c r="D251" i="1"/>
  <c r="G251" i="1" s="1"/>
  <c r="D252" i="1"/>
  <c r="G252" i="1" s="1"/>
  <c r="D253" i="1"/>
  <c r="G253" i="1" s="1"/>
  <c r="D254" i="1"/>
  <c r="G254" i="1" s="1"/>
  <c r="D255" i="1"/>
  <c r="G255" i="1" s="1"/>
  <c r="D256" i="1"/>
  <c r="G256" i="1" s="1"/>
  <c r="D257" i="1"/>
  <c r="G257" i="1" s="1"/>
  <c r="D258" i="1"/>
  <c r="G258" i="1" s="1"/>
  <c r="D259" i="1"/>
  <c r="G259" i="1" s="1"/>
  <c r="D260" i="1"/>
  <c r="G260" i="1" s="1"/>
  <c r="D261" i="1"/>
  <c r="G261" i="1" s="1"/>
  <c r="D262" i="1"/>
  <c r="G262" i="1" s="1"/>
  <c r="D263" i="1"/>
  <c r="G263" i="1" s="1"/>
  <c r="D264" i="1"/>
  <c r="G264" i="1" s="1"/>
  <c r="D265" i="1"/>
  <c r="G265" i="1" s="1"/>
  <c r="D266" i="1"/>
  <c r="G266" i="1" s="1"/>
  <c r="D267" i="1"/>
  <c r="G267" i="1" s="1"/>
  <c r="D268" i="1"/>
  <c r="G268" i="1" s="1"/>
  <c r="D269" i="1"/>
  <c r="G269" i="1" s="1"/>
  <c r="D270" i="1"/>
  <c r="G270" i="1" s="1"/>
  <c r="D271" i="1"/>
  <c r="G271" i="1" s="1"/>
  <c r="D272" i="1"/>
  <c r="G272" i="1" s="1"/>
  <c r="D273" i="1"/>
  <c r="G273" i="1" s="1"/>
  <c r="D274" i="1"/>
  <c r="G274" i="1" s="1"/>
  <c r="D275" i="1"/>
  <c r="G275" i="1" s="1"/>
  <c r="D276" i="1"/>
  <c r="G276" i="1" s="1"/>
  <c r="D277" i="1"/>
  <c r="G277" i="1" s="1"/>
  <c r="D278" i="1"/>
  <c r="G278" i="1" s="1"/>
  <c r="D279" i="1"/>
  <c r="G279" i="1" s="1"/>
  <c r="D280" i="1"/>
  <c r="G280" i="1" s="1"/>
  <c r="D281" i="1"/>
  <c r="G281" i="1" s="1"/>
  <c r="D282" i="1"/>
  <c r="G282" i="1" s="1"/>
  <c r="D283" i="1"/>
  <c r="G283" i="1" s="1"/>
  <c r="D284" i="1"/>
  <c r="G284" i="1" s="1"/>
  <c r="D285" i="1"/>
  <c r="G285" i="1" s="1"/>
  <c r="D286" i="1"/>
  <c r="G286" i="1" s="1"/>
  <c r="D287" i="1"/>
  <c r="G287" i="1" s="1"/>
  <c r="D288" i="1"/>
  <c r="G288" i="1" s="1"/>
  <c r="D289" i="1"/>
  <c r="G289" i="1" s="1"/>
  <c r="D290" i="1"/>
  <c r="G290" i="1" s="1"/>
  <c r="D291" i="1"/>
  <c r="G291" i="1" s="1"/>
  <c r="D292" i="1"/>
  <c r="G292" i="1" s="1"/>
  <c r="D293" i="1"/>
  <c r="G293" i="1" s="1"/>
  <c r="D294" i="1"/>
  <c r="G294" i="1" s="1"/>
  <c r="D295" i="1"/>
  <c r="G295" i="1" s="1"/>
  <c r="D296" i="1"/>
  <c r="G296" i="1" s="1"/>
  <c r="D297" i="1"/>
  <c r="G297" i="1" s="1"/>
  <c r="D298" i="1"/>
  <c r="G298" i="1" s="1"/>
  <c r="D299" i="1"/>
  <c r="G299" i="1" s="1"/>
  <c r="D300" i="1"/>
  <c r="G300" i="1" s="1"/>
  <c r="D301" i="1"/>
  <c r="G301" i="1" s="1"/>
  <c r="D302" i="1"/>
  <c r="G302" i="1" s="1"/>
  <c r="D303" i="1"/>
  <c r="G303" i="1" s="1"/>
  <c r="D304" i="1"/>
  <c r="G304" i="1" s="1"/>
  <c r="D305" i="1"/>
  <c r="G305" i="1" s="1"/>
  <c r="D306" i="1"/>
  <c r="G306" i="1" s="1"/>
  <c r="D307" i="1"/>
  <c r="G307" i="1" s="1"/>
  <c r="D308" i="1"/>
  <c r="G308" i="1" s="1"/>
  <c r="D309" i="1"/>
  <c r="G309" i="1" s="1"/>
  <c r="D310" i="1"/>
  <c r="G310" i="1" s="1"/>
  <c r="D311" i="1"/>
  <c r="G311" i="1" s="1"/>
  <c r="D312" i="1"/>
  <c r="G312" i="1" s="1"/>
  <c r="D313" i="1"/>
  <c r="G313" i="1" s="1"/>
  <c r="D314" i="1"/>
  <c r="G314" i="1" s="1"/>
  <c r="D315" i="1"/>
  <c r="G315" i="1" s="1"/>
  <c r="D316" i="1"/>
  <c r="G316" i="1" s="1"/>
  <c r="D317" i="1"/>
  <c r="G317" i="1" s="1"/>
  <c r="D318" i="1"/>
  <c r="G318" i="1" s="1"/>
  <c r="D319" i="1"/>
  <c r="G319" i="1" s="1"/>
  <c r="D320" i="1"/>
  <c r="G320" i="1" s="1"/>
  <c r="D321" i="1"/>
  <c r="G321" i="1" s="1"/>
  <c r="D322" i="1"/>
  <c r="G322" i="1" s="1"/>
  <c r="D323" i="1"/>
  <c r="G323" i="1" s="1"/>
  <c r="D324" i="1"/>
  <c r="G324" i="1" s="1"/>
  <c r="D325" i="1"/>
  <c r="G325" i="1" s="1"/>
  <c r="D326" i="1"/>
  <c r="G326" i="1" s="1"/>
  <c r="D327" i="1"/>
  <c r="G327" i="1" s="1"/>
  <c r="D328" i="1"/>
  <c r="G328" i="1" s="1"/>
  <c r="D329" i="1"/>
  <c r="G329" i="1" s="1"/>
  <c r="D330" i="1"/>
  <c r="G330" i="1" s="1"/>
  <c r="D331" i="1"/>
  <c r="G331" i="1" s="1"/>
  <c r="I331" i="1" s="1"/>
  <c r="D332" i="1"/>
  <c r="G332" i="1" s="1"/>
  <c r="D333" i="1"/>
  <c r="G333" i="1" s="1"/>
  <c r="D334" i="1"/>
  <c r="G334" i="1" s="1"/>
  <c r="D335" i="1"/>
  <c r="G335" i="1" s="1"/>
  <c r="D336" i="1"/>
  <c r="G336" i="1" s="1"/>
  <c r="D337" i="1"/>
  <c r="G337" i="1" s="1"/>
  <c r="D338" i="1"/>
  <c r="G338" i="1" s="1"/>
  <c r="D339" i="1"/>
  <c r="G339" i="1" s="1"/>
  <c r="D340" i="1"/>
  <c r="G340" i="1" s="1"/>
  <c r="D341" i="1"/>
  <c r="G341" i="1" s="1"/>
  <c r="D342" i="1"/>
  <c r="G342" i="1" s="1"/>
  <c r="D343" i="1"/>
  <c r="G343" i="1" s="1"/>
  <c r="D344" i="1"/>
  <c r="G344" i="1" s="1"/>
  <c r="D345" i="1"/>
  <c r="G345" i="1" s="1"/>
  <c r="D346" i="1"/>
  <c r="G346" i="1" s="1"/>
  <c r="D347" i="1"/>
  <c r="G347" i="1" s="1"/>
  <c r="D348" i="1"/>
  <c r="G348" i="1" s="1"/>
  <c r="D349" i="1"/>
  <c r="G349" i="1" s="1"/>
  <c r="D350" i="1"/>
  <c r="G350" i="1" s="1"/>
  <c r="D351" i="1"/>
  <c r="G351" i="1" s="1"/>
  <c r="D352" i="1"/>
  <c r="G352" i="1" s="1"/>
  <c r="D353" i="1"/>
  <c r="G353" i="1" s="1"/>
  <c r="D354" i="1"/>
  <c r="G354" i="1" s="1"/>
  <c r="D355" i="1"/>
  <c r="G355" i="1" s="1"/>
  <c r="D356" i="1"/>
  <c r="G356" i="1" s="1"/>
  <c r="I356" i="1" s="1"/>
  <c r="D357" i="1"/>
  <c r="G357" i="1" s="1"/>
  <c r="D358" i="1"/>
  <c r="G358" i="1" s="1"/>
  <c r="D359" i="1"/>
  <c r="G359" i="1" s="1"/>
  <c r="D360" i="1"/>
  <c r="G360" i="1" s="1"/>
  <c r="D361" i="1"/>
  <c r="G361" i="1" s="1"/>
  <c r="D362" i="1"/>
  <c r="G362" i="1" s="1"/>
  <c r="D363" i="1"/>
  <c r="G363" i="1" s="1"/>
  <c r="D364" i="1"/>
  <c r="G364" i="1" s="1"/>
  <c r="D365" i="1"/>
  <c r="G365" i="1" s="1"/>
  <c r="D366" i="1"/>
  <c r="G366" i="1" s="1"/>
  <c r="D367" i="1"/>
  <c r="G367" i="1" s="1"/>
  <c r="D368" i="1"/>
  <c r="G368" i="1" s="1"/>
  <c r="D369" i="1"/>
  <c r="G369" i="1" s="1"/>
  <c r="D370" i="1"/>
  <c r="G370" i="1" s="1"/>
  <c r="D371" i="1"/>
  <c r="G371" i="1" s="1"/>
  <c r="D372" i="1"/>
  <c r="G372" i="1" s="1"/>
  <c r="D373" i="1"/>
  <c r="G373" i="1" s="1"/>
  <c r="D374" i="1"/>
  <c r="G374" i="1" s="1"/>
  <c r="D375" i="1"/>
  <c r="G375" i="1" s="1"/>
  <c r="D376" i="1"/>
  <c r="G376" i="1" s="1"/>
  <c r="D377" i="1"/>
  <c r="G377" i="1" s="1"/>
  <c r="D378" i="1"/>
  <c r="G378" i="1" s="1"/>
  <c r="D379" i="1"/>
  <c r="G379" i="1" s="1"/>
  <c r="D380" i="1"/>
  <c r="G380" i="1" s="1"/>
  <c r="D381" i="1"/>
  <c r="G381" i="1" s="1"/>
  <c r="D382" i="1"/>
  <c r="G382" i="1" s="1"/>
  <c r="D383" i="1"/>
  <c r="G383" i="1" s="1"/>
  <c r="D384" i="1"/>
  <c r="G384" i="1" s="1"/>
  <c r="D385" i="1"/>
  <c r="G385" i="1" s="1"/>
  <c r="D386" i="1"/>
  <c r="G386" i="1" s="1"/>
  <c r="D387" i="1"/>
  <c r="G387" i="1" s="1"/>
  <c r="D388" i="1"/>
  <c r="G388" i="1" s="1"/>
  <c r="D389" i="1"/>
  <c r="G389" i="1" s="1"/>
  <c r="D390" i="1"/>
  <c r="G390" i="1" s="1"/>
  <c r="D391" i="1"/>
  <c r="G391" i="1" s="1"/>
  <c r="D392" i="1"/>
  <c r="G392" i="1" s="1"/>
  <c r="D393" i="1"/>
  <c r="G393" i="1" s="1"/>
  <c r="D394" i="1"/>
  <c r="G394" i="1" s="1"/>
  <c r="D395" i="1"/>
  <c r="G395" i="1" s="1"/>
  <c r="D396" i="1"/>
  <c r="G396" i="1" s="1"/>
  <c r="D397" i="1"/>
  <c r="G397" i="1" s="1"/>
  <c r="D398" i="1"/>
  <c r="G398" i="1" s="1"/>
  <c r="D399" i="1"/>
  <c r="G399" i="1" s="1"/>
  <c r="D400" i="1"/>
  <c r="G400" i="1" s="1"/>
  <c r="D401" i="1"/>
  <c r="G401" i="1" s="1"/>
  <c r="D402" i="1"/>
  <c r="G402" i="1" s="1"/>
  <c r="D403" i="1"/>
  <c r="G403" i="1" s="1"/>
  <c r="D404" i="1"/>
  <c r="G404" i="1" s="1"/>
  <c r="D405" i="1"/>
  <c r="G405" i="1" s="1"/>
  <c r="D406" i="1"/>
  <c r="G406" i="1" s="1"/>
  <c r="D407" i="1"/>
  <c r="G407" i="1" s="1"/>
  <c r="D408" i="1"/>
  <c r="G408" i="1" s="1"/>
  <c r="D409" i="1"/>
  <c r="G409" i="1" s="1"/>
  <c r="D410" i="1"/>
  <c r="G410" i="1" s="1"/>
  <c r="D411" i="1"/>
  <c r="G411" i="1" s="1"/>
  <c r="D412" i="1"/>
  <c r="G412" i="1" s="1"/>
  <c r="D413" i="1"/>
  <c r="G413" i="1" s="1"/>
  <c r="D414" i="1"/>
  <c r="G414" i="1" s="1"/>
  <c r="I414" i="1" s="1"/>
  <c r="D415" i="1"/>
  <c r="G415" i="1" s="1"/>
  <c r="D416" i="1"/>
  <c r="G416" i="1" s="1"/>
  <c r="D417" i="1"/>
  <c r="G417" i="1" s="1"/>
  <c r="D418" i="1"/>
  <c r="G418" i="1" s="1"/>
  <c r="D419" i="1"/>
  <c r="G419" i="1" s="1"/>
  <c r="D420" i="1"/>
  <c r="G420" i="1" s="1"/>
  <c r="I420" i="1" s="1"/>
  <c r="D421" i="1"/>
  <c r="G421" i="1" s="1"/>
  <c r="D422" i="1"/>
  <c r="G422" i="1" s="1"/>
  <c r="D423" i="1"/>
  <c r="G423" i="1" s="1"/>
  <c r="D424" i="1"/>
  <c r="G424" i="1" s="1"/>
  <c r="D425" i="1"/>
  <c r="G425" i="1" s="1"/>
  <c r="D426" i="1"/>
  <c r="G426" i="1" s="1"/>
  <c r="D427" i="1"/>
  <c r="G427" i="1" s="1"/>
  <c r="D428" i="1"/>
  <c r="G428" i="1" s="1"/>
  <c r="D429" i="1"/>
  <c r="G429" i="1" s="1"/>
  <c r="D430" i="1"/>
  <c r="G430" i="1" s="1"/>
  <c r="D431" i="1"/>
  <c r="G431" i="1" s="1"/>
  <c r="D432" i="1"/>
  <c r="G432" i="1" s="1"/>
  <c r="D433" i="1"/>
  <c r="G433" i="1" s="1"/>
  <c r="D434" i="1"/>
  <c r="G434" i="1" s="1"/>
  <c r="D435" i="1"/>
  <c r="G435" i="1" s="1"/>
  <c r="D436" i="1"/>
  <c r="G436" i="1" s="1"/>
  <c r="D437" i="1"/>
  <c r="G437" i="1" s="1"/>
  <c r="D438" i="1"/>
  <c r="G438" i="1" s="1"/>
  <c r="D439" i="1"/>
  <c r="G439" i="1" s="1"/>
  <c r="D440" i="1"/>
  <c r="G440" i="1" s="1"/>
  <c r="D441" i="1"/>
  <c r="G441" i="1" s="1"/>
  <c r="D442" i="1"/>
  <c r="G442" i="1" s="1"/>
  <c r="D443" i="1"/>
  <c r="G443" i="1" s="1"/>
  <c r="D444" i="1"/>
  <c r="G444" i="1" s="1"/>
  <c r="D445" i="1"/>
  <c r="G445" i="1" s="1"/>
  <c r="D446" i="1"/>
  <c r="G446" i="1" s="1"/>
  <c r="D447" i="1"/>
  <c r="G447" i="1" s="1"/>
  <c r="D448" i="1"/>
  <c r="G448" i="1" s="1"/>
  <c r="D449" i="1"/>
  <c r="G449" i="1" s="1"/>
  <c r="D450" i="1"/>
  <c r="G450" i="1" s="1"/>
  <c r="D451" i="1"/>
  <c r="G451" i="1" s="1"/>
  <c r="D452" i="1"/>
  <c r="G452" i="1" s="1"/>
  <c r="D453" i="1"/>
  <c r="G453" i="1" s="1"/>
  <c r="D454" i="1"/>
  <c r="G454" i="1" s="1"/>
  <c r="D455" i="1"/>
  <c r="G455" i="1" s="1"/>
  <c r="D456" i="1"/>
  <c r="G456" i="1" s="1"/>
  <c r="D457" i="1"/>
  <c r="G457" i="1" s="1"/>
  <c r="D458" i="1"/>
  <c r="G458" i="1" s="1"/>
  <c r="D459" i="1"/>
  <c r="G459" i="1" s="1"/>
  <c r="D460" i="1"/>
  <c r="G460" i="1" s="1"/>
  <c r="D461" i="1"/>
  <c r="G461" i="1" s="1"/>
  <c r="D462" i="1"/>
  <c r="G462" i="1" s="1"/>
  <c r="D463" i="1"/>
  <c r="G463" i="1" s="1"/>
  <c r="D464" i="1"/>
  <c r="G464" i="1" s="1"/>
  <c r="D465" i="1"/>
  <c r="G465" i="1" s="1"/>
  <c r="D466" i="1"/>
  <c r="G466" i="1" s="1"/>
  <c r="D467" i="1"/>
  <c r="G467" i="1" s="1"/>
  <c r="D468" i="1"/>
  <c r="G468" i="1" s="1"/>
  <c r="D469" i="1"/>
  <c r="G469" i="1" s="1"/>
  <c r="D470" i="1"/>
  <c r="G470" i="1" s="1"/>
  <c r="D471" i="1"/>
  <c r="G471" i="1" s="1"/>
  <c r="D472" i="1"/>
  <c r="G472" i="1" s="1"/>
  <c r="D473" i="1"/>
  <c r="G473" i="1" s="1"/>
  <c r="D474" i="1"/>
  <c r="G474" i="1" s="1"/>
  <c r="D475" i="1"/>
  <c r="G475" i="1" s="1"/>
  <c r="D476" i="1"/>
  <c r="G476" i="1" s="1"/>
  <c r="D477" i="1"/>
  <c r="G477" i="1" s="1"/>
  <c r="D478" i="1"/>
  <c r="G478" i="1" s="1"/>
  <c r="D479" i="1"/>
  <c r="G479" i="1" s="1"/>
  <c r="D480" i="1"/>
  <c r="G480" i="1" s="1"/>
  <c r="D481" i="1"/>
  <c r="G481" i="1" s="1"/>
  <c r="D482" i="1"/>
  <c r="G482" i="1" s="1"/>
  <c r="D483" i="1"/>
  <c r="G483" i="1" s="1"/>
  <c r="D484" i="1"/>
  <c r="G484" i="1" s="1"/>
  <c r="D485" i="1"/>
  <c r="G485" i="1" s="1"/>
  <c r="D486" i="1"/>
  <c r="G486" i="1" s="1"/>
  <c r="D487" i="1"/>
  <c r="G487" i="1" s="1"/>
  <c r="D488" i="1"/>
  <c r="G488" i="1" s="1"/>
  <c r="D489" i="1"/>
  <c r="G489" i="1" s="1"/>
  <c r="D490" i="1"/>
  <c r="G490" i="1" s="1"/>
  <c r="D491" i="1"/>
  <c r="G491" i="1" s="1"/>
  <c r="D492" i="1"/>
  <c r="G492" i="1" s="1"/>
  <c r="D493" i="1"/>
  <c r="G493" i="1" s="1"/>
  <c r="D494" i="1"/>
  <c r="G494" i="1" s="1"/>
  <c r="D495" i="1"/>
  <c r="G495" i="1" s="1"/>
  <c r="D496" i="1"/>
  <c r="G496" i="1" s="1"/>
  <c r="D497" i="1"/>
  <c r="G497" i="1" s="1"/>
  <c r="D498" i="1"/>
  <c r="G498" i="1" s="1"/>
  <c r="D499" i="1"/>
  <c r="G499" i="1" s="1"/>
  <c r="D500" i="1"/>
  <c r="G500" i="1" s="1"/>
  <c r="I500" i="1" s="1"/>
  <c r="D501" i="1"/>
  <c r="G501" i="1" s="1"/>
  <c r="D502" i="1"/>
  <c r="G502" i="1" s="1"/>
  <c r="D503" i="1"/>
  <c r="G503" i="1" s="1"/>
  <c r="D504" i="1"/>
  <c r="G504" i="1" s="1"/>
  <c r="D505" i="1"/>
  <c r="G505" i="1" s="1"/>
  <c r="D506" i="1"/>
  <c r="G506" i="1" s="1"/>
  <c r="D507" i="1"/>
  <c r="G507" i="1" s="1"/>
  <c r="D508" i="1"/>
  <c r="G508" i="1" s="1"/>
  <c r="D509" i="1"/>
  <c r="G509" i="1" s="1"/>
  <c r="D510" i="1"/>
  <c r="G510" i="1" s="1"/>
  <c r="D511" i="1"/>
  <c r="G511" i="1" s="1"/>
  <c r="D512" i="1"/>
  <c r="G512" i="1" s="1"/>
  <c r="D513" i="1"/>
  <c r="G513" i="1" s="1"/>
  <c r="D514" i="1"/>
  <c r="G514" i="1" s="1"/>
  <c r="D515" i="1"/>
  <c r="G515" i="1" s="1"/>
  <c r="D516" i="1"/>
  <c r="G516" i="1" s="1"/>
  <c r="D517" i="1"/>
  <c r="G517" i="1" s="1"/>
  <c r="D518" i="1"/>
  <c r="G518" i="1" s="1"/>
  <c r="D519" i="1"/>
  <c r="G519" i="1" s="1"/>
  <c r="D520" i="1"/>
  <c r="G520" i="1" s="1"/>
  <c r="D521" i="1"/>
  <c r="G521" i="1" s="1"/>
  <c r="D522" i="1"/>
  <c r="G522" i="1" s="1"/>
  <c r="D523" i="1"/>
  <c r="G523" i="1" s="1"/>
  <c r="D524" i="1"/>
  <c r="G524" i="1" s="1"/>
  <c r="D525" i="1"/>
  <c r="G525" i="1" s="1"/>
  <c r="D526" i="1"/>
  <c r="G526" i="1" s="1"/>
  <c r="D527" i="1"/>
  <c r="G527" i="1" s="1"/>
  <c r="D528" i="1"/>
  <c r="G528" i="1" s="1"/>
  <c r="D529" i="1"/>
  <c r="G529" i="1" s="1"/>
  <c r="D530" i="1"/>
  <c r="G530" i="1" s="1"/>
  <c r="D531" i="1"/>
  <c r="G531" i="1" s="1"/>
  <c r="D532" i="1"/>
  <c r="G532" i="1" s="1"/>
  <c r="D533" i="1"/>
  <c r="G533" i="1" s="1"/>
  <c r="D534" i="1"/>
  <c r="G534" i="1" s="1"/>
  <c r="D535" i="1"/>
  <c r="G535" i="1" s="1"/>
  <c r="D536" i="1"/>
  <c r="G536" i="1" s="1"/>
  <c r="D537" i="1"/>
  <c r="G537" i="1" s="1"/>
  <c r="D538" i="1"/>
  <c r="G538" i="1" s="1"/>
  <c r="D539" i="1"/>
  <c r="G539" i="1" s="1"/>
  <c r="D540" i="1"/>
  <c r="G540" i="1" s="1"/>
  <c r="D541" i="1"/>
  <c r="G541" i="1" s="1"/>
  <c r="D542" i="1"/>
  <c r="G542" i="1" s="1"/>
  <c r="D543" i="1"/>
  <c r="G543" i="1" s="1"/>
  <c r="D544" i="1"/>
  <c r="G544" i="1" s="1"/>
  <c r="D545" i="1"/>
  <c r="G545" i="1" s="1"/>
  <c r="D546" i="1"/>
  <c r="G546" i="1" s="1"/>
  <c r="D547" i="1"/>
  <c r="G547" i="1" s="1"/>
  <c r="D548" i="1"/>
  <c r="G548" i="1" s="1"/>
  <c r="D549" i="1"/>
  <c r="G549" i="1" s="1"/>
  <c r="D550" i="1"/>
  <c r="G550" i="1" s="1"/>
  <c r="D551" i="1"/>
  <c r="G551" i="1" s="1"/>
  <c r="D552" i="1"/>
  <c r="G552" i="1" s="1"/>
  <c r="D553" i="1"/>
  <c r="G553" i="1" s="1"/>
  <c r="D554" i="1"/>
  <c r="G554" i="1" s="1"/>
  <c r="D555" i="1"/>
  <c r="G555" i="1" s="1"/>
  <c r="D556" i="1"/>
  <c r="G556" i="1" s="1"/>
  <c r="D557" i="1"/>
  <c r="G557" i="1" s="1"/>
  <c r="D558" i="1"/>
  <c r="G558" i="1" s="1"/>
  <c r="D559" i="1"/>
  <c r="G559" i="1" s="1"/>
  <c r="D560" i="1"/>
  <c r="G560" i="1" s="1"/>
  <c r="D561" i="1"/>
  <c r="G561" i="1" s="1"/>
  <c r="D562" i="1"/>
  <c r="G562" i="1" s="1"/>
  <c r="D563" i="1"/>
  <c r="G563" i="1" s="1"/>
  <c r="D564" i="1"/>
  <c r="G564" i="1" s="1"/>
  <c r="D565" i="1"/>
  <c r="G565" i="1" s="1"/>
  <c r="D566" i="1"/>
  <c r="G566" i="1" s="1"/>
  <c r="D567" i="1"/>
  <c r="G567" i="1" s="1"/>
  <c r="D568" i="1"/>
  <c r="G568" i="1" s="1"/>
  <c r="D569" i="1"/>
  <c r="G569" i="1" s="1"/>
  <c r="D570" i="1"/>
  <c r="G570" i="1" s="1"/>
  <c r="D571" i="1"/>
  <c r="G571" i="1" s="1"/>
  <c r="D572" i="1"/>
  <c r="G572" i="1" s="1"/>
  <c r="D573" i="1"/>
  <c r="G573" i="1" s="1"/>
  <c r="D574" i="1"/>
  <c r="G574" i="1" s="1"/>
  <c r="D575" i="1"/>
  <c r="G575" i="1" s="1"/>
  <c r="D576" i="1"/>
  <c r="G576" i="1" s="1"/>
  <c r="D577" i="1"/>
  <c r="G577" i="1" s="1"/>
  <c r="D578" i="1"/>
  <c r="G578" i="1" s="1"/>
  <c r="D579" i="1"/>
  <c r="G579" i="1" s="1"/>
  <c r="D580" i="1"/>
  <c r="G580" i="1" s="1"/>
  <c r="D581" i="1"/>
  <c r="G581" i="1" s="1"/>
  <c r="D582" i="1"/>
  <c r="G582" i="1" s="1"/>
  <c r="D583" i="1"/>
  <c r="G583" i="1" s="1"/>
  <c r="D584" i="1"/>
  <c r="G584" i="1" s="1"/>
  <c r="D585" i="1"/>
  <c r="G585" i="1" s="1"/>
  <c r="D586" i="1"/>
  <c r="G586" i="1" s="1"/>
  <c r="D587" i="1"/>
  <c r="G587" i="1" s="1"/>
  <c r="D588" i="1"/>
  <c r="G588" i="1" s="1"/>
  <c r="D589" i="1"/>
  <c r="G589" i="1" s="1"/>
  <c r="D590" i="1"/>
  <c r="G590" i="1" s="1"/>
  <c r="D591" i="1"/>
  <c r="G591" i="1" s="1"/>
  <c r="D592" i="1"/>
  <c r="G592" i="1" s="1"/>
  <c r="D593" i="1"/>
  <c r="G593" i="1" s="1"/>
  <c r="D594" i="1"/>
  <c r="G594" i="1" s="1"/>
  <c r="D595" i="1"/>
  <c r="G595" i="1" s="1"/>
  <c r="D596" i="1"/>
  <c r="G596" i="1" s="1"/>
  <c r="D597" i="1"/>
  <c r="G597" i="1" s="1"/>
  <c r="D598" i="1"/>
  <c r="G598" i="1" s="1"/>
  <c r="D599" i="1"/>
  <c r="G599" i="1" s="1"/>
  <c r="D600" i="1"/>
  <c r="G600" i="1" s="1"/>
  <c r="D601" i="1"/>
  <c r="G601" i="1" s="1"/>
  <c r="D602" i="1"/>
  <c r="G602" i="1" s="1"/>
  <c r="D603" i="1"/>
  <c r="G603" i="1" s="1"/>
  <c r="D604" i="1"/>
  <c r="G604" i="1" s="1"/>
  <c r="D605" i="1"/>
  <c r="G605" i="1" s="1"/>
  <c r="D606" i="1"/>
  <c r="G606" i="1" s="1"/>
  <c r="D607" i="1"/>
  <c r="G607" i="1" s="1"/>
  <c r="D608" i="1"/>
  <c r="G608" i="1" s="1"/>
  <c r="D609" i="1"/>
  <c r="G609" i="1" s="1"/>
  <c r="D610" i="1"/>
  <c r="G610" i="1" s="1"/>
  <c r="D611" i="1"/>
  <c r="G611" i="1" s="1"/>
  <c r="D612" i="1"/>
  <c r="G612" i="1" s="1"/>
  <c r="I612" i="1" s="1"/>
  <c r="D613" i="1"/>
  <c r="G613" i="1" s="1"/>
  <c r="D614" i="1"/>
  <c r="G614" i="1" s="1"/>
  <c r="D615" i="1"/>
  <c r="G615" i="1" s="1"/>
  <c r="D616" i="1"/>
  <c r="G616" i="1" s="1"/>
  <c r="D617" i="1"/>
  <c r="G617" i="1" s="1"/>
  <c r="D618" i="1"/>
  <c r="G618" i="1" s="1"/>
  <c r="D619" i="1"/>
  <c r="G619" i="1" s="1"/>
  <c r="D620" i="1"/>
  <c r="G620" i="1" s="1"/>
  <c r="D621" i="1"/>
  <c r="G621" i="1" s="1"/>
  <c r="D622" i="1"/>
  <c r="G622" i="1" s="1"/>
  <c r="D623" i="1"/>
  <c r="G623" i="1" s="1"/>
  <c r="D624" i="1"/>
  <c r="G624" i="1" s="1"/>
  <c r="D625" i="1"/>
  <c r="G625" i="1" s="1"/>
  <c r="D626" i="1"/>
  <c r="G626" i="1" s="1"/>
  <c r="D627" i="1"/>
  <c r="G627" i="1" s="1"/>
  <c r="D628" i="1"/>
  <c r="G628" i="1" s="1"/>
  <c r="D629" i="1"/>
  <c r="G629" i="1" s="1"/>
  <c r="D630" i="1"/>
  <c r="G630" i="1" s="1"/>
  <c r="D631" i="1"/>
  <c r="G631" i="1" s="1"/>
  <c r="D632" i="1"/>
  <c r="G632" i="1" s="1"/>
  <c r="D633" i="1"/>
  <c r="G633" i="1" s="1"/>
  <c r="D634" i="1"/>
  <c r="G634" i="1" s="1"/>
  <c r="D635" i="1"/>
  <c r="G635" i="1" s="1"/>
  <c r="D636" i="1"/>
  <c r="G636" i="1" s="1"/>
  <c r="D637" i="1"/>
  <c r="G637" i="1" s="1"/>
  <c r="D638" i="1"/>
  <c r="G638" i="1" s="1"/>
  <c r="D639" i="1"/>
  <c r="G639" i="1" s="1"/>
  <c r="D640" i="1"/>
  <c r="G640" i="1" s="1"/>
  <c r="D641" i="1"/>
  <c r="G641" i="1" s="1"/>
  <c r="D642" i="1"/>
  <c r="G642" i="1" s="1"/>
  <c r="D643" i="1"/>
  <c r="G643" i="1" s="1"/>
  <c r="D644" i="1"/>
  <c r="G644" i="1" s="1"/>
  <c r="D645" i="1"/>
  <c r="G645" i="1" s="1"/>
  <c r="D646" i="1"/>
  <c r="G646" i="1" s="1"/>
  <c r="D647" i="1"/>
  <c r="G647" i="1" s="1"/>
  <c r="D648" i="1"/>
  <c r="G648" i="1" s="1"/>
  <c r="D649" i="1"/>
  <c r="G649" i="1" s="1"/>
  <c r="D650" i="1"/>
  <c r="G650" i="1" s="1"/>
  <c r="D651" i="1"/>
  <c r="G651" i="1" s="1"/>
  <c r="D652" i="1"/>
  <c r="G652" i="1" s="1"/>
  <c r="D653" i="1"/>
  <c r="G653" i="1" s="1"/>
  <c r="D654" i="1"/>
  <c r="G654" i="1" s="1"/>
  <c r="D655" i="1"/>
  <c r="G655" i="1" s="1"/>
  <c r="D656" i="1"/>
  <c r="G656" i="1" s="1"/>
  <c r="D657" i="1"/>
  <c r="G657" i="1" s="1"/>
  <c r="D658" i="1"/>
  <c r="G658" i="1" s="1"/>
  <c r="D659" i="1"/>
  <c r="G659" i="1" s="1"/>
  <c r="D660" i="1"/>
  <c r="G660" i="1" s="1"/>
  <c r="D661" i="1"/>
  <c r="G661" i="1" s="1"/>
  <c r="D662" i="1"/>
  <c r="G662" i="1" s="1"/>
  <c r="D663" i="1"/>
  <c r="G663" i="1" s="1"/>
  <c r="D664" i="1"/>
  <c r="G664" i="1" s="1"/>
  <c r="D665" i="1"/>
  <c r="G665" i="1" s="1"/>
  <c r="D666" i="1"/>
  <c r="G666" i="1" s="1"/>
  <c r="D667" i="1"/>
  <c r="G667" i="1" s="1"/>
  <c r="D668" i="1"/>
  <c r="G668" i="1" s="1"/>
  <c r="D669" i="1"/>
  <c r="G669" i="1" s="1"/>
  <c r="D670" i="1"/>
  <c r="G670" i="1" s="1"/>
  <c r="D671" i="1"/>
  <c r="G671" i="1" s="1"/>
  <c r="D672" i="1"/>
  <c r="G672" i="1" s="1"/>
  <c r="D673" i="1"/>
  <c r="G673" i="1" s="1"/>
  <c r="D674" i="1"/>
  <c r="G674" i="1" s="1"/>
  <c r="D675" i="1"/>
  <c r="G675" i="1" s="1"/>
  <c r="D676" i="1"/>
  <c r="G676" i="1" s="1"/>
  <c r="D677" i="1"/>
  <c r="G677" i="1" s="1"/>
  <c r="D678" i="1"/>
  <c r="G678" i="1" s="1"/>
  <c r="D679" i="1"/>
  <c r="G679" i="1" s="1"/>
  <c r="D680" i="1"/>
  <c r="G680" i="1" s="1"/>
  <c r="D681" i="1"/>
  <c r="G681" i="1" s="1"/>
  <c r="D682" i="1"/>
  <c r="G682" i="1" s="1"/>
  <c r="D683" i="1"/>
  <c r="G683" i="1" s="1"/>
  <c r="D684" i="1"/>
  <c r="G684" i="1" s="1"/>
  <c r="D685" i="1"/>
  <c r="G685" i="1" s="1"/>
  <c r="D686" i="1"/>
  <c r="G686" i="1" s="1"/>
  <c r="D687" i="1"/>
  <c r="G687" i="1" s="1"/>
  <c r="D688" i="1"/>
  <c r="G688" i="1" s="1"/>
  <c r="D689" i="1"/>
  <c r="G689" i="1" s="1"/>
  <c r="D690" i="1"/>
  <c r="G690" i="1" s="1"/>
  <c r="D691" i="1"/>
  <c r="G691" i="1" s="1"/>
  <c r="D692" i="1"/>
  <c r="G692" i="1" s="1"/>
  <c r="D693" i="1"/>
  <c r="G693" i="1" s="1"/>
  <c r="D694" i="1"/>
  <c r="G694" i="1" s="1"/>
  <c r="D695" i="1"/>
  <c r="G695" i="1" s="1"/>
  <c r="D696" i="1"/>
  <c r="G696" i="1" s="1"/>
  <c r="D697" i="1"/>
  <c r="G697" i="1" s="1"/>
  <c r="D698" i="1"/>
  <c r="G698" i="1" s="1"/>
  <c r="D699" i="1"/>
  <c r="G699" i="1" s="1"/>
  <c r="D700" i="1"/>
  <c r="G700" i="1" s="1"/>
  <c r="D701" i="1"/>
  <c r="G701" i="1" s="1"/>
  <c r="D702" i="1"/>
  <c r="G702" i="1" s="1"/>
  <c r="D703" i="1"/>
  <c r="G703" i="1" s="1"/>
  <c r="D704" i="1"/>
  <c r="G704" i="1" s="1"/>
  <c r="D705" i="1"/>
  <c r="G705" i="1" s="1"/>
  <c r="D706" i="1"/>
  <c r="G706" i="1" s="1"/>
  <c r="D707" i="1"/>
  <c r="G707" i="1" s="1"/>
  <c r="D708" i="1"/>
  <c r="G708" i="1" s="1"/>
  <c r="D709" i="1"/>
  <c r="G709" i="1" s="1"/>
  <c r="D710" i="1"/>
  <c r="G710" i="1" s="1"/>
  <c r="D711" i="1"/>
  <c r="G711" i="1" s="1"/>
  <c r="D712" i="1"/>
  <c r="G712" i="1" s="1"/>
  <c r="D713" i="1"/>
  <c r="G713" i="1" s="1"/>
  <c r="D714" i="1"/>
  <c r="G714" i="1" s="1"/>
  <c r="D715" i="1"/>
  <c r="G715" i="1" s="1"/>
  <c r="D716" i="1"/>
  <c r="G716" i="1" s="1"/>
  <c r="D717" i="1"/>
  <c r="G717" i="1" s="1"/>
  <c r="D718" i="1"/>
  <c r="G718" i="1" s="1"/>
  <c r="D719" i="1"/>
  <c r="G719" i="1" s="1"/>
  <c r="D720" i="1"/>
  <c r="G720" i="1" s="1"/>
  <c r="D721" i="1"/>
  <c r="G721" i="1" s="1"/>
  <c r="D722" i="1"/>
  <c r="G722" i="1" s="1"/>
  <c r="D723" i="1"/>
  <c r="G723" i="1" s="1"/>
  <c r="D724" i="1"/>
  <c r="G724" i="1" s="1"/>
  <c r="D725" i="1"/>
  <c r="G725" i="1" s="1"/>
  <c r="D726" i="1"/>
  <c r="G726" i="1" s="1"/>
  <c r="D727" i="1"/>
  <c r="G727" i="1" s="1"/>
  <c r="D728" i="1"/>
  <c r="G728" i="1" s="1"/>
  <c r="D729" i="1"/>
  <c r="G729" i="1" s="1"/>
  <c r="D730" i="1"/>
  <c r="G730" i="1" s="1"/>
  <c r="D731" i="1"/>
  <c r="G731" i="1" s="1"/>
  <c r="D732" i="1"/>
  <c r="G732" i="1" s="1"/>
  <c r="D733" i="1"/>
  <c r="G733" i="1" s="1"/>
  <c r="D734" i="1"/>
  <c r="G734" i="1" s="1"/>
  <c r="D735" i="1"/>
  <c r="G735" i="1" s="1"/>
  <c r="D736" i="1"/>
  <c r="G736" i="1" s="1"/>
  <c r="D737" i="1"/>
  <c r="G737" i="1" s="1"/>
  <c r="D738" i="1"/>
  <c r="G738" i="1" s="1"/>
  <c r="D739" i="1"/>
  <c r="G739" i="1" s="1"/>
  <c r="D740" i="1"/>
  <c r="G740" i="1" s="1"/>
  <c r="D741" i="1"/>
  <c r="G741" i="1" s="1"/>
  <c r="D742" i="1"/>
  <c r="G742" i="1" s="1"/>
  <c r="D743" i="1"/>
  <c r="G743" i="1" s="1"/>
  <c r="D744" i="1"/>
  <c r="G744" i="1" s="1"/>
  <c r="D745" i="1"/>
  <c r="G745" i="1" s="1"/>
  <c r="D746" i="1"/>
  <c r="G746" i="1" s="1"/>
  <c r="D747" i="1"/>
  <c r="G747" i="1" s="1"/>
  <c r="D748" i="1"/>
  <c r="G748" i="1" s="1"/>
  <c r="D749" i="1"/>
  <c r="G749" i="1" s="1"/>
  <c r="D750" i="1"/>
  <c r="G750" i="1" s="1"/>
  <c r="D751" i="1"/>
  <c r="G751" i="1" s="1"/>
  <c r="D752" i="1"/>
  <c r="G752" i="1" s="1"/>
  <c r="D753" i="1"/>
  <c r="G753" i="1" s="1"/>
  <c r="D754" i="1"/>
  <c r="G754" i="1" s="1"/>
  <c r="D755" i="1"/>
  <c r="G755" i="1" s="1"/>
  <c r="D756" i="1"/>
  <c r="G756" i="1" s="1"/>
  <c r="D757" i="1"/>
  <c r="G757" i="1" s="1"/>
  <c r="D758" i="1"/>
  <c r="G758" i="1" s="1"/>
  <c r="D759" i="1"/>
  <c r="G759" i="1" s="1"/>
  <c r="D760" i="1"/>
  <c r="G760" i="1" s="1"/>
  <c r="D761" i="1"/>
  <c r="G761" i="1" s="1"/>
  <c r="D762" i="1"/>
  <c r="G762" i="1" s="1"/>
  <c r="D763" i="1"/>
  <c r="G763" i="1" s="1"/>
  <c r="D764" i="1"/>
  <c r="G764" i="1" s="1"/>
  <c r="D765" i="1"/>
  <c r="G765" i="1" s="1"/>
  <c r="D766" i="1"/>
  <c r="G766" i="1" s="1"/>
  <c r="D767" i="1"/>
  <c r="G767" i="1" s="1"/>
  <c r="D768" i="1"/>
  <c r="G768" i="1" s="1"/>
  <c r="D769" i="1"/>
  <c r="G769" i="1" s="1"/>
  <c r="D770" i="1"/>
  <c r="G770" i="1" s="1"/>
  <c r="D771" i="1"/>
  <c r="G771" i="1" s="1"/>
  <c r="D772" i="1"/>
  <c r="G772" i="1" s="1"/>
  <c r="D773" i="1"/>
  <c r="G773" i="1" s="1"/>
  <c r="D774" i="1"/>
  <c r="G774" i="1" s="1"/>
  <c r="D775" i="1"/>
  <c r="G775" i="1" s="1"/>
  <c r="D776" i="1"/>
  <c r="G776" i="1" s="1"/>
  <c r="D777" i="1"/>
  <c r="G777" i="1" s="1"/>
  <c r="D778" i="1"/>
  <c r="G778" i="1" s="1"/>
  <c r="D779" i="1"/>
  <c r="G779" i="1" s="1"/>
  <c r="D780" i="1"/>
  <c r="G780" i="1" s="1"/>
  <c r="D781" i="1"/>
  <c r="G781" i="1" s="1"/>
  <c r="D782" i="1"/>
  <c r="G782" i="1" s="1"/>
  <c r="D783" i="1"/>
  <c r="G783" i="1" s="1"/>
  <c r="D784" i="1"/>
  <c r="G784" i="1" s="1"/>
  <c r="D785" i="1"/>
  <c r="G785" i="1" s="1"/>
  <c r="D786" i="1"/>
  <c r="G786" i="1" s="1"/>
  <c r="D787" i="1"/>
  <c r="G787" i="1" s="1"/>
  <c r="D788" i="1"/>
  <c r="G788" i="1" s="1"/>
  <c r="D789" i="1"/>
  <c r="G789" i="1" s="1"/>
  <c r="D790" i="1"/>
  <c r="G790" i="1" s="1"/>
  <c r="D791" i="1"/>
  <c r="G791" i="1" s="1"/>
  <c r="D792" i="1"/>
  <c r="G792" i="1" s="1"/>
  <c r="D793" i="1"/>
  <c r="G793" i="1" s="1"/>
  <c r="D794" i="1"/>
  <c r="G794" i="1" s="1"/>
  <c r="D795" i="1"/>
  <c r="G795" i="1" s="1"/>
  <c r="D796" i="1"/>
  <c r="G796" i="1" s="1"/>
  <c r="D797" i="1"/>
  <c r="G797" i="1" s="1"/>
  <c r="D798" i="1"/>
  <c r="G798" i="1" s="1"/>
  <c r="D799" i="1"/>
  <c r="G799" i="1" s="1"/>
  <c r="D800" i="1"/>
  <c r="G800" i="1" s="1"/>
  <c r="D801" i="1"/>
  <c r="G801" i="1" s="1"/>
  <c r="D802" i="1"/>
  <c r="G802" i="1" s="1"/>
  <c r="D803" i="1"/>
  <c r="G803" i="1" s="1"/>
  <c r="D804" i="1"/>
  <c r="G804" i="1" s="1"/>
  <c r="D805" i="1"/>
  <c r="G805" i="1" s="1"/>
  <c r="D806" i="1"/>
  <c r="G806" i="1" s="1"/>
  <c r="D807" i="1"/>
  <c r="G807" i="1" s="1"/>
  <c r="D808" i="1"/>
  <c r="G808" i="1" s="1"/>
  <c r="I808" i="1" s="1"/>
  <c r="D809" i="1"/>
  <c r="G809" i="1" s="1"/>
  <c r="D810" i="1"/>
  <c r="G810" i="1" s="1"/>
  <c r="D811" i="1"/>
  <c r="G811" i="1" s="1"/>
  <c r="D812" i="1"/>
  <c r="G812" i="1" s="1"/>
  <c r="D813" i="1"/>
  <c r="G813" i="1" s="1"/>
  <c r="D814" i="1"/>
  <c r="G814" i="1" s="1"/>
  <c r="D815" i="1"/>
  <c r="G815" i="1" s="1"/>
  <c r="D816" i="1"/>
  <c r="G816" i="1" s="1"/>
  <c r="D817" i="1"/>
  <c r="G817" i="1" s="1"/>
  <c r="D818" i="1"/>
  <c r="G818" i="1" s="1"/>
  <c r="D819" i="1"/>
  <c r="G819" i="1" s="1"/>
  <c r="D820" i="1"/>
  <c r="G820" i="1" s="1"/>
  <c r="D821" i="1"/>
  <c r="G821" i="1" s="1"/>
  <c r="D822" i="1"/>
  <c r="G822" i="1" s="1"/>
  <c r="D823" i="1"/>
  <c r="G823" i="1" s="1"/>
  <c r="D824" i="1"/>
  <c r="G824" i="1" s="1"/>
  <c r="D825" i="1"/>
  <c r="G825" i="1" s="1"/>
  <c r="D826" i="1"/>
  <c r="G826" i="1" s="1"/>
  <c r="D827" i="1"/>
  <c r="G827" i="1" s="1"/>
  <c r="D828" i="1"/>
  <c r="G828" i="1" s="1"/>
  <c r="D829" i="1"/>
  <c r="G829" i="1" s="1"/>
  <c r="D830" i="1"/>
  <c r="G830" i="1" s="1"/>
  <c r="D831" i="1"/>
  <c r="G831" i="1" s="1"/>
  <c r="D832" i="1"/>
  <c r="G832" i="1" s="1"/>
  <c r="D833" i="1"/>
  <c r="G833" i="1" s="1"/>
  <c r="D834" i="1"/>
  <c r="G834" i="1" s="1"/>
  <c r="D835" i="1"/>
  <c r="G835" i="1" s="1"/>
  <c r="D836" i="1"/>
  <c r="G836" i="1" s="1"/>
  <c r="I836" i="1" s="1"/>
  <c r="D837" i="1"/>
  <c r="G837" i="1" s="1"/>
  <c r="D838" i="1"/>
  <c r="G838" i="1" s="1"/>
  <c r="D839" i="1"/>
  <c r="G839" i="1" s="1"/>
  <c r="D840" i="1"/>
  <c r="G840" i="1" s="1"/>
  <c r="D841" i="1"/>
  <c r="G841" i="1" s="1"/>
  <c r="D842" i="1"/>
  <c r="G842" i="1" s="1"/>
  <c r="D843" i="1"/>
  <c r="G843" i="1" s="1"/>
  <c r="D844" i="1"/>
  <c r="G844" i="1" s="1"/>
  <c r="D845" i="1"/>
  <c r="G845" i="1" s="1"/>
  <c r="D846" i="1"/>
  <c r="G846" i="1" s="1"/>
  <c r="D847" i="1"/>
  <c r="G847" i="1" s="1"/>
  <c r="D848" i="1"/>
  <c r="G848" i="1" s="1"/>
  <c r="D849" i="1"/>
  <c r="G849" i="1" s="1"/>
  <c r="D850" i="1"/>
  <c r="G850" i="1" s="1"/>
  <c r="D851" i="1"/>
  <c r="G851" i="1" s="1"/>
  <c r="D852" i="1"/>
  <c r="G852" i="1" s="1"/>
  <c r="D853" i="1"/>
  <c r="G853" i="1" s="1"/>
  <c r="D854" i="1"/>
  <c r="G854" i="1" s="1"/>
  <c r="D855" i="1"/>
  <c r="G855" i="1" s="1"/>
  <c r="D856" i="1"/>
  <c r="G856" i="1" s="1"/>
  <c r="D857" i="1"/>
  <c r="G857" i="1" s="1"/>
  <c r="D858" i="1"/>
  <c r="G858" i="1" s="1"/>
  <c r="D859" i="1"/>
  <c r="G859" i="1" s="1"/>
  <c r="D860" i="1"/>
  <c r="G860" i="1" s="1"/>
  <c r="D861" i="1"/>
  <c r="G861" i="1" s="1"/>
  <c r="D862" i="1"/>
  <c r="G862" i="1" s="1"/>
  <c r="D863" i="1"/>
  <c r="G863" i="1" s="1"/>
  <c r="D864" i="1"/>
  <c r="G864" i="1" s="1"/>
  <c r="D865" i="1"/>
  <c r="G865" i="1" s="1"/>
  <c r="D866" i="1"/>
  <c r="G866" i="1" s="1"/>
  <c r="D867" i="1"/>
  <c r="G867" i="1" s="1"/>
  <c r="D868" i="1"/>
  <c r="G868" i="1" s="1"/>
  <c r="D869" i="1"/>
  <c r="G869" i="1" s="1"/>
  <c r="D870" i="1"/>
  <c r="G870" i="1" s="1"/>
  <c r="D871" i="1"/>
  <c r="G871" i="1" s="1"/>
  <c r="D872" i="1"/>
  <c r="G872" i="1" s="1"/>
  <c r="D873" i="1"/>
  <c r="G873" i="1" s="1"/>
  <c r="D874" i="1"/>
  <c r="G874" i="1" s="1"/>
  <c r="D875" i="1"/>
  <c r="G875" i="1" s="1"/>
  <c r="D876" i="1"/>
  <c r="G876" i="1" s="1"/>
  <c r="D877" i="1"/>
  <c r="G877" i="1" s="1"/>
  <c r="D878" i="1"/>
  <c r="G878" i="1" s="1"/>
  <c r="D879" i="1"/>
  <c r="G879" i="1" s="1"/>
  <c r="D880" i="1"/>
  <c r="G880" i="1" s="1"/>
  <c r="D881" i="1"/>
  <c r="G881" i="1" s="1"/>
  <c r="D882" i="1"/>
  <c r="G882" i="1" s="1"/>
  <c r="D883" i="1"/>
  <c r="G883" i="1" s="1"/>
  <c r="D884" i="1"/>
  <c r="G884" i="1" s="1"/>
  <c r="D885" i="1"/>
  <c r="G885" i="1" s="1"/>
  <c r="D886" i="1"/>
  <c r="G886" i="1" s="1"/>
  <c r="D887" i="1"/>
  <c r="G887" i="1" s="1"/>
  <c r="D888" i="1"/>
  <c r="G888" i="1" s="1"/>
  <c r="D889" i="1"/>
  <c r="G889" i="1" s="1"/>
  <c r="D890" i="1"/>
  <c r="G890" i="1" s="1"/>
  <c r="D891" i="1"/>
  <c r="G891" i="1" s="1"/>
  <c r="D892" i="1"/>
  <c r="G892" i="1" s="1"/>
  <c r="D893" i="1"/>
  <c r="G893" i="1" s="1"/>
  <c r="D894" i="1"/>
  <c r="G894" i="1" s="1"/>
  <c r="D895" i="1"/>
  <c r="G895" i="1" s="1"/>
  <c r="D896" i="1"/>
  <c r="G896" i="1" s="1"/>
  <c r="D897" i="1"/>
  <c r="G897" i="1" s="1"/>
  <c r="D898" i="1"/>
  <c r="G898" i="1" s="1"/>
  <c r="D899" i="1"/>
  <c r="G899" i="1" s="1"/>
  <c r="D900" i="1"/>
  <c r="G900" i="1" s="1"/>
  <c r="D901" i="1"/>
  <c r="G901" i="1" s="1"/>
  <c r="D902" i="1"/>
  <c r="G902" i="1" s="1"/>
  <c r="D903" i="1"/>
  <c r="G903" i="1" s="1"/>
  <c r="D904" i="1"/>
  <c r="G904" i="1" s="1"/>
  <c r="D905" i="1"/>
  <c r="G905" i="1" s="1"/>
  <c r="D906" i="1"/>
  <c r="G906" i="1" s="1"/>
  <c r="D907" i="1"/>
  <c r="G907" i="1" s="1"/>
  <c r="D908" i="1"/>
  <c r="G908" i="1" s="1"/>
  <c r="D909" i="1"/>
  <c r="G909" i="1" s="1"/>
  <c r="D910" i="1"/>
  <c r="G910" i="1" s="1"/>
  <c r="D911" i="1"/>
  <c r="G911" i="1" s="1"/>
  <c r="D912" i="1"/>
  <c r="G912" i="1" s="1"/>
  <c r="D913" i="1"/>
  <c r="G913" i="1" s="1"/>
  <c r="D914" i="1"/>
  <c r="G914" i="1" s="1"/>
  <c r="D915" i="1"/>
  <c r="G915" i="1" s="1"/>
  <c r="D916" i="1"/>
  <c r="G916" i="1" s="1"/>
  <c r="D917" i="1"/>
  <c r="G917" i="1" s="1"/>
  <c r="D918" i="1"/>
  <c r="G918" i="1" s="1"/>
  <c r="D919" i="1"/>
  <c r="G919" i="1" s="1"/>
  <c r="D920" i="1"/>
  <c r="G920" i="1" s="1"/>
  <c r="D921" i="1"/>
  <c r="G921" i="1" s="1"/>
  <c r="D922" i="1"/>
  <c r="G922" i="1" s="1"/>
  <c r="D923" i="1"/>
  <c r="G923" i="1" s="1"/>
  <c r="D924" i="1"/>
  <c r="G924" i="1" s="1"/>
  <c r="D925" i="1"/>
  <c r="G925" i="1" s="1"/>
  <c r="D926" i="1"/>
  <c r="G926" i="1" s="1"/>
  <c r="D927" i="1"/>
  <c r="G927" i="1" s="1"/>
  <c r="D928" i="1"/>
  <c r="G928" i="1" s="1"/>
  <c r="D929" i="1"/>
  <c r="G929" i="1" s="1"/>
  <c r="D930" i="1"/>
  <c r="G930" i="1" s="1"/>
  <c r="D931" i="1"/>
  <c r="G931" i="1" s="1"/>
  <c r="D932" i="1"/>
  <c r="G932" i="1" s="1"/>
  <c r="D933" i="1"/>
  <c r="G933" i="1" s="1"/>
  <c r="D934" i="1"/>
  <c r="G934" i="1" s="1"/>
  <c r="D935" i="1"/>
  <c r="G935" i="1" s="1"/>
  <c r="D936" i="1"/>
  <c r="G936" i="1" s="1"/>
  <c r="D937" i="1"/>
  <c r="G937" i="1" s="1"/>
  <c r="D938" i="1"/>
  <c r="G938" i="1" s="1"/>
  <c r="D939" i="1"/>
  <c r="G939" i="1" s="1"/>
  <c r="D940" i="1"/>
  <c r="G940" i="1" s="1"/>
  <c r="D941" i="1"/>
  <c r="G941" i="1" s="1"/>
  <c r="D942" i="1"/>
  <c r="G942" i="1" s="1"/>
  <c r="D943" i="1"/>
  <c r="G943" i="1" s="1"/>
  <c r="D944" i="1"/>
  <c r="G944" i="1" s="1"/>
  <c r="D945" i="1"/>
  <c r="G945" i="1" s="1"/>
  <c r="D946" i="1"/>
  <c r="G946" i="1" s="1"/>
  <c r="D947" i="1"/>
  <c r="G947" i="1" s="1"/>
  <c r="D948" i="1"/>
  <c r="G948" i="1" s="1"/>
  <c r="D949" i="1"/>
  <c r="G949" i="1" s="1"/>
  <c r="D950" i="1"/>
  <c r="G950" i="1" s="1"/>
  <c r="D951" i="1"/>
  <c r="G951" i="1" s="1"/>
  <c r="D952" i="1"/>
  <c r="G952" i="1" s="1"/>
  <c r="D953" i="1"/>
  <c r="G953" i="1" s="1"/>
  <c r="D954" i="1"/>
  <c r="G954" i="1" s="1"/>
  <c r="D955" i="1"/>
  <c r="G955" i="1" s="1"/>
  <c r="D956" i="1"/>
  <c r="G956" i="1" s="1"/>
  <c r="D957" i="1"/>
  <c r="G957" i="1" s="1"/>
  <c r="D958" i="1"/>
  <c r="G958" i="1" s="1"/>
  <c r="D959" i="1"/>
  <c r="G959" i="1" s="1"/>
  <c r="D960" i="1"/>
  <c r="G960" i="1" s="1"/>
  <c r="D961" i="1"/>
  <c r="G961" i="1" s="1"/>
  <c r="D962" i="1"/>
  <c r="G962" i="1" s="1"/>
  <c r="D963" i="1"/>
  <c r="G963" i="1" s="1"/>
  <c r="D964" i="1"/>
  <c r="G964" i="1" s="1"/>
  <c r="D965" i="1"/>
  <c r="G965" i="1" s="1"/>
  <c r="D966" i="1"/>
  <c r="G966" i="1" s="1"/>
  <c r="D967" i="1"/>
  <c r="G967" i="1" s="1"/>
  <c r="D968" i="1"/>
  <c r="G968" i="1" s="1"/>
  <c r="D969" i="1"/>
  <c r="G969" i="1" s="1"/>
  <c r="D970" i="1"/>
  <c r="G970" i="1" s="1"/>
  <c r="D971" i="1"/>
  <c r="G971" i="1" s="1"/>
  <c r="D972" i="1"/>
  <c r="G972" i="1" s="1"/>
  <c r="D973" i="1"/>
  <c r="G973" i="1" s="1"/>
  <c r="D974" i="1"/>
  <c r="G974" i="1" s="1"/>
  <c r="D975" i="1"/>
  <c r="G975" i="1" s="1"/>
  <c r="D976" i="1"/>
  <c r="G976" i="1" s="1"/>
  <c r="D977" i="1"/>
  <c r="G977" i="1" s="1"/>
  <c r="D978" i="1"/>
  <c r="G978" i="1" s="1"/>
  <c r="D979" i="1"/>
  <c r="G979" i="1" s="1"/>
  <c r="D980" i="1"/>
  <c r="G980" i="1" s="1"/>
  <c r="D981" i="1"/>
  <c r="G981" i="1" s="1"/>
  <c r="D982" i="1"/>
  <c r="G982" i="1" s="1"/>
  <c r="D983" i="1"/>
  <c r="G983" i="1" s="1"/>
  <c r="D984" i="1"/>
  <c r="G984" i="1" s="1"/>
  <c r="D985" i="1"/>
  <c r="G985" i="1" s="1"/>
  <c r="D986" i="1"/>
  <c r="G986" i="1" s="1"/>
  <c r="D987" i="1"/>
  <c r="G987" i="1" s="1"/>
  <c r="D988" i="1"/>
  <c r="G988" i="1" s="1"/>
  <c r="D989" i="1"/>
  <c r="G989" i="1" s="1"/>
  <c r="D990" i="1"/>
  <c r="G990" i="1" s="1"/>
  <c r="D991" i="1"/>
  <c r="G991" i="1" s="1"/>
  <c r="D992" i="1"/>
  <c r="G992" i="1" s="1"/>
  <c r="D993" i="1"/>
  <c r="G993" i="1" s="1"/>
  <c r="D994" i="1"/>
  <c r="G994" i="1" s="1"/>
  <c r="D995" i="1"/>
  <c r="G995" i="1" s="1"/>
  <c r="D996" i="1"/>
  <c r="G996" i="1" s="1"/>
  <c r="D997" i="1"/>
  <c r="G997" i="1" s="1"/>
  <c r="D998" i="1"/>
  <c r="G998" i="1" s="1"/>
  <c r="D999" i="1"/>
  <c r="G999" i="1" s="1"/>
  <c r="D1000" i="1"/>
  <c r="G1000" i="1" s="1"/>
  <c r="D1001" i="1"/>
  <c r="G1001" i="1" s="1"/>
  <c r="D1002" i="1"/>
  <c r="G1002" i="1" s="1"/>
  <c r="D1003" i="1"/>
  <c r="G1003" i="1" s="1"/>
  <c r="D1004" i="1"/>
  <c r="G1004" i="1" s="1"/>
  <c r="D1005" i="1"/>
  <c r="G1005" i="1" s="1"/>
  <c r="D1006" i="1"/>
  <c r="G1006" i="1" s="1"/>
  <c r="D1007" i="1"/>
  <c r="G1007" i="1" s="1"/>
  <c r="D1008" i="1"/>
  <c r="G1008" i="1" s="1"/>
  <c r="D1009" i="1"/>
  <c r="G1009" i="1" s="1"/>
  <c r="D1010" i="1"/>
  <c r="G1010" i="1" s="1"/>
  <c r="D1011" i="1"/>
  <c r="G1011" i="1" s="1"/>
  <c r="D1012" i="1"/>
  <c r="G1012" i="1" s="1"/>
  <c r="D1013" i="1"/>
  <c r="G1013" i="1" s="1"/>
  <c r="D1014" i="1"/>
  <c r="G1014" i="1" s="1"/>
  <c r="D1015" i="1"/>
  <c r="G1015" i="1" s="1"/>
  <c r="D1016" i="1"/>
  <c r="G1016" i="1" s="1"/>
  <c r="D1017" i="1"/>
  <c r="G1017" i="1" s="1"/>
  <c r="D1018" i="1"/>
  <c r="G1018" i="1" s="1"/>
  <c r="D1019" i="1"/>
  <c r="G1019" i="1" s="1"/>
  <c r="D1020" i="1"/>
  <c r="G1020" i="1" s="1"/>
  <c r="D1021" i="1"/>
  <c r="G1021" i="1" s="1"/>
  <c r="D1022" i="1"/>
  <c r="G1022" i="1" s="1"/>
  <c r="D1023" i="1"/>
  <c r="G1023" i="1" s="1"/>
  <c r="D1024" i="1"/>
  <c r="G1024" i="1" s="1"/>
  <c r="D1025" i="1"/>
  <c r="G1025" i="1" s="1"/>
  <c r="D1026" i="1"/>
  <c r="G1026" i="1" s="1"/>
  <c r="D1027" i="1"/>
  <c r="G1027" i="1" s="1"/>
  <c r="D1028" i="1"/>
  <c r="G1028" i="1" s="1"/>
  <c r="D1029" i="1"/>
  <c r="G1029" i="1" s="1"/>
  <c r="D1030" i="1"/>
  <c r="G1030" i="1" s="1"/>
  <c r="D1031" i="1"/>
  <c r="G1031" i="1" s="1"/>
  <c r="D1032" i="1"/>
  <c r="G1032" i="1" s="1"/>
  <c r="D1033" i="1"/>
  <c r="G1033" i="1" s="1"/>
  <c r="D1034" i="1"/>
  <c r="G1034" i="1" s="1"/>
  <c r="D1035" i="1"/>
  <c r="G1035" i="1" s="1"/>
  <c r="D1036" i="1"/>
  <c r="G1036" i="1" s="1"/>
  <c r="D1037" i="1"/>
  <c r="G1037" i="1" s="1"/>
  <c r="D1038" i="1"/>
  <c r="G1038" i="1" s="1"/>
  <c r="D1039" i="1"/>
  <c r="G1039" i="1" s="1"/>
  <c r="D1040" i="1"/>
  <c r="G1040" i="1" s="1"/>
  <c r="D1041" i="1"/>
  <c r="G1041" i="1" s="1"/>
  <c r="D1042" i="1"/>
  <c r="G1042" i="1" s="1"/>
  <c r="D1043" i="1"/>
  <c r="G1043" i="1" s="1"/>
  <c r="D1044" i="1"/>
  <c r="G1044" i="1" s="1"/>
  <c r="D1045" i="1"/>
  <c r="G1045" i="1" s="1"/>
  <c r="D1046" i="1"/>
  <c r="G1046" i="1" s="1"/>
  <c r="D1047" i="1"/>
  <c r="G1047" i="1" s="1"/>
  <c r="D1048" i="1"/>
  <c r="G1048" i="1" s="1"/>
  <c r="D1049" i="1"/>
  <c r="G1049" i="1" s="1"/>
  <c r="D1050" i="1"/>
  <c r="G1050" i="1" s="1"/>
  <c r="D1051" i="1"/>
  <c r="G1051" i="1" s="1"/>
  <c r="D1052" i="1"/>
  <c r="G1052" i="1" s="1"/>
  <c r="D1053" i="1"/>
  <c r="G1053" i="1" s="1"/>
  <c r="D1054" i="1"/>
  <c r="G1054" i="1" s="1"/>
  <c r="D1055" i="1"/>
  <c r="G1055" i="1" s="1"/>
  <c r="D1056" i="1"/>
  <c r="G1056" i="1" s="1"/>
  <c r="D1057" i="1"/>
  <c r="G1057" i="1" s="1"/>
  <c r="D1058" i="1"/>
  <c r="G1058" i="1" s="1"/>
  <c r="D1059" i="1"/>
  <c r="G1059" i="1" s="1"/>
  <c r="D1060" i="1"/>
  <c r="G1060" i="1" s="1"/>
  <c r="D1061" i="1"/>
  <c r="G1061" i="1" s="1"/>
  <c r="D1062" i="1"/>
  <c r="G1062" i="1" s="1"/>
  <c r="D1063" i="1"/>
  <c r="G1063" i="1" s="1"/>
  <c r="D1064" i="1"/>
  <c r="G1064" i="1" s="1"/>
  <c r="D1065" i="1"/>
  <c r="G1065" i="1" s="1"/>
  <c r="D1066" i="1"/>
  <c r="G1066" i="1" s="1"/>
  <c r="D1067" i="1"/>
  <c r="G1067" i="1" s="1"/>
  <c r="D1068" i="1"/>
  <c r="G1068" i="1" s="1"/>
  <c r="D1069" i="1"/>
  <c r="G1069" i="1" s="1"/>
  <c r="D1070" i="1"/>
  <c r="G1070" i="1" s="1"/>
  <c r="D1071" i="1"/>
  <c r="G1071" i="1" s="1"/>
  <c r="D1072" i="1"/>
  <c r="G1072" i="1" s="1"/>
  <c r="D1073" i="1"/>
  <c r="G1073" i="1" s="1"/>
  <c r="D1074" i="1"/>
  <c r="G1074" i="1" s="1"/>
  <c r="D1075" i="1"/>
  <c r="G1075" i="1" s="1"/>
  <c r="D1076" i="1"/>
  <c r="G1076" i="1" s="1"/>
  <c r="D1077" i="1"/>
  <c r="G1077" i="1" s="1"/>
  <c r="D1078" i="1"/>
  <c r="G1078" i="1" s="1"/>
  <c r="D1079" i="1"/>
  <c r="G1079" i="1" s="1"/>
  <c r="D1080" i="1"/>
  <c r="G1080" i="1" s="1"/>
  <c r="D1081" i="1"/>
  <c r="G1081" i="1" s="1"/>
  <c r="D1082" i="1"/>
  <c r="G1082" i="1" s="1"/>
  <c r="D1083" i="1"/>
  <c r="G1083" i="1" s="1"/>
  <c r="D1084" i="1"/>
  <c r="G1084" i="1" s="1"/>
  <c r="D1085" i="1"/>
  <c r="G1085" i="1" s="1"/>
  <c r="D1086" i="1"/>
  <c r="G1086" i="1" s="1"/>
  <c r="D1087" i="1"/>
  <c r="G1087" i="1" s="1"/>
  <c r="D1088" i="1"/>
  <c r="G1088" i="1" s="1"/>
  <c r="D1089" i="1"/>
  <c r="G1089" i="1" s="1"/>
  <c r="D1090" i="1"/>
  <c r="G1090" i="1" s="1"/>
  <c r="D1091" i="1"/>
  <c r="G1091" i="1" s="1"/>
  <c r="D1092" i="1"/>
  <c r="G1092" i="1" s="1"/>
  <c r="I1092" i="1" s="1"/>
  <c r="D1093" i="1"/>
  <c r="G1093" i="1" s="1"/>
  <c r="D1094" i="1"/>
  <c r="G1094" i="1" s="1"/>
  <c r="D1095" i="1"/>
  <c r="G1095" i="1" s="1"/>
  <c r="D1096" i="1"/>
  <c r="G1096" i="1" s="1"/>
  <c r="D1097" i="1"/>
  <c r="G1097" i="1" s="1"/>
  <c r="D1098" i="1"/>
  <c r="G1098" i="1" s="1"/>
  <c r="D1099" i="1"/>
  <c r="G1099" i="1" s="1"/>
  <c r="D1100" i="1"/>
  <c r="G1100" i="1" s="1"/>
  <c r="D1101" i="1"/>
  <c r="G1101" i="1" s="1"/>
  <c r="D1102" i="1"/>
  <c r="G1102" i="1" s="1"/>
  <c r="D1103" i="1"/>
  <c r="G1103" i="1" s="1"/>
  <c r="D1104" i="1"/>
  <c r="G1104" i="1" s="1"/>
  <c r="D1105" i="1"/>
  <c r="G1105" i="1" s="1"/>
  <c r="D1106" i="1"/>
  <c r="G1106" i="1" s="1"/>
  <c r="D1107" i="1"/>
  <c r="G1107" i="1" s="1"/>
  <c r="D1108" i="1"/>
  <c r="G1108" i="1" s="1"/>
  <c r="D1109" i="1"/>
  <c r="G1109" i="1" s="1"/>
  <c r="D1110" i="1"/>
  <c r="G1110" i="1" s="1"/>
  <c r="D1111" i="1"/>
  <c r="G1111" i="1" s="1"/>
  <c r="D1112" i="1"/>
  <c r="G1112" i="1" s="1"/>
  <c r="D1113" i="1"/>
  <c r="G1113" i="1" s="1"/>
  <c r="D1114" i="1"/>
  <c r="G1114" i="1" s="1"/>
  <c r="D1115" i="1"/>
  <c r="G1115" i="1" s="1"/>
  <c r="D1116" i="1"/>
  <c r="G1116" i="1" s="1"/>
  <c r="D1117" i="1"/>
  <c r="G1117" i="1" s="1"/>
  <c r="D1118" i="1"/>
  <c r="G1118" i="1" s="1"/>
  <c r="D1119" i="1"/>
  <c r="G1119" i="1" s="1"/>
  <c r="D1120" i="1"/>
  <c r="G1120" i="1" s="1"/>
  <c r="D1121" i="1"/>
  <c r="G1121" i="1" s="1"/>
  <c r="D1122" i="1"/>
  <c r="G1122" i="1" s="1"/>
  <c r="D1123" i="1"/>
  <c r="G1123" i="1" s="1"/>
  <c r="D1124" i="1"/>
  <c r="G1124" i="1" s="1"/>
  <c r="D1125" i="1"/>
  <c r="G1125" i="1" s="1"/>
  <c r="D1126" i="1"/>
  <c r="G1126" i="1" s="1"/>
  <c r="I1126" i="1" s="1"/>
  <c r="D1127" i="1"/>
  <c r="G1127" i="1" s="1"/>
  <c r="D1128" i="1"/>
  <c r="G1128" i="1" s="1"/>
  <c r="D1129" i="1"/>
  <c r="G1129" i="1" s="1"/>
  <c r="D1130" i="1"/>
  <c r="G1130" i="1" s="1"/>
  <c r="D1131" i="1"/>
  <c r="G1131" i="1" s="1"/>
  <c r="D1132" i="1"/>
  <c r="G1132" i="1" s="1"/>
  <c r="D1133" i="1"/>
  <c r="G1133" i="1" s="1"/>
  <c r="D1134" i="1"/>
  <c r="G1134" i="1" s="1"/>
  <c r="D1135" i="1"/>
  <c r="G1135" i="1" s="1"/>
  <c r="D1136" i="1"/>
  <c r="G1136" i="1" s="1"/>
  <c r="D1137" i="1"/>
  <c r="G1137" i="1" s="1"/>
  <c r="D1138" i="1"/>
  <c r="G1138" i="1" s="1"/>
  <c r="D1139" i="1"/>
  <c r="G1139" i="1" s="1"/>
  <c r="D1140" i="1"/>
  <c r="G1140" i="1" s="1"/>
  <c r="D1141" i="1"/>
  <c r="G1141" i="1" s="1"/>
  <c r="D1142" i="1"/>
  <c r="G1142" i="1" s="1"/>
  <c r="D1143" i="1"/>
  <c r="G1143" i="1" s="1"/>
  <c r="D1144" i="1"/>
  <c r="G1144" i="1" s="1"/>
  <c r="D1145" i="1"/>
  <c r="G1145" i="1" s="1"/>
  <c r="D1146" i="1"/>
  <c r="G1146" i="1" s="1"/>
  <c r="D1147" i="1"/>
  <c r="G1147" i="1" s="1"/>
  <c r="D1148" i="1"/>
  <c r="G1148" i="1" s="1"/>
  <c r="D1149" i="1"/>
  <c r="G1149" i="1" s="1"/>
  <c r="D1150" i="1"/>
  <c r="G1150" i="1" s="1"/>
  <c r="D1151" i="1"/>
  <c r="G1151" i="1" s="1"/>
  <c r="D1152" i="1"/>
  <c r="G1152" i="1" s="1"/>
  <c r="D1153" i="1"/>
  <c r="G1153" i="1" s="1"/>
  <c r="D1154" i="1"/>
  <c r="G1154" i="1" s="1"/>
  <c r="D1155" i="1"/>
  <c r="G1155" i="1" s="1"/>
  <c r="D1156" i="1"/>
  <c r="G1156" i="1" s="1"/>
  <c r="D1157" i="1"/>
  <c r="G1157" i="1" s="1"/>
  <c r="D1158" i="1"/>
  <c r="G1158" i="1" s="1"/>
  <c r="D1159" i="1"/>
  <c r="G1159" i="1" s="1"/>
  <c r="D1160" i="1"/>
  <c r="G1160" i="1" s="1"/>
  <c r="D1161" i="1"/>
  <c r="G1161" i="1" s="1"/>
  <c r="D1162" i="1"/>
  <c r="G1162" i="1" s="1"/>
  <c r="D1163" i="1"/>
  <c r="G1163" i="1" s="1"/>
  <c r="D1164" i="1"/>
  <c r="G1164" i="1" s="1"/>
  <c r="D2" i="1"/>
  <c r="G2" i="1" s="1"/>
  <c r="I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2" i="1"/>
  <c r="I1026" i="1" l="1"/>
  <c r="I1018" i="1"/>
  <c r="I1010" i="1"/>
  <c r="I994" i="1"/>
  <c r="I970" i="1"/>
  <c r="I962" i="1"/>
  <c r="E3329" i="2" s="1"/>
  <c r="F3329" i="2" s="1"/>
  <c r="I954" i="1"/>
  <c r="I946" i="1"/>
  <c r="E3255" i="2" s="1"/>
  <c r="F3255" i="2" s="1"/>
  <c r="I930" i="1"/>
  <c r="I906" i="1"/>
  <c r="I898" i="1"/>
  <c r="I890" i="1"/>
  <c r="I882" i="1"/>
  <c r="I866" i="1"/>
  <c r="B651" i="3" s="1"/>
  <c r="I842" i="1"/>
  <c r="I834" i="1"/>
  <c r="B622" i="3" s="1"/>
  <c r="I826" i="1"/>
  <c r="I818" i="1"/>
  <c r="I802" i="1"/>
  <c r="I778" i="1"/>
  <c r="I770" i="1"/>
  <c r="I1156" i="1"/>
  <c r="E3924" i="2" s="1"/>
  <c r="F3924" i="2" s="1"/>
  <c r="I833" i="1"/>
  <c r="E2851" i="2" s="1"/>
  <c r="F2851" i="2" s="1"/>
  <c r="I817" i="1"/>
  <c r="E2807" i="2" s="1"/>
  <c r="F2807" i="2" s="1"/>
  <c r="I769" i="1"/>
  <c r="I753" i="1"/>
  <c r="I705" i="1"/>
  <c r="E2419" i="2" s="1"/>
  <c r="F2419" i="2" s="1"/>
  <c r="I689" i="1"/>
  <c r="I641" i="1"/>
  <c r="I625" i="1"/>
  <c r="I577" i="1"/>
  <c r="I561" i="1"/>
  <c r="B365" i="3" s="1"/>
  <c r="I513" i="1"/>
  <c r="I497" i="1"/>
  <c r="I449" i="1"/>
  <c r="I433" i="1"/>
  <c r="I385" i="1"/>
  <c r="I369" i="1"/>
  <c r="I321" i="1"/>
  <c r="I305" i="1"/>
  <c r="E1098" i="2" s="1"/>
  <c r="F1098" i="2" s="1"/>
  <c r="I257" i="1"/>
  <c r="I241" i="1"/>
  <c r="I209" i="1"/>
  <c r="I193" i="1"/>
  <c r="I185" i="1"/>
  <c r="I177" i="1"/>
  <c r="I145" i="1"/>
  <c r="I137" i="1"/>
  <c r="I129" i="1"/>
  <c r="E485" i="2" s="1"/>
  <c r="F485" i="2" s="1"/>
  <c r="I113" i="1"/>
  <c r="I81" i="1"/>
  <c r="I1159" i="1"/>
  <c r="I292" i="1"/>
  <c r="I1163" i="1"/>
  <c r="I1147" i="1"/>
  <c r="I1099" i="1"/>
  <c r="E3777" i="2" s="1"/>
  <c r="F3777" i="2" s="1"/>
  <c r="I1083" i="1"/>
  <c r="I1035" i="1"/>
  <c r="I1019" i="1"/>
  <c r="I971" i="1"/>
  <c r="I955" i="1"/>
  <c r="I907" i="1"/>
  <c r="I891" i="1"/>
  <c r="I843" i="1"/>
  <c r="E2893" i="2" s="1"/>
  <c r="F2893" i="2" s="1"/>
  <c r="I827" i="1"/>
  <c r="I779" i="1"/>
  <c r="I763" i="1"/>
  <c r="I739" i="1"/>
  <c r="I723" i="1"/>
  <c r="I675" i="1"/>
  <c r="I659" i="1"/>
  <c r="I73" i="1"/>
  <c r="E275" i="2" s="1"/>
  <c r="F275" i="2" s="1"/>
  <c r="I65" i="1"/>
  <c r="I49" i="1"/>
  <c r="I17" i="1"/>
  <c r="I1064" i="1"/>
  <c r="I1048" i="1"/>
  <c r="E3590" i="2" s="1"/>
  <c r="F3590" i="2" s="1"/>
  <c r="I1040" i="1"/>
  <c r="I1016" i="1"/>
  <c r="I1008" i="1"/>
  <c r="I1000" i="1"/>
  <c r="I984" i="1"/>
  <c r="I976" i="1"/>
  <c r="I952" i="1"/>
  <c r="I944" i="1"/>
  <c r="I936" i="1"/>
  <c r="I920" i="1"/>
  <c r="E3164" i="2" s="1"/>
  <c r="F3164" i="2" s="1"/>
  <c r="I912" i="1"/>
  <c r="B694" i="3" s="1"/>
  <c r="I888" i="1"/>
  <c r="I880" i="1"/>
  <c r="I872" i="1"/>
  <c r="E2979" i="2" s="1"/>
  <c r="F2979" i="2" s="1"/>
  <c r="I856" i="1"/>
  <c r="I848" i="1"/>
  <c r="I824" i="1"/>
  <c r="I816" i="1"/>
  <c r="E2803" i="2" s="1"/>
  <c r="F2803" i="2" s="1"/>
  <c r="I792" i="1"/>
  <c r="E2731" i="2" s="1"/>
  <c r="F2731" i="2" s="1"/>
  <c r="I784" i="1"/>
  <c r="I760" i="1"/>
  <c r="I752" i="1"/>
  <c r="I728" i="1"/>
  <c r="E2502" i="2" s="1"/>
  <c r="I720" i="1"/>
  <c r="E2467" i="2" s="1"/>
  <c r="F2467" i="2" s="1"/>
  <c r="I696" i="1"/>
  <c r="I688" i="1"/>
  <c r="E2339" i="2" s="1"/>
  <c r="F2339" i="2" s="1"/>
  <c r="I664" i="1"/>
  <c r="E2239" i="2" s="1"/>
  <c r="F2239" i="2" s="1"/>
  <c r="I656" i="1"/>
  <c r="I632" i="1"/>
  <c r="E2124" i="2" s="1"/>
  <c r="F2124" i="2" s="1"/>
  <c r="I624" i="1"/>
  <c r="I600" i="1"/>
  <c r="E2018" i="2" s="1"/>
  <c r="F2018" i="2" s="1"/>
  <c r="I592" i="1"/>
  <c r="E1991" i="2" s="1"/>
  <c r="F1991" i="2" s="1"/>
  <c r="I568" i="1"/>
  <c r="I560" i="1"/>
  <c r="E1875" i="2" s="1"/>
  <c r="F1875" i="2" s="1"/>
  <c r="I536" i="1"/>
  <c r="E1820" i="2" s="1"/>
  <c r="F1820" i="2" s="1"/>
  <c r="I528" i="1"/>
  <c r="E1787" i="2" s="1"/>
  <c r="F1787" i="2" s="1"/>
  <c r="I504" i="1"/>
  <c r="I496" i="1"/>
  <c r="I472" i="1"/>
  <c r="I464" i="1"/>
  <c r="I440" i="1"/>
  <c r="B253" i="3" s="1"/>
  <c r="I432" i="1"/>
  <c r="I408" i="1"/>
  <c r="I400" i="1"/>
  <c r="I1151" i="1"/>
  <c r="I1143" i="1"/>
  <c r="I1135" i="1"/>
  <c r="I1127" i="1"/>
  <c r="E3861" i="2" s="1"/>
  <c r="F3861" i="2" s="1"/>
  <c r="I1119" i="1"/>
  <c r="I1111" i="1"/>
  <c r="I1103" i="1"/>
  <c r="E3788" i="2" s="1"/>
  <c r="F3788" i="2" s="1"/>
  <c r="I1095" i="1"/>
  <c r="I1087" i="1"/>
  <c r="I1079" i="1"/>
  <c r="I1071" i="1"/>
  <c r="I1063" i="1"/>
  <c r="I1055" i="1"/>
  <c r="I1047" i="1"/>
  <c r="I1039" i="1"/>
  <c r="B803" i="3" s="1"/>
  <c r="I1031" i="1"/>
  <c r="E3532" i="2" s="1"/>
  <c r="F3532" i="2" s="1"/>
  <c r="I1023" i="1"/>
  <c r="I1015" i="1"/>
  <c r="I1007" i="1"/>
  <c r="I999" i="1"/>
  <c r="E3443" i="2" s="1"/>
  <c r="F3443" i="2" s="1"/>
  <c r="I991" i="1"/>
  <c r="I983" i="1"/>
  <c r="I975" i="1"/>
  <c r="B748" i="3" s="1"/>
  <c r="I967" i="1"/>
  <c r="I959" i="1"/>
  <c r="I951" i="1"/>
  <c r="I943" i="1"/>
  <c r="I935" i="1"/>
  <c r="I927" i="1"/>
  <c r="I919" i="1"/>
  <c r="I911" i="1"/>
  <c r="E3128" i="2" s="1"/>
  <c r="F3128" i="2" s="1"/>
  <c r="I903" i="1"/>
  <c r="I895" i="1"/>
  <c r="I887" i="1"/>
  <c r="I879" i="1"/>
  <c r="I871" i="1"/>
  <c r="I863" i="1"/>
  <c r="I855" i="1"/>
  <c r="I847" i="1"/>
  <c r="B635" i="3" s="1"/>
  <c r="I839" i="1"/>
  <c r="I831" i="1"/>
  <c r="B619" i="3" s="1"/>
  <c r="I823" i="1"/>
  <c r="I815" i="1"/>
  <c r="I807" i="1"/>
  <c r="I799" i="1"/>
  <c r="I791" i="1"/>
  <c r="I783" i="1"/>
  <c r="E2700" i="2" s="1"/>
  <c r="F2700" i="2" s="1"/>
  <c r="I775" i="1"/>
  <c r="I767" i="1"/>
  <c r="I759" i="1"/>
  <c r="I751" i="1"/>
  <c r="I743" i="1"/>
  <c r="I735" i="1"/>
  <c r="I727" i="1"/>
  <c r="I719" i="1"/>
  <c r="E2466" i="2" s="1"/>
  <c r="F2466" i="2" s="1"/>
  <c r="I711" i="1"/>
  <c r="I703" i="1"/>
  <c r="I695" i="1"/>
  <c r="I687" i="1"/>
  <c r="I679" i="1"/>
  <c r="E2294" i="2" s="1"/>
  <c r="F2294" i="2" s="1"/>
  <c r="I671" i="1"/>
  <c r="I663" i="1"/>
  <c r="I655" i="1"/>
  <c r="E2209" i="2" s="1"/>
  <c r="F2209" i="2" s="1"/>
  <c r="I647" i="1"/>
  <c r="I639" i="1"/>
  <c r="I631" i="1"/>
  <c r="I623" i="1"/>
  <c r="I615" i="1"/>
  <c r="I607" i="1"/>
  <c r="E2031" i="2" s="1"/>
  <c r="F2031" i="2" s="1"/>
  <c r="I599" i="1"/>
  <c r="I591" i="1"/>
  <c r="B394" i="3" s="1"/>
  <c r="I583" i="1"/>
  <c r="I575" i="1"/>
  <c r="I567" i="1"/>
  <c r="I559" i="1"/>
  <c r="I551" i="1"/>
  <c r="I543" i="1"/>
  <c r="I535" i="1"/>
  <c r="I527" i="1"/>
  <c r="B333" i="3" s="1"/>
  <c r="I519" i="1"/>
  <c r="I511" i="1"/>
  <c r="I503" i="1"/>
  <c r="I495" i="1"/>
  <c r="I1158" i="1"/>
  <c r="I1150" i="1"/>
  <c r="I1134" i="1"/>
  <c r="I1110" i="1"/>
  <c r="B43" i="3" s="1"/>
  <c r="I1102" i="1"/>
  <c r="I1094" i="1"/>
  <c r="E3763" i="2" s="1"/>
  <c r="F3763" i="2" s="1"/>
  <c r="I1078" i="1"/>
  <c r="I1070" i="1"/>
  <c r="I1062" i="1"/>
  <c r="I1046" i="1"/>
  <c r="I1038" i="1"/>
  <c r="I1030" i="1"/>
  <c r="I1014" i="1"/>
  <c r="I1006" i="1"/>
  <c r="I998" i="1"/>
  <c r="I982" i="1"/>
  <c r="I974" i="1"/>
  <c r="E3363" i="2" s="1"/>
  <c r="F3363" i="2" s="1"/>
  <c r="I966" i="1"/>
  <c r="E3339" i="2" s="1"/>
  <c r="F3339" i="2" s="1"/>
  <c r="I950" i="1"/>
  <c r="E3276" i="2" s="1"/>
  <c r="F3276" i="2" s="1"/>
  <c r="I942" i="1"/>
  <c r="B719" i="3" s="1"/>
  <c r="I934" i="1"/>
  <c r="I918" i="1"/>
  <c r="I910" i="1"/>
  <c r="I902" i="1"/>
  <c r="I886" i="1"/>
  <c r="I878" i="1"/>
  <c r="B662" i="3" s="1"/>
  <c r="I870" i="1"/>
  <c r="I854" i="1"/>
  <c r="E2923" i="2" s="1"/>
  <c r="F2923" i="2" s="1"/>
  <c r="I846" i="1"/>
  <c r="E2908" i="2" s="1"/>
  <c r="F2908" i="2" s="1"/>
  <c r="I838" i="1"/>
  <c r="I822" i="1"/>
  <c r="I814" i="1"/>
  <c r="I806" i="1"/>
  <c r="I790" i="1"/>
  <c r="I782" i="1"/>
  <c r="I774" i="1"/>
  <c r="B567" i="3" s="1"/>
  <c r="I758" i="1"/>
  <c r="I750" i="1"/>
  <c r="I742" i="1"/>
  <c r="E2566" i="2" s="1"/>
  <c r="I734" i="1"/>
  <c r="I726" i="1"/>
  <c r="I718" i="1"/>
  <c r="E2465" i="2" s="1"/>
  <c r="F2465" i="2" s="1"/>
  <c r="I710" i="1"/>
  <c r="I694" i="1"/>
  <c r="E2359" i="2" s="1"/>
  <c r="F2359" i="2" s="1"/>
  <c r="I686" i="1"/>
  <c r="I678" i="1"/>
  <c r="I670" i="1"/>
  <c r="I662" i="1"/>
  <c r="I654" i="1"/>
  <c r="I646" i="1"/>
  <c r="I630" i="1"/>
  <c r="I622" i="1"/>
  <c r="B422" i="3" s="1"/>
  <c r="I614" i="1"/>
  <c r="E2054" i="2" s="1"/>
  <c r="F2054" i="2" s="1"/>
  <c r="I606" i="1"/>
  <c r="I598" i="1"/>
  <c r="I590" i="1"/>
  <c r="E1984" i="2" s="1"/>
  <c r="F1984" i="2" s="1"/>
  <c r="I582" i="1"/>
  <c r="I566" i="1"/>
  <c r="B370" i="3" s="1"/>
  <c r="I558" i="1"/>
  <c r="I550" i="1"/>
  <c r="E1847" i="2" s="1"/>
  <c r="F1847" i="2" s="1"/>
  <c r="I542" i="1"/>
  <c r="I534" i="1"/>
  <c r="I526" i="1"/>
  <c r="I518" i="1"/>
  <c r="I334" i="1"/>
  <c r="I14" i="1"/>
  <c r="I1101" i="1"/>
  <c r="I1053" i="1"/>
  <c r="B817" i="3" s="1"/>
  <c r="I1037" i="1"/>
  <c r="I989" i="1"/>
  <c r="I973" i="1"/>
  <c r="I925" i="1"/>
  <c r="I909" i="1"/>
  <c r="I861" i="1"/>
  <c r="I845" i="1"/>
  <c r="I813" i="1"/>
  <c r="E2795" i="2" s="1"/>
  <c r="F2795" i="2" s="1"/>
  <c r="I805" i="1"/>
  <c r="I797" i="1"/>
  <c r="I789" i="1"/>
  <c r="E2723" i="2" s="1"/>
  <c r="F2723" i="2" s="1"/>
  <c r="I781" i="1"/>
  <c r="I773" i="1"/>
  <c r="I765" i="1"/>
  <c r="I757" i="1"/>
  <c r="I749" i="1"/>
  <c r="E2588" i="2" s="1"/>
  <c r="F2588" i="2" s="1"/>
  <c r="I741" i="1"/>
  <c r="I733" i="1"/>
  <c r="I725" i="1"/>
  <c r="I717" i="1"/>
  <c r="I709" i="1"/>
  <c r="I701" i="1"/>
  <c r="E2397" i="2" s="1"/>
  <c r="F2397" i="2" s="1"/>
  <c r="I693" i="1"/>
  <c r="I685" i="1"/>
  <c r="E2326" i="2" s="1"/>
  <c r="F2326" i="2" s="1"/>
  <c r="I677" i="1"/>
  <c r="I669" i="1"/>
  <c r="I661" i="1"/>
  <c r="I653" i="1"/>
  <c r="I645" i="1"/>
  <c r="I637" i="1"/>
  <c r="I629" i="1"/>
  <c r="I621" i="1"/>
  <c r="E2076" i="2" s="1"/>
  <c r="F2076" i="2" s="1"/>
  <c r="I613" i="1"/>
  <c r="I605" i="1"/>
  <c r="I597" i="1"/>
  <c r="E2004" i="2" s="1"/>
  <c r="F2004" i="2" s="1"/>
  <c r="I589" i="1"/>
  <c r="I581" i="1"/>
  <c r="I573" i="1"/>
  <c r="I565" i="1"/>
  <c r="I557" i="1"/>
  <c r="B361" i="3" s="1"/>
  <c r="I549" i="1"/>
  <c r="I541" i="1"/>
  <c r="I533" i="1"/>
  <c r="I525" i="1"/>
  <c r="I517" i="1"/>
  <c r="I509" i="1"/>
  <c r="I501" i="1"/>
  <c r="I493" i="1"/>
  <c r="E1688" i="2" s="1"/>
  <c r="F1688" i="2" s="1"/>
  <c r="I485" i="1"/>
  <c r="I1108" i="1"/>
  <c r="I1044" i="1"/>
  <c r="I1028" i="1"/>
  <c r="I980" i="1"/>
  <c r="I964" i="1"/>
  <c r="I916" i="1"/>
  <c r="I900" i="1"/>
  <c r="B682" i="3" s="1"/>
  <c r="I852" i="1"/>
  <c r="I788" i="1"/>
  <c r="I772" i="1"/>
  <c r="I748" i="1"/>
  <c r="I700" i="1"/>
  <c r="I684" i="1"/>
  <c r="I628" i="1"/>
  <c r="I564" i="1"/>
  <c r="B368" i="3" s="1"/>
  <c r="I484" i="1"/>
  <c r="I372" i="1"/>
  <c r="I52" i="1"/>
  <c r="I635" i="1"/>
  <c r="I587" i="1"/>
  <c r="I571" i="1"/>
  <c r="I523" i="1"/>
  <c r="I507" i="1"/>
  <c r="B314" i="3" s="1"/>
  <c r="I459" i="1"/>
  <c r="I443" i="1"/>
  <c r="I395" i="1"/>
  <c r="I379" i="1"/>
  <c r="I315" i="1"/>
  <c r="I267" i="1"/>
  <c r="I251" i="1"/>
  <c r="E935" i="2" s="1"/>
  <c r="F935" i="2" s="1"/>
  <c r="I227" i="1"/>
  <c r="E836" i="2" s="1"/>
  <c r="F836" i="2" s="1"/>
  <c r="I219" i="1"/>
  <c r="I203" i="1"/>
  <c r="I187" i="1"/>
  <c r="I163" i="1"/>
  <c r="I155" i="1"/>
  <c r="I139" i="1"/>
  <c r="I123" i="1"/>
  <c r="I99" i="1"/>
  <c r="B955" i="3" s="1"/>
  <c r="I75" i="1"/>
  <c r="I59" i="1"/>
  <c r="I762" i="1"/>
  <c r="I754" i="1"/>
  <c r="I738" i="1"/>
  <c r="I714" i="1"/>
  <c r="I706" i="1"/>
  <c r="I698" i="1"/>
  <c r="E2386" i="2" s="1"/>
  <c r="F2386" i="2" s="1"/>
  <c r="I690" i="1"/>
  <c r="I674" i="1"/>
  <c r="I650" i="1"/>
  <c r="I642" i="1"/>
  <c r="I634" i="1"/>
  <c r="I626" i="1"/>
  <c r="I610" i="1"/>
  <c r="I586" i="1"/>
  <c r="E1967" i="2" s="1"/>
  <c r="F1967" i="2" s="1"/>
  <c r="I578" i="1"/>
  <c r="I570" i="1"/>
  <c r="I562" i="1"/>
  <c r="I546" i="1"/>
  <c r="I522" i="1"/>
  <c r="I514" i="1"/>
  <c r="I506" i="1"/>
  <c r="I498" i="1"/>
  <c r="B305" i="3" s="1"/>
  <c r="I482" i="1"/>
  <c r="I458" i="1"/>
  <c r="I450" i="1"/>
  <c r="I442" i="1"/>
  <c r="I434" i="1"/>
  <c r="I418" i="1"/>
  <c r="E1457" i="2" s="1"/>
  <c r="F1457" i="2" s="1"/>
  <c r="I394" i="1"/>
  <c r="I386" i="1"/>
  <c r="B201" i="3" s="1"/>
  <c r="I378" i="1"/>
  <c r="I370" i="1"/>
  <c r="I354" i="1"/>
  <c r="I330" i="1"/>
  <c r="I322" i="1"/>
  <c r="I314" i="1"/>
  <c r="I306" i="1"/>
  <c r="I290" i="1"/>
  <c r="E1053" i="2" s="1"/>
  <c r="F1053" i="2" s="1"/>
  <c r="I266" i="1"/>
  <c r="I258" i="1"/>
  <c r="I250" i="1"/>
  <c r="I242" i="1"/>
  <c r="I226" i="1"/>
  <c r="I218" i="1"/>
  <c r="I210" i="1"/>
  <c r="I202" i="1"/>
  <c r="E756" i="2" s="1"/>
  <c r="F756" i="2" s="1"/>
  <c r="I194" i="1"/>
  <c r="I186" i="1"/>
  <c r="I178" i="1"/>
  <c r="I162" i="1"/>
  <c r="I154" i="1"/>
  <c r="I146" i="1"/>
  <c r="I138" i="1"/>
  <c r="I130" i="1"/>
  <c r="B981" i="3" s="1"/>
  <c r="I122" i="1"/>
  <c r="I114" i="1"/>
  <c r="I98" i="1"/>
  <c r="I90" i="1"/>
  <c r="I74" i="1"/>
  <c r="I66" i="1"/>
  <c r="I58" i="1"/>
  <c r="I50" i="1"/>
  <c r="B912" i="3" s="1"/>
  <c r="I34" i="1"/>
  <c r="I18" i="1"/>
  <c r="I376" i="1"/>
  <c r="I368" i="1"/>
  <c r="I344" i="1"/>
  <c r="I336" i="1"/>
  <c r="I312" i="1"/>
  <c r="I304" i="1"/>
  <c r="I280" i="1"/>
  <c r="I272" i="1"/>
  <c r="E998" i="2" s="1"/>
  <c r="I248" i="1"/>
  <c r="I240" i="1"/>
  <c r="I200" i="1"/>
  <c r="I192" i="1"/>
  <c r="I136" i="1"/>
  <c r="I128" i="1"/>
  <c r="I72" i="1"/>
  <c r="I64" i="1"/>
  <c r="I48" i="1"/>
  <c r="I8" i="1"/>
  <c r="I487" i="1"/>
  <c r="I479" i="1"/>
  <c r="I471" i="1"/>
  <c r="I463" i="1"/>
  <c r="I455" i="1"/>
  <c r="I447" i="1"/>
  <c r="I439" i="1"/>
  <c r="I431" i="1"/>
  <c r="I423" i="1"/>
  <c r="I415" i="1"/>
  <c r="I407" i="1"/>
  <c r="I399" i="1"/>
  <c r="B214" i="3" s="1"/>
  <c r="I391" i="1"/>
  <c r="I383" i="1"/>
  <c r="I375" i="1"/>
  <c r="I367" i="1"/>
  <c r="I359" i="1"/>
  <c r="I351" i="1"/>
  <c r="B167" i="3" s="1"/>
  <c r="I343" i="1"/>
  <c r="I335" i="1"/>
  <c r="B152" i="3" s="1"/>
  <c r="I327" i="1"/>
  <c r="I319" i="1"/>
  <c r="I311" i="1"/>
  <c r="I303" i="1"/>
  <c r="I295" i="1"/>
  <c r="I287" i="1"/>
  <c r="I279" i="1"/>
  <c r="I271" i="1"/>
  <c r="E995" i="2" s="1"/>
  <c r="F995" i="2" s="1"/>
  <c r="I263" i="1"/>
  <c r="I255" i="1"/>
  <c r="I247" i="1"/>
  <c r="I239" i="1"/>
  <c r="I231" i="1"/>
  <c r="I223" i="1"/>
  <c r="I215" i="1"/>
  <c r="I207" i="1"/>
  <c r="E771" i="2" s="1"/>
  <c r="F771" i="2" s="1"/>
  <c r="I199" i="1"/>
  <c r="I191" i="1"/>
  <c r="I175" i="1"/>
  <c r="I159" i="1"/>
  <c r="I151" i="1"/>
  <c r="I143" i="1"/>
  <c r="I135" i="1"/>
  <c r="I127" i="1"/>
  <c r="E479" i="2" s="1"/>
  <c r="F479" i="2" s="1"/>
  <c r="I111" i="1"/>
  <c r="I95" i="1"/>
  <c r="I87" i="1"/>
  <c r="I79" i="1"/>
  <c r="I71" i="1"/>
  <c r="I63" i="1"/>
  <c r="I55" i="1"/>
  <c r="I47" i="1"/>
  <c r="E170" i="2" s="1"/>
  <c r="I31" i="1"/>
  <c r="I23" i="1"/>
  <c r="I502" i="1"/>
  <c r="I494" i="1"/>
  <c r="I486" i="1"/>
  <c r="E1672" i="2" s="1"/>
  <c r="F1672" i="2" s="1"/>
  <c r="I478" i="1"/>
  <c r="I470" i="1"/>
  <c r="I462" i="1"/>
  <c r="E1603" i="2" s="1"/>
  <c r="F1603" i="2" s="1"/>
  <c r="I454" i="1"/>
  <c r="I438" i="1"/>
  <c r="I430" i="1"/>
  <c r="I422" i="1"/>
  <c r="I406" i="1"/>
  <c r="I398" i="1"/>
  <c r="I390" i="1"/>
  <c r="I374" i="1"/>
  <c r="E1308" i="2" s="1"/>
  <c r="F1308" i="2" s="1"/>
  <c r="I366" i="1"/>
  <c r="I358" i="1"/>
  <c r="I350" i="1"/>
  <c r="I342" i="1"/>
  <c r="I326" i="1"/>
  <c r="I310" i="1"/>
  <c r="E1112" i="2" s="1"/>
  <c r="F1112" i="2" s="1"/>
  <c r="I302" i="1"/>
  <c r="I294" i="1"/>
  <c r="B114" i="3" s="1"/>
  <c r="I286" i="1"/>
  <c r="I278" i="1"/>
  <c r="I270" i="1"/>
  <c r="I262" i="1"/>
  <c r="E971" i="2" s="1"/>
  <c r="F971" i="2" s="1"/>
  <c r="I246" i="1"/>
  <c r="I238" i="1"/>
  <c r="I230" i="1"/>
  <c r="I222" i="1"/>
  <c r="E821" i="2" s="1"/>
  <c r="F821" i="2" s="1"/>
  <c r="I214" i="1"/>
  <c r="I206" i="1"/>
  <c r="I198" i="1"/>
  <c r="I190" i="1"/>
  <c r="I182" i="1"/>
  <c r="I174" i="1"/>
  <c r="I166" i="1"/>
  <c r="I158" i="1"/>
  <c r="E587" i="2" s="1"/>
  <c r="F587" i="2" s="1"/>
  <c r="I150" i="1"/>
  <c r="I142" i="1"/>
  <c r="I134" i="1"/>
  <c r="I126" i="1"/>
  <c r="I118" i="1"/>
  <c r="I110" i="1"/>
  <c r="I102" i="1"/>
  <c r="I94" i="1"/>
  <c r="B950" i="3" s="1"/>
  <c r="I86" i="1"/>
  <c r="I78" i="1"/>
  <c r="I70" i="1"/>
  <c r="I62" i="1"/>
  <c r="I54" i="1"/>
  <c r="I46" i="1"/>
  <c r="I38" i="1"/>
  <c r="I30" i="1"/>
  <c r="B896" i="3" s="1"/>
  <c r="I22" i="1"/>
  <c r="I26" i="1"/>
  <c r="I477" i="1"/>
  <c r="I469" i="1"/>
  <c r="I461" i="1"/>
  <c r="I453" i="1"/>
  <c r="E1581" i="2" s="1"/>
  <c r="F1581" i="2" s="1"/>
  <c r="I445" i="1"/>
  <c r="I437" i="1"/>
  <c r="E1528" i="2" s="1"/>
  <c r="F1528" i="2" s="1"/>
  <c r="I429" i="1"/>
  <c r="E1496" i="2" s="1"/>
  <c r="F1496" i="2" s="1"/>
  <c r="I421" i="1"/>
  <c r="I413" i="1"/>
  <c r="I405" i="1"/>
  <c r="I397" i="1"/>
  <c r="I389" i="1"/>
  <c r="I381" i="1"/>
  <c r="I373" i="1"/>
  <c r="B188" i="3" s="1"/>
  <c r="E471" i="4" s="1"/>
  <c r="F471" i="4" s="1"/>
  <c r="I365" i="1"/>
  <c r="I357" i="1"/>
  <c r="I349" i="1"/>
  <c r="I341" i="1"/>
  <c r="I333" i="1"/>
  <c r="I325" i="1"/>
  <c r="I317" i="1"/>
  <c r="I309" i="1"/>
  <c r="I301" i="1"/>
  <c r="I293" i="1"/>
  <c r="I285" i="1"/>
  <c r="I277" i="1"/>
  <c r="I269" i="1"/>
  <c r="I261" i="1"/>
  <c r="I253" i="1"/>
  <c r="I245" i="1"/>
  <c r="I229" i="1"/>
  <c r="I213" i="1"/>
  <c r="I205" i="1"/>
  <c r="I197" i="1"/>
  <c r="I189" i="1"/>
  <c r="I181" i="1"/>
  <c r="E662" i="2" s="1"/>
  <c r="F662" i="2" s="1"/>
  <c r="I165" i="1"/>
  <c r="I149" i="1"/>
  <c r="E553" i="2" s="1"/>
  <c r="F553" i="2" s="1"/>
  <c r="I141" i="1"/>
  <c r="I133" i="1"/>
  <c r="E497" i="2" s="1"/>
  <c r="F497" i="2" s="1"/>
  <c r="I125" i="1"/>
  <c r="I117" i="1"/>
  <c r="I101" i="1"/>
  <c r="I85" i="1"/>
  <c r="I77" i="1"/>
  <c r="I69" i="1"/>
  <c r="B928" i="3" s="1"/>
  <c r="I61" i="1"/>
  <c r="I53" i="1"/>
  <c r="I37" i="1"/>
  <c r="I21" i="1"/>
  <c r="E80" i="2" s="1"/>
  <c r="F80" i="2" s="1"/>
  <c r="I13" i="1"/>
  <c r="I548" i="1"/>
  <c r="I436" i="1"/>
  <c r="I308" i="1"/>
  <c r="I180" i="1"/>
  <c r="I116" i="1"/>
  <c r="I15" i="1"/>
  <c r="I7" i="1"/>
  <c r="I6" i="1"/>
  <c r="I5" i="1"/>
  <c r="I35" i="1"/>
  <c r="E130" i="2" s="1"/>
  <c r="F130" i="2" s="1"/>
  <c r="I11" i="1"/>
  <c r="I10" i="1"/>
  <c r="F2566" i="2"/>
  <c r="F2502" i="2"/>
  <c r="F998" i="2"/>
  <c r="F170" i="2"/>
  <c r="E1731" i="4"/>
  <c r="F1731" i="4" s="1"/>
  <c r="B499" i="3"/>
  <c r="E2391" i="2"/>
  <c r="F2391" i="2" s="1"/>
  <c r="E2392" i="2"/>
  <c r="F2392" i="2" s="1"/>
  <c r="E2393" i="2"/>
  <c r="F2393" i="2" s="1"/>
  <c r="E2394" i="2"/>
  <c r="F2394" i="2" s="1"/>
  <c r="E2395" i="2"/>
  <c r="F2395" i="2" s="1"/>
  <c r="E2396" i="2"/>
  <c r="F2396" i="2" s="1"/>
  <c r="B914" i="3"/>
  <c r="E198" i="2"/>
  <c r="F198" i="2" s="1"/>
  <c r="E199" i="2"/>
  <c r="F199" i="2" s="1"/>
  <c r="B112" i="3"/>
  <c r="E1060" i="2"/>
  <c r="F1060" i="2" s="1"/>
  <c r="E1061" i="2"/>
  <c r="F1061" i="2" s="1"/>
  <c r="B956" i="3"/>
  <c r="E371" i="2"/>
  <c r="F371" i="2" s="1"/>
  <c r="E372" i="2"/>
  <c r="F372" i="2" s="1"/>
  <c r="E370" i="2"/>
  <c r="F370" i="2" s="1"/>
  <c r="B720" i="3"/>
  <c r="E3247" i="2"/>
  <c r="F3247" i="2" s="1"/>
  <c r="E3248" i="2"/>
  <c r="F3248" i="2" s="1"/>
  <c r="E3249" i="2"/>
  <c r="F3249" i="2" s="1"/>
  <c r="B648" i="3"/>
  <c r="E2754" i="2"/>
  <c r="F2754" i="2" s="1"/>
  <c r="B770" i="3"/>
  <c r="E3441" i="2"/>
  <c r="F3441" i="2" s="1"/>
  <c r="B597" i="3"/>
  <c r="E2775" i="2"/>
  <c r="F2775" i="2" s="1"/>
  <c r="E2773" i="2"/>
  <c r="F2773" i="2" s="1"/>
  <c r="E2772" i="2"/>
  <c r="F2772" i="2" s="1"/>
  <c r="E2774" i="2"/>
  <c r="F2774" i="2" s="1"/>
  <c r="B13" i="3"/>
  <c r="E2533" i="2"/>
  <c r="F2533" i="2" s="1"/>
  <c r="E2532" i="2"/>
  <c r="F2532" i="2" s="1"/>
  <c r="E2534" i="2"/>
  <c r="F2534" i="2" s="1"/>
  <c r="E2531" i="2"/>
  <c r="F2531" i="2" s="1"/>
  <c r="B469" i="3"/>
  <c r="E2258" i="2"/>
  <c r="F2258" i="2" s="1"/>
  <c r="E2259" i="2"/>
  <c r="F2259" i="2" s="1"/>
  <c r="E2260" i="2"/>
  <c r="F2260" i="2" s="1"/>
  <c r="E1644" i="2"/>
  <c r="F1644" i="2" s="1"/>
  <c r="B166" i="3"/>
  <c r="E1221" i="2"/>
  <c r="F1221" i="2" s="1"/>
  <c r="E1222" i="2"/>
  <c r="F1222" i="2" s="1"/>
  <c r="E1223" i="2"/>
  <c r="F1223" i="2" s="1"/>
  <c r="B1054" i="3"/>
  <c r="E768" i="2"/>
  <c r="F768" i="2" s="1"/>
  <c r="E767" i="2"/>
  <c r="F767" i="2" s="1"/>
  <c r="B565" i="3"/>
  <c r="E2663" i="2"/>
  <c r="F2663" i="2" s="1"/>
  <c r="E2664" i="2"/>
  <c r="F2664" i="2" s="1"/>
  <c r="E2665" i="2"/>
  <c r="F2665" i="2" s="1"/>
  <c r="E2662" i="2"/>
  <c r="F2662" i="2" s="1"/>
  <c r="I1117" i="1"/>
  <c r="E3604" i="2"/>
  <c r="F3604" i="2" s="1"/>
  <c r="B802" i="3"/>
  <c r="E3559" i="2"/>
  <c r="F3559" i="2" s="1"/>
  <c r="E3560" i="2"/>
  <c r="F3560" i="2" s="1"/>
  <c r="E3561" i="2"/>
  <c r="F3561" i="2" s="1"/>
  <c r="E3557" i="2"/>
  <c r="F3557" i="2" s="1"/>
  <c r="E3556" i="2"/>
  <c r="F3556" i="2" s="1"/>
  <c r="E3558" i="2"/>
  <c r="F3558" i="2" s="1"/>
  <c r="E3555" i="2"/>
  <c r="F3555" i="2" s="1"/>
  <c r="B761" i="3"/>
  <c r="E3407" i="2"/>
  <c r="F3407" i="2" s="1"/>
  <c r="E3408" i="2"/>
  <c r="F3408" i="2" s="1"/>
  <c r="B746" i="3"/>
  <c r="E3360" i="2"/>
  <c r="F3360" i="2" s="1"/>
  <c r="B706" i="3"/>
  <c r="E3191" i="2"/>
  <c r="F3191" i="2" s="1"/>
  <c r="E3192" i="2"/>
  <c r="F3192" i="2" s="1"/>
  <c r="E3186" i="2"/>
  <c r="F3186" i="2" s="1"/>
  <c r="E3189" i="2"/>
  <c r="F3189" i="2" s="1"/>
  <c r="E3188" i="2"/>
  <c r="F3188" i="2" s="1"/>
  <c r="E3187" i="2"/>
  <c r="F3187" i="2" s="1"/>
  <c r="E3190" i="2"/>
  <c r="F3190" i="2" s="1"/>
  <c r="B691" i="3"/>
  <c r="E3119" i="2"/>
  <c r="F3119" i="2" s="1"/>
  <c r="E3120" i="2"/>
  <c r="F3120" i="2" s="1"/>
  <c r="E3118" i="2"/>
  <c r="F3118" i="2" s="1"/>
  <c r="B647" i="3"/>
  <c r="B633" i="3"/>
  <c r="E2903" i="2"/>
  <c r="F2903" i="2" s="1"/>
  <c r="E2904" i="2"/>
  <c r="F2904" i="2" s="1"/>
  <c r="E2902" i="2"/>
  <c r="F2902" i="2" s="1"/>
  <c r="E2746" i="2"/>
  <c r="F2746" i="2" s="1"/>
  <c r="E2747" i="2"/>
  <c r="F2747" i="2" s="1"/>
  <c r="B574" i="3"/>
  <c r="E2695" i="2"/>
  <c r="F2695" i="2" s="1"/>
  <c r="E2696" i="2"/>
  <c r="F2696" i="2" s="1"/>
  <c r="E2693" i="2"/>
  <c r="F2693" i="2" s="1"/>
  <c r="E2692" i="2"/>
  <c r="F2692" i="2" s="1"/>
  <c r="E2694" i="2"/>
  <c r="F2694" i="2" s="1"/>
  <c r="E2489" i="2"/>
  <c r="F2489" i="2" s="1"/>
  <c r="E2490" i="2"/>
  <c r="F2490" i="2" s="1"/>
  <c r="E2491" i="2"/>
  <c r="F2491" i="2" s="1"/>
  <c r="E2492" i="2"/>
  <c r="F2492" i="2" s="1"/>
  <c r="B524" i="3"/>
  <c r="B508" i="3"/>
  <c r="E2439" i="2"/>
  <c r="F2439" i="2" s="1"/>
  <c r="E2437" i="2"/>
  <c r="F2437" i="2" s="1"/>
  <c r="E2436" i="2"/>
  <c r="F2436" i="2" s="1"/>
  <c r="E2438" i="2"/>
  <c r="F2438" i="2" s="1"/>
  <c r="B461" i="3"/>
  <c r="E2231" i="2"/>
  <c r="F2231" i="2" s="1"/>
  <c r="E2230" i="2"/>
  <c r="F2230" i="2" s="1"/>
  <c r="B445" i="3"/>
  <c r="E2178" i="2"/>
  <c r="F2178" i="2" s="1"/>
  <c r="E2317" i="2"/>
  <c r="F2317" i="2" s="1"/>
  <c r="E2318" i="2"/>
  <c r="F2318" i="2" s="1"/>
  <c r="E1109" i="2"/>
  <c r="F1109" i="2" s="1"/>
  <c r="I228" i="1"/>
  <c r="B228" i="3"/>
  <c r="E1447" i="2"/>
  <c r="F1447" i="2" s="1"/>
  <c r="B828" i="3"/>
  <c r="E3647" i="2"/>
  <c r="F3647" i="2" s="1"/>
  <c r="E3648" i="2"/>
  <c r="F3648" i="2" s="1"/>
  <c r="E3649" i="2"/>
  <c r="F3649" i="2" s="1"/>
  <c r="E3650" i="2"/>
  <c r="F3650" i="2" s="1"/>
  <c r="E3645" i="2"/>
  <c r="F3645" i="2" s="1"/>
  <c r="E3646" i="2"/>
  <c r="F3646" i="2" s="1"/>
  <c r="E3652" i="2"/>
  <c r="F3652" i="2" s="1"/>
  <c r="E3651" i="2"/>
  <c r="F3651" i="2" s="1"/>
  <c r="E2821" i="2"/>
  <c r="F2821" i="2" s="1"/>
  <c r="E2819" i="2"/>
  <c r="F2819" i="2" s="1"/>
  <c r="B307" i="3"/>
  <c r="E1706" i="2"/>
  <c r="F1706" i="2" s="1"/>
  <c r="B1088" i="3"/>
  <c r="E901" i="2"/>
  <c r="F901" i="2" s="1"/>
  <c r="E902" i="2"/>
  <c r="F902" i="2" s="1"/>
  <c r="E905" i="2"/>
  <c r="F905" i="2" s="1"/>
  <c r="E903" i="2"/>
  <c r="F903" i="2" s="1"/>
  <c r="E904" i="2"/>
  <c r="F904" i="2" s="1"/>
  <c r="B64" i="3"/>
  <c r="E3873" i="2"/>
  <c r="F3873" i="2" s="1"/>
  <c r="E3874" i="2"/>
  <c r="F3874" i="2" s="1"/>
  <c r="B835" i="3"/>
  <c r="E3679" i="2"/>
  <c r="F3679" i="2" s="1"/>
  <c r="E3677" i="2"/>
  <c r="F3677" i="2" s="1"/>
  <c r="E3678" i="2"/>
  <c r="F3678" i="2" s="1"/>
  <c r="B778" i="3"/>
  <c r="E3479" i="2"/>
  <c r="F3479" i="2" s="1"/>
  <c r="E3477" i="2"/>
  <c r="F3477" i="2" s="1"/>
  <c r="E3476" i="2"/>
  <c r="F3476" i="2" s="1"/>
  <c r="E3478" i="2"/>
  <c r="F3478" i="2" s="1"/>
  <c r="E659" i="2"/>
  <c r="F659" i="2" s="1"/>
  <c r="E660" i="2"/>
  <c r="F660" i="2" s="1"/>
  <c r="E658" i="2"/>
  <c r="F658" i="2" s="1"/>
  <c r="E3807" i="2"/>
  <c r="F3807" i="2" s="1"/>
  <c r="E3808" i="2"/>
  <c r="F3808" i="2" s="1"/>
  <c r="E3642" i="2"/>
  <c r="F3642" i="2" s="1"/>
  <c r="B826" i="3"/>
  <c r="B715" i="3"/>
  <c r="E3223" i="2"/>
  <c r="F3223" i="2" s="1"/>
  <c r="E3224" i="2"/>
  <c r="F3224" i="2" s="1"/>
  <c r="E3225" i="2"/>
  <c r="F3225" i="2" s="1"/>
  <c r="E3222" i="2"/>
  <c r="F3222" i="2" s="1"/>
  <c r="B640" i="3"/>
  <c r="B544" i="3"/>
  <c r="E2590" i="2"/>
  <c r="F2590" i="2" s="1"/>
  <c r="B485" i="3"/>
  <c r="E2327" i="2"/>
  <c r="F2327" i="2" s="1"/>
  <c r="E2328" i="2"/>
  <c r="F2328" i="2" s="1"/>
  <c r="E2329" i="2"/>
  <c r="F2329" i="2" s="1"/>
  <c r="E2330" i="2"/>
  <c r="F2330" i="2" s="1"/>
  <c r="E2333" i="2"/>
  <c r="F2333" i="2" s="1"/>
  <c r="E2331" i="2"/>
  <c r="F2331" i="2" s="1"/>
  <c r="E2332" i="2"/>
  <c r="F2332" i="2" s="1"/>
  <c r="B408" i="3"/>
  <c r="E2030" i="2"/>
  <c r="F2030" i="2" s="1"/>
  <c r="B348" i="3"/>
  <c r="E1834" i="2"/>
  <c r="F1834" i="2" s="1"/>
  <c r="E1835" i="2"/>
  <c r="F1835" i="2" s="1"/>
  <c r="B106" i="3"/>
  <c r="E1037" i="2"/>
  <c r="F1037" i="2" s="1"/>
  <c r="E1038" i="2"/>
  <c r="F1038" i="2" s="1"/>
  <c r="E1041" i="2"/>
  <c r="F1041" i="2" s="1"/>
  <c r="E1039" i="2"/>
  <c r="F1039" i="2" s="1"/>
  <c r="E1040" i="2"/>
  <c r="F1040" i="2" s="1"/>
  <c r="B1067" i="3"/>
  <c r="B992" i="3"/>
  <c r="E524" i="2"/>
  <c r="F524" i="2" s="1"/>
  <c r="E525" i="2"/>
  <c r="F525" i="2" s="1"/>
  <c r="E526" i="2"/>
  <c r="F526" i="2" s="1"/>
  <c r="B639" i="3"/>
  <c r="E2920" i="2"/>
  <c r="F2920" i="2" s="1"/>
  <c r="B848" i="3"/>
  <c r="E3783" i="2"/>
  <c r="F3783" i="2" s="1"/>
  <c r="E3784" i="2"/>
  <c r="F3784" i="2" s="1"/>
  <c r="E3785" i="2"/>
  <c r="F3785" i="2" s="1"/>
  <c r="E3782" i="2"/>
  <c r="F3782" i="2" s="1"/>
  <c r="E3380" i="2"/>
  <c r="F3380" i="2" s="1"/>
  <c r="E3379" i="2"/>
  <c r="F3379" i="2" s="1"/>
  <c r="E3089" i="2"/>
  <c r="F3089" i="2" s="1"/>
  <c r="E3090" i="2"/>
  <c r="F3090" i="2" s="1"/>
  <c r="B428" i="3"/>
  <c r="E2109" i="2"/>
  <c r="F2109" i="2" s="1"/>
  <c r="E2110" i="2"/>
  <c r="F2110" i="2" s="1"/>
  <c r="E1842" i="2"/>
  <c r="F1842" i="2" s="1"/>
  <c r="B970" i="3"/>
  <c r="E435" i="2"/>
  <c r="F435" i="2" s="1"/>
  <c r="E433" i="2"/>
  <c r="F433" i="2" s="1"/>
  <c r="E432" i="2"/>
  <c r="F432" i="2" s="1"/>
  <c r="E434" i="2"/>
  <c r="F434" i="2" s="1"/>
  <c r="I36" i="1"/>
  <c r="B853" i="3"/>
  <c r="E3898" i="2"/>
  <c r="F3898" i="2" s="1"/>
  <c r="E3899" i="2"/>
  <c r="F3899" i="2" s="1"/>
  <c r="B843" i="3"/>
  <c r="E3714" i="2"/>
  <c r="F3714" i="2" s="1"/>
  <c r="E3715" i="2"/>
  <c r="F3715" i="2" s="1"/>
  <c r="E3716" i="2"/>
  <c r="F3716" i="2" s="1"/>
  <c r="B772" i="3"/>
  <c r="E3447" i="2"/>
  <c r="F3447" i="2" s="1"/>
  <c r="E3448" i="2"/>
  <c r="F3448" i="2" s="1"/>
  <c r="E3449" i="2"/>
  <c r="F3449" i="2" s="1"/>
  <c r="E3445" i="2"/>
  <c r="F3445" i="2" s="1"/>
  <c r="E3446" i="2"/>
  <c r="F3446" i="2" s="1"/>
  <c r="E1243" i="2"/>
  <c r="F1243" i="2" s="1"/>
  <c r="B172" i="3"/>
  <c r="E1241" i="2"/>
  <c r="F1241" i="2" s="1"/>
  <c r="E1242" i="2"/>
  <c r="F1242" i="2" s="1"/>
  <c r="E1240" i="2"/>
  <c r="F1240" i="2" s="1"/>
  <c r="B808" i="3"/>
  <c r="E3577" i="2"/>
  <c r="F3577" i="2" s="1"/>
  <c r="E3578" i="2"/>
  <c r="F3578" i="2" s="1"/>
  <c r="E3579" i="2"/>
  <c r="F3579" i="2" s="1"/>
  <c r="E3580" i="2"/>
  <c r="F3580" i="2" s="1"/>
  <c r="B851" i="3"/>
  <c r="E3858" i="2"/>
  <c r="F3858" i="2" s="1"/>
  <c r="E3859" i="2"/>
  <c r="F3859" i="2" s="1"/>
  <c r="E3860" i="2"/>
  <c r="F3860" i="2" s="1"/>
  <c r="B856" i="3"/>
  <c r="E3904" i="2"/>
  <c r="F3904" i="2" s="1"/>
  <c r="E3905" i="2"/>
  <c r="F3905" i="2" s="1"/>
  <c r="E3906" i="2"/>
  <c r="F3906" i="2" s="1"/>
  <c r="B846" i="3"/>
  <c r="E3776" i="2"/>
  <c r="F3776" i="2" s="1"/>
  <c r="B27" i="3"/>
  <c r="E3722" i="2"/>
  <c r="F3722" i="2" s="1"/>
  <c r="E3725" i="2"/>
  <c r="F3725" i="2" s="1"/>
  <c r="E3723" i="2"/>
  <c r="F3723" i="2" s="1"/>
  <c r="E3724" i="2"/>
  <c r="F3724" i="2" s="1"/>
  <c r="B800" i="3"/>
  <c r="E3551" i="2"/>
  <c r="F3551" i="2" s="1"/>
  <c r="E3550" i="2"/>
  <c r="F3550" i="2" s="1"/>
  <c r="B744" i="3"/>
  <c r="E3357" i="2"/>
  <c r="F3357" i="2" s="1"/>
  <c r="B674" i="3"/>
  <c r="E3058" i="2"/>
  <c r="F3058" i="2" s="1"/>
  <c r="E3060" i="2"/>
  <c r="F3060" i="2" s="1"/>
  <c r="E3059" i="2"/>
  <c r="F3059" i="2" s="1"/>
  <c r="B631" i="3"/>
  <c r="E2829" i="2"/>
  <c r="F2829" i="2" s="1"/>
  <c r="E2830" i="2"/>
  <c r="F2830" i="2" s="1"/>
  <c r="B572" i="3"/>
  <c r="E2689" i="2"/>
  <c r="F2689" i="2" s="1"/>
  <c r="B535" i="3"/>
  <c r="E2551" i="2"/>
  <c r="F2551" i="2" s="1"/>
  <c r="E2552" i="2"/>
  <c r="F2552" i="2" s="1"/>
  <c r="E2550" i="2"/>
  <c r="F2550" i="2" s="1"/>
  <c r="B522" i="3"/>
  <c r="E2481" i="2"/>
  <c r="F2481" i="2" s="1"/>
  <c r="E2482" i="2"/>
  <c r="F2482" i="2" s="1"/>
  <c r="E2484" i="2"/>
  <c r="F2484" i="2" s="1"/>
  <c r="E2483" i="2"/>
  <c r="F2483" i="2" s="1"/>
  <c r="E2138" i="2"/>
  <c r="F2138" i="2" s="1"/>
  <c r="E2139" i="2"/>
  <c r="F2139" i="2" s="1"/>
  <c r="B435" i="3"/>
  <c r="E2140" i="2"/>
  <c r="F2140" i="2" s="1"/>
  <c r="E1921" i="2"/>
  <c r="F1921" i="2" s="1"/>
  <c r="B329" i="3"/>
  <c r="E1772" i="2"/>
  <c r="F1772" i="2" s="1"/>
  <c r="E1770" i="2"/>
  <c r="F1770" i="2" s="1"/>
  <c r="E1771" i="2"/>
  <c r="F1771" i="2" s="1"/>
  <c r="B271" i="3"/>
  <c r="E1595" i="2"/>
  <c r="F1595" i="2" s="1"/>
  <c r="B210" i="3"/>
  <c r="E1385" i="2"/>
  <c r="F1385" i="2" s="1"/>
  <c r="E1384" i="2"/>
  <c r="F1384" i="2" s="1"/>
  <c r="B194" i="3"/>
  <c r="E1321" i="2"/>
  <c r="F1321" i="2" s="1"/>
  <c r="E1322" i="2"/>
  <c r="F1322" i="2" s="1"/>
  <c r="E1320" i="2"/>
  <c r="F1320" i="2" s="1"/>
  <c r="B133" i="3"/>
  <c r="E1124" i="2"/>
  <c r="F1124" i="2" s="1"/>
  <c r="B1051" i="3"/>
  <c r="E757" i="2"/>
  <c r="F757" i="2" s="1"/>
  <c r="E758" i="2"/>
  <c r="F758" i="2" s="1"/>
  <c r="E759" i="2"/>
  <c r="F759" i="2" s="1"/>
  <c r="B977" i="3"/>
  <c r="E467" i="2"/>
  <c r="F467" i="2" s="1"/>
  <c r="E468" i="2"/>
  <c r="F468" i="2" s="1"/>
  <c r="E466" i="2"/>
  <c r="F466" i="2" s="1"/>
  <c r="B74" i="3"/>
  <c r="E219" i="2"/>
  <c r="F219" i="2" s="1"/>
  <c r="E220" i="2"/>
  <c r="F220" i="2" s="1"/>
  <c r="E221" i="2"/>
  <c r="F221" i="2" s="1"/>
  <c r="E222" i="2"/>
  <c r="F222" i="2" s="1"/>
  <c r="E223" i="2"/>
  <c r="F223" i="2" s="1"/>
  <c r="E224" i="2"/>
  <c r="F224" i="2" s="1"/>
  <c r="B581" i="3"/>
  <c r="E2719" i="2"/>
  <c r="F2719" i="2" s="1"/>
  <c r="E2717" i="2"/>
  <c r="F2717" i="2" s="1"/>
  <c r="E2718" i="2"/>
  <c r="F2718" i="2" s="1"/>
  <c r="B249" i="3"/>
  <c r="E1527" i="2"/>
  <c r="F1527" i="2" s="1"/>
  <c r="E3143" i="2"/>
  <c r="F3143" i="2" s="1"/>
  <c r="E3144" i="2"/>
  <c r="F3144" i="2" s="1"/>
  <c r="E3145" i="2"/>
  <c r="F3145" i="2" s="1"/>
  <c r="E3146" i="2"/>
  <c r="F3146" i="2" s="1"/>
  <c r="E3141" i="2"/>
  <c r="F3141" i="2" s="1"/>
  <c r="B698" i="3"/>
  <c r="E3142" i="2"/>
  <c r="F3142" i="2" s="1"/>
  <c r="E1888" i="2"/>
  <c r="F1888" i="2" s="1"/>
  <c r="E1892" i="2"/>
  <c r="F1892" i="2" s="1"/>
  <c r="B293" i="3"/>
  <c r="E1665" i="2"/>
  <c r="F1665" i="2" s="1"/>
  <c r="E1664" i="2"/>
  <c r="F1664" i="2" s="1"/>
  <c r="B873" i="3"/>
  <c r="E2" i="2"/>
  <c r="F2" i="2" s="1"/>
  <c r="B786" i="3"/>
  <c r="E3502" i="2"/>
  <c r="F3502" i="2" s="1"/>
  <c r="B726" i="3"/>
  <c r="E3281" i="2"/>
  <c r="F3281" i="2" s="1"/>
  <c r="E3282" i="2"/>
  <c r="F3282" i="2" s="1"/>
  <c r="E3283" i="2"/>
  <c r="F3283" i="2" s="1"/>
  <c r="E3284" i="2"/>
  <c r="F3284" i="2" s="1"/>
  <c r="E3047" i="2"/>
  <c r="F3047" i="2" s="1"/>
  <c r="E3048" i="2"/>
  <c r="F3048" i="2" s="1"/>
  <c r="B671" i="3"/>
  <c r="E3049" i="2"/>
  <c r="F3049" i="2" s="1"/>
  <c r="B864" i="3"/>
  <c r="B542" i="3"/>
  <c r="E2584" i="2"/>
  <c r="F2584" i="2" s="1"/>
  <c r="E1299" i="2"/>
  <c r="F1299" i="2" s="1"/>
  <c r="E1300" i="2"/>
  <c r="F1300" i="2" s="1"/>
  <c r="E1297" i="2"/>
  <c r="F1297" i="2" s="1"/>
  <c r="E1296" i="2"/>
  <c r="F1296" i="2" s="1"/>
  <c r="E1298" i="2"/>
  <c r="F1298" i="2" s="1"/>
  <c r="B187" i="3"/>
  <c r="B599" i="3"/>
  <c r="E2779" i="2"/>
  <c r="F2779" i="2" s="1"/>
  <c r="E2780" i="2"/>
  <c r="F2780" i="2" s="1"/>
  <c r="E3759" i="2"/>
  <c r="F3759" i="2" s="1"/>
  <c r="E3754" i="2"/>
  <c r="F3754" i="2" s="1"/>
  <c r="E3757" i="2"/>
  <c r="F3757" i="2" s="1"/>
  <c r="E3758" i="2"/>
  <c r="F3758" i="2" s="1"/>
  <c r="B36" i="3"/>
  <c r="E3755" i="2"/>
  <c r="F3755" i="2" s="1"/>
  <c r="E3756" i="2"/>
  <c r="F3756" i="2" s="1"/>
  <c r="E2863" i="2"/>
  <c r="F2863" i="2" s="1"/>
  <c r="E2864" i="2"/>
  <c r="F2864" i="2" s="1"/>
  <c r="E2865" i="2"/>
  <c r="F2865" i="2" s="1"/>
  <c r="E2861" i="2"/>
  <c r="F2861" i="2" s="1"/>
  <c r="E2862" i="2"/>
  <c r="F2862" i="2" s="1"/>
  <c r="B624" i="3"/>
  <c r="E2860" i="2"/>
  <c r="F2860" i="2" s="1"/>
  <c r="B872" i="3"/>
  <c r="E2045" i="2"/>
  <c r="F2045" i="2" s="1"/>
  <c r="E2043" i="2"/>
  <c r="F2043" i="2" s="1"/>
  <c r="E2044" i="2"/>
  <c r="F2044" i="2" s="1"/>
  <c r="B234" i="3"/>
  <c r="E1459" i="2"/>
  <c r="F1459" i="2" s="1"/>
  <c r="E1460" i="2"/>
  <c r="F1460" i="2" s="1"/>
  <c r="E1461" i="2"/>
  <c r="F1461" i="2" s="1"/>
  <c r="B1014" i="3"/>
  <c r="E611" i="2"/>
  <c r="F611" i="2" s="1"/>
  <c r="E612" i="2"/>
  <c r="F612" i="2" s="1"/>
  <c r="E613" i="2"/>
  <c r="F613" i="2" s="1"/>
  <c r="E610" i="2"/>
  <c r="F610" i="2" s="1"/>
  <c r="B763" i="3"/>
  <c r="E3199" i="2"/>
  <c r="F3199" i="2" s="1"/>
  <c r="B663" i="3"/>
  <c r="E3001" i="2"/>
  <c r="F3001" i="2" s="1"/>
  <c r="E3002" i="2"/>
  <c r="F3002" i="2" s="1"/>
  <c r="E3003" i="2"/>
  <c r="F3003" i="2" s="1"/>
  <c r="E3004" i="2"/>
  <c r="F3004" i="2" s="1"/>
  <c r="B606" i="3"/>
  <c r="E2798" i="2"/>
  <c r="F2798" i="2" s="1"/>
  <c r="B552" i="3"/>
  <c r="E2617" i="2"/>
  <c r="F2617" i="2" s="1"/>
  <c r="E2618" i="2"/>
  <c r="F2618" i="2" s="1"/>
  <c r="B71" i="3"/>
  <c r="E3941" i="2"/>
  <c r="F3941" i="2" s="1"/>
  <c r="E3940" i="2"/>
  <c r="F3940" i="2" s="1"/>
  <c r="B863" i="3"/>
  <c r="E3921" i="2"/>
  <c r="F3921" i="2" s="1"/>
  <c r="B855" i="3"/>
  <c r="E3903" i="2"/>
  <c r="F3903" i="2" s="1"/>
  <c r="E3901" i="2"/>
  <c r="F3901" i="2" s="1"/>
  <c r="E3902" i="2"/>
  <c r="F3902" i="2" s="1"/>
  <c r="B66" i="3"/>
  <c r="E3881" i="2"/>
  <c r="F3881" i="2" s="1"/>
  <c r="E3882" i="2"/>
  <c r="F3882" i="2" s="1"/>
  <c r="E3883" i="2"/>
  <c r="F3883" i="2" s="1"/>
  <c r="E3845" i="2"/>
  <c r="F3845" i="2" s="1"/>
  <c r="E3844" i="2"/>
  <c r="F3844" i="2" s="1"/>
  <c r="B54" i="3"/>
  <c r="E3846" i="2"/>
  <c r="F3846" i="2" s="1"/>
  <c r="B845" i="3"/>
  <c r="E3775" i="2"/>
  <c r="F3775" i="2" s="1"/>
  <c r="E3773" i="2"/>
  <c r="F3773" i="2" s="1"/>
  <c r="E3771" i="2"/>
  <c r="F3771" i="2" s="1"/>
  <c r="E3772" i="2"/>
  <c r="F3772" i="2" s="1"/>
  <c r="E3774" i="2"/>
  <c r="F3774" i="2" s="1"/>
  <c r="B34" i="3"/>
  <c r="E3744" i="2"/>
  <c r="F3744" i="2" s="1"/>
  <c r="E3745" i="2"/>
  <c r="F3745" i="2" s="1"/>
  <c r="E3746" i="2"/>
  <c r="F3746" i="2" s="1"/>
  <c r="E3748" i="2"/>
  <c r="F3748" i="2" s="1"/>
  <c r="E3747" i="2"/>
  <c r="F3747" i="2" s="1"/>
  <c r="B26" i="3"/>
  <c r="E3719" i="2"/>
  <c r="F3719" i="2" s="1"/>
  <c r="E3720" i="2"/>
  <c r="F3720" i="2" s="1"/>
  <c r="E3721" i="2"/>
  <c r="F3721" i="2" s="1"/>
  <c r="E3687" i="2"/>
  <c r="F3687" i="2" s="1"/>
  <c r="E3688" i="2"/>
  <c r="F3688" i="2" s="1"/>
  <c r="E3689" i="2"/>
  <c r="F3689" i="2" s="1"/>
  <c r="B838" i="3"/>
  <c r="B822" i="3"/>
  <c r="E3623" i="2"/>
  <c r="F3623" i="2" s="1"/>
  <c r="E3624" i="2"/>
  <c r="F3624" i="2" s="1"/>
  <c r="E3625" i="2"/>
  <c r="F3625" i="2" s="1"/>
  <c r="E3626" i="2"/>
  <c r="F3626" i="2" s="1"/>
  <c r="E3627" i="2"/>
  <c r="F3627" i="2" s="1"/>
  <c r="E3545" i="2"/>
  <c r="F3545" i="2" s="1"/>
  <c r="E3546" i="2"/>
  <c r="F3546" i="2" s="1"/>
  <c r="E3549" i="2"/>
  <c r="F3549" i="2" s="1"/>
  <c r="E3547" i="2"/>
  <c r="F3547" i="2" s="1"/>
  <c r="E3548" i="2"/>
  <c r="F3548" i="2" s="1"/>
  <c r="B792" i="3"/>
  <c r="E3521" i="2"/>
  <c r="F3521" i="2" s="1"/>
  <c r="B787" i="3"/>
  <c r="E3505" i="2"/>
  <c r="F3505" i="2" s="1"/>
  <c r="E3506" i="2"/>
  <c r="F3506" i="2" s="1"/>
  <c r="E3509" i="2"/>
  <c r="F3509" i="2" s="1"/>
  <c r="E3508" i="2"/>
  <c r="F3508" i="2" s="1"/>
  <c r="E3510" i="2"/>
  <c r="F3510" i="2" s="1"/>
  <c r="E3507" i="2"/>
  <c r="F3507" i="2" s="1"/>
  <c r="B780" i="3"/>
  <c r="E3490" i="2"/>
  <c r="F3490" i="2" s="1"/>
  <c r="B766" i="3"/>
  <c r="E3425" i="2"/>
  <c r="F3425" i="2" s="1"/>
  <c r="E3426" i="2"/>
  <c r="F3426" i="2" s="1"/>
  <c r="E3429" i="2"/>
  <c r="F3429" i="2" s="1"/>
  <c r="E3428" i="2"/>
  <c r="F3428" i="2" s="1"/>
  <c r="E3427" i="2"/>
  <c r="F3427" i="2" s="1"/>
  <c r="E3351" i="2"/>
  <c r="F3351" i="2" s="1"/>
  <c r="E3352" i="2"/>
  <c r="F3352" i="2" s="1"/>
  <c r="B743" i="3"/>
  <c r="E3353" i="2"/>
  <c r="F3353" i="2" s="1"/>
  <c r="E3354" i="2"/>
  <c r="F3354" i="2" s="1"/>
  <c r="E3355" i="2"/>
  <c r="F3355" i="2" s="1"/>
  <c r="E3356" i="2"/>
  <c r="F3356" i="2" s="1"/>
  <c r="B735" i="3"/>
  <c r="E3328" i="2"/>
  <c r="F3328" i="2" s="1"/>
  <c r="B728" i="3"/>
  <c r="E3290" i="2"/>
  <c r="F3290" i="2" s="1"/>
  <c r="E3293" i="2"/>
  <c r="F3293" i="2" s="1"/>
  <c r="E3291" i="2"/>
  <c r="F3291" i="2" s="1"/>
  <c r="E3294" i="2"/>
  <c r="F3294" i="2" s="1"/>
  <c r="E3292" i="2"/>
  <c r="F3292" i="2" s="1"/>
  <c r="B23" i="3"/>
  <c r="B711" i="3"/>
  <c r="E3207" i="2"/>
  <c r="F3207" i="2" s="1"/>
  <c r="E3208" i="2"/>
  <c r="F3208" i="2" s="1"/>
  <c r="E3209" i="2"/>
  <c r="F3209" i="2" s="1"/>
  <c r="E3205" i="2"/>
  <c r="F3205" i="2" s="1"/>
  <c r="E3206" i="2"/>
  <c r="F3206" i="2" s="1"/>
  <c r="B688" i="3"/>
  <c r="E3106" i="2"/>
  <c r="F3106" i="2" s="1"/>
  <c r="E3108" i="2"/>
  <c r="F3108" i="2" s="1"/>
  <c r="E3107" i="2"/>
  <c r="F3107" i="2" s="1"/>
  <c r="E3080" i="2"/>
  <c r="F3080" i="2" s="1"/>
  <c r="E3081" i="2"/>
  <c r="F3081" i="2" s="1"/>
  <c r="B673" i="3"/>
  <c r="E3055" i="2"/>
  <c r="F3055" i="2" s="1"/>
  <c r="E3056" i="2"/>
  <c r="F3056" i="2" s="1"/>
  <c r="E3057" i="2"/>
  <c r="F3057" i="2" s="1"/>
  <c r="E3054" i="2"/>
  <c r="F3054" i="2" s="1"/>
  <c r="B666" i="3"/>
  <c r="E3023" i="2"/>
  <c r="F3023" i="2" s="1"/>
  <c r="E3024" i="2"/>
  <c r="F3024" i="2" s="1"/>
  <c r="E3025" i="2"/>
  <c r="F3025" i="2" s="1"/>
  <c r="E3021" i="2"/>
  <c r="F3021" i="2" s="1"/>
  <c r="E3022" i="2"/>
  <c r="F3022" i="2" s="1"/>
  <c r="E2961" i="2"/>
  <c r="F2961" i="2" s="1"/>
  <c r="E2963" i="2"/>
  <c r="F2963" i="2" s="1"/>
  <c r="E2964" i="2"/>
  <c r="F2964" i="2" s="1"/>
  <c r="B630" i="3"/>
  <c r="E2889" i="2"/>
  <c r="F2889" i="2" s="1"/>
  <c r="E2890" i="2"/>
  <c r="F2890" i="2" s="1"/>
  <c r="E2853" i="2"/>
  <c r="F2853" i="2" s="1"/>
  <c r="E2854" i="2"/>
  <c r="F2854" i="2" s="1"/>
  <c r="B615" i="3"/>
  <c r="E2827" i="2"/>
  <c r="F2827" i="2" s="1"/>
  <c r="E2828" i="2"/>
  <c r="F2828" i="2" s="1"/>
  <c r="B608" i="3"/>
  <c r="E2808" i="2"/>
  <c r="F2808" i="2" s="1"/>
  <c r="B593" i="3"/>
  <c r="E2765" i="2"/>
  <c r="F2765" i="2" s="1"/>
  <c r="E2766" i="2"/>
  <c r="F2766" i="2" s="1"/>
  <c r="E2763" i="2"/>
  <c r="F2763" i="2" s="1"/>
  <c r="E2764" i="2"/>
  <c r="F2764" i="2" s="1"/>
  <c r="E2687" i="2"/>
  <c r="F2687" i="2" s="1"/>
  <c r="E2688" i="2"/>
  <c r="F2688" i="2" s="1"/>
  <c r="E2685" i="2"/>
  <c r="F2685" i="2" s="1"/>
  <c r="B571" i="3"/>
  <c r="E2686" i="2"/>
  <c r="F2686" i="2" s="1"/>
  <c r="B563" i="3"/>
  <c r="E2655" i="2"/>
  <c r="F2655" i="2" s="1"/>
  <c r="E2656" i="2"/>
  <c r="F2656" i="2" s="1"/>
  <c r="E2657" i="2"/>
  <c r="F2657" i="2" s="1"/>
  <c r="E2658" i="2"/>
  <c r="F2658" i="2" s="1"/>
  <c r="E2659" i="2"/>
  <c r="F2659" i="2" s="1"/>
  <c r="E2629" i="2"/>
  <c r="F2629" i="2" s="1"/>
  <c r="B555" i="3"/>
  <c r="E2628" i="2"/>
  <c r="F2628" i="2" s="1"/>
  <c r="E2627" i="2"/>
  <c r="F2627" i="2" s="1"/>
  <c r="E2630" i="2"/>
  <c r="F2630" i="2" s="1"/>
  <c r="B547" i="3"/>
  <c r="E2605" i="2"/>
  <c r="F2605" i="2" s="1"/>
  <c r="E2603" i="2"/>
  <c r="F2603" i="2" s="1"/>
  <c r="E2604" i="2"/>
  <c r="F2604" i="2" s="1"/>
  <c r="B534" i="3"/>
  <c r="E2546" i="2"/>
  <c r="F2546" i="2" s="1"/>
  <c r="E2549" i="2"/>
  <c r="F2549" i="2" s="1"/>
  <c r="E2548" i="2"/>
  <c r="F2548" i="2" s="1"/>
  <c r="E2547" i="2"/>
  <c r="F2547" i="2" s="1"/>
  <c r="B505" i="3"/>
  <c r="E2423" i="2"/>
  <c r="F2423" i="2" s="1"/>
  <c r="E2424" i="2"/>
  <c r="F2424" i="2" s="1"/>
  <c r="E2425" i="2"/>
  <c r="F2425" i="2" s="1"/>
  <c r="E2426" i="2"/>
  <c r="F2426" i="2" s="1"/>
  <c r="E2422" i="2"/>
  <c r="F2422" i="2" s="1"/>
  <c r="B497" i="3"/>
  <c r="E2385" i="2"/>
  <c r="F2385" i="2" s="1"/>
  <c r="B489" i="3"/>
  <c r="E2343" i="2"/>
  <c r="F2343" i="2" s="1"/>
  <c r="B473" i="3"/>
  <c r="E2274" i="2"/>
  <c r="F2274" i="2" s="1"/>
  <c r="E2276" i="2"/>
  <c r="F2276" i="2" s="1"/>
  <c r="E2275" i="2"/>
  <c r="F2275" i="2" s="1"/>
  <c r="B450" i="3"/>
  <c r="E2193" i="2"/>
  <c r="F2193" i="2" s="1"/>
  <c r="E2194" i="2"/>
  <c r="F2194" i="2" s="1"/>
  <c r="E2195" i="2"/>
  <c r="F2195" i="2" s="1"/>
  <c r="B442" i="3"/>
  <c r="E2159" i="2"/>
  <c r="F2159" i="2" s="1"/>
  <c r="E2167" i="2"/>
  <c r="F2167" i="2" s="1"/>
  <c r="E2160" i="2"/>
  <c r="F2160" i="2" s="1"/>
  <c r="E2161" i="2"/>
  <c r="F2161" i="2" s="1"/>
  <c r="E2162" i="2"/>
  <c r="F2162" i="2" s="1"/>
  <c r="E2165" i="2"/>
  <c r="F2165" i="2" s="1"/>
  <c r="E2158" i="2"/>
  <c r="F2158" i="2" s="1"/>
  <c r="E2164" i="2"/>
  <c r="F2164" i="2" s="1"/>
  <c r="E2163" i="2"/>
  <c r="F2163" i="2" s="1"/>
  <c r="E2166" i="2"/>
  <c r="F2166" i="2" s="1"/>
  <c r="E2135" i="2"/>
  <c r="F2135" i="2" s="1"/>
  <c r="E2136" i="2"/>
  <c r="F2136" i="2" s="1"/>
  <c r="E2137" i="2"/>
  <c r="F2137" i="2" s="1"/>
  <c r="B434" i="3"/>
  <c r="E2133" i="2"/>
  <c r="F2133" i="2" s="1"/>
  <c r="E2134" i="2"/>
  <c r="F2134" i="2" s="1"/>
  <c r="B426" i="3"/>
  <c r="E2103" i="2"/>
  <c r="F2103" i="2" s="1"/>
  <c r="B411" i="3"/>
  <c r="E2039" i="2"/>
  <c r="F2039" i="2" s="1"/>
  <c r="E2040" i="2"/>
  <c r="F2040" i="2" s="1"/>
  <c r="E2041" i="2"/>
  <c r="F2041" i="2" s="1"/>
  <c r="E2037" i="2"/>
  <c r="F2037" i="2" s="1"/>
  <c r="E2036" i="2"/>
  <c r="F2036" i="2" s="1"/>
  <c r="E2038" i="2"/>
  <c r="F2038" i="2" s="1"/>
  <c r="B389" i="3"/>
  <c r="E1966" i="2"/>
  <c r="F1966" i="2" s="1"/>
  <c r="B381" i="3"/>
  <c r="E1940" i="2"/>
  <c r="F1940" i="2" s="1"/>
  <c r="E1941" i="2"/>
  <c r="F1941" i="2" s="1"/>
  <c r="E1942" i="2"/>
  <c r="F1942" i="2" s="1"/>
  <c r="B374" i="3"/>
  <c r="E1917" i="2"/>
  <c r="F1917" i="2" s="1"/>
  <c r="E1918" i="2"/>
  <c r="F1918" i="2" s="1"/>
  <c r="E1916" i="2"/>
  <c r="F1916" i="2" s="1"/>
  <c r="E1919" i="2"/>
  <c r="F1919" i="2" s="1"/>
  <c r="B366" i="3"/>
  <c r="E1883" i="2"/>
  <c r="F1883" i="2" s="1"/>
  <c r="E1884" i="2"/>
  <c r="F1884" i="2" s="1"/>
  <c r="B352" i="3"/>
  <c r="E1839" i="2"/>
  <c r="F1839" i="2" s="1"/>
  <c r="B328" i="3"/>
  <c r="E1765" i="2"/>
  <c r="F1765" i="2" s="1"/>
  <c r="E1766" i="2"/>
  <c r="F1766" i="2" s="1"/>
  <c r="E1769" i="2"/>
  <c r="F1769" i="2" s="1"/>
  <c r="E1767" i="2"/>
  <c r="F1767" i="2" s="1"/>
  <c r="E1768" i="2"/>
  <c r="F1768" i="2" s="1"/>
  <c r="B313" i="3"/>
  <c r="E1724" i="2"/>
  <c r="F1724" i="2" s="1"/>
  <c r="E1725" i="2"/>
  <c r="F1725" i="2" s="1"/>
  <c r="E1721" i="2"/>
  <c r="F1721" i="2" s="1"/>
  <c r="E1722" i="2"/>
  <c r="F1722" i="2" s="1"/>
  <c r="E1720" i="2"/>
  <c r="F1720" i="2" s="1"/>
  <c r="E1723" i="2"/>
  <c r="F1723" i="2" s="1"/>
  <c r="E1703" i="2"/>
  <c r="F1703" i="2" s="1"/>
  <c r="B291" i="3"/>
  <c r="E1660" i="2"/>
  <c r="F1660" i="2" s="1"/>
  <c r="E1661" i="2"/>
  <c r="F1661" i="2" s="1"/>
  <c r="E1662" i="2"/>
  <c r="F1662" i="2" s="1"/>
  <c r="E1659" i="2"/>
  <c r="F1659" i="2" s="1"/>
  <c r="B270" i="3"/>
  <c r="E1593" i="2"/>
  <c r="F1593" i="2" s="1"/>
  <c r="E1594" i="2"/>
  <c r="F1594" i="2" s="1"/>
  <c r="B262" i="3"/>
  <c r="E1573" i="2"/>
  <c r="F1573" i="2" s="1"/>
  <c r="E1574" i="2"/>
  <c r="F1574" i="2" s="1"/>
  <c r="E1575" i="2"/>
  <c r="F1575" i="2" s="1"/>
  <c r="B255" i="3"/>
  <c r="E1547" i="2"/>
  <c r="F1547" i="2" s="1"/>
  <c r="E1548" i="2"/>
  <c r="F1548" i="2" s="1"/>
  <c r="E1549" i="2"/>
  <c r="F1549" i="2" s="1"/>
  <c r="B247" i="3"/>
  <c r="E1517" i="2"/>
  <c r="F1517" i="2" s="1"/>
  <c r="E1518" i="2"/>
  <c r="F1518" i="2" s="1"/>
  <c r="E1521" i="2"/>
  <c r="F1521" i="2" s="1"/>
  <c r="E1520" i="2"/>
  <c r="F1520" i="2" s="1"/>
  <c r="E1522" i="2"/>
  <c r="F1522" i="2" s="1"/>
  <c r="E1519" i="2"/>
  <c r="F1519" i="2" s="1"/>
  <c r="B232" i="3"/>
  <c r="B209" i="3"/>
  <c r="E1379" i="2"/>
  <c r="F1379" i="2" s="1"/>
  <c r="E1380" i="2"/>
  <c r="F1380" i="2" s="1"/>
  <c r="E1381" i="2"/>
  <c r="F1381" i="2" s="1"/>
  <c r="E1374" i="2"/>
  <c r="F1374" i="2" s="1"/>
  <c r="E1382" i="2"/>
  <c r="F1382" i="2" s="1"/>
  <c r="E1377" i="2"/>
  <c r="F1377" i="2" s="1"/>
  <c r="E1375" i="2"/>
  <c r="F1375" i="2" s="1"/>
  <c r="E1376" i="2"/>
  <c r="F1376" i="2" s="1"/>
  <c r="E1378" i="2"/>
  <c r="F1378" i="2" s="1"/>
  <c r="E1383" i="2"/>
  <c r="F1383" i="2" s="1"/>
  <c r="E1344" i="2"/>
  <c r="F1344" i="2" s="1"/>
  <c r="B193" i="3"/>
  <c r="E1318" i="2"/>
  <c r="F1318" i="2" s="1"/>
  <c r="E1319" i="2"/>
  <c r="F1319" i="2" s="1"/>
  <c r="B185" i="3"/>
  <c r="E1293" i="2"/>
  <c r="F1293" i="2" s="1"/>
  <c r="E1294" i="2"/>
  <c r="F1294" i="2" s="1"/>
  <c r="B170" i="3"/>
  <c r="E1235" i="2"/>
  <c r="F1235" i="2" s="1"/>
  <c r="E1233" i="2"/>
  <c r="F1233" i="2" s="1"/>
  <c r="E1231" i="2"/>
  <c r="F1231" i="2" s="1"/>
  <c r="E1234" i="2"/>
  <c r="F1234" i="2" s="1"/>
  <c r="E1232" i="2"/>
  <c r="F1232" i="2" s="1"/>
  <c r="B147" i="3"/>
  <c r="E1161" i="2"/>
  <c r="F1161" i="2" s="1"/>
  <c r="E1159" i="2"/>
  <c r="F1159" i="2" s="1"/>
  <c r="E1160" i="2"/>
  <c r="F1160" i="2" s="1"/>
  <c r="E1162" i="2"/>
  <c r="F1162" i="2" s="1"/>
  <c r="E1137" i="2"/>
  <c r="F1137" i="2" s="1"/>
  <c r="E1136" i="2"/>
  <c r="F1136" i="2" s="1"/>
  <c r="B140" i="3"/>
  <c r="B125" i="3"/>
  <c r="E1100" i="2"/>
  <c r="F1100" i="2" s="1"/>
  <c r="E1101" i="2"/>
  <c r="F1101" i="2" s="1"/>
  <c r="B110" i="3"/>
  <c r="B89" i="3"/>
  <c r="E984" i="2"/>
  <c r="F984" i="2" s="1"/>
  <c r="B83" i="3"/>
  <c r="E961" i="2"/>
  <c r="F961" i="2" s="1"/>
  <c r="E960" i="2"/>
  <c r="F960" i="2" s="1"/>
  <c r="E962" i="2"/>
  <c r="F962" i="2" s="1"/>
  <c r="B1094" i="3"/>
  <c r="E929" i="2"/>
  <c r="F929" i="2" s="1"/>
  <c r="E928" i="2"/>
  <c r="F928" i="2" s="1"/>
  <c r="B1086" i="3"/>
  <c r="E893" i="2"/>
  <c r="F893" i="2" s="1"/>
  <c r="E894" i="2"/>
  <c r="F894" i="2" s="1"/>
  <c r="E897" i="2"/>
  <c r="F897" i="2" s="1"/>
  <c r="E896" i="2"/>
  <c r="F896" i="2" s="1"/>
  <c r="E895" i="2"/>
  <c r="F895" i="2" s="1"/>
  <c r="B1071" i="3"/>
  <c r="E835" i="2"/>
  <c r="F835" i="2" s="1"/>
  <c r="E833" i="2"/>
  <c r="F833" i="2" s="1"/>
  <c r="E834" i="2"/>
  <c r="F834" i="2" s="1"/>
  <c r="B1050" i="3"/>
  <c r="E755" i="2"/>
  <c r="F755" i="2" s="1"/>
  <c r="B1042" i="3"/>
  <c r="E715" i="2"/>
  <c r="F715" i="2" s="1"/>
  <c r="E716" i="2"/>
  <c r="F716" i="2" s="1"/>
  <c r="E717" i="2"/>
  <c r="F717" i="2" s="1"/>
  <c r="E718" i="2"/>
  <c r="F718" i="2" s="1"/>
  <c r="E714" i="2"/>
  <c r="F714" i="2" s="1"/>
  <c r="B1034" i="3"/>
  <c r="E677" i="2"/>
  <c r="F677" i="2" s="1"/>
  <c r="E678" i="2"/>
  <c r="F678" i="2" s="1"/>
  <c r="E681" i="2"/>
  <c r="F681" i="2" s="1"/>
  <c r="E679" i="2"/>
  <c r="F679" i="2" s="1"/>
  <c r="E680" i="2"/>
  <c r="F680" i="2" s="1"/>
  <c r="B1027" i="3"/>
  <c r="E653" i="2"/>
  <c r="F653" i="2" s="1"/>
  <c r="E654" i="2"/>
  <c r="F654" i="2" s="1"/>
  <c r="E603" i="2"/>
  <c r="F603" i="2" s="1"/>
  <c r="E604" i="2"/>
  <c r="F604" i="2" s="1"/>
  <c r="E605" i="2"/>
  <c r="F605" i="2" s="1"/>
  <c r="B1012" i="3"/>
  <c r="B988" i="3"/>
  <c r="E509" i="2"/>
  <c r="F509" i="2" s="1"/>
  <c r="E510" i="2"/>
  <c r="F510" i="2" s="1"/>
  <c r="E511" i="2"/>
  <c r="F511" i="2" s="1"/>
  <c r="E489" i="2"/>
  <c r="F489" i="2" s="1"/>
  <c r="E487" i="2"/>
  <c r="F487" i="2" s="1"/>
  <c r="E488" i="2"/>
  <c r="F488" i="2" s="1"/>
  <c r="B976" i="3"/>
  <c r="E462" i="2"/>
  <c r="F462" i="2" s="1"/>
  <c r="E465" i="2"/>
  <c r="F465" i="2" s="1"/>
  <c r="E463" i="2"/>
  <c r="F463" i="2" s="1"/>
  <c r="E464" i="2"/>
  <c r="F464" i="2" s="1"/>
  <c r="B969" i="3"/>
  <c r="E427" i="2"/>
  <c r="F427" i="2" s="1"/>
  <c r="E425" i="2"/>
  <c r="F425" i="2" s="1"/>
  <c r="E426" i="2"/>
  <c r="F426" i="2" s="1"/>
  <c r="E424" i="2"/>
  <c r="F424" i="2" s="1"/>
  <c r="E363" i="2"/>
  <c r="F363" i="2" s="1"/>
  <c r="B954" i="3"/>
  <c r="E364" i="2"/>
  <c r="F364" i="2" s="1"/>
  <c r="E361" i="2"/>
  <c r="F361" i="2" s="1"/>
  <c r="E362" i="2"/>
  <c r="F362" i="2" s="1"/>
  <c r="B932" i="3"/>
  <c r="E279" i="2"/>
  <c r="F279" i="2" s="1"/>
  <c r="B919" i="3"/>
  <c r="E217" i="2"/>
  <c r="F217" i="2" s="1"/>
  <c r="E218" i="2"/>
  <c r="F218" i="2" s="1"/>
  <c r="E216" i="2"/>
  <c r="F216" i="2" s="1"/>
  <c r="E190" i="2"/>
  <c r="F190" i="2" s="1"/>
  <c r="E192" i="2"/>
  <c r="F192" i="2" s="1"/>
  <c r="E186" i="2"/>
  <c r="F186" i="2" s="1"/>
  <c r="E123" i="2"/>
  <c r="F123" i="2" s="1"/>
  <c r="E124" i="2"/>
  <c r="F124" i="2" s="1"/>
  <c r="E125" i="2"/>
  <c r="F125" i="2" s="1"/>
  <c r="B899" i="3"/>
  <c r="B881" i="3"/>
  <c r="E36" i="2"/>
  <c r="F36" i="2" s="1"/>
  <c r="E37" i="2"/>
  <c r="F37" i="2" s="1"/>
  <c r="E38" i="2"/>
  <c r="F38" i="2" s="1"/>
  <c r="B42" i="3"/>
  <c r="E3800" i="2"/>
  <c r="F3800" i="2" s="1"/>
  <c r="E3801" i="2"/>
  <c r="F3801" i="2" s="1"/>
  <c r="E3802" i="2"/>
  <c r="F3802" i="2" s="1"/>
  <c r="B794" i="3"/>
  <c r="E3527" i="2"/>
  <c r="F3527" i="2" s="1"/>
  <c r="E3525" i="2"/>
  <c r="F3525" i="2" s="1"/>
  <c r="E3526" i="2"/>
  <c r="F3526" i="2" s="1"/>
  <c r="B39" i="3"/>
  <c r="E3764" i="2"/>
  <c r="F3764" i="2" s="1"/>
  <c r="E3564" i="2"/>
  <c r="F3564" i="2" s="1"/>
  <c r="E3365" i="2"/>
  <c r="F3365" i="2" s="1"/>
  <c r="E3366" i="2"/>
  <c r="F3366" i="2" s="1"/>
  <c r="B19" i="3"/>
  <c r="E3226" i="2"/>
  <c r="F3226" i="2" s="1"/>
  <c r="E3227" i="2"/>
  <c r="F3227" i="2" s="1"/>
  <c r="B685" i="3"/>
  <c r="E3101" i="2"/>
  <c r="F3101" i="2" s="1"/>
  <c r="E3102" i="2"/>
  <c r="F3102" i="2" s="1"/>
  <c r="B655" i="3"/>
  <c r="E2975" i="2"/>
  <c r="F2975" i="2" s="1"/>
  <c r="E2973" i="2"/>
  <c r="F2973" i="2" s="1"/>
  <c r="E2974" i="2"/>
  <c r="F2974" i="2" s="1"/>
  <c r="B598" i="3"/>
  <c r="E2776" i="2"/>
  <c r="F2776" i="2" s="1"/>
  <c r="E2777" i="2"/>
  <c r="F2777" i="2" s="1"/>
  <c r="E2778" i="2"/>
  <c r="F2778" i="2" s="1"/>
  <c r="B568" i="3"/>
  <c r="E2679" i="2"/>
  <c r="F2679" i="2" s="1"/>
  <c r="E2674" i="2"/>
  <c r="F2674" i="2" s="1"/>
  <c r="E2677" i="2"/>
  <c r="F2677" i="2" s="1"/>
  <c r="E2676" i="2"/>
  <c r="F2676" i="2" s="1"/>
  <c r="B539" i="3"/>
  <c r="E2569" i="2"/>
  <c r="F2569" i="2" s="1"/>
  <c r="E2570" i="2"/>
  <c r="F2570" i="2" s="1"/>
  <c r="E2571" i="2"/>
  <c r="F2571" i="2" s="1"/>
  <c r="B510" i="3"/>
  <c r="E2447" i="2"/>
  <c r="F2447" i="2" s="1"/>
  <c r="E2445" i="2"/>
  <c r="F2445" i="2" s="1"/>
  <c r="E2446" i="2"/>
  <c r="F2446" i="2" s="1"/>
  <c r="B494" i="3"/>
  <c r="E2367" i="2"/>
  <c r="F2367" i="2" s="1"/>
  <c r="E2368" i="2"/>
  <c r="F2368" i="2" s="1"/>
  <c r="E2369" i="2"/>
  <c r="F2369" i="2" s="1"/>
  <c r="E2362" i="2"/>
  <c r="F2362" i="2" s="1"/>
  <c r="E2370" i="2"/>
  <c r="F2370" i="2" s="1"/>
  <c r="E2365" i="2"/>
  <c r="F2365" i="2" s="1"/>
  <c r="E2373" i="2"/>
  <c r="F2373" i="2" s="1"/>
  <c r="E2363" i="2"/>
  <c r="F2363" i="2" s="1"/>
  <c r="E2364" i="2"/>
  <c r="F2364" i="2" s="1"/>
  <c r="E2372" i="2"/>
  <c r="F2372" i="2" s="1"/>
  <c r="E2366" i="2"/>
  <c r="F2366" i="2" s="1"/>
  <c r="E2371" i="2"/>
  <c r="F2371" i="2" s="1"/>
  <c r="B486" i="3"/>
  <c r="E2335" i="2"/>
  <c r="F2335" i="2" s="1"/>
  <c r="E2336" i="2"/>
  <c r="F2336" i="2" s="1"/>
  <c r="E2334" i="2"/>
  <c r="F2334" i="2" s="1"/>
  <c r="B455" i="3"/>
  <c r="E2208" i="2"/>
  <c r="F2208" i="2" s="1"/>
  <c r="B447" i="3"/>
  <c r="E2181" i="2"/>
  <c r="F2181" i="2" s="1"/>
  <c r="B439" i="3"/>
  <c r="E2151" i="2"/>
  <c r="F2151" i="2" s="1"/>
  <c r="B431" i="3"/>
  <c r="E2119" i="2"/>
  <c r="F2119" i="2" s="1"/>
  <c r="E2120" i="2"/>
  <c r="F2120" i="2" s="1"/>
  <c r="E2121" i="2"/>
  <c r="F2121" i="2" s="1"/>
  <c r="E2122" i="2"/>
  <c r="F2122" i="2" s="1"/>
  <c r="B423" i="3"/>
  <c r="E2087" i="2"/>
  <c r="F2087" i="2" s="1"/>
  <c r="E2082" i="2"/>
  <c r="F2082" i="2" s="1"/>
  <c r="E2085" i="2"/>
  <c r="F2085" i="2" s="1"/>
  <c r="E2084" i="2"/>
  <c r="F2084" i="2" s="1"/>
  <c r="E2086" i="2"/>
  <c r="F2086" i="2" s="1"/>
  <c r="B415" i="3"/>
  <c r="E2056" i="2"/>
  <c r="F2056" i="2" s="1"/>
  <c r="E2057" i="2"/>
  <c r="F2057" i="2" s="1"/>
  <c r="E2058" i="2"/>
  <c r="F2058" i="2" s="1"/>
  <c r="E2059" i="2"/>
  <c r="F2059" i="2" s="1"/>
  <c r="B401" i="3"/>
  <c r="E2013" i="2"/>
  <c r="F2013" i="2" s="1"/>
  <c r="E2011" i="2"/>
  <c r="F2011" i="2" s="1"/>
  <c r="E2012" i="2"/>
  <c r="F2012" i="2" s="1"/>
  <c r="B386" i="3"/>
  <c r="E1956" i="2"/>
  <c r="F1956" i="2" s="1"/>
  <c r="B379" i="3"/>
  <c r="E1931" i="2"/>
  <c r="F1931" i="2" s="1"/>
  <c r="E1932" i="2"/>
  <c r="F1932" i="2" s="1"/>
  <c r="E1933" i="2"/>
  <c r="F1933" i="2" s="1"/>
  <c r="E1934" i="2"/>
  <c r="F1934" i="2" s="1"/>
  <c r="B371" i="3"/>
  <c r="E1901" i="2"/>
  <c r="F1901" i="2" s="1"/>
  <c r="E1902" i="2"/>
  <c r="F1902" i="2" s="1"/>
  <c r="E1905" i="2"/>
  <c r="F1905" i="2" s="1"/>
  <c r="E1904" i="2"/>
  <c r="F1904" i="2" s="1"/>
  <c r="E1900" i="2"/>
  <c r="F1900" i="2" s="1"/>
  <c r="E1903" i="2"/>
  <c r="F1903" i="2" s="1"/>
  <c r="E1870" i="2"/>
  <c r="F1870" i="2" s="1"/>
  <c r="B363" i="3"/>
  <c r="E1871" i="2"/>
  <c r="F1871" i="2" s="1"/>
  <c r="E1872" i="2"/>
  <c r="F1872" i="2" s="1"/>
  <c r="B357" i="3"/>
  <c r="E1849" i="2"/>
  <c r="F1849" i="2" s="1"/>
  <c r="E1850" i="2"/>
  <c r="F1850" i="2" s="1"/>
  <c r="E1851" i="2"/>
  <c r="F1851" i="2" s="1"/>
  <c r="B341" i="3"/>
  <c r="E1814" i="2"/>
  <c r="F1814" i="2" s="1"/>
  <c r="E1817" i="2"/>
  <c r="F1817" i="2" s="1"/>
  <c r="E1815" i="2"/>
  <c r="F1815" i="2" s="1"/>
  <c r="E1816" i="2"/>
  <c r="F1816" i="2" s="1"/>
  <c r="B325" i="3"/>
  <c r="E1756" i="2"/>
  <c r="F1756" i="2" s="1"/>
  <c r="E1757" i="2"/>
  <c r="F1757" i="2" s="1"/>
  <c r="E1758" i="2"/>
  <c r="F1758" i="2" s="1"/>
  <c r="B318" i="3"/>
  <c r="E1736" i="2"/>
  <c r="F1736" i="2" s="1"/>
  <c r="B310" i="3"/>
  <c r="E1716" i="2"/>
  <c r="F1716" i="2" s="1"/>
  <c r="E1714" i="2"/>
  <c r="F1714" i="2" s="1"/>
  <c r="E1715" i="2"/>
  <c r="F1715" i="2" s="1"/>
  <c r="B302" i="3"/>
  <c r="E1692" i="2"/>
  <c r="F1692" i="2" s="1"/>
  <c r="E1693" i="2"/>
  <c r="F1693" i="2" s="1"/>
  <c r="E1691" i="2"/>
  <c r="F1691" i="2" s="1"/>
  <c r="B296" i="3"/>
  <c r="E1673" i="2"/>
  <c r="F1673" i="2" s="1"/>
  <c r="E1674" i="2"/>
  <c r="F1674" i="2" s="1"/>
  <c r="B283" i="3"/>
  <c r="E1625" i="2"/>
  <c r="F1625" i="2" s="1"/>
  <c r="E1626" i="2"/>
  <c r="F1626" i="2" s="1"/>
  <c r="B275" i="3"/>
  <c r="E1604" i="2"/>
  <c r="F1604" i="2" s="1"/>
  <c r="B267" i="3"/>
  <c r="E1586" i="2"/>
  <c r="F1586" i="2" s="1"/>
  <c r="B260" i="3"/>
  <c r="E1564" i="2"/>
  <c r="F1564" i="2" s="1"/>
  <c r="E1565" i="2"/>
  <c r="F1565" i="2" s="1"/>
  <c r="B252" i="3"/>
  <c r="E1537" i="2"/>
  <c r="F1537" i="2" s="1"/>
  <c r="E1536" i="2"/>
  <c r="F1536" i="2" s="1"/>
  <c r="E1535" i="2"/>
  <c r="F1535" i="2" s="1"/>
  <c r="B9" i="3"/>
  <c r="E1505" i="2"/>
  <c r="F1505" i="2" s="1"/>
  <c r="E1504" i="2"/>
  <c r="F1504" i="2" s="1"/>
  <c r="B237" i="3"/>
  <c r="E1469" i="2"/>
  <c r="F1469" i="2" s="1"/>
  <c r="E1470" i="2"/>
  <c r="F1470" i="2" s="1"/>
  <c r="E1471" i="2"/>
  <c r="F1471" i="2" s="1"/>
  <c r="B221" i="3"/>
  <c r="E1420" i="2"/>
  <c r="F1420" i="2" s="1"/>
  <c r="E1421" i="2"/>
  <c r="F1421" i="2" s="1"/>
  <c r="E1422" i="2"/>
  <c r="F1422" i="2" s="1"/>
  <c r="E1423" i="2"/>
  <c r="F1423" i="2" s="1"/>
  <c r="B206" i="3"/>
  <c r="E1361" i="2"/>
  <c r="F1361" i="2" s="1"/>
  <c r="E1360" i="2"/>
  <c r="F1360" i="2" s="1"/>
  <c r="B198" i="3"/>
  <c r="E1332" i="2"/>
  <c r="F1332" i="2" s="1"/>
  <c r="E1333" i="2"/>
  <c r="F1333" i="2" s="1"/>
  <c r="E1334" i="2"/>
  <c r="F1334" i="2" s="1"/>
  <c r="B190" i="3"/>
  <c r="E1309" i="2"/>
  <c r="F1309" i="2" s="1"/>
  <c r="E1310" i="2"/>
  <c r="F1310" i="2" s="1"/>
  <c r="E1311" i="2"/>
  <c r="F1311" i="2" s="1"/>
  <c r="B182" i="3"/>
  <c r="E1283" i="2"/>
  <c r="F1283" i="2" s="1"/>
  <c r="E1284" i="2"/>
  <c r="F1284" i="2" s="1"/>
  <c r="E1285" i="2"/>
  <c r="F1285" i="2" s="1"/>
  <c r="E1286" i="2"/>
  <c r="F1286" i="2" s="1"/>
  <c r="B175" i="3"/>
  <c r="E1251" i="2"/>
  <c r="F1251" i="2" s="1"/>
  <c r="E1252" i="2"/>
  <c r="F1252" i="2" s="1"/>
  <c r="E1253" i="2"/>
  <c r="F1253" i="2" s="1"/>
  <c r="E1254" i="2"/>
  <c r="F1254" i="2" s="1"/>
  <c r="E1249" i="2"/>
  <c r="F1249" i="2" s="1"/>
  <c r="E1248" i="2"/>
  <c r="F1248" i="2" s="1"/>
  <c r="E1250" i="2"/>
  <c r="F1250" i="2" s="1"/>
  <c r="E1255" i="2"/>
  <c r="F1255" i="2" s="1"/>
  <c r="B159" i="3"/>
  <c r="E1196" i="2"/>
  <c r="F1196" i="2" s="1"/>
  <c r="E1175" i="2"/>
  <c r="F1175" i="2" s="1"/>
  <c r="B144" i="3"/>
  <c r="E1155" i="2"/>
  <c r="F1155" i="2" s="1"/>
  <c r="E1156" i="2"/>
  <c r="F1156" i="2" s="1"/>
  <c r="E1153" i="2"/>
  <c r="F1153" i="2" s="1"/>
  <c r="E1152" i="2"/>
  <c r="F1152" i="2" s="1"/>
  <c r="E1151" i="2"/>
  <c r="F1151" i="2" s="1"/>
  <c r="B137" i="3"/>
  <c r="E1130" i="2"/>
  <c r="F1130" i="2" s="1"/>
  <c r="B130" i="3"/>
  <c r="E1113" i="2"/>
  <c r="F1113" i="2" s="1"/>
  <c r="E1114" i="2"/>
  <c r="F1114" i="2" s="1"/>
  <c r="B123" i="3"/>
  <c r="E1094" i="2"/>
  <c r="F1094" i="2" s="1"/>
  <c r="E1095" i="2"/>
  <c r="F1095" i="2" s="1"/>
  <c r="B115" i="3"/>
  <c r="E1068" i="2"/>
  <c r="F1068" i="2" s="1"/>
  <c r="E1069" i="2"/>
  <c r="F1069" i="2" s="1"/>
  <c r="E1070" i="2"/>
  <c r="F1070" i="2" s="1"/>
  <c r="E1014" i="2"/>
  <c r="F1014" i="2" s="1"/>
  <c r="E1015" i="2"/>
  <c r="F1015" i="2" s="1"/>
  <c r="B99" i="3"/>
  <c r="B6" i="3"/>
  <c r="E994" i="2"/>
  <c r="F994" i="2" s="1"/>
  <c r="B86" i="3"/>
  <c r="E972" i="2"/>
  <c r="F972" i="2" s="1"/>
  <c r="E973" i="2"/>
  <c r="F973" i="2" s="1"/>
  <c r="E974" i="2"/>
  <c r="F974" i="2" s="1"/>
  <c r="E975" i="2"/>
  <c r="F975" i="2" s="1"/>
  <c r="E976" i="2"/>
  <c r="F976" i="2" s="1"/>
  <c r="B80" i="3"/>
  <c r="E949" i="2"/>
  <c r="F949" i="2" s="1"/>
  <c r="E950" i="2"/>
  <c r="F950" i="2" s="1"/>
  <c r="E915" i="2"/>
  <c r="F915" i="2" s="1"/>
  <c r="E916" i="2"/>
  <c r="F916" i="2" s="1"/>
  <c r="E917" i="2"/>
  <c r="F917" i="2" s="1"/>
  <c r="E918" i="2"/>
  <c r="F918" i="2" s="1"/>
  <c r="B1091" i="3"/>
  <c r="E913" i="2"/>
  <c r="F913" i="2" s="1"/>
  <c r="E911" i="2"/>
  <c r="F911" i="2" s="1"/>
  <c r="E912" i="2"/>
  <c r="F912" i="2" s="1"/>
  <c r="E914" i="2"/>
  <c r="F914" i="2" s="1"/>
  <c r="E884" i="2"/>
  <c r="F884" i="2" s="1"/>
  <c r="E885" i="2"/>
  <c r="F885" i="2" s="1"/>
  <c r="E886" i="2"/>
  <c r="F886" i="2" s="1"/>
  <c r="E887" i="2"/>
  <c r="F887" i="2" s="1"/>
  <c r="B1083" i="3"/>
  <c r="E851" i="2"/>
  <c r="F851" i="2" s="1"/>
  <c r="E852" i="2"/>
  <c r="F852" i="2" s="1"/>
  <c r="B1076" i="3"/>
  <c r="E853" i="2"/>
  <c r="F853" i="2" s="1"/>
  <c r="E849" i="2"/>
  <c r="F849" i="2" s="1"/>
  <c r="E850" i="2"/>
  <c r="F850" i="2" s="1"/>
  <c r="E803" i="2"/>
  <c r="F803" i="2" s="1"/>
  <c r="E801" i="2"/>
  <c r="F801" i="2" s="1"/>
  <c r="E802" i="2"/>
  <c r="F802" i="2" s="1"/>
  <c r="E769" i="2"/>
  <c r="F769" i="2" s="1"/>
  <c r="B1047" i="3"/>
  <c r="E739" i="2"/>
  <c r="F739" i="2" s="1"/>
  <c r="E740" i="2"/>
  <c r="F740" i="2" s="1"/>
  <c r="E741" i="2"/>
  <c r="F741" i="2" s="1"/>
  <c r="E742" i="2"/>
  <c r="F742" i="2" s="1"/>
  <c r="E743" i="2"/>
  <c r="F743" i="2" s="1"/>
  <c r="E702" i="2"/>
  <c r="F702" i="2" s="1"/>
  <c r="B1039" i="3"/>
  <c r="E705" i="2"/>
  <c r="F705" i="2" s="1"/>
  <c r="E704" i="2"/>
  <c r="F704" i="2" s="1"/>
  <c r="I183" i="1"/>
  <c r="B1024" i="3"/>
  <c r="E643" i="2"/>
  <c r="F643" i="2" s="1"/>
  <c r="E644" i="2"/>
  <c r="F644" i="2" s="1"/>
  <c r="E645" i="2"/>
  <c r="F645" i="2" s="1"/>
  <c r="I167" i="1"/>
  <c r="B1009" i="3"/>
  <c r="E590" i="2"/>
  <c r="F590" i="2" s="1"/>
  <c r="E593" i="2"/>
  <c r="F593" i="2" s="1"/>
  <c r="E591" i="2"/>
  <c r="F591" i="2" s="1"/>
  <c r="B1001" i="3"/>
  <c r="E557" i="2"/>
  <c r="F557" i="2" s="1"/>
  <c r="E558" i="2"/>
  <c r="F558" i="2" s="1"/>
  <c r="E529" i="2"/>
  <c r="F529" i="2" s="1"/>
  <c r="E527" i="2"/>
  <c r="F527" i="2" s="1"/>
  <c r="B985" i="3"/>
  <c r="E502" i="2"/>
  <c r="F502" i="2" s="1"/>
  <c r="E503" i="2"/>
  <c r="F503" i="2" s="1"/>
  <c r="E504" i="2"/>
  <c r="F504" i="2" s="1"/>
  <c r="E483" i="2"/>
  <c r="F483" i="2" s="1"/>
  <c r="E481" i="2"/>
  <c r="F481" i="2" s="1"/>
  <c r="I119" i="1"/>
  <c r="B76" i="3"/>
  <c r="E415" i="2"/>
  <c r="F415" i="2" s="1"/>
  <c r="I103" i="1"/>
  <c r="B951" i="3"/>
  <c r="E349" i="2"/>
  <c r="F349" i="2" s="1"/>
  <c r="E350" i="2"/>
  <c r="F350" i="2" s="1"/>
  <c r="E351" i="2"/>
  <c r="F351" i="2" s="1"/>
  <c r="E352" i="2"/>
  <c r="F352" i="2" s="1"/>
  <c r="B943" i="3"/>
  <c r="E331" i="2"/>
  <c r="F331" i="2" s="1"/>
  <c r="E329" i="2"/>
  <c r="F329" i="2" s="1"/>
  <c r="E327" i="2"/>
  <c r="F327" i="2" s="1"/>
  <c r="E328" i="2"/>
  <c r="F328" i="2" s="1"/>
  <c r="E330" i="2"/>
  <c r="F330" i="2" s="1"/>
  <c r="E297" i="2"/>
  <c r="F297" i="2" s="1"/>
  <c r="E298" i="2"/>
  <c r="F298" i="2" s="1"/>
  <c r="E296" i="2"/>
  <c r="F296" i="2" s="1"/>
  <c r="B930" i="3"/>
  <c r="E266" i="2"/>
  <c r="F266" i="2" s="1"/>
  <c r="E209" i="2"/>
  <c r="F209" i="2" s="1"/>
  <c r="E210" i="2"/>
  <c r="F210" i="2" s="1"/>
  <c r="E208" i="2"/>
  <c r="F208" i="2" s="1"/>
  <c r="I39" i="1"/>
  <c r="B897" i="3"/>
  <c r="E113" i="2"/>
  <c r="F113" i="2" s="1"/>
  <c r="E112" i="2"/>
  <c r="F112" i="2" s="1"/>
  <c r="E114" i="2"/>
  <c r="F114" i="2" s="1"/>
  <c r="E111" i="2"/>
  <c r="F111" i="2" s="1"/>
  <c r="E89" i="2"/>
  <c r="F89" i="2" s="1"/>
  <c r="E90" i="2"/>
  <c r="F90" i="2" s="1"/>
  <c r="E87" i="2"/>
  <c r="F87" i="2" s="1"/>
  <c r="B891" i="3"/>
  <c r="E88" i="2"/>
  <c r="F88" i="2" s="1"/>
  <c r="B884" i="3"/>
  <c r="E54" i="2"/>
  <c r="F54" i="2" s="1"/>
  <c r="E57" i="2"/>
  <c r="F57" i="2" s="1"/>
  <c r="E55" i="2"/>
  <c r="F55" i="2" s="1"/>
  <c r="E56" i="2"/>
  <c r="F56" i="2" s="1"/>
  <c r="E58" i="2"/>
  <c r="F58" i="2" s="1"/>
  <c r="B878" i="3"/>
  <c r="E28" i="2"/>
  <c r="F28" i="2" s="1"/>
  <c r="E29" i="2"/>
  <c r="F29" i="2" s="1"/>
  <c r="E30" i="2"/>
  <c r="F30" i="2" s="1"/>
  <c r="B65" i="3"/>
  <c r="E3879" i="2"/>
  <c r="F3879" i="2" s="1"/>
  <c r="E3880" i="2"/>
  <c r="F3880" i="2" s="1"/>
  <c r="E3877" i="2"/>
  <c r="F3877" i="2" s="1"/>
  <c r="E3876" i="2"/>
  <c r="F3876" i="2" s="1"/>
  <c r="E3878" i="2"/>
  <c r="F3878" i="2" s="1"/>
  <c r="I1114" i="1"/>
  <c r="B837" i="3"/>
  <c r="E3685" i="2"/>
  <c r="F3685" i="2" s="1"/>
  <c r="E3684" i="2"/>
  <c r="F3684" i="2" s="1"/>
  <c r="E3686" i="2"/>
  <c r="F3686" i="2" s="1"/>
  <c r="I1050" i="1"/>
  <c r="B779" i="3"/>
  <c r="E3487" i="2"/>
  <c r="F3487" i="2" s="1"/>
  <c r="E3488" i="2"/>
  <c r="F3488" i="2" s="1"/>
  <c r="E3489" i="2"/>
  <c r="F3489" i="2" s="1"/>
  <c r="E3482" i="2"/>
  <c r="F3482" i="2" s="1"/>
  <c r="E3485" i="2"/>
  <c r="F3485" i="2" s="1"/>
  <c r="E3483" i="2"/>
  <c r="F3483" i="2" s="1"/>
  <c r="E3486" i="2"/>
  <c r="F3486" i="2" s="1"/>
  <c r="I986" i="1"/>
  <c r="B721" i="3"/>
  <c r="E3253" i="2"/>
  <c r="F3253" i="2" s="1"/>
  <c r="E3252" i="2"/>
  <c r="F3252" i="2" s="1"/>
  <c r="I922" i="1"/>
  <c r="B665" i="3"/>
  <c r="E3015" i="2"/>
  <c r="F3015" i="2" s="1"/>
  <c r="E3016" i="2"/>
  <c r="F3016" i="2" s="1"/>
  <c r="E3017" i="2"/>
  <c r="F3017" i="2" s="1"/>
  <c r="E3010" i="2"/>
  <c r="F3010" i="2" s="1"/>
  <c r="E3018" i="2"/>
  <c r="F3018" i="2" s="1"/>
  <c r="E3013" i="2"/>
  <c r="F3013" i="2" s="1"/>
  <c r="E3011" i="2"/>
  <c r="F3011" i="2" s="1"/>
  <c r="E3012" i="2"/>
  <c r="F3012" i="2" s="1"/>
  <c r="E3019" i="2"/>
  <c r="F3019" i="2" s="1"/>
  <c r="I858" i="1"/>
  <c r="I794" i="1"/>
  <c r="E2599" i="2"/>
  <c r="F2599" i="2" s="1"/>
  <c r="E2600" i="2"/>
  <c r="F2600" i="2" s="1"/>
  <c r="B546" i="3"/>
  <c r="E2601" i="2"/>
  <c r="F2601" i="2" s="1"/>
  <c r="E2602" i="2"/>
  <c r="F2602" i="2" s="1"/>
  <c r="E2597" i="2"/>
  <c r="F2597" i="2" s="1"/>
  <c r="E2596" i="2"/>
  <c r="F2596" i="2" s="1"/>
  <c r="E2598" i="2"/>
  <c r="F2598" i="2" s="1"/>
  <c r="I730" i="1"/>
  <c r="I708" i="1"/>
  <c r="B488" i="3"/>
  <c r="E2341" i="2"/>
  <c r="F2341" i="2" s="1"/>
  <c r="E2340" i="2"/>
  <c r="F2340" i="2" s="1"/>
  <c r="E2342" i="2"/>
  <c r="F2342" i="2" s="1"/>
  <c r="I666" i="1"/>
  <c r="I644" i="1"/>
  <c r="E2095" i="2"/>
  <c r="F2095" i="2" s="1"/>
  <c r="E2093" i="2"/>
  <c r="F2093" i="2" s="1"/>
  <c r="E2092" i="2"/>
  <c r="F2092" i="2" s="1"/>
  <c r="I602" i="1"/>
  <c r="I580" i="1"/>
  <c r="E1881" i="2"/>
  <c r="F1881" i="2" s="1"/>
  <c r="E1879" i="2"/>
  <c r="F1879" i="2" s="1"/>
  <c r="I538" i="1"/>
  <c r="I516" i="1"/>
  <c r="B304" i="3"/>
  <c r="E1700" i="2"/>
  <c r="F1700" i="2" s="1"/>
  <c r="E1701" i="2"/>
  <c r="F1701" i="2" s="1"/>
  <c r="I474" i="1"/>
  <c r="I452" i="1"/>
  <c r="B246" i="3"/>
  <c r="E1515" i="2"/>
  <c r="F1515" i="2" s="1"/>
  <c r="E1516" i="2"/>
  <c r="F1516" i="2" s="1"/>
  <c r="E1513" i="2"/>
  <c r="F1513" i="2" s="1"/>
  <c r="E1514" i="2"/>
  <c r="F1514" i="2" s="1"/>
  <c r="E1511" i="2"/>
  <c r="F1511" i="2" s="1"/>
  <c r="E1512" i="2"/>
  <c r="F1512" i="2" s="1"/>
  <c r="I410" i="1"/>
  <c r="I388" i="1"/>
  <c r="B184" i="3"/>
  <c r="I346" i="1"/>
  <c r="I324" i="1"/>
  <c r="B124" i="3"/>
  <c r="E1099" i="2"/>
  <c r="F1099" i="2" s="1"/>
  <c r="I282" i="1"/>
  <c r="I260" i="1"/>
  <c r="E891" i="2"/>
  <c r="F891" i="2" s="1"/>
  <c r="E892" i="2"/>
  <c r="F892" i="2" s="1"/>
  <c r="B1085" i="3"/>
  <c r="E890" i="2"/>
  <c r="F890" i="2" s="1"/>
  <c r="I196" i="1"/>
  <c r="E651" i="2"/>
  <c r="F651" i="2" s="1"/>
  <c r="E650" i="2"/>
  <c r="F650" i="2" s="1"/>
  <c r="B1004" i="3"/>
  <c r="E571" i="2"/>
  <c r="F571" i="2" s="1"/>
  <c r="E569" i="2"/>
  <c r="F569" i="2" s="1"/>
  <c r="E567" i="2"/>
  <c r="F567" i="2" s="1"/>
  <c r="E568" i="2"/>
  <c r="F568" i="2" s="1"/>
  <c r="E570" i="2"/>
  <c r="F570" i="2" s="1"/>
  <c r="I132" i="1"/>
  <c r="B968" i="3"/>
  <c r="E420" i="2"/>
  <c r="F420" i="2" s="1"/>
  <c r="E421" i="2"/>
  <c r="F421" i="2" s="1"/>
  <c r="E422" i="2"/>
  <c r="F422" i="2" s="1"/>
  <c r="B946" i="3"/>
  <c r="E338" i="2"/>
  <c r="F338" i="2" s="1"/>
  <c r="I68" i="1"/>
  <c r="E181" i="2"/>
  <c r="F181" i="2" s="1"/>
  <c r="E182" i="2"/>
  <c r="F182" i="2" s="1"/>
  <c r="E185" i="2"/>
  <c r="F185" i="2" s="1"/>
  <c r="E183" i="2"/>
  <c r="F183" i="2" s="1"/>
  <c r="E184" i="2"/>
  <c r="F184" i="2" s="1"/>
  <c r="B911" i="3"/>
  <c r="B893" i="3"/>
  <c r="E97" i="2"/>
  <c r="F97" i="2" s="1"/>
  <c r="E98" i="2"/>
  <c r="F98" i="2" s="1"/>
  <c r="I4" i="1"/>
  <c r="B729" i="3"/>
  <c r="E3295" i="2"/>
  <c r="F3295" i="2" s="1"/>
  <c r="E3296" i="2"/>
  <c r="F3296" i="2" s="1"/>
  <c r="E3297" i="2"/>
  <c r="F3297" i="2" s="1"/>
  <c r="E3298" i="2"/>
  <c r="F3298" i="2" s="1"/>
  <c r="E3152" i="2"/>
  <c r="F3152" i="2" s="1"/>
  <c r="E3153" i="2"/>
  <c r="F3153" i="2" s="1"/>
  <c r="E3154" i="2"/>
  <c r="F3154" i="2" s="1"/>
  <c r="E3155" i="2"/>
  <c r="F3155" i="2" s="1"/>
  <c r="B332" i="3"/>
  <c r="E1782" i="2"/>
  <c r="F1782" i="2" s="1"/>
  <c r="E1783" i="2"/>
  <c r="F1783" i="2" s="1"/>
  <c r="B256" i="3"/>
  <c r="E1550" i="2"/>
  <c r="F1550" i="2" s="1"/>
  <c r="E1551" i="2"/>
  <c r="F1551" i="2" s="1"/>
  <c r="E1552" i="2"/>
  <c r="F1552" i="2" s="1"/>
  <c r="B93" i="3"/>
  <c r="E990" i="2"/>
  <c r="F990" i="2" s="1"/>
  <c r="E991" i="2"/>
  <c r="F991" i="2" s="1"/>
  <c r="E992" i="2"/>
  <c r="F992" i="2" s="1"/>
  <c r="B1035" i="3"/>
  <c r="E683" i="2"/>
  <c r="F683" i="2" s="1"/>
  <c r="E684" i="2"/>
  <c r="F684" i="2" s="1"/>
  <c r="E682" i="2"/>
  <c r="F682" i="2" s="1"/>
  <c r="E53" i="2"/>
  <c r="F53" i="2" s="1"/>
  <c r="E48" i="2"/>
  <c r="F48" i="2" s="1"/>
  <c r="E3020" i="2"/>
  <c r="F3020" i="2" s="1"/>
  <c r="E2678" i="2"/>
  <c r="F2678" i="2" s="1"/>
  <c r="E2595" i="2"/>
  <c r="F2595" i="2" s="1"/>
  <c r="E2083" i="2"/>
  <c r="F2083" i="2" s="1"/>
  <c r="E1880" i="2"/>
  <c r="F1880" i="2" s="1"/>
  <c r="E592" i="2"/>
  <c r="F592" i="2" s="1"/>
  <c r="E3928" i="2"/>
  <c r="F3928" i="2" s="1"/>
  <c r="B866" i="3"/>
  <c r="E3929" i="2"/>
  <c r="F3929" i="2" s="1"/>
  <c r="I1142" i="1"/>
  <c r="E3894" i="2" s="1"/>
  <c r="F3894" i="2" s="1"/>
  <c r="B852" i="3"/>
  <c r="E3872" i="2"/>
  <c r="F3872" i="2" s="1"/>
  <c r="I1118" i="1"/>
  <c r="B849" i="3"/>
  <c r="E3786" i="2"/>
  <c r="F3786" i="2" s="1"/>
  <c r="B38" i="3"/>
  <c r="E3762" i="2"/>
  <c r="F3762" i="2" s="1"/>
  <c r="I1086" i="1"/>
  <c r="B842" i="3"/>
  <c r="E3706" i="2"/>
  <c r="F3706" i="2" s="1"/>
  <c r="E3709" i="2"/>
  <c r="F3709" i="2" s="1"/>
  <c r="E3707" i="2"/>
  <c r="F3707" i="2" s="1"/>
  <c r="E3708" i="2"/>
  <c r="F3708" i="2" s="1"/>
  <c r="E3710" i="2"/>
  <c r="F3710" i="2" s="1"/>
  <c r="I1054" i="1"/>
  <c r="E3562" i="2"/>
  <c r="F3562" i="2" s="1"/>
  <c r="E3563" i="2"/>
  <c r="F3563" i="2" s="1"/>
  <c r="B796" i="3"/>
  <c r="E3531" i="2"/>
  <c r="F3531" i="2" s="1"/>
  <c r="I1022" i="1"/>
  <c r="E3514" i="2" s="1"/>
  <c r="F3514" i="2" s="1"/>
  <c r="B784" i="3"/>
  <c r="E3498" i="2"/>
  <c r="F3498" i="2" s="1"/>
  <c r="E3499" i="2"/>
  <c r="F3499" i="2" s="1"/>
  <c r="E3500" i="2"/>
  <c r="F3500" i="2" s="1"/>
  <c r="B2" i="3"/>
  <c r="E3472" i="2"/>
  <c r="F3472" i="2" s="1"/>
  <c r="E3473" i="2"/>
  <c r="F3473" i="2" s="1"/>
  <c r="E3474" i="2"/>
  <c r="F3474" i="2" s="1"/>
  <c r="E3475" i="2"/>
  <c r="F3475" i="2" s="1"/>
  <c r="I990" i="1"/>
  <c r="B747" i="3"/>
  <c r="E3361" i="2"/>
  <c r="F3361" i="2" s="1"/>
  <c r="E3362" i="2"/>
  <c r="F3362" i="2" s="1"/>
  <c r="E3364" i="2"/>
  <c r="F3364" i="2" s="1"/>
  <c r="B739" i="3"/>
  <c r="I958" i="1"/>
  <c r="B724" i="3"/>
  <c r="E3271" i="2"/>
  <c r="F3271" i="2" s="1"/>
  <c r="E3272" i="2"/>
  <c r="F3272" i="2" s="1"/>
  <c r="E3273" i="2"/>
  <c r="F3273" i="2" s="1"/>
  <c r="E3274" i="2"/>
  <c r="F3274" i="2" s="1"/>
  <c r="E3277" i="2"/>
  <c r="F3277" i="2" s="1"/>
  <c r="E3275" i="2"/>
  <c r="F3275" i="2" s="1"/>
  <c r="E3244" i="2"/>
  <c r="F3244" i="2" s="1"/>
  <c r="I926" i="1"/>
  <c r="E3121" i="2"/>
  <c r="F3121" i="2" s="1"/>
  <c r="E3122" i="2"/>
  <c r="F3122" i="2" s="1"/>
  <c r="B692" i="3"/>
  <c r="E3124" i="2"/>
  <c r="F3124" i="2" s="1"/>
  <c r="B684" i="3"/>
  <c r="E3097" i="2"/>
  <c r="F3097" i="2" s="1"/>
  <c r="E3098" i="2"/>
  <c r="F3098" i="2" s="1"/>
  <c r="E3099" i="2"/>
  <c r="F3099" i="2" s="1"/>
  <c r="I894" i="1"/>
  <c r="B669" i="3"/>
  <c r="E3039" i="2"/>
  <c r="F3039" i="2" s="1"/>
  <c r="E3040" i="2"/>
  <c r="F3040" i="2" s="1"/>
  <c r="E3041" i="2"/>
  <c r="F3041" i="2" s="1"/>
  <c r="E3038" i="2"/>
  <c r="F3038" i="2" s="1"/>
  <c r="E3000" i="2"/>
  <c r="F3000" i="2" s="1"/>
  <c r="I862" i="1"/>
  <c r="E2948" i="2" s="1"/>
  <c r="F2948" i="2" s="1"/>
  <c r="B634" i="3"/>
  <c r="E2905" i="2"/>
  <c r="F2905" i="2" s="1"/>
  <c r="E2906" i="2"/>
  <c r="F2906" i="2" s="1"/>
  <c r="E2907" i="2"/>
  <c r="F2907" i="2" s="1"/>
  <c r="B626" i="3"/>
  <c r="E2871" i="2"/>
  <c r="F2871" i="2" s="1"/>
  <c r="E2872" i="2"/>
  <c r="F2872" i="2" s="1"/>
  <c r="I830" i="1"/>
  <c r="B612" i="3"/>
  <c r="E2815" i="2"/>
  <c r="F2815" i="2" s="1"/>
  <c r="B605" i="3"/>
  <c r="E2797" i="2"/>
  <c r="F2797" i="2" s="1"/>
  <c r="I798" i="1"/>
  <c r="B575" i="3"/>
  <c r="E2697" i="2"/>
  <c r="F2697" i="2" s="1"/>
  <c r="E2698" i="2"/>
  <c r="F2698" i="2" s="1"/>
  <c r="E2669" i="2"/>
  <c r="F2669" i="2" s="1"/>
  <c r="E2667" i="2"/>
  <c r="F2667" i="2" s="1"/>
  <c r="E2668" i="2"/>
  <c r="F2668" i="2" s="1"/>
  <c r="I766" i="1"/>
  <c r="E2615" i="2"/>
  <c r="F2615" i="2" s="1"/>
  <c r="E2616" i="2"/>
  <c r="F2616" i="2" s="1"/>
  <c r="B551" i="3"/>
  <c r="B538" i="3"/>
  <c r="E2567" i="2"/>
  <c r="F2567" i="2" s="1"/>
  <c r="E2568" i="2"/>
  <c r="F2568" i="2" s="1"/>
  <c r="E2565" i="2"/>
  <c r="F2565" i="2" s="1"/>
  <c r="E2564" i="2"/>
  <c r="F2564" i="2" s="1"/>
  <c r="B525" i="3"/>
  <c r="E2495" i="2"/>
  <c r="F2495" i="2" s="1"/>
  <c r="E2496" i="2"/>
  <c r="F2496" i="2" s="1"/>
  <c r="E2493" i="2"/>
  <c r="F2493" i="2" s="1"/>
  <c r="E2494" i="2"/>
  <c r="F2494" i="2" s="1"/>
  <c r="B517" i="3"/>
  <c r="E2464" i="2"/>
  <c r="F2464" i="2" s="1"/>
  <c r="B509" i="3"/>
  <c r="E2440" i="2"/>
  <c r="F2440" i="2" s="1"/>
  <c r="E2441" i="2"/>
  <c r="F2441" i="2" s="1"/>
  <c r="E2442" i="2"/>
  <c r="F2442" i="2" s="1"/>
  <c r="E2443" i="2"/>
  <c r="F2443" i="2" s="1"/>
  <c r="I702" i="1"/>
  <c r="B493" i="3"/>
  <c r="E2356" i="2"/>
  <c r="F2356" i="2" s="1"/>
  <c r="B477" i="3"/>
  <c r="E2293" i="2"/>
  <c r="F2293" i="2" s="1"/>
  <c r="E2292" i="2"/>
  <c r="F2292" i="2" s="1"/>
  <c r="B462" i="3"/>
  <c r="E2232" i="2"/>
  <c r="F2232" i="2" s="1"/>
  <c r="E2233" i="2"/>
  <c r="F2233" i="2" s="1"/>
  <c r="E2234" i="2"/>
  <c r="F2234" i="2" s="1"/>
  <c r="B454" i="3"/>
  <c r="E2207" i="2"/>
  <c r="F2207" i="2" s="1"/>
  <c r="E2205" i="2"/>
  <c r="F2205" i="2" s="1"/>
  <c r="E2206" i="2"/>
  <c r="F2206" i="2" s="1"/>
  <c r="I638" i="1"/>
  <c r="B430" i="3"/>
  <c r="E2114" i="2"/>
  <c r="F2114" i="2" s="1"/>
  <c r="E2117" i="2"/>
  <c r="F2117" i="2" s="1"/>
  <c r="E2116" i="2"/>
  <c r="F2116" i="2" s="1"/>
  <c r="E2115" i="2"/>
  <c r="F2115" i="2" s="1"/>
  <c r="E2081" i="2"/>
  <c r="F2081" i="2" s="1"/>
  <c r="B414" i="3"/>
  <c r="E2055" i="2"/>
  <c r="F2055" i="2" s="1"/>
  <c r="E2050" i="2"/>
  <c r="F2050" i="2" s="1"/>
  <c r="E2053" i="2"/>
  <c r="F2053" i="2" s="1"/>
  <c r="E2052" i="2"/>
  <c r="F2052" i="2" s="1"/>
  <c r="E2051" i="2"/>
  <c r="F2051" i="2" s="1"/>
  <c r="B400" i="3"/>
  <c r="E2009" i="2"/>
  <c r="F2009" i="2" s="1"/>
  <c r="E2005" i="2"/>
  <c r="F2005" i="2" s="1"/>
  <c r="E2006" i="2"/>
  <c r="F2006" i="2" s="1"/>
  <c r="E2007" i="2"/>
  <c r="F2007" i="2" s="1"/>
  <c r="E2008" i="2"/>
  <c r="F2008" i="2" s="1"/>
  <c r="B385" i="3"/>
  <c r="E1955" i="2"/>
  <c r="F1955" i="2" s="1"/>
  <c r="I574" i="1"/>
  <c r="E1898" i="2"/>
  <c r="F1898" i="2" s="1"/>
  <c r="E1899" i="2"/>
  <c r="F1899" i="2" s="1"/>
  <c r="B362" i="3"/>
  <c r="E1869" i="2"/>
  <c r="F1869" i="2" s="1"/>
  <c r="E1865" i="2"/>
  <c r="F1865" i="2" s="1"/>
  <c r="E1868" i="2"/>
  <c r="F1868" i="2" s="1"/>
  <c r="E1866" i="2"/>
  <c r="F1866" i="2" s="1"/>
  <c r="E1863" i="2"/>
  <c r="F1863" i="2" s="1"/>
  <c r="E1867" i="2"/>
  <c r="F1867" i="2" s="1"/>
  <c r="E1864" i="2"/>
  <c r="F1864" i="2" s="1"/>
  <c r="B340" i="3"/>
  <c r="E1812" i="2"/>
  <c r="F1812" i="2" s="1"/>
  <c r="E1813" i="2"/>
  <c r="F1813" i="2" s="1"/>
  <c r="B324" i="3"/>
  <c r="E1753" i="2"/>
  <c r="F1753" i="2" s="1"/>
  <c r="E1754" i="2"/>
  <c r="F1754" i="2" s="1"/>
  <c r="E1752" i="2"/>
  <c r="F1752" i="2" s="1"/>
  <c r="I510" i="1"/>
  <c r="B309" i="3"/>
  <c r="E1713" i="2"/>
  <c r="F1713" i="2" s="1"/>
  <c r="E1712" i="2"/>
  <c r="F1712" i="2" s="1"/>
  <c r="E1689" i="2"/>
  <c r="F1689" i="2" s="1"/>
  <c r="E1690" i="2"/>
  <c r="F1690" i="2" s="1"/>
  <c r="B295" i="3"/>
  <c r="E1669" i="2"/>
  <c r="F1669" i="2" s="1"/>
  <c r="E1670" i="2"/>
  <c r="F1670" i="2" s="1"/>
  <c r="E1671" i="2"/>
  <c r="F1671" i="2" s="1"/>
  <c r="B282" i="3"/>
  <c r="E1623" i="2"/>
  <c r="F1623" i="2" s="1"/>
  <c r="B266" i="3"/>
  <c r="E1582" i="2"/>
  <c r="F1582" i="2" s="1"/>
  <c r="E1585" i="2"/>
  <c r="F1585" i="2" s="1"/>
  <c r="E1584" i="2"/>
  <c r="F1584" i="2" s="1"/>
  <c r="E1583" i="2"/>
  <c r="F1583" i="2" s="1"/>
  <c r="I446" i="1"/>
  <c r="B251" i="3"/>
  <c r="E1534" i="2"/>
  <c r="F1534" i="2" s="1"/>
  <c r="B244" i="3"/>
  <c r="E1499" i="2"/>
  <c r="F1499" i="2" s="1"/>
  <c r="E1500" i="2"/>
  <c r="F1500" i="2" s="1"/>
  <c r="E1501" i="2"/>
  <c r="F1501" i="2" s="1"/>
  <c r="E1502" i="2"/>
  <c r="F1502" i="2" s="1"/>
  <c r="E1503" i="2"/>
  <c r="F1503" i="2" s="1"/>
  <c r="E1467" i="2"/>
  <c r="F1467" i="2" s="1"/>
  <c r="E1468" i="2"/>
  <c r="F1468" i="2" s="1"/>
  <c r="B236" i="3"/>
  <c r="E1465" i="2"/>
  <c r="F1465" i="2" s="1"/>
  <c r="E1466" i="2"/>
  <c r="F1466" i="2" s="1"/>
  <c r="E1419" i="2"/>
  <c r="F1419" i="2" s="1"/>
  <c r="B220" i="3"/>
  <c r="E1417" i="2"/>
  <c r="F1417" i="2" s="1"/>
  <c r="E1416" i="2"/>
  <c r="F1416" i="2" s="1"/>
  <c r="E1418" i="2"/>
  <c r="F1418" i="2" s="1"/>
  <c r="B205" i="3"/>
  <c r="E1355" i="2"/>
  <c r="F1355" i="2" s="1"/>
  <c r="E1356" i="2"/>
  <c r="F1356" i="2" s="1"/>
  <c r="E1357" i="2"/>
  <c r="F1357" i="2" s="1"/>
  <c r="E1358" i="2"/>
  <c r="F1358" i="2" s="1"/>
  <c r="E1354" i="2"/>
  <c r="F1354" i="2" s="1"/>
  <c r="E1359" i="2"/>
  <c r="F1359" i="2" s="1"/>
  <c r="I382" i="1"/>
  <c r="B189" i="3"/>
  <c r="E1307" i="2"/>
  <c r="F1307" i="2" s="1"/>
  <c r="E1304" i="2"/>
  <c r="F1304" i="2" s="1"/>
  <c r="B181" i="3"/>
  <c r="E1281" i="2"/>
  <c r="F1281" i="2" s="1"/>
  <c r="E1282" i="2"/>
  <c r="F1282" i="2" s="1"/>
  <c r="B174" i="3"/>
  <c r="E1246" i="2"/>
  <c r="F1246" i="2" s="1"/>
  <c r="E1247" i="2"/>
  <c r="F1247" i="2" s="1"/>
  <c r="B158" i="3"/>
  <c r="E1195" i="2"/>
  <c r="F1195" i="2" s="1"/>
  <c r="E1194" i="2"/>
  <c r="F1194" i="2" s="1"/>
  <c r="B143" i="3"/>
  <c r="E1147" i="2"/>
  <c r="F1147" i="2" s="1"/>
  <c r="E1148" i="2"/>
  <c r="F1148" i="2" s="1"/>
  <c r="E1149" i="2"/>
  <c r="F1149" i="2" s="1"/>
  <c r="E1150" i="2"/>
  <c r="F1150" i="2" s="1"/>
  <c r="I318" i="1"/>
  <c r="B122" i="3"/>
  <c r="E1091" i="2"/>
  <c r="F1091" i="2" s="1"/>
  <c r="E1092" i="2"/>
  <c r="F1092" i="2" s="1"/>
  <c r="E1093" i="2"/>
  <c r="F1093" i="2" s="1"/>
  <c r="E1090" i="2"/>
  <c r="F1090" i="2" s="1"/>
  <c r="E1067" i="2"/>
  <c r="F1067" i="2" s="1"/>
  <c r="B98" i="3"/>
  <c r="E1012" i="2"/>
  <c r="F1012" i="2" s="1"/>
  <c r="E1013" i="2"/>
  <c r="F1013" i="2" s="1"/>
  <c r="I254" i="1"/>
  <c r="B1090" i="3"/>
  <c r="E908" i="2"/>
  <c r="F908" i="2" s="1"/>
  <c r="E909" i="2"/>
  <c r="F909" i="2" s="1"/>
  <c r="E910" i="2"/>
  <c r="F910" i="2" s="1"/>
  <c r="E875" i="2"/>
  <c r="F875" i="2" s="1"/>
  <c r="E873" i="2"/>
  <c r="F873" i="2" s="1"/>
  <c r="E880" i="2"/>
  <c r="F880" i="2" s="1"/>
  <c r="E882" i="2"/>
  <c r="F882" i="2" s="1"/>
  <c r="B1075" i="3"/>
  <c r="E844" i="2"/>
  <c r="F844" i="2" s="1"/>
  <c r="E845" i="2"/>
  <c r="F845" i="2" s="1"/>
  <c r="E846" i="2"/>
  <c r="F846" i="2" s="1"/>
  <c r="E847" i="2"/>
  <c r="F847" i="2" s="1"/>
  <c r="E848" i="2"/>
  <c r="F848" i="2" s="1"/>
  <c r="B1062" i="3"/>
  <c r="E797" i="2"/>
  <c r="F797" i="2" s="1"/>
  <c r="E798" i="2"/>
  <c r="F798" i="2" s="1"/>
  <c r="E799" i="2"/>
  <c r="F799" i="2" s="1"/>
  <c r="E800" i="2"/>
  <c r="F800" i="2" s="1"/>
  <c r="B1046" i="3"/>
  <c r="E737" i="2"/>
  <c r="F737" i="2" s="1"/>
  <c r="E735" i="2"/>
  <c r="F735" i="2" s="1"/>
  <c r="E736" i="2"/>
  <c r="F736" i="2" s="1"/>
  <c r="E738" i="2"/>
  <c r="F738" i="2" s="1"/>
  <c r="B1038" i="3"/>
  <c r="E699" i="2"/>
  <c r="F699" i="2" s="1"/>
  <c r="E700" i="2"/>
  <c r="F700" i="2" s="1"/>
  <c r="E701" i="2"/>
  <c r="F701" i="2" s="1"/>
  <c r="E694" i="2"/>
  <c r="F694" i="2" s="1"/>
  <c r="E697" i="2"/>
  <c r="F697" i="2" s="1"/>
  <c r="E695" i="2"/>
  <c r="F695" i="2" s="1"/>
  <c r="E696" i="2"/>
  <c r="F696" i="2" s="1"/>
  <c r="E698" i="2"/>
  <c r="F698" i="2" s="1"/>
  <c r="B1030" i="3"/>
  <c r="E665" i="2"/>
  <c r="F665" i="2" s="1"/>
  <c r="E666" i="2"/>
  <c r="F666" i="2" s="1"/>
  <c r="E663" i="2"/>
  <c r="F663" i="2" s="1"/>
  <c r="E664" i="2"/>
  <c r="F664" i="2" s="1"/>
  <c r="E639" i="2"/>
  <c r="F639" i="2" s="1"/>
  <c r="B1016" i="3"/>
  <c r="E619" i="2"/>
  <c r="F619" i="2" s="1"/>
  <c r="E617" i="2"/>
  <c r="F617" i="2" s="1"/>
  <c r="E618" i="2"/>
  <c r="F618" i="2" s="1"/>
  <c r="E555" i="2"/>
  <c r="F555" i="2" s="1"/>
  <c r="B1000" i="3"/>
  <c r="E556" i="2"/>
  <c r="F556" i="2" s="1"/>
  <c r="E499" i="2"/>
  <c r="F499" i="2" s="1"/>
  <c r="E500" i="2"/>
  <c r="F500" i="2" s="1"/>
  <c r="E501" i="2"/>
  <c r="F501" i="2" s="1"/>
  <c r="B984" i="3"/>
  <c r="E498" i="2"/>
  <c r="F498" i="2" s="1"/>
  <c r="B78" i="3"/>
  <c r="E478" i="2"/>
  <c r="F478" i="2" s="1"/>
  <c r="E443" i="2"/>
  <c r="F443" i="2" s="1"/>
  <c r="E444" i="2"/>
  <c r="F444" i="2" s="1"/>
  <c r="E441" i="2"/>
  <c r="F441" i="2" s="1"/>
  <c r="E442" i="2"/>
  <c r="F442" i="2" s="1"/>
  <c r="B972" i="3"/>
  <c r="B958" i="3"/>
  <c r="E379" i="2"/>
  <c r="F379" i="2" s="1"/>
  <c r="E380" i="2"/>
  <c r="F380" i="2" s="1"/>
  <c r="E377" i="2"/>
  <c r="F377" i="2" s="1"/>
  <c r="E378" i="2"/>
  <c r="F378" i="2" s="1"/>
  <c r="B942" i="3"/>
  <c r="E323" i="2"/>
  <c r="F323" i="2" s="1"/>
  <c r="E324" i="2"/>
  <c r="F324" i="2" s="1"/>
  <c r="E325" i="2"/>
  <c r="F325" i="2" s="1"/>
  <c r="E326" i="2"/>
  <c r="F326" i="2" s="1"/>
  <c r="B929" i="3"/>
  <c r="E260" i="2"/>
  <c r="F260" i="2" s="1"/>
  <c r="E261" i="2"/>
  <c r="F261" i="2" s="1"/>
  <c r="E262" i="2"/>
  <c r="F262" i="2" s="1"/>
  <c r="E265" i="2"/>
  <c r="F265" i="2" s="1"/>
  <c r="E263" i="2"/>
  <c r="F263" i="2" s="1"/>
  <c r="E264" i="2"/>
  <c r="F264" i="2" s="1"/>
  <c r="B922" i="3"/>
  <c r="E233" i="2"/>
  <c r="F233" i="2" s="1"/>
  <c r="E234" i="2"/>
  <c r="F234" i="2" s="1"/>
  <c r="E231" i="2"/>
  <c r="F231" i="2" s="1"/>
  <c r="E232" i="2"/>
  <c r="F232" i="2" s="1"/>
  <c r="B916" i="3"/>
  <c r="E206" i="2"/>
  <c r="F206" i="2" s="1"/>
  <c r="E207" i="2"/>
  <c r="F207" i="2" s="1"/>
  <c r="E169" i="2"/>
  <c r="F169" i="2" s="1"/>
  <c r="E168" i="2"/>
  <c r="F168" i="2" s="1"/>
  <c r="B903" i="3"/>
  <c r="E137" i="2"/>
  <c r="F137" i="2" s="1"/>
  <c r="E136" i="2"/>
  <c r="F136" i="2" s="1"/>
  <c r="E138" i="2"/>
  <c r="F138" i="2" s="1"/>
  <c r="E83" i="2"/>
  <c r="F83" i="2" s="1"/>
  <c r="E84" i="2"/>
  <c r="F84" i="2" s="1"/>
  <c r="E85" i="2"/>
  <c r="F85" i="2" s="1"/>
  <c r="E86" i="2"/>
  <c r="F86" i="2" s="1"/>
  <c r="B871" i="3"/>
  <c r="B877" i="3"/>
  <c r="E27" i="2"/>
  <c r="F27" i="2" s="1"/>
  <c r="E25" i="2"/>
  <c r="F25" i="2" s="1"/>
  <c r="E26" i="2"/>
  <c r="F26" i="2" s="1"/>
  <c r="E24" i="2"/>
  <c r="F24" i="2" s="1"/>
  <c r="I1132" i="1"/>
  <c r="I1113" i="1"/>
  <c r="I1068" i="1"/>
  <c r="I1049" i="1"/>
  <c r="I1004" i="1"/>
  <c r="I985" i="1"/>
  <c r="I940" i="1"/>
  <c r="I921" i="1"/>
  <c r="I876" i="1"/>
  <c r="I857" i="1"/>
  <c r="I812" i="1"/>
  <c r="I793" i="1"/>
  <c r="I729" i="1"/>
  <c r="I665" i="1"/>
  <c r="I620" i="1"/>
  <c r="I601" i="1"/>
  <c r="I556" i="1"/>
  <c r="I537" i="1"/>
  <c r="I492" i="1"/>
  <c r="I473" i="1"/>
  <c r="I428" i="1"/>
  <c r="I409" i="1"/>
  <c r="I364" i="1"/>
  <c r="I345" i="1"/>
  <c r="I300" i="1"/>
  <c r="I281" i="1"/>
  <c r="I236" i="1"/>
  <c r="I217" i="1"/>
  <c r="I172" i="1"/>
  <c r="I153" i="1"/>
  <c r="I108" i="1"/>
  <c r="I89" i="1"/>
  <c r="I44" i="1"/>
  <c r="I25" i="1"/>
  <c r="E3270" i="2"/>
  <c r="F3270" i="2" s="1"/>
  <c r="E3100" i="2"/>
  <c r="F3100" i="2" s="1"/>
  <c r="E3014" i="2"/>
  <c r="F3014" i="2" s="1"/>
  <c r="E2844" i="2"/>
  <c r="F2844" i="2" s="1"/>
  <c r="E2675" i="2"/>
  <c r="F2675" i="2" s="1"/>
  <c r="B867" i="3"/>
  <c r="E3930" i="2"/>
  <c r="F3930" i="2" s="1"/>
  <c r="E3933" i="2"/>
  <c r="F3933" i="2" s="1"/>
  <c r="E3931" i="2"/>
  <c r="F3931" i="2" s="1"/>
  <c r="E3934" i="2"/>
  <c r="F3934" i="2" s="1"/>
  <c r="E3791" i="2"/>
  <c r="F3791" i="2" s="1"/>
  <c r="E3790" i="2"/>
  <c r="F3790" i="2" s="1"/>
  <c r="E3787" i="2"/>
  <c r="F3787" i="2" s="1"/>
  <c r="B827" i="3"/>
  <c r="E3643" i="2"/>
  <c r="F3643" i="2" s="1"/>
  <c r="E3644" i="2"/>
  <c r="F3644" i="2" s="1"/>
  <c r="B785" i="3"/>
  <c r="E3501" i="2"/>
  <c r="F3501" i="2" s="1"/>
  <c r="B732" i="3"/>
  <c r="E3313" i="2"/>
  <c r="F3313" i="2" s="1"/>
  <c r="E3314" i="2"/>
  <c r="F3314" i="2" s="1"/>
  <c r="E3317" i="2"/>
  <c r="F3317" i="2" s="1"/>
  <c r="E3316" i="2"/>
  <c r="F3316" i="2" s="1"/>
  <c r="B700" i="3"/>
  <c r="E3159" i="2"/>
  <c r="F3159" i="2" s="1"/>
  <c r="E3160" i="2"/>
  <c r="F3160" i="2" s="1"/>
  <c r="E3157" i="2"/>
  <c r="F3157" i="2" s="1"/>
  <c r="E3156" i="2"/>
  <c r="F3156" i="2" s="1"/>
  <c r="E3158" i="2"/>
  <c r="F3158" i="2" s="1"/>
  <c r="B584" i="3"/>
  <c r="E2730" i="2"/>
  <c r="F2730" i="2" s="1"/>
  <c r="B545" i="3"/>
  <c r="E2591" i="2"/>
  <c r="F2591" i="2" s="1"/>
  <c r="B518" i="3"/>
  <c r="B470" i="3"/>
  <c r="E2263" i="2"/>
  <c r="F2263" i="2" s="1"/>
  <c r="I1157" i="1"/>
  <c r="I1125" i="1"/>
  <c r="I1085" i="1"/>
  <c r="I1061" i="1"/>
  <c r="I1029" i="1"/>
  <c r="I1005" i="1"/>
  <c r="I957" i="1"/>
  <c r="I933" i="1"/>
  <c r="I893" i="1"/>
  <c r="I869" i="1"/>
  <c r="I837" i="1"/>
  <c r="B604" i="3"/>
  <c r="E2586" i="2"/>
  <c r="F2586" i="2" s="1"/>
  <c r="E2587" i="2"/>
  <c r="F2587" i="2" s="1"/>
  <c r="B516" i="3"/>
  <c r="E2463" i="2"/>
  <c r="F2463" i="2" s="1"/>
  <c r="E2462" i="2"/>
  <c r="F2462" i="2" s="1"/>
  <c r="B492" i="3"/>
  <c r="E2352" i="2"/>
  <c r="F2352" i="2" s="1"/>
  <c r="E2353" i="2"/>
  <c r="F2353" i="2" s="1"/>
  <c r="E2354" i="2"/>
  <c r="F2354" i="2" s="1"/>
  <c r="B453" i="3"/>
  <c r="E2201" i="2"/>
  <c r="F2201" i="2" s="1"/>
  <c r="E2202" i="2"/>
  <c r="F2202" i="2" s="1"/>
  <c r="E2203" i="2"/>
  <c r="F2203" i="2" s="1"/>
  <c r="B429" i="3"/>
  <c r="E2111" i="2"/>
  <c r="F2111" i="2" s="1"/>
  <c r="E2112" i="2"/>
  <c r="F2112" i="2" s="1"/>
  <c r="E2113" i="2"/>
  <c r="F2113" i="2" s="1"/>
  <c r="B413" i="3"/>
  <c r="E2047" i="2"/>
  <c r="F2047" i="2" s="1"/>
  <c r="E2048" i="2"/>
  <c r="F2048" i="2" s="1"/>
  <c r="E2049" i="2"/>
  <c r="F2049" i="2" s="1"/>
  <c r="E2046" i="2"/>
  <c r="F2046" i="2" s="1"/>
  <c r="B392" i="3"/>
  <c r="E1980" i="2"/>
  <c r="F1980" i="2" s="1"/>
  <c r="E1983" i="2"/>
  <c r="F1983" i="2" s="1"/>
  <c r="E1982" i="2"/>
  <c r="F1982" i="2" s="1"/>
  <c r="E1981" i="2"/>
  <c r="F1981" i="2" s="1"/>
  <c r="B369" i="3"/>
  <c r="E1894" i="2"/>
  <c r="F1894" i="2" s="1"/>
  <c r="E1897" i="2"/>
  <c r="F1897" i="2" s="1"/>
  <c r="E1895" i="2"/>
  <c r="F1895" i="2" s="1"/>
  <c r="E1896" i="2"/>
  <c r="F1896" i="2" s="1"/>
  <c r="B347" i="3"/>
  <c r="E1833" i="2"/>
  <c r="F1833" i="2" s="1"/>
  <c r="E1831" i="2"/>
  <c r="F1831" i="2" s="1"/>
  <c r="E1780" i="2"/>
  <c r="F1780" i="2" s="1"/>
  <c r="E1781" i="2"/>
  <c r="F1781" i="2" s="1"/>
  <c r="E1777" i="2"/>
  <c r="F1777" i="2" s="1"/>
  <c r="E1776" i="2"/>
  <c r="F1776" i="2" s="1"/>
  <c r="E1778" i="2"/>
  <c r="F1778" i="2" s="1"/>
  <c r="E1779" i="2"/>
  <c r="F1779" i="2" s="1"/>
  <c r="B331" i="3"/>
  <c r="E1733" i="2"/>
  <c r="F1733" i="2" s="1"/>
  <c r="B294" i="3"/>
  <c r="E1668" i="2"/>
  <c r="F1668" i="2" s="1"/>
  <c r="E1666" i="2"/>
  <c r="F1666" i="2" s="1"/>
  <c r="E1667" i="2"/>
  <c r="F1667" i="2" s="1"/>
  <c r="B273" i="3"/>
  <c r="E1601" i="2"/>
  <c r="F1601" i="2" s="1"/>
  <c r="E1600" i="2"/>
  <c r="F1600" i="2" s="1"/>
  <c r="E1602" i="2"/>
  <c r="F1602" i="2" s="1"/>
  <c r="E1599" i="2"/>
  <c r="F1599" i="2" s="1"/>
  <c r="E1531" i="2"/>
  <c r="F1531" i="2" s="1"/>
  <c r="E1533" i="2"/>
  <c r="F1533" i="2" s="1"/>
  <c r="E1529" i="2"/>
  <c r="F1529" i="2" s="1"/>
  <c r="B219" i="3"/>
  <c r="E1414" i="2"/>
  <c r="F1414" i="2" s="1"/>
  <c r="E1415" i="2"/>
  <c r="F1415" i="2" s="1"/>
  <c r="B196" i="3"/>
  <c r="E1326" i="2"/>
  <c r="F1326" i="2" s="1"/>
  <c r="B173" i="3"/>
  <c r="E1244" i="2"/>
  <c r="F1244" i="2" s="1"/>
  <c r="E1245" i="2"/>
  <c r="F1245" i="2" s="1"/>
  <c r="B121" i="3"/>
  <c r="E1085" i="2"/>
  <c r="F1085" i="2" s="1"/>
  <c r="E1086" i="2"/>
  <c r="F1086" i="2" s="1"/>
  <c r="E1089" i="2"/>
  <c r="F1089" i="2" s="1"/>
  <c r="E1088" i="2"/>
  <c r="F1088" i="2" s="1"/>
  <c r="E1087" i="2"/>
  <c r="F1087" i="2" s="1"/>
  <c r="B97" i="3"/>
  <c r="E1011" i="2"/>
  <c r="F1011" i="2" s="1"/>
  <c r="E1010" i="2"/>
  <c r="F1010" i="2" s="1"/>
  <c r="E947" i="2"/>
  <c r="F947" i="2" s="1"/>
  <c r="E941" i="2"/>
  <c r="F941" i="2" s="1"/>
  <c r="E942" i="2"/>
  <c r="F942" i="2" s="1"/>
  <c r="E945" i="2"/>
  <c r="F945" i="2" s="1"/>
  <c r="E944" i="2"/>
  <c r="F944" i="2" s="1"/>
  <c r="E946" i="2"/>
  <c r="F946" i="2" s="1"/>
  <c r="E943" i="2"/>
  <c r="F943" i="2" s="1"/>
  <c r="I237" i="1"/>
  <c r="B1061" i="3"/>
  <c r="E795" i="2"/>
  <c r="F795" i="2" s="1"/>
  <c r="E796" i="2"/>
  <c r="F796" i="2" s="1"/>
  <c r="E793" i="2"/>
  <c r="F793" i="2" s="1"/>
  <c r="E794" i="2"/>
  <c r="F794" i="2" s="1"/>
  <c r="I109" i="1"/>
  <c r="I93" i="1"/>
  <c r="B902" i="3"/>
  <c r="E135" i="2"/>
  <c r="F135" i="2" s="1"/>
  <c r="E43" i="2"/>
  <c r="F43" i="2" s="1"/>
  <c r="E44" i="2"/>
  <c r="F44" i="2" s="1"/>
  <c r="B882" i="3"/>
  <c r="E45" i="2"/>
  <c r="F45" i="2" s="1"/>
  <c r="E46" i="2"/>
  <c r="F46" i="2" s="1"/>
  <c r="E42" i="2"/>
  <c r="F42" i="2" s="1"/>
  <c r="E47" i="2"/>
  <c r="F47" i="2" s="1"/>
  <c r="I1130" i="1"/>
  <c r="I1066" i="1"/>
  <c r="I1002" i="1"/>
  <c r="B621" i="3"/>
  <c r="E2850" i="2"/>
  <c r="F2850" i="2" s="1"/>
  <c r="B504" i="3"/>
  <c r="E2421" i="2"/>
  <c r="F2421" i="2" s="1"/>
  <c r="E2420" i="2"/>
  <c r="F2420" i="2" s="1"/>
  <c r="I660" i="1"/>
  <c r="I618" i="1"/>
  <c r="I554" i="1"/>
  <c r="I490" i="1"/>
  <c r="I426" i="1"/>
  <c r="I362" i="1"/>
  <c r="I298" i="1"/>
  <c r="I234" i="1"/>
  <c r="I212" i="1"/>
  <c r="I170" i="1"/>
  <c r="I106" i="1"/>
  <c r="I42" i="1"/>
  <c r="B788" i="3"/>
  <c r="E3511" i="2"/>
  <c r="F3511" i="2" s="1"/>
  <c r="B556" i="3"/>
  <c r="E2631" i="2"/>
  <c r="F2631" i="2" s="1"/>
  <c r="E2632" i="2"/>
  <c r="F2632" i="2" s="1"/>
  <c r="E2633" i="2"/>
  <c r="F2633" i="2" s="1"/>
  <c r="B393" i="3"/>
  <c r="E1985" i="2"/>
  <c r="F1985" i="2" s="1"/>
  <c r="E1986" i="2"/>
  <c r="F1986" i="2" s="1"/>
  <c r="B151" i="3"/>
  <c r="E1171" i="2"/>
  <c r="F1171" i="2" s="1"/>
  <c r="E1172" i="2"/>
  <c r="F1172" i="2" s="1"/>
  <c r="E1173" i="2"/>
  <c r="F1173" i="2" s="1"/>
  <c r="E1169" i="2"/>
  <c r="F1169" i="2" s="1"/>
  <c r="E1168" i="2"/>
  <c r="F1168" i="2" s="1"/>
  <c r="E1170" i="2"/>
  <c r="F1170" i="2" s="1"/>
  <c r="E293" i="2"/>
  <c r="F293" i="2" s="1"/>
  <c r="E294" i="2"/>
  <c r="F294" i="2" s="1"/>
  <c r="B936" i="3"/>
  <c r="E295" i="2"/>
  <c r="F295" i="2" s="1"/>
  <c r="E2572" i="2"/>
  <c r="F2572" i="2" s="1"/>
  <c r="I1148" i="1"/>
  <c r="I1129" i="1"/>
  <c r="I1106" i="1"/>
  <c r="I1084" i="1"/>
  <c r="I1065" i="1"/>
  <c r="I1042" i="1"/>
  <c r="I1020" i="1"/>
  <c r="E3512" i="2" s="1"/>
  <c r="F3512" i="2" s="1"/>
  <c r="I1001" i="1"/>
  <c r="I978" i="1"/>
  <c r="I956" i="1"/>
  <c r="I937" i="1"/>
  <c r="I914" i="1"/>
  <c r="I892" i="1"/>
  <c r="I873" i="1"/>
  <c r="I850" i="1"/>
  <c r="I828" i="1"/>
  <c r="I809" i="1"/>
  <c r="I786" i="1"/>
  <c r="I764" i="1"/>
  <c r="I745" i="1"/>
  <c r="I722" i="1"/>
  <c r="I681" i="1"/>
  <c r="I658" i="1"/>
  <c r="I636" i="1"/>
  <c r="I617" i="1"/>
  <c r="I594" i="1"/>
  <c r="I572" i="1"/>
  <c r="I553" i="1"/>
  <c r="I530" i="1"/>
  <c r="I508" i="1"/>
  <c r="I489" i="1"/>
  <c r="I466" i="1"/>
  <c r="I444" i="1"/>
  <c r="I425" i="1"/>
  <c r="I402" i="1"/>
  <c r="I380" i="1"/>
  <c r="I361" i="1"/>
  <c r="I338" i="1"/>
  <c r="I316" i="1"/>
  <c r="I297" i="1"/>
  <c r="I274" i="1"/>
  <c r="I252" i="1"/>
  <c r="I233" i="1"/>
  <c r="E781" i="2"/>
  <c r="F781" i="2" s="1"/>
  <c r="E782" i="2"/>
  <c r="F782" i="2" s="1"/>
  <c r="B1058" i="3"/>
  <c r="E783" i="2"/>
  <c r="F783" i="2" s="1"/>
  <c r="E784" i="2"/>
  <c r="F784" i="2" s="1"/>
  <c r="I188" i="1"/>
  <c r="I169" i="1"/>
  <c r="I124" i="1"/>
  <c r="I105" i="1"/>
  <c r="B938" i="3"/>
  <c r="E308" i="2"/>
  <c r="F308" i="2" s="1"/>
  <c r="E309" i="2"/>
  <c r="F309" i="2" s="1"/>
  <c r="I60" i="1"/>
  <c r="I41" i="1"/>
  <c r="B887" i="3"/>
  <c r="E69" i="2"/>
  <c r="F69" i="2" s="1"/>
  <c r="E70" i="2"/>
  <c r="F70" i="2" s="1"/>
  <c r="E71" i="2"/>
  <c r="F71" i="2" s="1"/>
  <c r="E72" i="2"/>
  <c r="F72" i="2" s="1"/>
  <c r="B689" i="3"/>
  <c r="E3112" i="2"/>
  <c r="F3112" i="2" s="1"/>
  <c r="E3113" i="2"/>
  <c r="F3113" i="2" s="1"/>
  <c r="B654" i="3"/>
  <c r="E2971" i="2"/>
  <c r="F2971" i="2" s="1"/>
  <c r="B459" i="3"/>
  <c r="E2223" i="2"/>
  <c r="F2223" i="2" s="1"/>
  <c r="E2224" i="2"/>
  <c r="F2224" i="2" s="1"/>
  <c r="E2221" i="2"/>
  <c r="F2221" i="2" s="1"/>
  <c r="E2222" i="2"/>
  <c r="F2222" i="2" s="1"/>
  <c r="E2220" i="2"/>
  <c r="F2220" i="2" s="1"/>
  <c r="B390" i="3"/>
  <c r="E1969" i="2"/>
  <c r="F1969" i="2" s="1"/>
  <c r="E1970" i="2"/>
  <c r="F1970" i="2" s="1"/>
  <c r="E1971" i="2"/>
  <c r="F1971" i="2" s="1"/>
  <c r="E1972" i="2"/>
  <c r="F1972" i="2" s="1"/>
  <c r="E1973" i="2"/>
  <c r="F1973" i="2" s="1"/>
  <c r="B148" i="3"/>
  <c r="E1163" i="2"/>
  <c r="F1163" i="2" s="1"/>
  <c r="E1164" i="2"/>
  <c r="F1164" i="2" s="1"/>
  <c r="E588" i="2"/>
  <c r="F588" i="2" s="1"/>
  <c r="B1008" i="3"/>
  <c r="E586" i="2"/>
  <c r="F586" i="2" s="1"/>
  <c r="B933" i="3"/>
  <c r="E283" i="2"/>
  <c r="F283" i="2" s="1"/>
  <c r="E281" i="2"/>
  <c r="F281" i="2" s="1"/>
  <c r="E282" i="2"/>
  <c r="F282" i="2" s="1"/>
  <c r="E280" i="2"/>
  <c r="F280" i="2" s="1"/>
  <c r="E3932" i="2"/>
  <c r="F3932" i="2" s="1"/>
  <c r="E3251" i="2"/>
  <c r="F3251" i="2" s="1"/>
  <c r="E1832" i="2"/>
  <c r="F1832" i="2" s="1"/>
  <c r="E423" i="2"/>
  <c r="F423" i="2" s="1"/>
  <c r="I1155" i="1"/>
  <c r="I1139" i="1"/>
  <c r="I1131" i="1"/>
  <c r="I1123" i="1"/>
  <c r="I1115" i="1"/>
  <c r="I1107" i="1"/>
  <c r="E3799" i="2" s="1"/>
  <c r="F3799" i="2" s="1"/>
  <c r="I1091" i="1"/>
  <c r="I1075" i="1"/>
  <c r="I1067" i="1"/>
  <c r="I1059" i="1"/>
  <c r="I1051" i="1"/>
  <c r="I1043" i="1"/>
  <c r="I1027" i="1"/>
  <c r="I1011" i="1"/>
  <c r="I1003" i="1"/>
  <c r="I995" i="1"/>
  <c r="I987" i="1"/>
  <c r="I979" i="1"/>
  <c r="I963" i="1"/>
  <c r="I947" i="1"/>
  <c r="I939" i="1"/>
  <c r="I931" i="1"/>
  <c r="I923" i="1"/>
  <c r="I915" i="1"/>
  <c r="I899" i="1"/>
  <c r="I883" i="1"/>
  <c r="I875" i="1"/>
  <c r="I867" i="1"/>
  <c r="I859" i="1"/>
  <c r="I851" i="1"/>
  <c r="I835" i="1"/>
  <c r="I819" i="1"/>
  <c r="I811" i="1"/>
  <c r="I803" i="1"/>
  <c r="I795" i="1"/>
  <c r="I787" i="1"/>
  <c r="I771" i="1"/>
  <c r="I755" i="1"/>
  <c r="I747" i="1"/>
  <c r="I731" i="1"/>
  <c r="I715" i="1"/>
  <c r="I707" i="1"/>
  <c r="I699" i="1"/>
  <c r="I691" i="1"/>
  <c r="I683" i="1"/>
  <c r="I667" i="1"/>
  <c r="I651" i="1"/>
  <c r="I643" i="1"/>
  <c r="I627" i="1"/>
  <c r="I619" i="1"/>
  <c r="I611" i="1"/>
  <c r="I603" i="1"/>
  <c r="I595" i="1"/>
  <c r="I579" i="1"/>
  <c r="I563" i="1"/>
  <c r="I555" i="1"/>
  <c r="E1859" i="2" s="1"/>
  <c r="F1859" i="2" s="1"/>
  <c r="I547" i="1"/>
  <c r="I539" i="1"/>
  <c r="I531" i="1"/>
  <c r="I515" i="1"/>
  <c r="I499" i="1"/>
  <c r="I491" i="1"/>
  <c r="I483" i="1"/>
  <c r="I475" i="1"/>
  <c r="I467" i="1"/>
  <c r="I451" i="1"/>
  <c r="I435" i="1"/>
  <c r="I427" i="1"/>
  <c r="I419" i="1"/>
  <c r="I411" i="1"/>
  <c r="I403" i="1"/>
  <c r="I387" i="1"/>
  <c r="I371" i="1"/>
  <c r="I363" i="1"/>
  <c r="I355" i="1"/>
  <c r="I347" i="1"/>
  <c r="I339" i="1"/>
  <c r="I323" i="1"/>
  <c r="I307" i="1"/>
  <c r="I299" i="1"/>
  <c r="I291" i="1"/>
  <c r="I283" i="1"/>
  <c r="I275" i="1"/>
  <c r="I259" i="1"/>
  <c r="I243" i="1"/>
  <c r="I235" i="1"/>
  <c r="B1072" i="3"/>
  <c r="B1065" i="3"/>
  <c r="E813" i="2"/>
  <c r="F813" i="2" s="1"/>
  <c r="E814" i="2"/>
  <c r="F814" i="2" s="1"/>
  <c r="I211" i="1"/>
  <c r="I195" i="1"/>
  <c r="I179" i="1"/>
  <c r="I171" i="1"/>
  <c r="B1013" i="3"/>
  <c r="E606" i="2"/>
  <c r="F606" i="2" s="1"/>
  <c r="E609" i="2"/>
  <c r="F609" i="2" s="1"/>
  <c r="E607" i="2"/>
  <c r="F607" i="2" s="1"/>
  <c r="E608" i="2"/>
  <c r="F608" i="2" s="1"/>
  <c r="B1005" i="3"/>
  <c r="E572" i="2"/>
  <c r="F572" i="2" s="1"/>
  <c r="E573" i="2"/>
  <c r="F573" i="2" s="1"/>
  <c r="E574" i="2"/>
  <c r="F574" i="2" s="1"/>
  <c r="E576" i="2"/>
  <c r="F576" i="2" s="1"/>
  <c r="E575" i="2"/>
  <c r="F575" i="2" s="1"/>
  <c r="I147" i="1"/>
  <c r="I131" i="1"/>
  <c r="I115" i="1"/>
  <c r="I107" i="1"/>
  <c r="E369" i="2"/>
  <c r="F369" i="2" s="1"/>
  <c r="E367" i="2"/>
  <c r="F367" i="2" s="1"/>
  <c r="I91" i="1"/>
  <c r="I83" i="1"/>
  <c r="I67" i="1"/>
  <c r="I51" i="1"/>
  <c r="I43" i="1"/>
  <c r="B900" i="3"/>
  <c r="E131" i="2"/>
  <c r="F131" i="2" s="1"/>
  <c r="E126" i="2"/>
  <c r="F126" i="2" s="1"/>
  <c r="E129" i="2"/>
  <c r="F129" i="2" s="1"/>
  <c r="E128" i="2"/>
  <c r="F128" i="2" s="1"/>
  <c r="E127" i="2"/>
  <c r="F127" i="2" s="1"/>
  <c r="I27" i="1"/>
  <c r="I19" i="1"/>
  <c r="I3" i="1"/>
  <c r="I1124" i="1"/>
  <c r="I1105" i="1"/>
  <c r="E3797" i="2" s="1"/>
  <c r="F3797" i="2" s="1"/>
  <c r="I1060" i="1"/>
  <c r="I1041" i="1"/>
  <c r="I996" i="1"/>
  <c r="I977" i="1"/>
  <c r="I932" i="1"/>
  <c r="I913" i="1"/>
  <c r="I868" i="1"/>
  <c r="I849" i="1"/>
  <c r="I804" i="1"/>
  <c r="I785" i="1"/>
  <c r="I740" i="1"/>
  <c r="I721" i="1"/>
  <c r="I676" i="1"/>
  <c r="I657" i="1"/>
  <c r="I593" i="1"/>
  <c r="I529" i="1"/>
  <c r="I465" i="1"/>
  <c r="I401" i="1"/>
  <c r="I337" i="1"/>
  <c r="I273" i="1"/>
  <c r="B1057" i="3"/>
  <c r="E779" i="2"/>
  <c r="F779" i="2" s="1"/>
  <c r="E780" i="2"/>
  <c r="F780" i="2" s="1"/>
  <c r="E778" i="2"/>
  <c r="F778" i="2" s="1"/>
  <c r="B995" i="3"/>
  <c r="E539" i="2"/>
  <c r="F539" i="2" s="1"/>
  <c r="E540" i="2"/>
  <c r="F540" i="2" s="1"/>
  <c r="E541" i="2"/>
  <c r="F541" i="2" s="1"/>
  <c r="E542" i="2"/>
  <c r="F542" i="2" s="1"/>
  <c r="E537" i="2"/>
  <c r="F537" i="2" s="1"/>
  <c r="E538" i="2"/>
  <c r="F538" i="2" s="1"/>
  <c r="E536" i="2"/>
  <c r="F536" i="2" s="1"/>
  <c r="B937" i="3"/>
  <c r="E307" i="2"/>
  <c r="F307" i="2" s="1"/>
  <c r="E305" i="2"/>
  <c r="F305" i="2" s="1"/>
  <c r="E304" i="2"/>
  <c r="F304" i="2" s="1"/>
  <c r="E306" i="2"/>
  <c r="F306" i="2" s="1"/>
  <c r="B886" i="3"/>
  <c r="E67" i="2"/>
  <c r="F67" i="2" s="1"/>
  <c r="E68" i="2"/>
  <c r="F68" i="2" s="1"/>
  <c r="E65" i="2"/>
  <c r="F65" i="2" s="1"/>
  <c r="E66" i="2"/>
  <c r="F66" i="2" s="1"/>
  <c r="E1624" i="2"/>
  <c r="F1624" i="2" s="1"/>
  <c r="B70" i="3"/>
  <c r="E3895" i="2"/>
  <c r="F3895" i="2" s="1"/>
  <c r="E3896" i="2"/>
  <c r="F3896" i="2" s="1"/>
  <c r="E3897" i="2"/>
  <c r="F3897" i="2" s="1"/>
  <c r="B44" i="3"/>
  <c r="E3809" i="2"/>
  <c r="F3809" i="2" s="1"/>
  <c r="B31" i="3"/>
  <c r="E3737" i="2"/>
  <c r="F3737" i="2" s="1"/>
  <c r="B811" i="3"/>
  <c r="E3586" i="2"/>
  <c r="F3586" i="2" s="1"/>
  <c r="E3587" i="2"/>
  <c r="F3587" i="2" s="1"/>
  <c r="B797" i="3"/>
  <c r="E3535" i="2"/>
  <c r="F3535" i="2" s="1"/>
  <c r="E3536" i="2"/>
  <c r="F3536" i="2" s="1"/>
  <c r="E3537" i="2"/>
  <c r="F3537" i="2" s="1"/>
  <c r="E3533" i="2"/>
  <c r="F3533" i="2" s="1"/>
  <c r="E3534" i="2"/>
  <c r="F3534" i="2" s="1"/>
  <c r="E3442" i="2"/>
  <c r="F3442" i="2" s="1"/>
  <c r="B771" i="3"/>
  <c r="E3444" i="2"/>
  <c r="F3444" i="2" s="1"/>
  <c r="B740" i="3"/>
  <c r="E3343" i="2"/>
  <c r="F3343" i="2" s="1"/>
  <c r="E3341" i="2"/>
  <c r="F3341" i="2" s="1"/>
  <c r="E3342" i="2"/>
  <c r="F3342" i="2" s="1"/>
  <c r="B678" i="3"/>
  <c r="E3071" i="2"/>
  <c r="F3071" i="2" s="1"/>
  <c r="E3072" i="2"/>
  <c r="F3072" i="2" s="1"/>
  <c r="E3073" i="2"/>
  <c r="F3073" i="2" s="1"/>
  <c r="E3069" i="2"/>
  <c r="F3069" i="2" s="1"/>
  <c r="E3068" i="2"/>
  <c r="F3068" i="2" s="1"/>
  <c r="E3070" i="2"/>
  <c r="F3070" i="2" s="1"/>
  <c r="B627" i="3"/>
  <c r="E2873" i="2"/>
  <c r="F2873" i="2" s="1"/>
  <c r="E2874" i="2"/>
  <c r="F2874" i="2" s="1"/>
  <c r="E2875" i="2"/>
  <c r="F2875" i="2" s="1"/>
  <c r="E2876" i="2"/>
  <c r="F2876" i="2" s="1"/>
  <c r="B560" i="3"/>
  <c r="E2647" i="2"/>
  <c r="F2647" i="2" s="1"/>
  <c r="E2648" i="2"/>
  <c r="F2648" i="2" s="1"/>
  <c r="E2645" i="2"/>
  <c r="F2645" i="2" s="1"/>
  <c r="E2646" i="2"/>
  <c r="F2646" i="2" s="1"/>
  <c r="E2535" i="2"/>
  <c r="F2535" i="2" s="1"/>
  <c r="E2536" i="2"/>
  <c r="F2536" i="2" s="1"/>
  <c r="E2537" i="2"/>
  <c r="F2537" i="2" s="1"/>
  <c r="B502" i="3"/>
  <c r="E2407" i="2"/>
  <c r="F2407" i="2" s="1"/>
  <c r="E2408" i="2"/>
  <c r="F2408" i="2" s="1"/>
  <c r="E2409" i="2"/>
  <c r="F2409" i="2" s="1"/>
  <c r="E2410" i="2"/>
  <c r="F2410" i="2" s="1"/>
  <c r="E2405" i="2"/>
  <c r="F2405" i="2" s="1"/>
  <c r="E2413" i="2"/>
  <c r="F2413" i="2" s="1"/>
  <c r="E2404" i="2"/>
  <c r="F2404" i="2" s="1"/>
  <c r="E2406" i="2"/>
  <c r="F2406" i="2" s="1"/>
  <c r="E2411" i="2"/>
  <c r="F2411" i="2" s="1"/>
  <c r="E2414" i="2"/>
  <c r="F2414" i="2" s="1"/>
  <c r="E2412" i="2"/>
  <c r="F2412" i="2" s="1"/>
  <c r="B463" i="3"/>
  <c r="E2235" i="2"/>
  <c r="F2235" i="2" s="1"/>
  <c r="I1149" i="1"/>
  <c r="I1133" i="1"/>
  <c r="I1109" i="1"/>
  <c r="I1077" i="1"/>
  <c r="I1045" i="1"/>
  <c r="I1013" i="1"/>
  <c r="I981" i="1"/>
  <c r="I965" i="1"/>
  <c r="I941" i="1"/>
  <c r="I917" i="1"/>
  <c r="I885" i="1"/>
  <c r="I853" i="1"/>
  <c r="I829" i="1"/>
  <c r="B596" i="3"/>
  <c r="E2770" i="2"/>
  <c r="F2770" i="2" s="1"/>
  <c r="E2771" i="2"/>
  <c r="F2771" i="2" s="1"/>
  <c r="B566" i="3"/>
  <c r="E2666" i="2"/>
  <c r="F2666" i="2" s="1"/>
  <c r="B550" i="3"/>
  <c r="E2613" i="2"/>
  <c r="F2613" i="2" s="1"/>
  <c r="B532" i="3"/>
  <c r="E2527" i="2"/>
  <c r="F2527" i="2" s="1"/>
  <c r="E2528" i="2"/>
  <c r="F2528" i="2" s="1"/>
  <c r="E2529" i="2"/>
  <c r="F2529" i="2" s="1"/>
  <c r="E2530" i="2"/>
  <c r="F2530" i="2" s="1"/>
  <c r="E2525" i="2"/>
  <c r="F2525" i="2" s="1"/>
  <c r="E2523" i="2"/>
  <c r="F2523" i="2" s="1"/>
  <c r="E2526" i="2"/>
  <c r="F2526" i="2" s="1"/>
  <c r="E2322" i="2"/>
  <c r="F2322" i="2" s="1"/>
  <c r="E2323" i="2"/>
  <c r="F2323" i="2" s="1"/>
  <c r="E2324" i="2"/>
  <c r="F2324" i="2" s="1"/>
  <c r="B468" i="3"/>
  <c r="E2257" i="2"/>
  <c r="F2257" i="2" s="1"/>
  <c r="E2143" i="2"/>
  <c r="F2143" i="2" s="1"/>
  <c r="E2145" i="2"/>
  <c r="F2145" i="2" s="1"/>
  <c r="E2146" i="2"/>
  <c r="F2146" i="2" s="1"/>
  <c r="B407" i="3"/>
  <c r="E2029" i="2"/>
  <c r="F2029" i="2" s="1"/>
  <c r="B384" i="3"/>
  <c r="E1953" i="2"/>
  <c r="F1953" i="2" s="1"/>
  <c r="E1952" i="2"/>
  <c r="F1952" i="2" s="1"/>
  <c r="E1954" i="2"/>
  <c r="F1954" i="2" s="1"/>
  <c r="B355" i="3"/>
  <c r="E1844" i="2"/>
  <c r="F1844" i="2" s="1"/>
  <c r="E1845" i="2"/>
  <c r="F1845" i="2" s="1"/>
  <c r="B339" i="3"/>
  <c r="E1809" i="2"/>
  <c r="F1809" i="2" s="1"/>
  <c r="E1810" i="2"/>
  <c r="F1810" i="2" s="1"/>
  <c r="E1811" i="2"/>
  <c r="F1811" i="2" s="1"/>
  <c r="B323" i="3"/>
  <c r="E1750" i="2"/>
  <c r="F1750" i="2" s="1"/>
  <c r="B308" i="3"/>
  <c r="E1708" i="2"/>
  <c r="F1708" i="2" s="1"/>
  <c r="E1709" i="2"/>
  <c r="F1709" i="2" s="1"/>
  <c r="E1710" i="2"/>
  <c r="F1710" i="2" s="1"/>
  <c r="E1711" i="2"/>
  <c r="F1711" i="2" s="1"/>
  <c r="E1707" i="2"/>
  <c r="F1707" i="2" s="1"/>
  <c r="B12" i="3"/>
  <c r="E1641" i="2"/>
  <c r="F1641" i="2" s="1"/>
  <c r="E1640" i="2"/>
  <c r="F1640" i="2" s="1"/>
  <c r="B265" i="3"/>
  <c r="E1580" i="2"/>
  <c r="F1580" i="2" s="1"/>
  <c r="B243" i="3"/>
  <c r="E1494" i="2"/>
  <c r="F1494" i="2" s="1"/>
  <c r="E1497" i="2"/>
  <c r="F1497" i="2" s="1"/>
  <c r="E1498" i="2"/>
  <c r="F1498" i="2" s="1"/>
  <c r="E1495" i="2"/>
  <c r="F1495" i="2" s="1"/>
  <c r="E1462" i="2"/>
  <c r="F1462" i="2" s="1"/>
  <c r="B235" i="3"/>
  <c r="E1463" i="2"/>
  <c r="F1463" i="2" s="1"/>
  <c r="E1464" i="2"/>
  <c r="F1464" i="2" s="1"/>
  <c r="B212" i="3"/>
  <c r="E1393" i="2"/>
  <c r="F1393" i="2" s="1"/>
  <c r="E1392" i="2"/>
  <c r="F1392" i="2" s="1"/>
  <c r="E1394" i="2"/>
  <c r="F1394" i="2" s="1"/>
  <c r="E1391" i="2"/>
  <c r="F1391" i="2" s="1"/>
  <c r="E1301" i="2"/>
  <c r="F1301" i="2" s="1"/>
  <c r="B165" i="3"/>
  <c r="E1219" i="2"/>
  <c r="F1219" i="2" s="1"/>
  <c r="E1220" i="2"/>
  <c r="F1220" i="2" s="1"/>
  <c r="E1217" i="2"/>
  <c r="F1217" i="2" s="1"/>
  <c r="E1216" i="2"/>
  <c r="F1216" i="2" s="1"/>
  <c r="E1218" i="2"/>
  <c r="F1218" i="2" s="1"/>
  <c r="B150" i="3"/>
  <c r="E1167" i="2"/>
  <c r="F1167" i="2" s="1"/>
  <c r="B113" i="3"/>
  <c r="E1062" i="2"/>
  <c r="F1062" i="2" s="1"/>
  <c r="E1065" i="2"/>
  <c r="F1065" i="2" s="1"/>
  <c r="E1064" i="2"/>
  <c r="F1064" i="2" s="1"/>
  <c r="E1063" i="2"/>
  <c r="F1063" i="2" s="1"/>
  <c r="B92" i="3"/>
  <c r="E989" i="2"/>
  <c r="F989" i="2" s="1"/>
  <c r="E906" i="2"/>
  <c r="F906" i="2" s="1"/>
  <c r="I221" i="1"/>
  <c r="B1053" i="3"/>
  <c r="E763" i="2"/>
  <c r="F763" i="2" s="1"/>
  <c r="E764" i="2"/>
  <c r="F764" i="2" s="1"/>
  <c r="E765" i="2"/>
  <c r="F765" i="2" s="1"/>
  <c r="E766" i="2"/>
  <c r="F766" i="2" s="1"/>
  <c r="E691" i="2"/>
  <c r="F691" i="2" s="1"/>
  <c r="E692" i="2"/>
  <c r="F692" i="2" s="1"/>
  <c r="E693" i="2"/>
  <c r="F693" i="2" s="1"/>
  <c r="E690" i="2"/>
  <c r="F690" i="2" s="1"/>
  <c r="B1037" i="3"/>
  <c r="B1015" i="3"/>
  <c r="E614" i="2"/>
  <c r="F614" i="2" s="1"/>
  <c r="E615" i="2"/>
  <c r="F615" i="2" s="1"/>
  <c r="E616" i="2"/>
  <c r="F616" i="2" s="1"/>
  <c r="B999" i="3"/>
  <c r="E523" i="2"/>
  <c r="F523" i="2" s="1"/>
  <c r="B991" i="3"/>
  <c r="E521" i="2"/>
  <c r="F521" i="2" s="1"/>
  <c r="E520" i="2"/>
  <c r="F520" i="2" s="1"/>
  <c r="E522" i="2"/>
  <c r="F522" i="2" s="1"/>
  <c r="B971" i="3"/>
  <c r="E436" i="2"/>
  <c r="F436" i="2" s="1"/>
  <c r="E437" i="2"/>
  <c r="F437" i="2" s="1"/>
  <c r="E438" i="2"/>
  <c r="F438" i="2" s="1"/>
  <c r="E439" i="2"/>
  <c r="F439" i="2" s="1"/>
  <c r="E440" i="2"/>
  <c r="F440" i="2" s="1"/>
  <c r="E373" i="2"/>
  <c r="F373" i="2" s="1"/>
  <c r="B957" i="3"/>
  <c r="E374" i="2"/>
  <c r="F374" i="2" s="1"/>
  <c r="E375" i="2"/>
  <c r="F375" i="2" s="1"/>
  <c r="E376" i="2"/>
  <c r="F376" i="2" s="1"/>
  <c r="E291" i="2"/>
  <c r="F291" i="2" s="1"/>
  <c r="E292" i="2"/>
  <c r="F292" i="2" s="1"/>
  <c r="B935" i="3"/>
  <c r="E289" i="2"/>
  <c r="F289" i="2" s="1"/>
  <c r="E287" i="2"/>
  <c r="F287" i="2" s="1"/>
  <c r="E288" i="2"/>
  <c r="F288" i="2" s="1"/>
  <c r="E290" i="2"/>
  <c r="F290" i="2" s="1"/>
  <c r="B921" i="3"/>
  <c r="E227" i="2"/>
  <c r="F227" i="2" s="1"/>
  <c r="E228" i="2"/>
  <c r="F228" i="2" s="1"/>
  <c r="E229" i="2"/>
  <c r="F229" i="2" s="1"/>
  <c r="E230" i="2"/>
  <c r="F230" i="2" s="1"/>
  <c r="I45" i="1"/>
  <c r="I29" i="1"/>
  <c r="E11" i="2"/>
  <c r="F11" i="2" s="1"/>
  <c r="B33" i="3"/>
  <c r="E3743" i="2"/>
  <c r="F3743" i="2" s="1"/>
  <c r="E3741" i="2"/>
  <c r="F3741" i="2" s="1"/>
  <c r="E3739" i="2"/>
  <c r="F3739" i="2" s="1"/>
  <c r="E3742" i="2"/>
  <c r="F3742" i="2" s="1"/>
  <c r="B734" i="3"/>
  <c r="E3327" i="2"/>
  <c r="F3327" i="2" s="1"/>
  <c r="E3322" i="2"/>
  <c r="F3322" i="2" s="1"/>
  <c r="E3325" i="2"/>
  <c r="F3325" i="2" s="1"/>
  <c r="E3323" i="2"/>
  <c r="F3323" i="2" s="1"/>
  <c r="E3324" i="2"/>
  <c r="F3324" i="2" s="1"/>
  <c r="E3326" i="2"/>
  <c r="F3326" i="2" s="1"/>
  <c r="B680" i="3"/>
  <c r="E3079" i="2"/>
  <c r="F3079" i="2" s="1"/>
  <c r="B562" i="3"/>
  <c r="E2653" i="2"/>
  <c r="F2653" i="2" s="1"/>
  <c r="E2654" i="2"/>
  <c r="F2654" i="2" s="1"/>
  <c r="I724" i="1"/>
  <c r="I682" i="1"/>
  <c r="E1937" i="2"/>
  <c r="F1937" i="2" s="1"/>
  <c r="E1938" i="2"/>
  <c r="F1938" i="2" s="1"/>
  <c r="E1939" i="2"/>
  <c r="F1939" i="2" s="1"/>
  <c r="B320" i="3"/>
  <c r="E1740" i="2"/>
  <c r="F1740" i="2" s="1"/>
  <c r="E1741" i="2"/>
  <c r="F1741" i="2" s="1"/>
  <c r="E1742" i="2"/>
  <c r="F1742" i="2" s="1"/>
  <c r="B261" i="3"/>
  <c r="E1571" i="2"/>
  <c r="F1571" i="2" s="1"/>
  <c r="E1572" i="2"/>
  <c r="F1572" i="2" s="1"/>
  <c r="E1570" i="2"/>
  <c r="F1570" i="2" s="1"/>
  <c r="I404" i="1"/>
  <c r="I340" i="1"/>
  <c r="I276" i="1"/>
  <c r="I84" i="1"/>
  <c r="I20" i="1"/>
  <c r="B58" i="3"/>
  <c r="E3862" i="2"/>
  <c r="F3862" i="2" s="1"/>
  <c r="B754" i="3"/>
  <c r="E3383" i="2"/>
  <c r="F3383" i="2" s="1"/>
  <c r="E3384" i="2"/>
  <c r="F3384" i="2" s="1"/>
  <c r="E3385" i="2"/>
  <c r="F3385" i="2" s="1"/>
  <c r="E1726" i="2"/>
  <c r="F1726" i="2" s="1"/>
  <c r="E1727" i="2"/>
  <c r="F1727" i="2" s="1"/>
  <c r="E1728" i="2"/>
  <c r="F1728" i="2" s="1"/>
  <c r="E931" i="2"/>
  <c r="F931" i="2" s="1"/>
  <c r="E932" i="2"/>
  <c r="F932" i="2" s="1"/>
  <c r="E933" i="2"/>
  <c r="F933" i="2" s="1"/>
  <c r="E934" i="2"/>
  <c r="F934" i="2" s="1"/>
  <c r="E937" i="2"/>
  <c r="F937" i="2" s="1"/>
  <c r="E930" i="2"/>
  <c r="F930" i="2" s="1"/>
  <c r="E938" i="2"/>
  <c r="F938" i="2" s="1"/>
  <c r="E936" i="2"/>
  <c r="F936" i="2" s="1"/>
  <c r="E3340" i="2"/>
  <c r="F3340" i="2" s="1"/>
  <c r="I1164" i="1"/>
  <c r="I1145" i="1"/>
  <c r="I1100" i="1"/>
  <c r="I1081" i="1"/>
  <c r="I1036" i="1"/>
  <c r="I1017" i="1"/>
  <c r="I972" i="1"/>
  <c r="I953" i="1"/>
  <c r="I908" i="1"/>
  <c r="I889" i="1"/>
  <c r="I844" i="1"/>
  <c r="I825" i="1"/>
  <c r="I780" i="1"/>
  <c r="I761" i="1"/>
  <c r="I716" i="1"/>
  <c r="I697" i="1"/>
  <c r="I652" i="1"/>
  <c r="I633" i="1"/>
  <c r="I588" i="1"/>
  <c r="I569" i="1"/>
  <c r="I524" i="1"/>
  <c r="I505" i="1"/>
  <c r="I460" i="1"/>
  <c r="I441" i="1"/>
  <c r="I396" i="1"/>
  <c r="I377" i="1"/>
  <c r="I332" i="1"/>
  <c r="I313" i="1"/>
  <c r="I268" i="1"/>
  <c r="I249" i="1"/>
  <c r="I204" i="1"/>
  <c r="B1033" i="3"/>
  <c r="E675" i="2"/>
  <c r="F675" i="2" s="1"/>
  <c r="E676" i="2"/>
  <c r="F676" i="2" s="1"/>
  <c r="E673" i="2"/>
  <c r="F673" i="2" s="1"/>
  <c r="E674" i="2"/>
  <c r="F674" i="2" s="1"/>
  <c r="I140" i="1"/>
  <c r="I121" i="1"/>
  <c r="I76" i="1"/>
  <c r="I57" i="1"/>
  <c r="I12" i="1"/>
  <c r="E41" i="2" s="1"/>
  <c r="F41" i="2" s="1"/>
  <c r="E3740" i="2"/>
  <c r="F3740" i="2" s="1"/>
  <c r="E3484" i="2"/>
  <c r="F3484" i="2" s="1"/>
  <c r="E3315" i="2"/>
  <c r="F3315" i="2" s="1"/>
  <c r="E2972" i="2"/>
  <c r="F2972" i="2" s="1"/>
  <c r="E2374" i="2"/>
  <c r="F2374" i="2" s="1"/>
  <c r="E2291" i="2"/>
  <c r="F2291" i="2" s="1"/>
  <c r="E2204" i="2"/>
  <c r="F2204" i="2" s="1"/>
  <c r="E2118" i="2"/>
  <c r="F2118" i="2" s="1"/>
  <c r="E1215" i="2"/>
  <c r="F1215" i="2" s="1"/>
  <c r="E303" i="2"/>
  <c r="F303" i="2" s="1"/>
  <c r="B860" i="3"/>
  <c r="E3911" i="2"/>
  <c r="F3911" i="2" s="1"/>
  <c r="E3912" i="2"/>
  <c r="F3912" i="2" s="1"/>
  <c r="E3913" i="2"/>
  <c r="F3913" i="2" s="1"/>
  <c r="E3914" i="2"/>
  <c r="F3914" i="2" s="1"/>
  <c r="E3915" i="2"/>
  <c r="F3915" i="2" s="1"/>
  <c r="E3711" i="2"/>
  <c r="F3711" i="2" s="1"/>
  <c r="E3712" i="2"/>
  <c r="F3712" i="2" s="1"/>
  <c r="E3713" i="2"/>
  <c r="F3713" i="2" s="1"/>
  <c r="E3515" i="2"/>
  <c r="F3515" i="2" s="1"/>
  <c r="E3516" i="2"/>
  <c r="F3516" i="2" s="1"/>
  <c r="B755" i="3"/>
  <c r="E3386" i="2"/>
  <c r="F3386" i="2" s="1"/>
  <c r="B725" i="3"/>
  <c r="E3279" i="2"/>
  <c r="F3279" i="2" s="1"/>
  <c r="E3280" i="2"/>
  <c r="F3280" i="2" s="1"/>
  <c r="E3278" i="2"/>
  <c r="F3278" i="2" s="1"/>
  <c r="B693" i="3"/>
  <c r="E3127" i="2"/>
  <c r="F3127" i="2" s="1"/>
  <c r="B670" i="3"/>
  <c r="E3042" i="2"/>
  <c r="F3042" i="2" s="1"/>
  <c r="E3045" i="2"/>
  <c r="F3045" i="2" s="1"/>
  <c r="E3044" i="2"/>
  <c r="F3044" i="2" s="1"/>
  <c r="E3046" i="2"/>
  <c r="F3046" i="2" s="1"/>
  <c r="B641" i="3"/>
  <c r="E2927" i="2"/>
  <c r="F2927" i="2" s="1"/>
  <c r="E2925" i="2"/>
  <c r="F2925" i="2" s="1"/>
  <c r="E2926" i="2"/>
  <c r="F2926" i="2" s="1"/>
  <c r="B613" i="3"/>
  <c r="E2816" i="2"/>
  <c r="F2816" i="2" s="1"/>
  <c r="E2701" i="2"/>
  <c r="F2701" i="2" s="1"/>
  <c r="E2699" i="2"/>
  <c r="F2699" i="2" s="1"/>
  <c r="B526" i="3"/>
  <c r="E2497" i="2"/>
  <c r="F2497" i="2" s="1"/>
  <c r="E2498" i="2"/>
  <c r="F2498" i="2" s="1"/>
  <c r="E2499" i="2"/>
  <c r="F2499" i="2" s="1"/>
  <c r="B478" i="3"/>
  <c r="E2295" i="2"/>
  <c r="F2295" i="2" s="1"/>
  <c r="E2296" i="2"/>
  <c r="F2296" i="2" s="1"/>
  <c r="E2297" i="2"/>
  <c r="F2297" i="2" s="1"/>
  <c r="E2298" i="2"/>
  <c r="F2298" i="2" s="1"/>
  <c r="E2299" i="2"/>
  <c r="F2299" i="2" s="1"/>
  <c r="I1141" i="1"/>
  <c r="I1093" i="1"/>
  <c r="I1069" i="1"/>
  <c r="I1021" i="1"/>
  <c r="I997" i="1"/>
  <c r="I949" i="1"/>
  <c r="I901" i="1"/>
  <c r="I877" i="1"/>
  <c r="I821" i="1"/>
  <c r="B582" i="3"/>
  <c r="E2720" i="2"/>
  <c r="F2720" i="2" s="1"/>
  <c r="E2721" i="2"/>
  <c r="F2721" i="2" s="1"/>
  <c r="E2722" i="2"/>
  <c r="F2722" i="2" s="1"/>
  <c r="B558" i="3"/>
  <c r="B537" i="3"/>
  <c r="E2559" i="2"/>
  <c r="F2559" i="2" s="1"/>
  <c r="E2560" i="2"/>
  <c r="F2560" i="2" s="1"/>
  <c r="E2561" i="2"/>
  <c r="F2561" i="2" s="1"/>
  <c r="E2562" i="2"/>
  <c r="F2562" i="2" s="1"/>
  <c r="E2557" i="2"/>
  <c r="F2557" i="2" s="1"/>
  <c r="E2558" i="2"/>
  <c r="F2558" i="2" s="1"/>
  <c r="E2563" i="2"/>
  <c r="F2563" i="2" s="1"/>
  <c r="E2399" i="2"/>
  <c r="F2399" i="2" s="1"/>
  <c r="B500" i="3"/>
  <c r="E2398" i="2"/>
  <c r="F2398" i="2" s="1"/>
  <c r="E2287" i="2"/>
  <c r="F2287" i="2" s="1"/>
  <c r="E2288" i="2"/>
  <c r="F2288" i="2" s="1"/>
  <c r="E2289" i="2"/>
  <c r="F2289" i="2" s="1"/>
  <c r="B476" i="3"/>
  <c r="E2290" i="2"/>
  <c r="F2290" i="2" s="1"/>
  <c r="E2285" i="2"/>
  <c r="F2285" i="2" s="1"/>
  <c r="E2286" i="2"/>
  <c r="F2286" i="2" s="1"/>
  <c r="E2284" i="2"/>
  <c r="F2284" i="2" s="1"/>
  <c r="B281" i="3"/>
  <c r="E1620" i="2"/>
  <c r="F1620" i="2" s="1"/>
  <c r="E1621" i="2"/>
  <c r="F1621" i="2" s="1"/>
  <c r="E1622" i="2"/>
  <c r="F1622" i="2" s="1"/>
  <c r="E1556" i="2"/>
  <c r="F1556" i="2" s="1"/>
  <c r="B258" i="3"/>
  <c r="E1557" i="2"/>
  <c r="F1557" i="2" s="1"/>
  <c r="E1558" i="2"/>
  <c r="F1558" i="2" s="1"/>
  <c r="B227" i="3"/>
  <c r="E1443" i="2"/>
  <c r="F1443" i="2" s="1"/>
  <c r="E1444" i="2"/>
  <c r="F1444" i="2" s="1"/>
  <c r="E1445" i="2"/>
  <c r="F1445" i="2" s="1"/>
  <c r="E1446" i="2"/>
  <c r="F1446" i="2" s="1"/>
  <c r="B180" i="3"/>
  <c r="E1280" i="2"/>
  <c r="F1280" i="2" s="1"/>
  <c r="B157" i="3"/>
  <c r="E1189" i="2"/>
  <c r="F1189" i="2" s="1"/>
  <c r="E1190" i="2"/>
  <c r="F1190" i="2" s="1"/>
  <c r="E1193" i="2"/>
  <c r="F1193" i="2" s="1"/>
  <c r="E1191" i="2"/>
  <c r="F1191" i="2" s="1"/>
  <c r="E1192" i="2"/>
  <c r="F1192" i="2" s="1"/>
  <c r="B135" i="3"/>
  <c r="E1127" i="2"/>
  <c r="F1127" i="2" s="1"/>
  <c r="E1128" i="2"/>
  <c r="F1128" i="2" s="1"/>
  <c r="B105" i="3"/>
  <c r="E1035" i="2"/>
  <c r="F1035" i="2" s="1"/>
  <c r="E1036" i="2"/>
  <c r="F1036" i="2" s="1"/>
  <c r="E843" i="2"/>
  <c r="F843" i="2" s="1"/>
  <c r="B1074" i="3"/>
  <c r="E842" i="2"/>
  <c r="F842" i="2" s="1"/>
  <c r="E733" i="2"/>
  <c r="F733" i="2" s="1"/>
  <c r="E734" i="2"/>
  <c r="F734" i="2" s="1"/>
  <c r="B1045" i="3"/>
  <c r="I173" i="1"/>
  <c r="I157" i="1"/>
  <c r="B978" i="3"/>
  <c r="E475" i="2"/>
  <c r="F475" i="2" s="1"/>
  <c r="E476" i="2"/>
  <c r="F476" i="2" s="1"/>
  <c r="E477" i="2"/>
  <c r="F477" i="2" s="1"/>
  <c r="E474" i="2"/>
  <c r="F474" i="2" s="1"/>
  <c r="B915" i="3"/>
  <c r="E203" i="2"/>
  <c r="F203" i="2" s="1"/>
  <c r="E204" i="2"/>
  <c r="F204" i="2" s="1"/>
  <c r="E205" i="2"/>
  <c r="F205" i="2" s="1"/>
  <c r="E201" i="2"/>
  <c r="F201" i="2" s="1"/>
  <c r="E200" i="2"/>
  <c r="F200" i="2" s="1"/>
  <c r="E202" i="2"/>
  <c r="F202" i="2" s="1"/>
  <c r="E76" i="2"/>
  <c r="F76" i="2" s="1"/>
  <c r="E77" i="2"/>
  <c r="F77" i="2" s="1"/>
  <c r="E78" i="2"/>
  <c r="F78" i="2" s="1"/>
  <c r="E81" i="2"/>
  <c r="F81" i="2" s="1"/>
  <c r="E79" i="2"/>
  <c r="F79" i="2" s="1"/>
  <c r="E82" i="2"/>
  <c r="F82" i="2" s="1"/>
  <c r="B890" i="3"/>
  <c r="B862" i="3"/>
  <c r="E3920" i="2"/>
  <c r="F3920" i="2" s="1"/>
  <c r="B791" i="3"/>
  <c r="E3520" i="2"/>
  <c r="F3520" i="2" s="1"/>
  <c r="I938" i="1"/>
  <c r="I874" i="1"/>
  <c r="I810" i="1"/>
  <c r="I746" i="1"/>
  <c r="B441" i="3"/>
  <c r="E2157" i="2"/>
  <c r="F2157" i="2" s="1"/>
  <c r="E2155" i="2"/>
  <c r="F2155" i="2" s="1"/>
  <c r="E2156" i="2"/>
  <c r="F2156" i="2" s="1"/>
  <c r="I596" i="1"/>
  <c r="I532" i="1"/>
  <c r="I468" i="1"/>
  <c r="B200" i="3"/>
  <c r="E1339" i="2"/>
  <c r="F1339" i="2" s="1"/>
  <c r="E1340" i="2"/>
  <c r="F1340" i="2" s="1"/>
  <c r="E1341" i="2"/>
  <c r="F1341" i="2" s="1"/>
  <c r="E1133" i="2"/>
  <c r="F1133" i="2" s="1"/>
  <c r="B139" i="3"/>
  <c r="E1134" i="2"/>
  <c r="F1134" i="2" s="1"/>
  <c r="E1135" i="2"/>
  <c r="F1135" i="2" s="1"/>
  <c r="B82" i="3"/>
  <c r="E955" i="2"/>
  <c r="F955" i="2" s="1"/>
  <c r="E956" i="2"/>
  <c r="F956" i="2" s="1"/>
  <c r="E957" i="2"/>
  <c r="F957" i="2" s="1"/>
  <c r="E958" i="2"/>
  <c r="F958" i="2" s="1"/>
  <c r="E953" i="2"/>
  <c r="F953" i="2" s="1"/>
  <c r="E954" i="2"/>
  <c r="F954" i="2" s="1"/>
  <c r="E959" i="2"/>
  <c r="F959" i="2" s="1"/>
  <c r="B1041" i="3"/>
  <c r="E710" i="2"/>
  <c r="F710" i="2" s="1"/>
  <c r="E713" i="2"/>
  <c r="F713" i="2" s="1"/>
  <c r="E711" i="2"/>
  <c r="F711" i="2" s="1"/>
  <c r="E712" i="2"/>
  <c r="F712" i="2" s="1"/>
  <c r="I148" i="1"/>
  <c r="B925" i="3"/>
  <c r="E245" i="2"/>
  <c r="F245" i="2" s="1"/>
  <c r="E246" i="2"/>
  <c r="F246" i="2" s="1"/>
  <c r="E247" i="2"/>
  <c r="F247" i="2" s="1"/>
  <c r="B656" i="3"/>
  <c r="E2976" i="2"/>
  <c r="F2976" i="2" s="1"/>
  <c r="E2977" i="2"/>
  <c r="F2977" i="2" s="1"/>
  <c r="E2978" i="2"/>
  <c r="F2978" i="2" s="1"/>
  <c r="E2060" i="2"/>
  <c r="F2060" i="2" s="1"/>
  <c r="I1140" i="1"/>
  <c r="I1121" i="1"/>
  <c r="I1076" i="1"/>
  <c r="I1057" i="1"/>
  <c r="I1012" i="1"/>
  <c r="I993" i="1"/>
  <c r="I948" i="1"/>
  <c r="I929" i="1"/>
  <c r="I884" i="1"/>
  <c r="I865" i="1"/>
  <c r="I820" i="1"/>
  <c r="I801" i="1"/>
  <c r="I756" i="1"/>
  <c r="I737" i="1"/>
  <c r="I692" i="1"/>
  <c r="I673" i="1"/>
  <c r="I609" i="1"/>
  <c r="I545" i="1"/>
  <c r="I481" i="1"/>
  <c r="I417" i="1"/>
  <c r="I353" i="1"/>
  <c r="I289" i="1"/>
  <c r="I225" i="1"/>
  <c r="I161" i="1"/>
  <c r="I97" i="1"/>
  <c r="I33" i="1"/>
  <c r="E3043" i="2"/>
  <c r="F3043" i="2" s="1"/>
  <c r="E2870" i="2"/>
  <c r="F2870" i="2" s="1"/>
  <c r="E2614" i="2"/>
  <c r="F2614" i="2" s="1"/>
  <c r="E2444" i="2"/>
  <c r="F2444" i="2" s="1"/>
  <c r="E2358" i="2"/>
  <c r="F2358" i="2" s="1"/>
  <c r="E1755" i="2"/>
  <c r="F1755" i="2" s="1"/>
  <c r="E1154" i="2"/>
  <c r="F1154" i="2" s="1"/>
  <c r="E703" i="2"/>
  <c r="F703" i="2" s="1"/>
  <c r="B868" i="3"/>
  <c r="E3935" i="2"/>
  <c r="F3935" i="2" s="1"/>
  <c r="E3936" i="2"/>
  <c r="F3936" i="2" s="1"/>
  <c r="B861" i="3"/>
  <c r="E3919" i="2"/>
  <c r="F3919" i="2" s="1"/>
  <c r="E3917" i="2"/>
  <c r="F3917" i="2" s="1"/>
  <c r="E3918" i="2"/>
  <c r="F3918" i="2" s="1"/>
  <c r="B52" i="3"/>
  <c r="E3837" i="2"/>
  <c r="F3837" i="2" s="1"/>
  <c r="B45" i="3"/>
  <c r="E3810" i="2"/>
  <c r="F3810" i="2" s="1"/>
  <c r="E3812" i="2"/>
  <c r="F3812" i="2" s="1"/>
  <c r="B40" i="3"/>
  <c r="E3792" i="2"/>
  <c r="F3792" i="2" s="1"/>
  <c r="E3793" i="2"/>
  <c r="F3793" i="2" s="1"/>
  <c r="E3794" i="2"/>
  <c r="F3794" i="2" s="1"/>
  <c r="E3795" i="2"/>
  <c r="F3795" i="2" s="1"/>
  <c r="E3796" i="2"/>
  <c r="F3796" i="2" s="1"/>
  <c r="I1096" i="1"/>
  <c r="I1088" i="1"/>
  <c r="B836" i="3"/>
  <c r="E3680" i="2"/>
  <c r="F3680" i="2" s="1"/>
  <c r="E3681" i="2"/>
  <c r="F3681" i="2" s="1"/>
  <c r="E3682" i="2"/>
  <c r="F3682" i="2" s="1"/>
  <c r="I1056" i="1"/>
  <c r="B812" i="3"/>
  <c r="E3591" i="2"/>
  <c r="F3591" i="2" s="1"/>
  <c r="E3592" i="2"/>
  <c r="F3592" i="2" s="1"/>
  <c r="E3589" i="2"/>
  <c r="F3589" i="2" s="1"/>
  <c r="E3588" i="2"/>
  <c r="F3588" i="2" s="1"/>
  <c r="E3565" i="2"/>
  <c r="F3565" i="2" s="1"/>
  <c r="I1032" i="1"/>
  <c r="I1024" i="1"/>
  <c r="E3480" i="2"/>
  <c r="F3480" i="2" s="1"/>
  <c r="E3481" i="2"/>
  <c r="F3481" i="2" s="1"/>
  <c r="I992" i="1"/>
  <c r="B756" i="3"/>
  <c r="E3389" i="2"/>
  <c r="F3389" i="2" s="1"/>
  <c r="E3387" i="2"/>
  <c r="F3387" i="2" s="1"/>
  <c r="E3388" i="2"/>
  <c r="F3388" i="2" s="1"/>
  <c r="B749" i="3"/>
  <c r="E3367" i="2"/>
  <c r="F3367" i="2" s="1"/>
  <c r="E3368" i="2"/>
  <c r="F3368" i="2" s="1"/>
  <c r="E3369" i="2"/>
  <c r="F3369" i="2" s="1"/>
  <c r="I968" i="1"/>
  <c r="I960" i="1"/>
  <c r="B22" i="3"/>
  <c r="E3250" i="2"/>
  <c r="F3250" i="2" s="1"/>
  <c r="I928" i="1"/>
  <c r="E3161" i="2"/>
  <c r="F3161" i="2" s="1"/>
  <c r="E3162" i="2"/>
  <c r="F3162" i="2" s="1"/>
  <c r="B701" i="3"/>
  <c r="E3165" i="2"/>
  <c r="F3165" i="2" s="1"/>
  <c r="E3163" i="2"/>
  <c r="F3163" i="2" s="1"/>
  <c r="E3129" i="2"/>
  <c r="F3129" i="2" s="1"/>
  <c r="E3130" i="2"/>
  <c r="F3130" i="2" s="1"/>
  <c r="E3131" i="2"/>
  <c r="F3131" i="2" s="1"/>
  <c r="I904" i="1"/>
  <c r="I896" i="1"/>
  <c r="B664" i="3"/>
  <c r="E3007" i="2"/>
  <c r="F3007" i="2" s="1"/>
  <c r="E3008" i="2"/>
  <c r="F3008" i="2" s="1"/>
  <c r="E3009" i="2"/>
  <c r="F3009" i="2" s="1"/>
  <c r="E3005" i="2"/>
  <c r="F3005" i="2" s="1"/>
  <c r="E3006" i="2"/>
  <c r="F3006" i="2" s="1"/>
  <c r="I864" i="1"/>
  <c r="B642" i="3"/>
  <c r="E2928" i="2"/>
  <c r="F2928" i="2" s="1"/>
  <c r="E2929" i="2"/>
  <c r="F2929" i="2" s="1"/>
  <c r="E2930" i="2"/>
  <c r="F2930" i="2" s="1"/>
  <c r="B636" i="3"/>
  <c r="E2911" i="2"/>
  <c r="F2911" i="2" s="1"/>
  <c r="E2912" i="2"/>
  <c r="F2912" i="2" s="1"/>
  <c r="E2910" i="2"/>
  <c r="F2910" i="2" s="1"/>
  <c r="I840" i="1"/>
  <c r="I832" i="1"/>
  <c r="B607" i="3"/>
  <c r="E2799" i="2"/>
  <c r="F2799" i="2" s="1"/>
  <c r="E2800" i="2"/>
  <c r="F2800" i="2" s="1"/>
  <c r="E2801" i="2"/>
  <c r="F2801" i="2" s="1"/>
  <c r="E2802" i="2"/>
  <c r="F2802" i="2" s="1"/>
  <c r="E2805" i="2"/>
  <c r="F2805" i="2" s="1"/>
  <c r="E2804" i="2"/>
  <c r="F2804" i="2" s="1"/>
  <c r="I800" i="1"/>
  <c r="B577" i="3"/>
  <c r="E2703" i="2"/>
  <c r="F2703" i="2" s="1"/>
  <c r="E2704" i="2"/>
  <c r="F2704" i="2" s="1"/>
  <c r="E2705" i="2"/>
  <c r="F2705" i="2" s="1"/>
  <c r="E2702" i="2"/>
  <c r="F2702" i="2" s="1"/>
  <c r="I776" i="1"/>
  <c r="I768" i="1"/>
  <c r="B553" i="3"/>
  <c r="E2621" i="2"/>
  <c r="F2621" i="2" s="1"/>
  <c r="E2619" i="2"/>
  <c r="F2619" i="2" s="1"/>
  <c r="E2620" i="2"/>
  <c r="F2620" i="2" s="1"/>
  <c r="B17" i="3"/>
  <c r="E2592" i="2"/>
  <c r="F2592" i="2" s="1"/>
  <c r="E2593" i="2"/>
  <c r="F2593" i="2" s="1"/>
  <c r="E2594" i="2"/>
  <c r="F2594" i="2" s="1"/>
  <c r="I744" i="1"/>
  <c r="I736" i="1"/>
  <c r="B527" i="3"/>
  <c r="E2503" i="2"/>
  <c r="F2503" i="2" s="1"/>
  <c r="E2504" i="2"/>
  <c r="F2504" i="2" s="1"/>
  <c r="E2505" i="2"/>
  <c r="F2505" i="2" s="1"/>
  <c r="E2501" i="2"/>
  <c r="F2501" i="2" s="1"/>
  <c r="E2500" i="2"/>
  <c r="F2500" i="2" s="1"/>
  <c r="B519" i="3"/>
  <c r="E2469" i="2"/>
  <c r="F2469" i="2" s="1"/>
  <c r="E2468" i="2"/>
  <c r="F2468" i="2" s="1"/>
  <c r="E2470" i="2"/>
  <c r="F2470" i="2" s="1"/>
  <c r="I712" i="1"/>
  <c r="I704" i="1"/>
  <c r="B487" i="3"/>
  <c r="E2337" i="2"/>
  <c r="F2337" i="2" s="1"/>
  <c r="E2338" i="2"/>
  <c r="F2338" i="2" s="1"/>
  <c r="I680" i="1"/>
  <c r="I672" i="1"/>
  <c r="B464" i="3"/>
  <c r="E2237" i="2"/>
  <c r="F2237" i="2" s="1"/>
  <c r="E2238" i="2"/>
  <c r="F2238" i="2" s="1"/>
  <c r="B456" i="3"/>
  <c r="E2210" i="2"/>
  <c r="F2210" i="2" s="1"/>
  <c r="I648" i="1"/>
  <c r="I640" i="1"/>
  <c r="B432" i="3"/>
  <c r="E2125" i="2"/>
  <c r="F2125" i="2" s="1"/>
  <c r="E2123" i="2"/>
  <c r="F2123" i="2" s="1"/>
  <c r="B424" i="3"/>
  <c r="E2088" i="2"/>
  <c r="F2088" i="2" s="1"/>
  <c r="E2089" i="2"/>
  <c r="F2089" i="2" s="1"/>
  <c r="E2090" i="2"/>
  <c r="F2090" i="2" s="1"/>
  <c r="E2091" i="2"/>
  <c r="F2091" i="2" s="1"/>
  <c r="I616" i="1"/>
  <c r="I608" i="1"/>
  <c r="B402" i="3"/>
  <c r="E2017" i="2"/>
  <c r="F2017" i="2" s="1"/>
  <c r="E2014" i="2"/>
  <c r="F2014" i="2" s="1"/>
  <c r="E2015" i="2"/>
  <c r="F2015" i="2" s="1"/>
  <c r="E2016" i="2"/>
  <c r="F2016" i="2" s="1"/>
  <c r="B395" i="3"/>
  <c r="E1993" i="2"/>
  <c r="F1993" i="2" s="1"/>
  <c r="E1988" i="2"/>
  <c r="F1988" i="2" s="1"/>
  <c r="E1989" i="2"/>
  <c r="F1989" i="2" s="1"/>
  <c r="E1992" i="2"/>
  <c r="F1992" i="2" s="1"/>
  <c r="E1990" i="2"/>
  <c r="F1990" i="2" s="1"/>
  <c r="I584" i="1"/>
  <c r="I576" i="1"/>
  <c r="E1910" i="2"/>
  <c r="F1910" i="2" s="1"/>
  <c r="E1908" i="2"/>
  <c r="F1908" i="2" s="1"/>
  <c r="E1911" i="2"/>
  <c r="F1911" i="2" s="1"/>
  <c r="E1877" i="2"/>
  <c r="F1877" i="2" s="1"/>
  <c r="E1878" i="2"/>
  <c r="F1878" i="2" s="1"/>
  <c r="B364" i="3"/>
  <c r="E1873" i="2"/>
  <c r="F1873" i="2" s="1"/>
  <c r="E1874" i="2"/>
  <c r="F1874" i="2" s="1"/>
  <c r="E1876" i="2"/>
  <c r="F1876" i="2" s="1"/>
  <c r="I552" i="1"/>
  <c r="I544" i="1"/>
  <c r="B342" i="3"/>
  <c r="E1819" i="2"/>
  <c r="F1819" i="2" s="1"/>
  <c r="B334" i="3"/>
  <c r="E1788" i="2"/>
  <c r="F1788" i="2" s="1"/>
  <c r="E1789" i="2"/>
  <c r="F1789" i="2" s="1"/>
  <c r="I520" i="1"/>
  <c r="I512" i="1"/>
  <c r="B311" i="3"/>
  <c r="E1717" i="2"/>
  <c r="F1717" i="2" s="1"/>
  <c r="B303" i="3"/>
  <c r="E1694" i="2"/>
  <c r="F1694" i="2" s="1"/>
  <c r="E1697" i="2"/>
  <c r="F1697" i="2" s="1"/>
  <c r="E1695" i="2"/>
  <c r="F1695" i="2" s="1"/>
  <c r="E1696" i="2"/>
  <c r="F1696" i="2" s="1"/>
  <c r="E1698" i="2"/>
  <c r="F1698" i="2" s="1"/>
  <c r="E1699" i="2"/>
  <c r="F1699" i="2" s="1"/>
  <c r="I488" i="1"/>
  <c r="I480" i="1"/>
  <c r="E1627" i="2"/>
  <c r="F1627" i="2" s="1"/>
  <c r="E1628" i="2"/>
  <c r="F1628" i="2" s="1"/>
  <c r="B284" i="3"/>
  <c r="B276" i="3"/>
  <c r="E1605" i="2"/>
  <c r="F1605" i="2" s="1"/>
  <c r="E1606" i="2"/>
  <c r="F1606" i="2" s="1"/>
  <c r="I456" i="1"/>
  <c r="I448" i="1"/>
  <c r="E1539" i="2"/>
  <c r="F1539" i="2" s="1"/>
  <c r="E1538" i="2"/>
  <c r="F1538" i="2" s="1"/>
  <c r="B245" i="3"/>
  <c r="E1507" i="2"/>
  <c r="F1507" i="2" s="1"/>
  <c r="E1508" i="2"/>
  <c r="F1508" i="2" s="1"/>
  <c r="E1509" i="2"/>
  <c r="F1509" i="2" s="1"/>
  <c r="E1510" i="2"/>
  <c r="F1510" i="2" s="1"/>
  <c r="E1506" i="2"/>
  <c r="F1506" i="2" s="1"/>
  <c r="I424" i="1"/>
  <c r="I416" i="1"/>
  <c r="B222" i="3"/>
  <c r="E1425" i="2"/>
  <c r="F1425" i="2" s="1"/>
  <c r="E1424" i="2"/>
  <c r="F1424" i="2" s="1"/>
  <c r="B215" i="3"/>
  <c r="E1403" i="2"/>
  <c r="F1403" i="2" s="1"/>
  <c r="E1398" i="2"/>
  <c r="F1398" i="2" s="1"/>
  <c r="E1401" i="2"/>
  <c r="F1401" i="2" s="1"/>
  <c r="E1399" i="2"/>
  <c r="F1399" i="2" s="1"/>
  <c r="E1400" i="2"/>
  <c r="F1400" i="2" s="1"/>
  <c r="E1402" i="2"/>
  <c r="F1402" i="2" s="1"/>
  <c r="I392" i="1"/>
  <c r="I384" i="1"/>
  <c r="B191" i="3"/>
  <c r="E1313" i="2"/>
  <c r="F1313" i="2" s="1"/>
  <c r="E1312" i="2"/>
  <c r="F1312" i="2" s="1"/>
  <c r="E1314" i="2"/>
  <c r="F1314" i="2" s="1"/>
  <c r="B183" i="3"/>
  <c r="E1287" i="2"/>
  <c r="F1287" i="2" s="1"/>
  <c r="E1288" i="2"/>
  <c r="F1288" i="2" s="1"/>
  <c r="I360" i="1"/>
  <c r="I352" i="1"/>
  <c r="B160" i="3"/>
  <c r="E1197" i="2"/>
  <c r="F1197" i="2" s="1"/>
  <c r="E1198" i="2"/>
  <c r="F1198" i="2" s="1"/>
  <c r="E1177" i="2"/>
  <c r="F1177" i="2" s="1"/>
  <c r="I328" i="1"/>
  <c r="I320" i="1"/>
  <c r="B131" i="3"/>
  <c r="E1115" i="2"/>
  <c r="F1115" i="2" s="1"/>
  <c r="B8" i="3"/>
  <c r="E1097" i="2"/>
  <c r="F1097" i="2" s="1"/>
  <c r="E1096" i="2"/>
  <c r="F1096" i="2" s="1"/>
  <c r="I296" i="1"/>
  <c r="I288" i="1"/>
  <c r="B100" i="3"/>
  <c r="E1017" i="2"/>
  <c r="F1017" i="2" s="1"/>
  <c r="E1016" i="2"/>
  <c r="F1016" i="2" s="1"/>
  <c r="I264" i="1"/>
  <c r="I256" i="1"/>
  <c r="E921" i="2"/>
  <c r="F921" i="2" s="1"/>
  <c r="E922" i="2"/>
  <c r="F922" i="2" s="1"/>
  <c r="B1092" i="3"/>
  <c r="E919" i="2"/>
  <c r="F919" i="2" s="1"/>
  <c r="E920" i="2"/>
  <c r="F920" i="2" s="1"/>
  <c r="B1084" i="3"/>
  <c r="E889" i="2"/>
  <c r="F889" i="2" s="1"/>
  <c r="E888" i="2"/>
  <c r="F888" i="2" s="1"/>
  <c r="I232" i="1"/>
  <c r="I224" i="1"/>
  <c r="I216" i="1"/>
  <c r="I208" i="1"/>
  <c r="E747" i="2"/>
  <c r="F747" i="2" s="1"/>
  <c r="B1048" i="3"/>
  <c r="E745" i="2"/>
  <c r="F745" i="2" s="1"/>
  <c r="E746" i="2"/>
  <c r="F746" i="2" s="1"/>
  <c r="E744" i="2"/>
  <c r="F744" i="2" s="1"/>
  <c r="E708" i="2"/>
  <c r="F708" i="2" s="1"/>
  <c r="E706" i="2"/>
  <c r="F706" i="2" s="1"/>
  <c r="I184" i="1"/>
  <c r="I176" i="1"/>
  <c r="I168" i="1"/>
  <c r="I160" i="1"/>
  <c r="I152" i="1"/>
  <c r="I144" i="1"/>
  <c r="B986" i="3"/>
  <c r="E505" i="2"/>
  <c r="F505" i="2" s="1"/>
  <c r="B980" i="3"/>
  <c r="E484" i="2"/>
  <c r="F484" i="2" s="1"/>
  <c r="I120" i="1"/>
  <c r="I112" i="1"/>
  <c r="I104" i="1"/>
  <c r="I96" i="1"/>
  <c r="I88" i="1"/>
  <c r="I80" i="1"/>
  <c r="B931" i="3"/>
  <c r="E267" i="2"/>
  <c r="F267" i="2" s="1"/>
  <c r="E268" i="2"/>
  <c r="F268" i="2" s="1"/>
  <c r="E269" i="2"/>
  <c r="F269" i="2" s="1"/>
  <c r="E270" i="2"/>
  <c r="F270" i="2" s="1"/>
  <c r="E273" i="2"/>
  <c r="F273" i="2" s="1"/>
  <c r="E271" i="2"/>
  <c r="F271" i="2" s="1"/>
  <c r="E272" i="2"/>
  <c r="F272" i="2" s="1"/>
  <c r="B924" i="3"/>
  <c r="E243" i="2"/>
  <c r="F243" i="2" s="1"/>
  <c r="E244" i="2"/>
  <c r="F244" i="2" s="1"/>
  <c r="E241" i="2"/>
  <c r="F241" i="2" s="1"/>
  <c r="E242" i="2"/>
  <c r="F242" i="2" s="1"/>
  <c r="I56" i="1"/>
  <c r="B910" i="3"/>
  <c r="E171" i="2"/>
  <c r="F171" i="2" s="1"/>
  <c r="E179" i="2"/>
  <c r="F179" i="2" s="1"/>
  <c r="E172" i="2"/>
  <c r="F172" i="2" s="1"/>
  <c r="E180" i="2"/>
  <c r="F180" i="2" s="1"/>
  <c r="E173" i="2"/>
  <c r="F173" i="2" s="1"/>
  <c r="E174" i="2"/>
  <c r="F174" i="2" s="1"/>
  <c r="E177" i="2"/>
  <c r="F177" i="2" s="1"/>
  <c r="E176" i="2"/>
  <c r="F176" i="2" s="1"/>
  <c r="E178" i="2"/>
  <c r="F178" i="2" s="1"/>
  <c r="E175" i="2"/>
  <c r="F175" i="2" s="1"/>
  <c r="I40" i="1"/>
  <c r="I32" i="1"/>
  <c r="I24" i="1"/>
  <c r="I16" i="1"/>
  <c r="B879" i="3"/>
  <c r="E31" i="2"/>
  <c r="F31" i="2" s="1"/>
  <c r="E32" i="2"/>
  <c r="F32" i="2" s="1"/>
  <c r="I1161" i="1"/>
  <c r="I1116" i="1"/>
  <c r="I1097" i="1"/>
  <c r="I1052" i="1"/>
  <c r="I1033" i="1"/>
  <c r="I988" i="1"/>
  <c r="I969" i="1"/>
  <c r="I924" i="1"/>
  <c r="I905" i="1"/>
  <c r="I860" i="1"/>
  <c r="I841" i="1"/>
  <c r="I796" i="1"/>
  <c r="I777" i="1"/>
  <c r="I732" i="1"/>
  <c r="I713" i="1"/>
  <c r="I668" i="1"/>
  <c r="I649" i="1"/>
  <c r="I604" i="1"/>
  <c r="I585" i="1"/>
  <c r="I540" i="1"/>
  <c r="I521" i="1"/>
  <c r="I476" i="1"/>
  <c r="I457" i="1"/>
  <c r="I412" i="1"/>
  <c r="I393" i="1"/>
  <c r="I348" i="1"/>
  <c r="I329" i="1"/>
  <c r="I284" i="1"/>
  <c r="I265" i="1"/>
  <c r="I220" i="1"/>
  <c r="I201" i="1"/>
  <c r="I156" i="1"/>
  <c r="B987" i="3"/>
  <c r="E507" i="2"/>
  <c r="F507" i="2" s="1"/>
  <c r="E508" i="2"/>
  <c r="F508" i="2" s="1"/>
  <c r="E506" i="2"/>
  <c r="F506" i="2" s="1"/>
  <c r="I92" i="1"/>
  <c r="B75" i="3"/>
  <c r="E276" i="2"/>
  <c r="F276" i="2" s="1"/>
  <c r="E277" i="2"/>
  <c r="F277" i="2" s="1"/>
  <c r="E278" i="2"/>
  <c r="F278" i="2" s="1"/>
  <c r="E274" i="2"/>
  <c r="F274" i="2" s="1"/>
  <c r="I28" i="1"/>
  <c r="I9" i="1"/>
  <c r="E3123" i="2"/>
  <c r="F3123" i="2" s="1"/>
  <c r="E2524" i="2"/>
  <c r="F2524" i="2" s="1"/>
  <c r="E2355" i="2"/>
  <c r="F2355" i="2" s="1"/>
  <c r="E2182" i="2"/>
  <c r="F2182" i="2" s="1"/>
  <c r="E2010" i="2"/>
  <c r="F2010" i="2" s="1"/>
  <c r="E1906" i="2"/>
  <c r="F1906" i="2" s="1"/>
  <c r="E1751" i="2"/>
  <c r="F1751" i="2" s="1"/>
  <c r="B1089" i="3" l="1"/>
  <c r="E907" i="2"/>
  <c r="F907" i="2" s="1"/>
  <c r="E411" i="2"/>
  <c r="F411" i="2" s="1"/>
  <c r="E412" i="2"/>
  <c r="F412" i="2" s="1"/>
  <c r="E413" i="2"/>
  <c r="F413" i="2" s="1"/>
  <c r="E414" i="2"/>
  <c r="F414" i="2" s="1"/>
  <c r="B1023" i="3"/>
  <c r="E2908" i="4" s="1"/>
  <c r="F2908" i="4" s="1"/>
  <c r="E638" i="2"/>
  <c r="F638" i="2" s="1"/>
  <c r="E641" i="2"/>
  <c r="F641" i="2" s="1"/>
  <c r="E640" i="2"/>
  <c r="F640" i="2" s="1"/>
  <c r="E642" i="2"/>
  <c r="F642" i="2" s="1"/>
  <c r="E876" i="2"/>
  <c r="F876" i="2" s="1"/>
  <c r="E874" i="2"/>
  <c r="F874" i="2" s="1"/>
  <c r="E877" i="2"/>
  <c r="F877" i="2" s="1"/>
  <c r="E879" i="2"/>
  <c r="F879" i="2" s="1"/>
  <c r="B1082" i="3"/>
  <c r="E3112" i="4" s="1"/>
  <c r="F3112" i="4" s="1"/>
  <c r="E878" i="2"/>
  <c r="F878" i="2" s="1"/>
  <c r="E881" i="2"/>
  <c r="F881" i="2" s="1"/>
  <c r="B213" i="3"/>
  <c r="E1395" i="2"/>
  <c r="F1395" i="2" s="1"/>
  <c r="E1642" i="2"/>
  <c r="F1642" i="2" s="1"/>
  <c r="E1643" i="2"/>
  <c r="F1643" i="2" s="1"/>
  <c r="B287" i="3"/>
  <c r="E782" i="4" s="1"/>
  <c r="F782" i="4" s="1"/>
  <c r="E235" i="2"/>
  <c r="F235" i="2" s="1"/>
  <c r="E236" i="2"/>
  <c r="F236" i="2" s="1"/>
  <c r="E237" i="2"/>
  <c r="F237" i="2" s="1"/>
  <c r="E238" i="2"/>
  <c r="F238" i="2" s="1"/>
  <c r="E239" i="2"/>
  <c r="F239" i="2" s="1"/>
  <c r="E528" i="2"/>
  <c r="F528" i="2" s="1"/>
  <c r="B993" i="3"/>
  <c r="E530" i="2"/>
  <c r="F530" i="2" s="1"/>
  <c r="B1068" i="3"/>
  <c r="E3067" i="4" s="1"/>
  <c r="F3067" i="4" s="1"/>
  <c r="E822" i="2"/>
  <c r="F822" i="2" s="1"/>
  <c r="E823" i="2"/>
  <c r="F823" i="2" s="1"/>
  <c r="E1043" i="2"/>
  <c r="F1043" i="2" s="1"/>
  <c r="E1044" i="2"/>
  <c r="F1044" i="2" s="1"/>
  <c r="E1045" i="2"/>
  <c r="F1045" i="2" s="1"/>
  <c r="B107" i="3"/>
  <c r="E1042" i="2"/>
  <c r="F1042" i="2" s="1"/>
  <c r="B229" i="3"/>
  <c r="E621" i="4" s="1"/>
  <c r="F621" i="4" s="1"/>
  <c r="E1451" i="2"/>
  <c r="F1451" i="2" s="1"/>
  <c r="E1449" i="2"/>
  <c r="F1449" i="2" s="1"/>
  <c r="E1450" i="2"/>
  <c r="F1450" i="2" s="1"/>
  <c r="E1649" i="2"/>
  <c r="F1649" i="2" s="1"/>
  <c r="E1647" i="2"/>
  <c r="F1647" i="2" s="1"/>
  <c r="E1648" i="2"/>
  <c r="F1648" i="2" s="1"/>
  <c r="B288" i="3"/>
  <c r="E783" i="4" s="1"/>
  <c r="F783" i="4" s="1"/>
  <c r="B1040" i="3"/>
  <c r="E2965" i="4" s="1"/>
  <c r="F2965" i="4" s="1"/>
  <c r="E707" i="2"/>
  <c r="F707" i="2" s="1"/>
  <c r="E709" i="2"/>
  <c r="F709" i="2" s="1"/>
  <c r="E1179" i="2"/>
  <c r="F1179" i="2" s="1"/>
  <c r="E1178" i="2"/>
  <c r="F1178" i="2" s="1"/>
  <c r="B926" i="3"/>
  <c r="E249" i="2"/>
  <c r="F249" i="2" s="1"/>
  <c r="E248" i="2"/>
  <c r="F248" i="2" s="1"/>
  <c r="B996" i="3"/>
  <c r="E2807" i="4" s="1"/>
  <c r="F2807" i="4" s="1"/>
  <c r="E545" i="2"/>
  <c r="F545" i="2" s="1"/>
  <c r="E543" i="2"/>
  <c r="F543" i="2" s="1"/>
  <c r="E544" i="2"/>
  <c r="F544" i="2" s="1"/>
  <c r="E812" i="2"/>
  <c r="F812" i="2" s="1"/>
  <c r="B1064" i="3"/>
  <c r="E1123" i="2"/>
  <c r="F1123" i="2" s="1"/>
  <c r="E1122" i="2"/>
  <c r="F1122" i="2" s="1"/>
  <c r="E1743" i="2"/>
  <c r="F1743" i="2" s="1"/>
  <c r="E1744" i="2"/>
  <c r="F1744" i="2" s="1"/>
  <c r="E2104" i="2"/>
  <c r="F2104" i="2" s="1"/>
  <c r="E2097" i="2"/>
  <c r="F2097" i="2" s="1"/>
  <c r="E2105" i="2"/>
  <c r="F2105" i="2" s="1"/>
  <c r="E2098" i="2"/>
  <c r="F2098" i="2" s="1"/>
  <c r="E2100" i="2"/>
  <c r="F2100" i="2" s="1"/>
  <c r="B513" i="3"/>
  <c r="E1441" i="4" s="1"/>
  <c r="F1441" i="4" s="1"/>
  <c r="E2455" i="2"/>
  <c r="F2455" i="2" s="1"/>
  <c r="E2453" i="2"/>
  <c r="F2453" i="2" s="1"/>
  <c r="B989" i="3"/>
  <c r="E515" i="2"/>
  <c r="F515" i="2" s="1"/>
  <c r="E516" i="2"/>
  <c r="F516" i="2" s="1"/>
  <c r="E513" i="2"/>
  <c r="F513" i="2" s="1"/>
  <c r="E514" i="2"/>
  <c r="F514" i="2" s="1"/>
  <c r="B90" i="3"/>
  <c r="E218" i="4" s="1"/>
  <c r="F218" i="4" s="1"/>
  <c r="E985" i="2"/>
  <c r="F985" i="2" s="1"/>
  <c r="E986" i="2"/>
  <c r="F986" i="2" s="1"/>
  <c r="E1922" i="2"/>
  <c r="F1922" i="2" s="1"/>
  <c r="E1923" i="2"/>
  <c r="F1923" i="2" s="1"/>
  <c r="B375" i="3"/>
  <c r="E2315" i="2"/>
  <c r="F2315" i="2" s="1"/>
  <c r="E2316" i="2"/>
  <c r="F2316" i="2" s="1"/>
  <c r="B483" i="3"/>
  <c r="E1311" i="4" s="1"/>
  <c r="F1311" i="4" s="1"/>
  <c r="E2319" i="2"/>
  <c r="F2319" i="2" s="1"/>
  <c r="E2321" i="2"/>
  <c r="F2321" i="2" s="1"/>
  <c r="B737" i="3"/>
  <c r="E3333" i="2"/>
  <c r="F3333" i="2" s="1"/>
  <c r="E3334" i="2"/>
  <c r="F3334" i="2" s="1"/>
  <c r="E1734" i="2"/>
  <c r="F1734" i="2" s="1"/>
  <c r="B316" i="3"/>
  <c r="B377" i="3"/>
  <c r="E997" i="4" s="1"/>
  <c r="F997" i="4" s="1"/>
  <c r="E1927" i="2"/>
  <c r="F1927" i="2" s="1"/>
  <c r="E2147" i="2"/>
  <c r="F2147" i="2" s="1"/>
  <c r="E2142" i="2"/>
  <c r="F2142" i="2" s="1"/>
  <c r="B437" i="3"/>
  <c r="E2144" i="2"/>
  <c r="F2144" i="2" s="1"/>
  <c r="E2639" i="2"/>
  <c r="F2639" i="2" s="1"/>
  <c r="E2640" i="2"/>
  <c r="F2640" i="2" s="1"/>
  <c r="E2641" i="2"/>
  <c r="F2641" i="2" s="1"/>
  <c r="E2638" i="2"/>
  <c r="F2638" i="2" s="1"/>
  <c r="E2943" i="2"/>
  <c r="F2943" i="2" s="1"/>
  <c r="E2944" i="2"/>
  <c r="F2944" i="2" s="1"/>
  <c r="E2945" i="2"/>
  <c r="F2945" i="2" s="1"/>
  <c r="E2946" i="2"/>
  <c r="F2946" i="2" s="1"/>
  <c r="B883" i="3"/>
  <c r="E51" i="2"/>
  <c r="F51" i="2" s="1"/>
  <c r="E52" i="2"/>
  <c r="F52" i="2" s="1"/>
  <c r="E49" i="2"/>
  <c r="F49" i="2" s="1"/>
  <c r="B446" i="3"/>
  <c r="E2180" i="2"/>
  <c r="F2180" i="2" s="1"/>
  <c r="E2179" i="2"/>
  <c r="F2179" i="2" s="1"/>
  <c r="E2726" i="2"/>
  <c r="F2726" i="2" s="1"/>
  <c r="B583" i="3"/>
  <c r="E2727" i="2"/>
  <c r="F2727" i="2" s="1"/>
  <c r="E2729" i="2"/>
  <c r="F2729" i="2" s="1"/>
  <c r="E3584" i="2"/>
  <c r="F3584" i="2" s="1"/>
  <c r="E3585" i="2"/>
  <c r="F3585" i="2" s="1"/>
  <c r="B859" i="3"/>
  <c r="E3910" i="2"/>
  <c r="F3910" i="2" s="1"/>
  <c r="E3909" i="2"/>
  <c r="F3909" i="2" s="1"/>
  <c r="B349" i="3"/>
  <c r="E1836" i="2"/>
  <c r="F1836" i="2" s="1"/>
  <c r="E2264" i="2"/>
  <c r="F2264" i="2" s="1"/>
  <c r="E2265" i="2"/>
  <c r="F2265" i="2" s="1"/>
  <c r="E2261" i="2"/>
  <c r="F2261" i="2" s="1"/>
  <c r="E2262" i="2"/>
  <c r="F2262" i="2" s="1"/>
  <c r="E2538" i="2"/>
  <c r="F2538" i="2" s="1"/>
  <c r="B533" i="3"/>
  <c r="B590" i="3"/>
  <c r="E2753" i="2"/>
  <c r="F2753" i="2" s="1"/>
  <c r="E2951" i="2"/>
  <c r="F2951" i="2" s="1"/>
  <c r="E2949" i="2"/>
  <c r="F2949" i="2" s="1"/>
  <c r="E2950" i="2"/>
  <c r="F2950" i="2" s="1"/>
  <c r="B708" i="3"/>
  <c r="E3197" i="2"/>
  <c r="F3197" i="2" s="1"/>
  <c r="E3413" i="2"/>
  <c r="F3413" i="2" s="1"/>
  <c r="E3412" i="2"/>
  <c r="F3412" i="2" s="1"/>
  <c r="E3414" i="2"/>
  <c r="F3414" i="2" s="1"/>
  <c r="E3615" i="2"/>
  <c r="F3615" i="2" s="1"/>
  <c r="E3613" i="2"/>
  <c r="F3613" i="2" s="1"/>
  <c r="E3614" i="2"/>
  <c r="F3614" i="2" s="1"/>
  <c r="E3612" i="2"/>
  <c r="F3612" i="2" s="1"/>
  <c r="E3836" i="2"/>
  <c r="F3836" i="2" s="1"/>
  <c r="B51" i="3"/>
  <c r="E1912" i="2"/>
  <c r="F1912" i="2" s="1"/>
  <c r="B372" i="3"/>
  <c r="E1909" i="2"/>
  <c r="F1909" i="2" s="1"/>
  <c r="E1907" i="2"/>
  <c r="F1907" i="2" s="1"/>
  <c r="B495" i="3"/>
  <c r="E2375" i="2"/>
  <c r="F2375" i="2" s="1"/>
  <c r="E2376" i="2"/>
  <c r="F2376" i="2" s="1"/>
  <c r="E2820" i="2"/>
  <c r="F2820" i="2" s="1"/>
  <c r="E2822" i="2"/>
  <c r="F2822" i="2" s="1"/>
  <c r="B614" i="3"/>
  <c r="E2823" i="2"/>
  <c r="F2823" i="2" s="1"/>
  <c r="E2818" i="2"/>
  <c r="F2818" i="2" s="1"/>
  <c r="B20" i="3"/>
  <c r="E3228" i="2"/>
  <c r="F3228" i="2" s="1"/>
  <c r="B804" i="3"/>
  <c r="E3567" i="2"/>
  <c r="F3567" i="2" s="1"/>
  <c r="E3568" i="2"/>
  <c r="F3568" i="2" s="1"/>
  <c r="E3569" i="2"/>
  <c r="F3569" i="2" s="1"/>
  <c r="E3566" i="2"/>
  <c r="F3566" i="2" s="1"/>
  <c r="B474" i="3"/>
  <c r="E1273" i="4" s="1"/>
  <c r="F1273" i="4" s="1"/>
  <c r="E2277" i="2"/>
  <c r="F2277" i="2" s="1"/>
  <c r="E3109" i="2"/>
  <c r="F3109" i="2" s="1"/>
  <c r="E3110" i="2"/>
  <c r="F3110" i="2" s="1"/>
  <c r="E3111" i="2"/>
  <c r="F3111" i="2" s="1"/>
  <c r="B869" i="3"/>
  <c r="E3943" i="2"/>
  <c r="F3943" i="2" s="1"/>
  <c r="E3944" i="2"/>
  <c r="F3944" i="2" s="1"/>
  <c r="E3942" i="2"/>
  <c r="F3942" i="2" s="1"/>
  <c r="B1026" i="3"/>
  <c r="E652" i="2"/>
  <c r="F652" i="2" s="1"/>
  <c r="E1291" i="2"/>
  <c r="F1291" i="2" s="1"/>
  <c r="E1292" i="2"/>
  <c r="F1292" i="2" s="1"/>
  <c r="E1289" i="2"/>
  <c r="F1289" i="2" s="1"/>
  <c r="E1290" i="2"/>
  <c r="F1290" i="2" s="1"/>
  <c r="E2094" i="2"/>
  <c r="F2094" i="2" s="1"/>
  <c r="B425" i="3"/>
  <c r="E1117" i="4" s="1"/>
  <c r="F1117" i="4" s="1"/>
  <c r="E2096" i="2"/>
  <c r="F2096" i="2" s="1"/>
  <c r="B142" i="3"/>
  <c r="E1146" i="2"/>
  <c r="F1146" i="2" s="1"/>
  <c r="E883" i="2"/>
  <c r="F883" i="2" s="1"/>
  <c r="B129" i="3"/>
  <c r="E3332" i="2"/>
  <c r="F3332" i="2" s="1"/>
  <c r="E512" i="2"/>
  <c r="F512" i="2" s="1"/>
  <c r="E1396" i="2"/>
  <c r="F1396" i="2" s="1"/>
  <c r="E2724" i="2"/>
  <c r="F2724" i="2" s="1"/>
  <c r="E2817" i="2"/>
  <c r="F2817" i="2" s="1"/>
  <c r="E2320" i="2"/>
  <c r="F2320" i="2" s="1"/>
  <c r="E3229" i="2"/>
  <c r="F3229" i="2" s="1"/>
  <c r="E40" i="2"/>
  <c r="F40" i="2" s="1"/>
  <c r="E39" i="2"/>
  <c r="F39" i="2" s="1"/>
  <c r="B128" i="3"/>
  <c r="E318" i="4" s="1"/>
  <c r="F318" i="4" s="1"/>
  <c r="E1111" i="2"/>
  <c r="F1111" i="2" s="1"/>
  <c r="E18" i="2"/>
  <c r="F18" i="2" s="1"/>
  <c r="E12" i="2"/>
  <c r="F12" i="2" s="1"/>
  <c r="E23" i="2"/>
  <c r="F23" i="2" s="1"/>
  <c r="E20" i="2"/>
  <c r="F20" i="2" s="1"/>
  <c r="E16" i="2"/>
  <c r="F16" i="2" s="1"/>
  <c r="E13" i="2"/>
  <c r="F13" i="2" s="1"/>
  <c r="E21" i="2"/>
  <c r="F21" i="2" s="1"/>
  <c r="B876" i="3"/>
  <c r="E2440" i="4" s="1"/>
  <c r="F2440" i="4" s="1"/>
  <c r="E22" i="2"/>
  <c r="F22" i="2" s="1"/>
  <c r="B354" i="3"/>
  <c r="E1843" i="2"/>
  <c r="F1843" i="2" s="1"/>
  <c r="E322" i="2"/>
  <c r="F322" i="2" s="1"/>
  <c r="E319" i="2"/>
  <c r="F319" i="2" s="1"/>
  <c r="B941" i="3"/>
  <c r="E316" i="2"/>
  <c r="F316" i="2" s="1"/>
  <c r="E318" i="2"/>
  <c r="F318" i="2" s="1"/>
  <c r="B204" i="3"/>
  <c r="E1353" i="2"/>
  <c r="F1353" i="2" s="1"/>
  <c r="E1351" i="2"/>
  <c r="F1351" i="2" s="1"/>
  <c r="E1352" i="2"/>
  <c r="F1352" i="2" s="1"/>
  <c r="E15" i="2"/>
  <c r="F15" i="2" s="1"/>
  <c r="E811" i="2"/>
  <c r="F811" i="2" s="1"/>
  <c r="E240" i="2"/>
  <c r="F240" i="2" s="1"/>
  <c r="E1646" i="2"/>
  <c r="F1646" i="2" s="1"/>
  <c r="E2725" i="2"/>
  <c r="F2725" i="2" s="1"/>
  <c r="E3835" i="2"/>
  <c r="F3835" i="2" s="1"/>
  <c r="B819" i="3"/>
  <c r="E259" i="2"/>
  <c r="F259" i="2" s="1"/>
  <c r="E257" i="2"/>
  <c r="F257" i="2" s="1"/>
  <c r="E256" i="2"/>
  <c r="F256" i="2" s="1"/>
  <c r="E258" i="2"/>
  <c r="F258" i="2" s="1"/>
  <c r="B5" i="3"/>
  <c r="E11" i="4" s="1"/>
  <c r="F11" i="4" s="1"/>
  <c r="E969" i="2"/>
  <c r="F969" i="2" s="1"/>
  <c r="E320" i="2"/>
  <c r="F320" i="2" s="1"/>
  <c r="E970" i="2"/>
  <c r="F970" i="2" s="1"/>
  <c r="B966" i="3"/>
  <c r="B923" i="3"/>
  <c r="E824" i="2"/>
  <c r="F824" i="2" s="1"/>
  <c r="E1645" i="2"/>
  <c r="F1645" i="2" s="1"/>
  <c r="E2102" i="2"/>
  <c r="F2102" i="2" s="1"/>
  <c r="E2454" i="2"/>
  <c r="F2454" i="2" s="1"/>
  <c r="E2728" i="2"/>
  <c r="F2728" i="2" s="1"/>
  <c r="E3834" i="2"/>
  <c r="F3834" i="2" s="1"/>
  <c r="B127" i="3"/>
  <c r="E1108" i="2"/>
  <c r="F1108" i="2" s="1"/>
  <c r="E1110" i="2"/>
  <c r="F1110" i="2" s="1"/>
  <c r="B1029" i="3"/>
  <c r="E661" i="2"/>
  <c r="F661" i="2" s="1"/>
  <c r="E17" i="2"/>
  <c r="F17" i="2" s="1"/>
  <c r="E321" i="2"/>
  <c r="F321" i="2" s="1"/>
  <c r="E14" i="2"/>
  <c r="F14" i="2" s="1"/>
  <c r="E50" i="2"/>
  <c r="F50" i="2" s="1"/>
  <c r="E825" i="2"/>
  <c r="F825" i="2" s="1"/>
  <c r="E1224" i="2"/>
  <c r="F1224" i="2" s="1"/>
  <c r="E1448" i="2"/>
  <c r="F1448" i="2" s="1"/>
  <c r="E2099" i="2"/>
  <c r="F2099" i="2" s="1"/>
  <c r="E2452" i="2"/>
  <c r="F2452" i="2" s="1"/>
  <c r="E3198" i="2"/>
  <c r="F3198" i="2" s="1"/>
  <c r="E317" i="2"/>
  <c r="F317" i="2" s="1"/>
  <c r="E19" i="2"/>
  <c r="F19" i="2" s="1"/>
  <c r="E554" i="2"/>
  <c r="F554" i="2" s="1"/>
  <c r="E1225" i="2"/>
  <c r="F1225" i="2" s="1"/>
  <c r="E2101" i="2"/>
  <c r="F2101" i="2" s="1"/>
  <c r="E2456" i="2"/>
  <c r="F2456" i="2" s="1"/>
  <c r="E3196" i="2"/>
  <c r="F3196" i="2" s="1"/>
  <c r="E1920" i="2"/>
  <c r="F1920" i="2" s="1"/>
  <c r="B810" i="3"/>
  <c r="E2947" i="2"/>
  <c r="F2947" i="2" s="1"/>
  <c r="E2236" i="2"/>
  <c r="F2236" i="2" s="1"/>
  <c r="B576" i="3"/>
  <c r="E1729" i="2"/>
  <c r="F1729" i="2" s="1"/>
  <c r="E2325" i="2"/>
  <c r="F2325" i="2" s="1"/>
  <c r="E368" i="2"/>
  <c r="F368" i="2" s="1"/>
  <c r="E589" i="2"/>
  <c r="F589" i="2" s="1"/>
  <c r="E1532" i="2"/>
  <c r="F1532" i="2" s="1"/>
  <c r="E2589" i="2"/>
  <c r="F2589" i="2" s="1"/>
  <c r="E3789" i="2"/>
  <c r="F3789" i="2" s="1"/>
  <c r="E1066" i="2"/>
  <c r="F1066" i="2" s="1"/>
  <c r="E2078" i="2"/>
  <c r="F2078" i="2" s="1"/>
  <c r="E2670" i="2"/>
  <c r="F2670" i="2" s="1"/>
  <c r="E3246" i="2"/>
  <c r="F3246" i="2" s="1"/>
  <c r="E1882" i="2"/>
  <c r="F1882" i="2" s="1"/>
  <c r="B979" i="3"/>
  <c r="E770" i="2"/>
  <c r="F770" i="2" s="1"/>
  <c r="E1176" i="2"/>
  <c r="F1176" i="2" s="1"/>
  <c r="E193" i="2"/>
  <c r="F193" i="2" s="1"/>
  <c r="E490" i="2"/>
  <c r="F490" i="2" s="1"/>
  <c r="E1343" i="2"/>
  <c r="F1343" i="2" s="1"/>
  <c r="E2852" i="2"/>
  <c r="F2852" i="2" s="1"/>
  <c r="E2962" i="2"/>
  <c r="F2962" i="2" s="1"/>
  <c r="E1890" i="2"/>
  <c r="F1890" i="2" s="1"/>
  <c r="E3606" i="2"/>
  <c r="F3606" i="2" s="1"/>
  <c r="E1818" i="2"/>
  <c r="F1818" i="2" s="1"/>
  <c r="E2240" i="2"/>
  <c r="F2240" i="2" s="1"/>
  <c r="E2075" i="2"/>
  <c r="F2075" i="2" s="1"/>
  <c r="B484" i="3"/>
  <c r="E1318" i="4" s="1"/>
  <c r="F1318" i="4" s="1"/>
  <c r="E366" i="2"/>
  <c r="F366" i="2" s="1"/>
  <c r="B250" i="3"/>
  <c r="E2585" i="2"/>
  <c r="F2585" i="2" s="1"/>
  <c r="B850" i="3"/>
  <c r="E1303" i="2"/>
  <c r="F1303" i="2" s="1"/>
  <c r="E2080" i="2"/>
  <c r="F2080" i="2" s="1"/>
  <c r="E2357" i="2"/>
  <c r="F2357" i="2" s="1"/>
  <c r="E2673" i="2"/>
  <c r="F2673" i="2" s="1"/>
  <c r="E3243" i="2"/>
  <c r="F3243" i="2" s="1"/>
  <c r="B1055" i="3"/>
  <c r="E993" i="2"/>
  <c r="F993" i="2" s="1"/>
  <c r="E1174" i="2"/>
  <c r="F1174" i="2" s="1"/>
  <c r="E1397" i="2"/>
  <c r="F1397" i="2" s="1"/>
  <c r="E1784" i="2"/>
  <c r="F1784" i="2" s="1"/>
  <c r="E2909" i="2"/>
  <c r="F2909" i="2" s="1"/>
  <c r="E189" i="2"/>
  <c r="F189" i="2" s="1"/>
  <c r="E486" i="2"/>
  <c r="F486" i="2" s="1"/>
  <c r="E1345" i="2"/>
  <c r="F1345" i="2" s="1"/>
  <c r="E1702" i="2"/>
  <c r="F1702" i="2" s="1"/>
  <c r="E1964" i="2"/>
  <c r="F1964" i="2" s="1"/>
  <c r="E2960" i="2"/>
  <c r="F2960" i="2" s="1"/>
  <c r="E1891" i="2"/>
  <c r="F1891" i="2" s="1"/>
  <c r="E2892" i="2"/>
  <c r="F2892" i="2" s="1"/>
  <c r="E348" i="2"/>
  <c r="F348" i="2" s="1"/>
  <c r="E3605" i="2"/>
  <c r="F3605" i="2" s="1"/>
  <c r="E1862" i="2"/>
  <c r="F1862" i="2" s="1"/>
  <c r="E2077" i="2"/>
  <c r="F2077" i="2" s="1"/>
  <c r="E365" i="2"/>
  <c r="F365" i="2" s="1"/>
  <c r="E838" i="2"/>
  <c r="F838" i="2" s="1"/>
  <c r="B543" i="3"/>
  <c r="E1306" i="2"/>
  <c r="F1306" i="2" s="1"/>
  <c r="E1848" i="2"/>
  <c r="F1848" i="2" s="1"/>
  <c r="E2079" i="2"/>
  <c r="F2079" i="2" s="1"/>
  <c r="E2361" i="2"/>
  <c r="F2361" i="2" s="1"/>
  <c r="E2672" i="2"/>
  <c r="F2672" i="2" s="1"/>
  <c r="E3245" i="2"/>
  <c r="F3245" i="2" s="1"/>
  <c r="E482" i="2"/>
  <c r="F482" i="2" s="1"/>
  <c r="E997" i="2"/>
  <c r="F997" i="2" s="1"/>
  <c r="E1786" i="2"/>
  <c r="F1786" i="2" s="1"/>
  <c r="E1987" i="2"/>
  <c r="F1987" i="2" s="1"/>
  <c r="E188" i="2"/>
  <c r="F188" i="2" s="1"/>
  <c r="E754" i="2"/>
  <c r="F754" i="2" s="1"/>
  <c r="E1055" i="2"/>
  <c r="F1055" i="2" s="1"/>
  <c r="E1342" i="2"/>
  <c r="F1342" i="2" s="1"/>
  <c r="E1965" i="2"/>
  <c r="F1965" i="2" s="1"/>
  <c r="E2388" i="2"/>
  <c r="F2388" i="2" s="1"/>
  <c r="E2959" i="2"/>
  <c r="F2959" i="2" s="1"/>
  <c r="E1889" i="2"/>
  <c r="F1889" i="2" s="1"/>
  <c r="E2891" i="2"/>
  <c r="F2891" i="2" s="1"/>
  <c r="E347" i="2"/>
  <c r="F347" i="2" s="1"/>
  <c r="E3608" i="2"/>
  <c r="F3608" i="2" s="1"/>
  <c r="B834" i="3"/>
  <c r="E2336" i="4" s="1"/>
  <c r="F2336" i="4" s="1"/>
  <c r="E3676" i="2"/>
  <c r="F3676" i="2" s="1"/>
  <c r="E1861" i="2"/>
  <c r="F1861" i="2" s="1"/>
  <c r="E3125" i="2"/>
  <c r="F3125" i="2" s="1"/>
  <c r="B421" i="3"/>
  <c r="E1107" i="4" s="1"/>
  <c r="F1107" i="4" s="1"/>
  <c r="E2806" i="2"/>
  <c r="F2806" i="2" s="1"/>
  <c r="E837" i="2"/>
  <c r="F837" i="2" s="1"/>
  <c r="E1530" i="2"/>
  <c r="F1530" i="2" s="1"/>
  <c r="E2796" i="2"/>
  <c r="F2796" i="2" s="1"/>
  <c r="E1305" i="2"/>
  <c r="F1305" i="2" s="1"/>
  <c r="E1846" i="2"/>
  <c r="F1846" i="2" s="1"/>
  <c r="E2360" i="2"/>
  <c r="F2360" i="2" s="1"/>
  <c r="E2671" i="2"/>
  <c r="F2671" i="2" s="1"/>
  <c r="E480" i="2"/>
  <c r="F480" i="2" s="1"/>
  <c r="E996" i="2"/>
  <c r="F996" i="2" s="1"/>
  <c r="E1785" i="2"/>
  <c r="F1785" i="2" s="1"/>
  <c r="E187" i="2"/>
  <c r="F187" i="2" s="1"/>
  <c r="E753" i="2"/>
  <c r="F753" i="2" s="1"/>
  <c r="E1054" i="2"/>
  <c r="F1054" i="2" s="1"/>
  <c r="E1968" i="2"/>
  <c r="F1968" i="2" s="1"/>
  <c r="E2387" i="2"/>
  <c r="F2387" i="2" s="1"/>
  <c r="E3256" i="2"/>
  <c r="F3256" i="2" s="1"/>
  <c r="E1893" i="2"/>
  <c r="F1893" i="2" s="1"/>
  <c r="E2894" i="2"/>
  <c r="F2894" i="2" s="1"/>
  <c r="B274" i="3"/>
  <c r="E2924" i="2"/>
  <c r="F2924" i="2" s="1"/>
  <c r="E470" i="4"/>
  <c r="F470" i="4" s="1"/>
  <c r="E3607" i="2"/>
  <c r="F3607" i="2" s="1"/>
  <c r="E110" i="2"/>
  <c r="F110" i="2" s="1"/>
  <c r="E3126" i="2"/>
  <c r="F3126" i="2" s="1"/>
  <c r="E1302" i="2"/>
  <c r="F1302" i="2" s="1"/>
  <c r="B356" i="3"/>
  <c r="E191" i="2"/>
  <c r="F191" i="2" s="1"/>
  <c r="E3161" i="4"/>
  <c r="F3161" i="4" s="1"/>
  <c r="E1988" i="4"/>
  <c r="F1988" i="4" s="1"/>
  <c r="E1076" i="4"/>
  <c r="F1076" i="4" s="1"/>
  <c r="E844" i="4"/>
  <c r="F844" i="4" s="1"/>
  <c r="E1873" i="4"/>
  <c r="F1873" i="4" s="1"/>
  <c r="E1755" i="4"/>
  <c r="F1755" i="4" s="1"/>
  <c r="E1025" i="4"/>
  <c r="F1025" i="4" s="1"/>
  <c r="E371" i="4"/>
  <c r="F371" i="4" s="1"/>
  <c r="E1405" i="4"/>
  <c r="F1405" i="4" s="1"/>
  <c r="E2921" i="4"/>
  <c r="F2921" i="4" s="1"/>
  <c r="E1528" i="4"/>
  <c r="F1528" i="4" s="1"/>
  <c r="E1530" i="4"/>
  <c r="F1530" i="4" s="1"/>
  <c r="E1016" i="4"/>
  <c r="F1016" i="4" s="1"/>
  <c r="E1697" i="4"/>
  <c r="F1697" i="4" s="1"/>
  <c r="E2391" i="4"/>
  <c r="F2391" i="4" s="1"/>
  <c r="E894" i="4"/>
  <c r="F894" i="4" s="1"/>
  <c r="E2653" i="4"/>
  <c r="F2653" i="4" s="1"/>
  <c r="E2446" i="4"/>
  <c r="F2446" i="4" s="1"/>
  <c r="E559" i="4"/>
  <c r="F559" i="4" s="1"/>
  <c r="E722" i="4"/>
  <c r="F722" i="4" s="1"/>
  <c r="E982" i="4"/>
  <c r="F982" i="4" s="1"/>
  <c r="E1109" i="4"/>
  <c r="F1109" i="4" s="1"/>
  <c r="E1772" i="4"/>
  <c r="F1772" i="4" s="1"/>
  <c r="E1706" i="4"/>
  <c r="F1706" i="4" s="1"/>
  <c r="E2423" i="4"/>
  <c r="F2423" i="4" s="1"/>
  <c r="E2388" i="4"/>
  <c r="F2388" i="4" s="1"/>
  <c r="E422" i="4"/>
  <c r="F422" i="4" s="1"/>
  <c r="E2007" i="4"/>
  <c r="F2007" i="4" s="1"/>
  <c r="E836" i="4"/>
  <c r="F836" i="4" s="1"/>
  <c r="E317" i="4"/>
  <c r="F317" i="4" s="1"/>
  <c r="E2013" i="4"/>
  <c r="F2013" i="4" s="1"/>
  <c r="E1017" i="4"/>
  <c r="F1017" i="4" s="1"/>
  <c r="E1879" i="4"/>
  <c r="F1879" i="4" s="1"/>
  <c r="E2209" i="4"/>
  <c r="F2209" i="4" s="1"/>
  <c r="E133" i="4"/>
  <c r="F133" i="4" s="1"/>
  <c r="E1259" i="4"/>
  <c r="F1259" i="4" s="1"/>
  <c r="E73" i="4"/>
  <c r="F73" i="4" s="1"/>
  <c r="E2206" i="4"/>
  <c r="F2206" i="4" s="1"/>
  <c r="E859" i="4"/>
  <c r="F859" i="4" s="1"/>
  <c r="E2445" i="4"/>
  <c r="F2445" i="4" s="1"/>
  <c r="E194" i="4"/>
  <c r="F194" i="4" s="1"/>
  <c r="E1108" i="4"/>
  <c r="F1108" i="4" s="1"/>
  <c r="E1932" i="4"/>
  <c r="F1932" i="4" s="1"/>
  <c r="E2012" i="4"/>
  <c r="F2012" i="4" s="1"/>
  <c r="E3055" i="4"/>
  <c r="F3055" i="4" s="1"/>
  <c r="E2774" i="4"/>
  <c r="F2774" i="4" s="1"/>
  <c r="E2909" i="4"/>
  <c r="F2909" i="4" s="1"/>
  <c r="E929" i="4"/>
  <c r="F929" i="4" s="1"/>
  <c r="E1037" i="4"/>
  <c r="F1037" i="4" s="1"/>
  <c r="E102" i="4"/>
  <c r="F102" i="4" s="1"/>
  <c r="E932" i="4"/>
  <c r="F932" i="4" s="1"/>
  <c r="E990" i="4"/>
  <c r="F990" i="4" s="1"/>
  <c r="E2143" i="4"/>
  <c r="F2143" i="4" s="1"/>
  <c r="E2399" i="4"/>
  <c r="F2399" i="4" s="1"/>
  <c r="E1527" i="4"/>
  <c r="F1527" i="4" s="1"/>
  <c r="E2091" i="4"/>
  <c r="F2091" i="4" s="1"/>
  <c r="E753" i="4"/>
  <c r="F753" i="4" s="1"/>
  <c r="E1529" i="4"/>
  <c r="F1529" i="4" s="1"/>
  <c r="E2314" i="4"/>
  <c r="F2314" i="4" s="1"/>
  <c r="E2094" i="4"/>
  <c r="F2094" i="4" s="1"/>
  <c r="E1713" i="4"/>
  <c r="F1713" i="4" s="1"/>
  <c r="E2374" i="4"/>
  <c r="F2374" i="4" s="1"/>
  <c r="E389" i="4"/>
  <c r="F389" i="4" s="1"/>
  <c r="E738" i="4"/>
  <c r="F738" i="4" s="1"/>
  <c r="E861" i="4"/>
  <c r="F861" i="4" s="1"/>
  <c r="E895" i="4"/>
  <c r="F895" i="4" s="1"/>
  <c r="E2546" i="4"/>
  <c r="F2546" i="4" s="1"/>
  <c r="E2750" i="4"/>
  <c r="F2750" i="4" s="1"/>
  <c r="E1079" i="4"/>
  <c r="F1079" i="4" s="1"/>
  <c r="E1512" i="4"/>
  <c r="F1512" i="4" s="1"/>
  <c r="E2505" i="4"/>
  <c r="F2505" i="4" s="1"/>
  <c r="E2413" i="4"/>
  <c r="F2413" i="4" s="1"/>
  <c r="E2454" i="4"/>
  <c r="F2454" i="4" s="1"/>
  <c r="E1641" i="4"/>
  <c r="F1641" i="4" s="1"/>
  <c r="E2315" i="4"/>
  <c r="F2315" i="4" s="1"/>
  <c r="E2761" i="4"/>
  <c r="F2761" i="4" s="1"/>
  <c r="E1218" i="4"/>
  <c r="F1218" i="4" s="1"/>
  <c r="E201" i="4"/>
  <c r="F201" i="4" s="1"/>
  <c r="E1569" i="4"/>
  <c r="F1569" i="4" s="1"/>
  <c r="E1783" i="4"/>
  <c r="F1783" i="4" s="1"/>
  <c r="E370" i="4"/>
  <c r="F370" i="4" s="1"/>
  <c r="E1589" i="4"/>
  <c r="F1589" i="4" s="1"/>
  <c r="E2079" i="4"/>
  <c r="F2079" i="4" s="1"/>
  <c r="E114" i="4"/>
  <c r="F114" i="4" s="1"/>
  <c r="E3079" i="4"/>
  <c r="F3079" i="4" s="1"/>
  <c r="E1447" i="4"/>
  <c r="F1447" i="4" s="1"/>
  <c r="E2737" i="4"/>
  <c r="F2737" i="4" s="1"/>
  <c r="E2078" i="4"/>
  <c r="F2078" i="4" s="1"/>
  <c r="E2664" i="4"/>
  <c r="F2664" i="4" s="1"/>
  <c r="E12" i="4"/>
  <c r="F12" i="4" s="1"/>
  <c r="E2605" i="4"/>
  <c r="F2605" i="4" s="1"/>
  <c r="E1024" i="4"/>
  <c r="F1024" i="4" s="1"/>
  <c r="E1722" i="4"/>
  <c r="F1722" i="4" s="1"/>
  <c r="E2190" i="4"/>
  <c r="F2190" i="4" s="1"/>
  <c r="E2400" i="4"/>
  <c r="F2400" i="4" s="1"/>
  <c r="E693" i="4"/>
  <c r="F693" i="4" s="1"/>
  <c r="E328" i="4"/>
  <c r="F328" i="4" s="1"/>
  <c r="E1782" i="4"/>
  <c r="F1782" i="4" s="1"/>
  <c r="E620" i="4"/>
  <c r="F620" i="4" s="1"/>
  <c r="E1796" i="4"/>
  <c r="F1796" i="4" s="1"/>
  <c r="E872" i="4"/>
  <c r="F872" i="4" s="1"/>
  <c r="E1337" i="4"/>
  <c r="F1337" i="4" s="1"/>
  <c r="E2113" i="4"/>
  <c r="F2113" i="4" s="1"/>
  <c r="E2626" i="4"/>
  <c r="F2626" i="4" s="1"/>
  <c r="E893" i="4"/>
  <c r="F893" i="4" s="1"/>
  <c r="E305" i="4"/>
  <c r="F305" i="4" s="1"/>
  <c r="E873" i="4"/>
  <c r="F873" i="4" s="1"/>
  <c r="E2217" i="4"/>
  <c r="F2217" i="4" s="1"/>
  <c r="E160" i="4"/>
  <c r="F160" i="4" s="1"/>
  <c r="E754" i="4"/>
  <c r="F754" i="4" s="1"/>
  <c r="E821" i="4"/>
  <c r="F821" i="4" s="1"/>
  <c r="E3010" i="4"/>
  <c r="F3010" i="4" s="1"/>
  <c r="E485" i="4"/>
  <c r="F485" i="4" s="1"/>
  <c r="E1878" i="4"/>
  <c r="F1878" i="4" s="1"/>
  <c r="E2210" i="4"/>
  <c r="F2210" i="4" s="1"/>
  <c r="E1948" i="4"/>
  <c r="F1948" i="4" s="1"/>
  <c r="E745" i="4"/>
  <c r="F745" i="4" s="1"/>
  <c r="E1610" i="4"/>
  <c r="F1610" i="4" s="1"/>
  <c r="E2373" i="4"/>
  <c r="F2373" i="4" s="1"/>
  <c r="E1188" i="4"/>
  <c r="F1188" i="4" s="1"/>
  <c r="E1419" i="4"/>
  <c r="F1419" i="4" s="1"/>
  <c r="E2128" i="4"/>
  <c r="F2128" i="4" s="1"/>
  <c r="E1636" i="4"/>
  <c r="F1636" i="4" s="1"/>
  <c r="E1714" i="4"/>
  <c r="F1714" i="4" s="1"/>
  <c r="E914" i="4"/>
  <c r="F914" i="4" s="1"/>
  <c r="E1165" i="4"/>
  <c r="F1165" i="4" s="1"/>
  <c r="E2241" i="4"/>
  <c r="F2241" i="4" s="1"/>
  <c r="E520" i="4"/>
  <c r="F520" i="4" s="1"/>
  <c r="E222" i="4"/>
  <c r="F222" i="4" s="1"/>
  <c r="E2775" i="4"/>
  <c r="F2775" i="4" s="1"/>
  <c r="E896" i="4"/>
  <c r="F896" i="4" s="1"/>
  <c r="E41" i="4"/>
  <c r="F41" i="4" s="1"/>
  <c r="E2397" i="4"/>
  <c r="F2397" i="4" s="1"/>
  <c r="E1840" i="4"/>
  <c r="F1840" i="4" s="1"/>
  <c r="E2357" i="4"/>
  <c r="F2357" i="4" s="1"/>
  <c r="E2381" i="4"/>
  <c r="F2381" i="4" s="1"/>
  <c r="E1520" i="4"/>
  <c r="F1520" i="4" s="1"/>
  <c r="E2099" i="4"/>
  <c r="F2099" i="4" s="1"/>
  <c r="E2214" i="4"/>
  <c r="F2214" i="4" s="1"/>
  <c r="E202" i="4"/>
  <c r="F202" i="4" s="1"/>
  <c r="E1698" i="4"/>
  <c r="F1698" i="4" s="1"/>
  <c r="E1902" i="4"/>
  <c r="F1902" i="4" s="1"/>
  <c r="E132" i="4"/>
  <c r="F132" i="4" s="1"/>
  <c r="E1767" i="4"/>
  <c r="F1767" i="4" s="1"/>
  <c r="E2154" i="4"/>
  <c r="F2154" i="4" s="1"/>
  <c r="E1846" i="4"/>
  <c r="F1846" i="4" s="1"/>
  <c r="E2201" i="4"/>
  <c r="F2201" i="4" s="1"/>
  <c r="E3121" i="4"/>
  <c r="F3121" i="4" s="1"/>
  <c r="E2242" i="4"/>
  <c r="F2242" i="4" s="1"/>
  <c r="E2398" i="4"/>
  <c r="F2398" i="4" s="1"/>
  <c r="E2540" i="4"/>
  <c r="F2540" i="4" s="1"/>
  <c r="E322" i="4"/>
  <c r="F322" i="4" s="1"/>
  <c r="E1937" i="4"/>
  <c r="F1937" i="4" s="1"/>
  <c r="E2755" i="4"/>
  <c r="F2755" i="4" s="1"/>
  <c r="E148" i="4"/>
  <c r="F148" i="4" s="1"/>
  <c r="E1240" i="4"/>
  <c r="F1240" i="4" s="1"/>
  <c r="E1507" i="4"/>
  <c r="F1507" i="4" s="1"/>
  <c r="E492" i="4"/>
  <c r="F492" i="4" s="1"/>
  <c r="E2447" i="4"/>
  <c r="F2447" i="4" s="1"/>
  <c r="E1515" i="4"/>
  <c r="F1515" i="4" s="1"/>
  <c r="E2736" i="4"/>
  <c r="F2736" i="4" s="1"/>
  <c r="E1075" i="4"/>
  <c r="F1075" i="4" s="1"/>
  <c r="E2523" i="4"/>
  <c r="F2523" i="4" s="1"/>
  <c r="E1450" i="4"/>
  <c r="F1450" i="4" s="1"/>
  <c r="E319" i="4"/>
  <c r="F319" i="4" s="1"/>
  <c r="E700" i="4"/>
  <c r="F700" i="4" s="1"/>
  <c r="E192" i="4"/>
  <c r="F192" i="4" s="1"/>
  <c r="E289" i="4"/>
  <c r="F289" i="4" s="1"/>
  <c r="E334" i="4"/>
  <c r="F334" i="4" s="1"/>
  <c r="E417" i="4"/>
  <c r="F417" i="4" s="1"/>
  <c r="E630" i="4"/>
  <c r="F630" i="4" s="1"/>
  <c r="E2202" i="4"/>
  <c r="F2202" i="4" s="1"/>
  <c r="E1781" i="4"/>
  <c r="F1781" i="4" s="1"/>
  <c r="E3061" i="4"/>
  <c r="F3061" i="4" s="1"/>
  <c r="B81" i="3"/>
  <c r="E951" i="2"/>
  <c r="F951" i="2" s="1"/>
  <c r="E952" i="2"/>
  <c r="F952" i="2" s="1"/>
  <c r="E678" i="4"/>
  <c r="F678" i="4" s="1"/>
  <c r="E679" i="4"/>
  <c r="F679" i="4" s="1"/>
  <c r="E680" i="4"/>
  <c r="F680" i="4" s="1"/>
  <c r="E676" i="4"/>
  <c r="F676" i="4" s="1"/>
  <c r="E677" i="4"/>
  <c r="F677" i="4" s="1"/>
  <c r="B350" i="3"/>
  <c r="E1837" i="2"/>
  <c r="F1837" i="2" s="1"/>
  <c r="B471" i="3"/>
  <c r="E2266" i="2"/>
  <c r="F2266" i="2" s="1"/>
  <c r="E2267" i="2"/>
  <c r="F2267" i="2" s="1"/>
  <c r="E2268" i="2"/>
  <c r="F2268" i="2" s="1"/>
  <c r="B254" i="3"/>
  <c r="E1540" i="2"/>
  <c r="F1540" i="2" s="1"/>
  <c r="E1541" i="2"/>
  <c r="F1541" i="2" s="1"/>
  <c r="E1542" i="2"/>
  <c r="F1542" i="2" s="1"/>
  <c r="E1545" i="2"/>
  <c r="F1545" i="2" s="1"/>
  <c r="E1543" i="2"/>
  <c r="F1543" i="2" s="1"/>
  <c r="E1544" i="2"/>
  <c r="F1544" i="2" s="1"/>
  <c r="E1546" i="2"/>
  <c r="F1546" i="2" s="1"/>
  <c r="E1576" i="4"/>
  <c r="F1576" i="4" s="1"/>
  <c r="E1577" i="4"/>
  <c r="F1577" i="4" s="1"/>
  <c r="E2790" i="4"/>
  <c r="F2790" i="4" s="1"/>
  <c r="E2791" i="4"/>
  <c r="F2791" i="4" s="1"/>
  <c r="E2792" i="4"/>
  <c r="F2792" i="4" s="1"/>
  <c r="E2793" i="4"/>
  <c r="F2793" i="4" s="1"/>
  <c r="B578" i="3"/>
  <c r="E2706" i="2"/>
  <c r="F2706" i="2" s="1"/>
  <c r="E2707" i="2"/>
  <c r="F2707" i="2" s="1"/>
  <c r="E2708" i="2"/>
  <c r="F2708" i="2" s="1"/>
  <c r="E403" i="2"/>
  <c r="F403" i="2" s="1"/>
  <c r="E401" i="2"/>
  <c r="F401" i="2" s="1"/>
  <c r="B963" i="3"/>
  <c r="E402" i="2"/>
  <c r="F402" i="2" s="1"/>
  <c r="B202" i="3"/>
  <c r="E1346" i="2"/>
  <c r="F1346" i="2" s="1"/>
  <c r="B609" i="3"/>
  <c r="E2809" i="2"/>
  <c r="F2809" i="2" s="1"/>
  <c r="E2606" i="4"/>
  <c r="F2606" i="4" s="1"/>
  <c r="E2607" i="4"/>
  <c r="F2607" i="4" s="1"/>
  <c r="E2608" i="4"/>
  <c r="F2608" i="4" s="1"/>
  <c r="E2609" i="4"/>
  <c r="F2609" i="4" s="1"/>
  <c r="B299" i="3"/>
  <c r="E1683" i="2"/>
  <c r="F1683" i="2" s="1"/>
  <c r="E978" i="4"/>
  <c r="F978" i="4" s="1"/>
  <c r="E979" i="4"/>
  <c r="F979" i="4" s="1"/>
  <c r="B603" i="3"/>
  <c r="E2793" i="2"/>
  <c r="F2793" i="2" s="1"/>
  <c r="E2794" i="2"/>
  <c r="F2794" i="2" s="1"/>
  <c r="E3048" i="4"/>
  <c r="F3048" i="4" s="1"/>
  <c r="E3049" i="4"/>
  <c r="F3049" i="4" s="1"/>
  <c r="E3050" i="4"/>
  <c r="F3050" i="4" s="1"/>
  <c r="E3051" i="4"/>
  <c r="F3051" i="4" s="1"/>
  <c r="E1748" i="2"/>
  <c r="F1748" i="2" s="1"/>
  <c r="E1749" i="2"/>
  <c r="F1749" i="2" s="1"/>
  <c r="B322" i="3"/>
  <c r="E1747" i="2"/>
  <c r="F1747" i="2" s="1"/>
  <c r="B1031" i="3"/>
  <c r="E667" i="2"/>
  <c r="F667" i="2" s="1"/>
  <c r="E668" i="2"/>
  <c r="F668" i="2" s="1"/>
  <c r="E669" i="2"/>
  <c r="F669" i="2" s="1"/>
  <c r="E624" i="4"/>
  <c r="F624" i="4" s="1"/>
  <c r="E1086" i="4"/>
  <c r="F1086" i="4" s="1"/>
  <c r="E1087" i="4"/>
  <c r="F1087" i="4" s="1"/>
  <c r="E1088" i="4"/>
  <c r="F1088" i="4" s="1"/>
  <c r="E1089" i="4"/>
  <c r="F1089" i="4" s="1"/>
  <c r="E1090" i="4"/>
  <c r="F1090" i="4" s="1"/>
  <c r="E1598" i="4"/>
  <c r="F1598" i="4" s="1"/>
  <c r="E1599" i="4"/>
  <c r="F1599" i="4" s="1"/>
  <c r="E1600" i="4"/>
  <c r="F1600" i="4" s="1"/>
  <c r="E1601" i="4"/>
  <c r="F1601" i="4" s="1"/>
  <c r="E36" i="4"/>
  <c r="F36" i="4" s="1"/>
  <c r="E37" i="4"/>
  <c r="F37" i="4" s="1"/>
  <c r="E1406" i="4"/>
  <c r="F1406" i="4" s="1"/>
  <c r="E1407" i="4"/>
  <c r="F1407" i="4" s="1"/>
  <c r="E1408" i="4"/>
  <c r="F1408" i="4" s="1"/>
  <c r="E1409" i="4"/>
  <c r="F1409" i="4" s="1"/>
  <c r="E1410" i="4"/>
  <c r="F1410" i="4" s="1"/>
  <c r="E1760" i="4"/>
  <c r="F1760" i="4" s="1"/>
  <c r="E1761" i="4"/>
  <c r="F1761" i="4" s="1"/>
  <c r="E1918" i="4"/>
  <c r="F1918" i="4" s="1"/>
  <c r="E1919" i="4"/>
  <c r="F1919" i="4" s="1"/>
  <c r="E2204" i="4"/>
  <c r="F2204" i="4" s="1"/>
  <c r="E2205" i="4"/>
  <c r="F2205" i="4" s="1"/>
  <c r="E2203" i="4"/>
  <c r="F2203" i="4" s="1"/>
  <c r="E1844" i="4"/>
  <c r="F1844" i="4" s="1"/>
  <c r="E1842" i="4"/>
  <c r="F1842" i="4" s="1"/>
  <c r="E1843" i="4"/>
  <c r="F1843" i="4" s="1"/>
  <c r="E1845" i="4"/>
  <c r="F1845" i="4" s="1"/>
  <c r="E1841" i="4"/>
  <c r="F1841" i="4" s="1"/>
  <c r="E1742" i="4"/>
  <c r="F1742" i="4" s="1"/>
  <c r="E1743" i="4"/>
  <c r="F1743" i="4" s="1"/>
  <c r="E1744" i="4"/>
  <c r="F1744" i="4" s="1"/>
  <c r="E1746" i="4"/>
  <c r="F1746" i="4" s="1"/>
  <c r="E1747" i="4"/>
  <c r="F1747" i="4" s="1"/>
  <c r="E1745" i="4"/>
  <c r="F1745" i="4" s="1"/>
  <c r="E92" i="4"/>
  <c r="F92" i="4" s="1"/>
  <c r="E95" i="4"/>
  <c r="F95" i="4" s="1"/>
  <c r="E96" i="4"/>
  <c r="F96" i="4" s="1"/>
  <c r="E97" i="4"/>
  <c r="F97" i="4" s="1"/>
  <c r="E93" i="4"/>
  <c r="F93" i="4" s="1"/>
  <c r="E94" i="4"/>
  <c r="F94" i="4" s="1"/>
  <c r="E467" i="4"/>
  <c r="F467" i="4" s="1"/>
  <c r="E468" i="4"/>
  <c r="F468" i="4" s="1"/>
  <c r="E465" i="4"/>
  <c r="F465" i="4" s="1"/>
  <c r="E466" i="4"/>
  <c r="F466" i="4" s="1"/>
  <c r="E469" i="4"/>
  <c r="F469" i="4" s="1"/>
  <c r="E976" i="4"/>
  <c r="F976" i="4" s="1"/>
  <c r="E977" i="4"/>
  <c r="F977" i="4" s="1"/>
  <c r="E2782" i="4"/>
  <c r="F2782" i="4" s="1"/>
  <c r="E2783" i="4"/>
  <c r="F2783" i="4" s="1"/>
  <c r="E2784" i="4"/>
  <c r="F2784" i="4" s="1"/>
  <c r="E2785" i="4"/>
  <c r="F2785" i="4" s="1"/>
  <c r="E2786" i="4"/>
  <c r="F2786" i="4" s="1"/>
  <c r="E547" i="4"/>
  <c r="F547" i="4" s="1"/>
  <c r="E548" i="4"/>
  <c r="F548" i="4" s="1"/>
  <c r="E1130" i="4"/>
  <c r="F1130" i="4" s="1"/>
  <c r="E1131" i="4"/>
  <c r="F1131" i="4" s="1"/>
  <c r="E2278" i="4"/>
  <c r="F2278" i="4" s="1"/>
  <c r="E2279" i="4"/>
  <c r="F2279" i="4" s="1"/>
  <c r="E2280" i="4"/>
  <c r="F2280" i="4" s="1"/>
  <c r="E2277" i="4"/>
  <c r="F2277" i="4" s="1"/>
  <c r="E2281" i="4"/>
  <c r="F2281" i="4" s="1"/>
  <c r="E2548" i="4"/>
  <c r="F2548" i="4" s="1"/>
  <c r="E2549" i="4"/>
  <c r="F2549" i="4" s="1"/>
  <c r="E2778" i="4"/>
  <c r="F2778" i="4" s="1"/>
  <c r="E2776" i="4"/>
  <c r="F2776" i="4" s="1"/>
  <c r="E2777" i="4"/>
  <c r="F2777" i="4" s="1"/>
  <c r="B208" i="3"/>
  <c r="E1371" i="2"/>
  <c r="F1371" i="2" s="1"/>
  <c r="E1372" i="2"/>
  <c r="F1372" i="2" s="1"/>
  <c r="E1373" i="2"/>
  <c r="F1373" i="2" s="1"/>
  <c r="E1369" i="2"/>
  <c r="F1369" i="2" s="1"/>
  <c r="E1370" i="2"/>
  <c r="F1370" i="2" s="1"/>
  <c r="B449" i="3"/>
  <c r="E2191" i="2"/>
  <c r="F2191" i="2" s="1"/>
  <c r="E2192" i="2"/>
  <c r="F2192" i="2" s="1"/>
  <c r="E2190" i="2"/>
  <c r="F2190" i="2" s="1"/>
  <c r="B687" i="3"/>
  <c r="E3105" i="2"/>
  <c r="F3105" i="2" s="1"/>
  <c r="E3937" i="2"/>
  <c r="F3937" i="2" s="1"/>
  <c r="E3938" i="2"/>
  <c r="F3938" i="2" s="1"/>
  <c r="E3939" i="2"/>
  <c r="F3939" i="2" s="1"/>
  <c r="E2580" i="4"/>
  <c r="F2580" i="4" s="1"/>
  <c r="E2579" i="4"/>
  <c r="F2579" i="4" s="1"/>
  <c r="E2581" i="4"/>
  <c r="F2581" i="4" s="1"/>
  <c r="E2604" i="4"/>
  <c r="F2604" i="4" s="1"/>
  <c r="E2601" i="4"/>
  <c r="F2601" i="4" s="1"/>
  <c r="E2602" i="4"/>
  <c r="F2602" i="4" s="1"/>
  <c r="E2603" i="4"/>
  <c r="F2603" i="4" s="1"/>
  <c r="B1032" i="3"/>
  <c r="E670" i="2"/>
  <c r="F670" i="2" s="1"/>
  <c r="E671" i="2"/>
  <c r="F671" i="2" s="1"/>
  <c r="E672" i="2"/>
  <c r="F672" i="2" s="1"/>
  <c r="B87" i="3"/>
  <c r="E979" i="2"/>
  <c r="F979" i="2" s="1"/>
  <c r="E980" i="2"/>
  <c r="F980" i="2" s="1"/>
  <c r="E981" i="2"/>
  <c r="F981" i="2" s="1"/>
  <c r="E977" i="2"/>
  <c r="F977" i="2" s="1"/>
  <c r="E978" i="2"/>
  <c r="F978" i="2" s="1"/>
  <c r="E15" i="4"/>
  <c r="F15" i="4" s="1"/>
  <c r="E14" i="4"/>
  <c r="F14" i="4" s="1"/>
  <c r="B230" i="3"/>
  <c r="E1452" i="2"/>
  <c r="F1452" i="2" s="1"/>
  <c r="E1453" i="2"/>
  <c r="F1453" i="2" s="1"/>
  <c r="E774" i="4"/>
  <c r="F774" i="4" s="1"/>
  <c r="E775" i="4"/>
  <c r="F775" i="4" s="1"/>
  <c r="E1852" i="2"/>
  <c r="F1852" i="2" s="1"/>
  <c r="E1853" i="2"/>
  <c r="F1853" i="2" s="1"/>
  <c r="B479" i="3"/>
  <c r="E2303" i="2"/>
  <c r="F2303" i="2" s="1"/>
  <c r="E2301" i="2"/>
  <c r="F2301" i="2" s="1"/>
  <c r="E2300" i="2"/>
  <c r="F2300" i="2" s="1"/>
  <c r="E2302" i="2"/>
  <c r="F2302" i="2" s="1"/>
  <c r="B511" i="3"/>
  <c r="E2448" i="2"/>
  <c r="F2448" i="2" s="1"/>
  <c r="E2449" i="2"/>
  <c r="F2449" i="2" s="1"/>
  <c r="E2450" i="2"/>
  <c r="F2450" i="2" s="1"/>
  <c r="E32" i="4"/>
  <c r="F32" i="4" s="1"/>
  <c r="E33" i="4"/>
  <c r="F33" i="4" s="1"/>
  <c r="E34" i="4"/>
  <c r="F34" i="4" s="1"/>
  <c r="B709" i="3"/>
  <c r="E3200" i="2"/>
  <c r="F3200" i="2" s="1"/>
  <c r="E3201" i="2"/>
  <c r="F3201" i="2" s="1"/>
  <c r="E3202" i="2"/>
  <c r="F3202" i="2" s="1"/>
  <c r="E3203" i="2"/>
  <c r="F3203" i="2" s="1"/>
  <c r="E2100" i="4"/>
  <c r="F2100" i="4" s="1"/>
  <c r="E2101" i="4"/>
  <c r="F2101" i="4" s="1"/>
  <c r="B790" i="3"/>
  <c r="E3519" i="2"/>
  <c r="F3519" i="2" s="1"/>
  <c r="E3517" i="2"/>
  <c r="F3517" i="2" s="1"/>
  <c r="E3518" i="2"/>
  <c r="F3518" i="2" s="1"/>
  <c r="B73" i="3"/>
  <c r="E121" i="2"/>
  <c r="F121" i="2" s="1"/>
  <c r="E119" i="2"/>
  <c r="F119" i="2" s="1"/>
  <c r="E120" i="2"/>
  <c r="F120" i="2" s="1"/>
  <c r="E122" i="2"/>
  <c r="F122" i="2" s="1"/>
  <c r="B351" i="3"/>
  <c r="E1838" i="2"/>
  <c r="F1838" i="2" s="1"/>
  <c r="B650" i="3"/>
  <c r="E2957" i="2"/>
  <c r="F2957" i="2" s="1"/>
  <c r="E2958" i="2"/>
  <c r="F2958" i="2" s="1"/>
  <c r="B53" i="3"/>
  <c r="E3839" i="2"/>
  <c r="F3839" i="2" s="1"/>
  <c r="E3840" i="2"/>
  <c r="F3840" i="2" s="1"/>
  <c r="E3841" i="2"/>
  <c r="F3841" i="2" s="1"/>
  <c r="E3842" i="2"/>
  <c r="F3842" i="2" s="1"/>
  <c r="E3838" i="2"/>
  <c r="F3838" i="2" s="1"/>
  <c r="E3843" i="2"/>
  <c r="F3843" i="2" s="1"/>
  <c r="E2970" i="4"/>
  <c r="F2970" i="4" s="1"/>
  <c r="E2969" i="4"/>
  <c r="F2969" i="4" s="1"/>
  <c r="E2971" i="4"/>
  <c r="F2971" i="4" s="1"/>
  <c r="E2968" i="4"/>
  <c r="F2968" i="4" s="1"/>
  <c r="E508" i="4"/>
  <c r="F508" i="4" s="1"/>
  <c r="E509" i="4"/>
  <c r="F509" i="4" s="1"/>
  <c r="E510" i="4"/>
  <c r="F510" i="4" s="1"/>
  <c r="B540" i="3"/>
  <c r="E2578" i="2"/>
  <c r="F2578" i="2" s="1"/>
  <c r="E2581" i="2"/>
  <c r="F2581" i="2" s="1"/>
  <c r="E2579" i="2"/>
  <c r="F2579" i="2" s="1"/>
  <c r="E2580" i="2"/>
  <c r="F2580" i="2" s="1"/>
  <c r="E2582" i="2"/>
  <c r="F2582" i="2" s="1"/>
  <c r="E2486" i="4"/>
  <c r="F2486" i="4" s="1"/>
  <c r="E2487" i="4"/>
  <c r="F2487" i="4" s="1"/>
  <c r="E2488" i="4"/>
  <c r="F2488" i="4" s="1"/>
  <c r="E2484" i="4"/>
  <c r="F2484" i="4" s="1"/>
  <c r="E2482" i="4"/>
  <c r="F2482" i="4" s="1"/>
  <c r="E2483" i="4"/>
  <c r="F2483" i="4" s="1"/>
  <c r="E2485" i="4"/>
  <c r="F2485" i="4" s="1"/>
  <c r="E257" i="4"/>
  <c r="F257" i="4" s="1"/>
  <c r="E258" i="4"/>
  <c r="F258" i="4" s="1"/>
  <c r="B723" i="3"/>
  <c r="E3263" i="2"/>
  <c r="F3263" i="2" s="1"/>
  <c r="E3264" i="2"/>
  <c r="F3264" i="2" s="1"/>
  <c r="E3265" i="2"/>
  <c r="F3265" i="2" s="1"/>
  <c r="E3266" i="2"/>
  <c r="F3266" i="2" s="1"/>
  <c r="E3269" i="2"/>
  <c r="F3269" i="2" s="1"/>
  <c r="E3268" i="2"/>
  <c r="F3268" i="2" s="1"/>
  <c r="E3267" i="2"/>
  <c r="F3267" i="2" s="1"/>
  <c r="B934" i="3"/>
  <c r="E284" i="2"/>
  <c r="F284" i="2" s="1"/>
  <c r="E285" i="2"/>
  <c r="F285" i="2" s="1"/>
  <c r="E286" i="2"/>
  <c r="F286" i="2" s="1"/>
  <c r="B1052" i="3"/>
  <c r="E761" i="2"/>
  <c r="F761" i="2" s="1"/>
  <c r="E760" i="2"/>
  <c r="F760" i="2" s="1"/>
  <c r="E762" i="2"/>
  <c r="F762" i="2" s="1"/>
  <c r="B272" i="3"/>
  <c r="E1596" i="2"/>
  <c r="F1596" i="2" s="1"/>
  <c r="E1597" i="2"/>
  <c r="F1597" i="2" s="1"/>
  <c r="E1598" i="2"/>
  <c r="F1598" i="2" s="1"/>
  <c r="B515" i="3"/>
  <c r="E2461" i="2"/>
  <c r="F2461" i="2" s="1"/>
  <c r="B745" i="3"/>
  <c r="E3359" i="2"/>
  <c r="F3359" i="2" s="1"/>
  <c r="E3358" i="2"/>
  <c r="F3358" i="2" s="1"/>
  <c r="E2110" i="4"/>
  <c r="F2110" i="4" s="1"/>
  <c r="E2111" i="4"/>
  <c r="F2111" i="4" s="1"/>
  <c r="E2112" i="4"/>
  <c r="F2112" i="4" s="1"/>
  <c r="E2062" i="4"/>
  <c r="F2062" i="4" s="1"/>
  <c r="E2063" i="4"/>
  <c r="F2063" i="4" s="1"/>
  <c r="E2064" i="4"/>
  <c r="F2064" i="4" s="1"/>
  <c r="E2066" i="4"/>
  <c r="F2066" i="4" s="1"/>
  <c r="E2067" i="4"/>
  <c r="F2067" i="4" s="1"/>
  <c r="E2065" i="4"/>
  <c r="F2065" i="4" s="1"/>
  <c r="E2949" i="4"/>
  <c r="F2949" i="4" s="1"/>
  <c r="E2950" i="4"/>
  <c r="F2950" i="4" s="1"/>
  <c r="E2951" i="4"/>
  <c r="F2951" i="4" s="1"/>
  <c r="E636" i="4"/>
  <c r="F636" i="4" s="1"/>
  <c r="E637" i="4"/>
  <c r="F637" i="4" s="1"/>
  <c r="E635" i="4"/>
  <c r="F635" i="4" s="1"/>
  <c r="E910" i="4"/>
  <c r="F910" i="4" s="1"/>
  <c r="E911" i="4"/>
  <c r="F911" i="4" s="1"/>
  <c r="E909" i="4"/>
  <c r="F909" i="4" s="1"/>
  <c r="B718" i="3"/>
  <c r="E3239" i="2"/>
  <c r="F3239" i="2" s="1"/>
  <c r="E3240" i="2"/>
  <c r="F3240" i="2" s="1"/>
  <c r="E3241" i="2"/>
  <c r="F3241" i="2" s="1"/>
  <c r="E3242" i="2"/>
  <c r="F3242" i="2" s="1"/>
  <c r="E3237" i="2"/>
  <c r="F3237" i="2" s="1"/>
  <c r="E3238" i="2"/>
  <c r="F3238" i="2" s="1"/>
  <c r="B858" i="3"/>
  <c r="E3908" i="2"/>
  <c r="F3908" i="2" s="1"/>
  <c r="E1574" i="4"/>
  <c r="F1574" i="4" s="1"/>
  <c r="E1572" i="4"/>
  <c r="F1572" i="4" s="1"/>
  <c r="E1571" i="4"/>
  <c r="F1571" i="4" s="1"/>
  <c r="E1573" i="4"/>
  <c r="F1573" i="4" s="1"/>
  <c r="E2622" i="4"/>
  <c r="F2622" i="4" s="1"/>
  <c r="E2624" i="4"/>
  <c r="F2624" i="4" s="1"/>
  <c r="E2625" i="4"/>
  <c r="F2625" i="4" s="1"/>
  <c r="E2621" i="4"/>
  <c r="F2621" i="4" s="1"/>
  <c r="E2623" i="4"/>
  <c r="F2623" i="4" s="1"/>
  <c r="E2804" i="4"/>
  <c r="F2804" i="4" s="1"/>
  <c r="E2799" i="4"/>
  <c r="F2799" i="4" s="1"/>
  <c r="E2800" i="4"/>
  <c r="F2800" i="4" s="1"/>
  <c r="E2801" i="4"/>
  <c r="F2801" i="4" s="1"/>
  <c r="E2802" i="4"/>
  <c r="F2802" i="4" s="1"/>
  <c r="E2803" i="4"/>
  <c r="F2803" i="4" s="1"/>
  <c r="E2805" i="4"/>
  <c r="F2805" i="4" s="1"/>
  <c r="B277" i="3"/>
  <c r="E1611" i="2"/>
  <c r="F1611" i="2" s="1"/>
  <c r="E1612" i="2"/>
  <c r="F1612" i="2" s="1"/>
  <c r="E1609" i="2"/>
  <c r="F1609" i="2" s="1"/>
  <c r="E1607" i="2"/>
  <c r="F1607" i="2" s="1"/>
  <c r="E1608" i="2"/>
  <c r="F1608" i="2" s="1"/>
  <c r="E1610" i="2"/>
  <c r="F1610" i="2" s="1"/>
  <c r="B595" i="3"/>
  <c r="E2768" i="2"/>
  <c r="F2768" i="2" s="1"/>
  <c r="E2769" i="2"/>
  <c r="F2769" i="2" s="1"/>
  <c r="B824" i="3"/>
  <c r="E3632" i="2"/>
  <c r="F3632" i="2" s="1"/>
  <c r="E3633" i="2"/>
  <c r="F3633" i="2" s="1"/>
  <c r="E3634" i="2"/>
  <c r="F3634" i="2" s="1"/>
  <c r="E3635" i="2"/>
  <c r="F3635" i="2" s="1"/>
  <c r="B947" i="3"/>
  <c r="E339" i="2"/>
  <c r="F339" i="2" s="1"/>
  <c r="E340" i="2"/>
  <c r="F340" i="2" s="1"/>
  <c r="E341" i="2"/>
  <c r="F341" i="2" s="1"/>
  <c r="E428" i="2"/>
  <c r="F428" i="2" s="1"/>
  <c r="E429" i="2"/>
  <c r="F429" i="2" s="1"/>
  <c r="E430" i="2"/>
  <c r="F430" i="2" s="1"/>
  <c r="E431" i="2"/>
  <c r="F431" i="2" s="1"/>
  <c r="E2836" i="4"/>
  <c r="F2836" i="4" s="1"/>
  <c r="E2835" i="4"/>
  <c r="F2835" i="4" s="1"/>
  <c r="E2837" i="4"/>
  <c r="F2837" i="4" s="1"/>
  <c r="E2838" i="4"/>
  <c r="F2838" i="4" s="1"/>
  <c r="E2834" i="4"/>
  <c r="F2834" i="4" s="1"/>
  <c r="B1043" i="3"/>
  <c r="E721" i="2"/>
  <c r="F721" i="2" s="1"/>
  <c r="E719" i="2"/>
  <c r="F719" i="2" s="1"/>
  <c r="E722" i="2"/>
  <c r="F722" i="2" s="1"/>
  <c r="E720" i="2"/>
  <c r="F720" i="2" s="1"/>
  <c r="E1107" i="2"/>
  <c r="F1107" i="2" s="1"/>
  <c r="B126" i="3"/>
  <c r="E1102" i="2"/>
  <c r="F1102" i="2" s="1"/>
  <c r="E1105" i="2"/>
  <c r="F1105" i="2" s="1"/>
  <c r="E1103" i="2"/>
  <c r="F1103" i="2" s="1"/>
  <c r="E1106" i="2"/>
  <c r="F1106" i="2" s="1"/>
  <c r="E1104" i="2"/>
  <c r="F1104" i="2" s="1"/>
  <c r="B217" i="3"/>
  <c r="E1411" i="2"/>
  <c r="F1411" i="2" s="1"/>
  <c r="E1412" i="2"/>
  <c r="F1412" i="2" s="1"/>
  <c r="E1410" i="2"/>
  <c r="F1410" i="2" s="1"/>
  <c r="B292" i="3"/>
  <c r="E1663" i="2"/>
  <c r="F1663" i="2" s="1"/>
  <c r="B367" i="3"/>
  <c r="E1885" i="2"/>
  <c r="F1885" i="2" s="1"/>
  <c r="E1886" i="2"/>
  <c r="F1886" i="2" s="1"/>
  <c r="E1887" i="2"/>
  <c r="F1887" i="2" s="1"/>
  <c r="B451" i="3"/>
  <c r="E2196" i="2"/>
  <c r="F2196" i="2" s="1"/>
  <c r="B541" i="3"/>
  <c r="E2583" i="2"/>
  <c r="F2583" i="2" s="1"/>
  <c r="B623" i="3"/>
  <c r="E2855" i="2"/>
  <c r="F2855" i="2" s="1"/>
  <c r="E2856" i="2"/>
  <c r="F2856" i="2" s="1"/>
  <c r="E2857" i="2"/>
  <c r="F2857" i="2" s="1"/>
  <c r="E2858" i="2"/>
  <c r="F2858" i="2" s="1"/>
  <c r="E2859" i="2"/>
  <c r="F2859" i="2" s="1"/>
  <c r="B704" i="3"/>
  <c r="E3175" i="2"/>
  <c r="F3175" i="2" s="1"/>
  <c r="E3176" i="2"/>
  <c r="F3176" i="2" s="1"/>
  <c r="E3177" i="2"/>
  <c r="F3177" i="2" s="1"/>
  <c r="E3178" i="2"/>
  <c r="F3178" i="2" s="1"/>
  <c r="E3174" i="2"/>
  <c r="F3174" i="2" s="1"/>
  <c r="E3179" i="2"/>
  <c r="F3179" i="2" s="1"/>
  <c r="E3180" i="2"/>
  <c r="F3180" i="2" s="1"/>
  <c r="B775" i="3"/>
  <c r="E3461" i="2"/>
  <c r="F3461" i="2" s="1"/>
  <c r="E3460" i="2"/>
  <c r="F3460" i="2" s="1"/>
  <c r="E3459" i="2"/>
  <c r="F3459" i="2" s="1"/>
  <c r="E3462" i="2"/>
  <c r="F3462" i="2" s="1"/>
  <c r="E3751" i="2"/>
  <c r="F3751" i="2" s="1"/>
  <c r="E3752" i="2"/>
  <c r="F3752" i="2" s="1"/>
  <c r="E3753" i="2"/>
  <c r="F3753" i="2" s="1"/>
  <c r="B35" i="3"/>
  <c r="E3749" i="2"/>
  <c r="F3749" i="2" s="1"/>
  <c r="E3750" i="2"/>
  <c r="F3750" i="2" s="1"/>
  <c r="E627" i="2"/>
  <c r="F627" i="2" s="1"/>
  <c r="E628" i="2"/>
  <c r="F628" i="2" s="1"/>
  <c r="E626" i="2"/>
  <c r="F626" i="2" s="1"/>
  <c r="B1019" i="3"/>
  <c r="B1095" i="3"/>
  <c r="E939" i="2"/>
  <c r="F939" i="2" s="1"/>
  <c r="E940" i="2"/>
  <c r="F940" i="2" s="1"/>
  <c r="B239" i="3"/>
  <c r="E1477" i="2"/>
  <c r="F1477" i="2" s="1"/>
  <c r="E1478" i="2"/>
  <c r="F1478" i="2" s="1"/>
  <c r="E1479" i="2"/>
  <c r="F1479" i="2" s="1"/>
  <c r="E1480" i="2"/>
  <c r="F1480" i="2" s="1"/>
  <c r="B397" i="3"/>
  <c r="E1995" i="2"/>
  <c r="F1995" i="2" s="1"/>
  <c r="E1996" i="2"/>
  <c r="F1996" i="2" s="1"/>
  <c r="E1997" i="2"/>
  <c r="F1997" i="2" s="1"/>
  <c r="E1998" i="2"/>
  <c r="F1998" i="2" s="1"/>
  <c r="B579" i="3"/>
  <c r="E2711" i="2"/>
  <c r="F2711" i="2" s="1"/>
  <c r="E2709" i="2"/>
  <c r="F2709" i="2" s="1"/>
  <c r="E2710" i="2"/>
  <c r="F2710" i="2" s="1"/>
  <c r="B730" i="3"/>
  <c r="E3301" i="2"/>
  <c r="F3301" i="2" s="1"/>
  <c r="E3300" i="2"/>
  <c r="F3300" i="2" s="1"/>
  <c r="E3302" i="2"/>
  <c r="F3302" i="2" s="1"/>
  <c r="E3299" i="2"/>
  <c r="F3299" i="2" s="1"/>
  <c r="B59" i="3"/>
  <c r="E3863" i="2"/>
  <c r="F3863" i="2" s="1"/>
  <c r="E1034" i="4"/>
  <c r="F1034" i="4" s="1"/>
  <c r="E1036" i="4"/>
  <c r="F1036" i="4" s="1"/>
  <c r="E1035" i="4"/>
  <c r="F1035" i="4" s="1"/>
  <c r="B962" i="3"/>
  <c r="E397" i="2"/>
  <c r="F397" i="2" s="1"/>
  <c r="E398" i="2"/>
  <c r="F398" i="2" s="1"/>
  <c r="E399" i="2"/>
  <c r="F399" i="2" s="1"/>
  <c r="E400" i="2"/>
  <c r="F400" i="2" s="1"/>
  <c r="B359" i="3"/>
  <c r="E1857" i="2"/>
  <c r="F1857" i="2" s="1"/>
  <c r="E1858" i="2"/>
  <c r="F1858" i="2" s="1"/>
  <c r="E3455" i="2"/>
  <c r="F3455" i="2" s="1"/>
  <c r="E3456" i="2"/>
  <c r="F3456" i="2" s="1"/>
  <c r="E3457" i="2"/>
  <c r="F3457" i="2" s="1"/>
  <c r="E3458" i="2"/>
  <c r="F3458" i="2" s="1"/>
  <c r="B774" i="3"/>
  <c r="E2590" i="4"/>
  <c r="F2590" i="4" s="1"/>
  <c r="E2591" i="4"/>
  <c r="F2591" i="4" s="1"/>
  <c r="E2592" i="4"/>
  <c r="F2592" i="4" s="1"/>
  <c r="E2593" i="4"/>
  <c r="F2593" i="4" s="1"/>
  <c r="E423" i="4"/>
  <c r="F423" i="4" s="1"/>
  <c r="E424" i="4"/>
  <c r="F424" i="4" s="1"/>
  <c r="E1694" i="4"/>
  <c r="F1694" i="4" s="1"/>
  <c r="E1695" i="4"/>
  <c r="F1695" i="4" s="1"/>
  <c r="E1696" i="4"/>
  <c r="F1696" i="4" s="1"/>
  <c r="E1693" i="4"/>
  <c r="F1693" i="4" s="1"/>
  <c r="B825" i="3"/>
  <c r="E3639" i="2"/>
  <c r="F3639" i="2" s="1"/>
  <c r="E3640" i="2"/>
  <c r="F3640" i="2" s="1"/>
  <c r="E3641" i="2"/>
  <c r="F3641" i="2" s="1"/>
  <c r="E3637" i="2"/>
  <c r="F3637" i="2" s="1"/>
  <c r="E3636" i="2"/>
  <c r="F3636" i="2" s="1"/>
  <c r="E3638" i="2"/>
  <c r="F3638" i="2" s="1"/>
  <c r="B892" i="3"/>
  <c r="E93" i="2"/>
  <c r="F93" i="2" s="1"/>
  <c r="E94" i="2"/>
  <c r="F94" i="2" s="1"/>
  <c r="E95" i="2"/>
  <c r="F95" i="2" s="1"/>
  <c r="E96" i="2"/>
  <c r="F96" i="2" s="1"/>
  <c r="B101" i="3"/>
  <c r="E1019" i="2"/>
  <c r="F1019" i="2" s="1"/>
  <c r="E1020" i="2"/>
  <c r="F1020" i="2" s="1"/>
  <c r="E1021" i="2"/>
  <c r="F1021" i="2" s="1"/>
  <c r="E1022" i="2"/>
  <c r="F1022" i="2" s="1"/>
  <c r="E1025" i="2"/>
  <c r="F1025" i="2" s="1"/>
  <c r="E1024" i="2"/>
  <c r="F1024" i="2" s="1"/>
  <c r="E1018" i="2"/>
  <c r="F1018" i="2" s="1"/>
  <c r="E1023" i="2"/>
  <c r="F1023" i="2" s="1"/>
  <c r="B343" i="3"/>
  <c r="E1821" i="2"/>
  <c r="F1821" i="2" s="1"/>
  <c r="B643" i="3"/>
  <c r="E2933" i="2"/>
  <c r="F2933" i="2" s="1"/>
  <c r="E2932" i="2"/>
  <c r="F2932" i="2" s="1"/>
  <c r="E2931" i="2"/>
  <c r="F2931" i="2" s="1"/>
  <c r="B46" i="3"/>
  <c r="E3815" i="2"/>
  <c r="F3815" i="2" s="1"/>
  <c r="E3813" i="2"/>
  <c r="F3813" i="2" s="1"/>
  <c r="E3814" i="2"/>
  <c r="F3814" i="2" s="1"/>
  <c r="E2598" i="4"/>
  <c r="F2598" i="4" s="1"/>
  <c r="E2596" i="4"/>
  <c r="F2596" i="4" s="1"/>
  <c r="E2594" i="4"/>
  <c r="F2594" i="4" s="1"/>
  <c r="E2595" i="4"/>
  <c r="F2595" i="4" s="1"/>
  <c r="E2597" i="4"/>
  <c r="F2597" i="4" s="1"/>
  <c r="E2772" i="4"/>
  <c r="F2772" i="4" s="1"/>
  <c r="E2771" i="4"/>
  <c r="F2771" i="4" s="1"/>
  <c r="E2773" i="4"/>
  <c r="F2773" i="4" s="1"/>
  <c r="E2770" i="4"/>
  <c r="F2770" i="4" s="1"/>
  <c r="E1350" i="4"/>
  <c r="F1350" i="4" s="1"/>
  <c r="E1351" i="4"/>
  <c r="F1351" i="4" s="1"/>
  <c r="E1352" i="4"/>
  <c r="F1352" i="4" s="1"/>
  <c r="E1353" i="4"/>
  <c r="F1353" i="4" s="1"/>
  <c r="E1349" i="4"/>
  <c r="F1349" i="4" s="1"/>
  <c r="E1354" i="4"/>
  <c r="F1354" i="4" s="1"/>
  <c r="B618" i="3"/>
  <c r="E2841" i="2"/>
  <c r="F2841" i="2" s="1"/>
  <c r="E2842" i="2"/>
  <c r="F2842" i="2" s="1"/>
  <c r="E2843" i="2"/>
  <c r="F2843" i="2" s="1"/>
  <c r="B677" i="3"/>
  <c r="E3065" i="2"/>
  <c r="F3065" i="2" s="1"/>
  <c r="E3066" i="2"/>
  <c r="F3066" i="2" s="1"/>
  <c r="E3067" i="2"/>
  <c r="F3067" i="2" s="1"/>
  <c r="B50" i="3"/>
  <c r="E3831" i="2"/>
  <c r="F3831" i="2" s="1"/>
  <c r="E3832" i="2"/>
  <c r="F3832" i="2" s="1"/>
  <c r="E3833" i="2"/>
  <c r="F3833" i="2" s="1"/>
  <c r="E3829" i="2"/>
  <c r="F3829" i="2" s="1"/>
  <c r="E3830" i="2"/>
  <c r="F3830" i="2" s="1"/>
  <c r="E2046" i="4"/>
  <c r="F2046" i="4" s="1"/>
  <c r="E2047" i="4"/>
  <c r="F2047" i="4" s="1"/>
  <c r="E2044" i="4"/>
  <c r="F2044" i="4" s="1"/>
  <c r="E2045" i="4"/>
  <c r="F2045" i="4" s="1"/>
  <c r="E2829" i="4"/>
  <c r="F2829" i="4" s="1"/>
  <c r="E2830" i="4"/>
  <c r="F2830" i="4" s="1"/>
  <c r="E2833" i="4"/>
  <c r="F2833" i="4" s="1"/>
  <c r="E2831" i="4"/>
  <c r="F2831" i="4" s="1"/>
  <c r="E2832" i="4"/>
  <c r="F2832" i="4" s="1"/>
  <c r="E459" i="4"/>
  <c r="F459" i="4" s="1"/>
  <c r="E460" i="4"/>
  <c r="F460" i="4" s="1"/>
  <c r="E461" i="4"/>
  <c r="F461" i="4" s="1"/>
  <c r="E458" i="4"/>
  <c r="F458" i="4" s="1"/>
  <c r="B344" i="3"/>
  <c r="E1822" i="2"/>
  <c r="F1822" i="2" s="1"/>
  <c r="E1823" i="2"/>
  <c r="F1823" i="2" s="1"/>
  <c r="E1854" i="4"/>
  <c r="F1854" i="4" s="1"/>
  <c r="E1847" i="4"/>
  <c r="F1847" i="4" s="1"/>
  <c r="E1855" i="4"/>
  <c r="F1855" i="4" s="1"/>
  <c r="E1848" i="4"/>
  <c r="F1848" i="4" s="1"/>
  <c r="E1856" i="4"/>
  <c r="F1856" i="4" s="1"/>
  <c r="E1852" i="4"/>
  <c r="F1852" i="4" s="1"/>
  <c r="E1849" i="4"/>
  <c r="F1849" i="4" s="1"/>
  <c r="E1853" i="4"/>
  <c r="F1853" i="4" s="1"/>
  <c r="E1851" i="4"/>
  <c r="F1851" i="4" s="1"/>
  <c r="E1850" i="4"/>
  <c r="F1850" i="4" s="1"/>
  <c r="E1857" i="4"/>
  <c r="F1857" i="4" s="1"/>
  <c r="E2574" i="4"/>
  <c r="F2574" i="4" s="1"/>
  <c r="E2575" i="4"/>
  <c r="F2575" i="4" s="1"/>
  <c r="E2576" i="4"/>
  <c r="F2576" i="4" s="1"/>
  <c r="E2578" i="4"/>
  <c r="F2578" i="4" s="1"/>
  <c r="E2573" i="4"/>
  <c r="F2573" i="4" s="1"/>
  <c r="E2577" i="4"/>
  <c r="F2577" i="4" s="1"/>
  <c r="E452" i="4"/>
  <c r="F452" i="4" s="1"/>
  <c r="E455" i="4"/>
  <c r="F455" i="4" s="1"/>
  <c r="E454" i="4"/>
  <c r="F454" i="4" s="1"/>
  <c r="E453" i="4"/>
  <c r="F453" i="4" s="1"/>
  <c r="E499" i="4"/>
  <c r="F499" i="4" s="1"/>
  <c r="E500" i="4"/>
  <c r="F500" i="4" s="1"/>
  <c r="E502" i="4"/>
  <c r="F502" i="4" s="1"/>
  <c r="E498" i="4"/>
  <c r="F498" i="4" s="1"/>
  <c r="E501" i="4"/>
  <c r="F501" i="4" s="1"/>
  <c r="E2916" i="4"/>
  <c r="F2916" i="4" s="1"/>
  <c r="E2917" i="4"/>
  <c r="F2917" i="4" s="1"/>
  <c r="E275" i="4"/>
  <c r="F275" i="4" s="1"/>
  <c r="E276" i="4"/>
  <c r="F276" i="4" s="1"/>
  <c r="E277" i="4"/>
  <c r="F277" i="4" s="1"/>
  <c r="E43" i="4"/>
  <c r="F43" i="4" s="1"/>
  <c r="E42" i="4"/>
  <c r="F42" i="4" s="1"/>
  <c r="E2366" i="4"/>
  <c r="F2366" i="4" s="1"/>
  <c r="E2364" i="4"/>
  <c r="F2364" i="4" s="1"/>
  <c r="E2365" i="4"/>
  <c r="F2365" i="4" s="1"/>
  <c r="E2363" i="4"/>
  <c r="F2363" i="4" s="1"/>
  <c r="E2362" i="4"/>
  <c r="F2362" i="4" s="1"/>
  <c r="E161" i="4"/>
  <c r="F161" i="4" s="1"/>
  <c r="E162" i="4"/>
  <c r="F162" i="4" s="1"/>
  <c r="E1553" i="4"/>
  <c r="F1553" i="4" s="1"/>
  <c r="E1554" i="4"/>
  <c r="F1554" i="4" s="1"/>
  <c r="E2134" i="4"/>
  <c r="F2134" i="4" s="1"/>
  <c r="E2132" i="4"/>
  <c r="F2132" i="4" s="1"/>
  <c r="E2133" i="4"/>
  <c r="F2133" i="4" s="1"/>
  <c r="E800" i="4"/>
  <c r="F800" i="4" s="1"/>
  <c r="E801" i="4"/>
  <c r="F801" i="4" s="1"/>
  <c r="E1764" i="4"/>
  <c r="F1764" i="4" s="1"/>
  <c r="E1762" i="4"/>
  <c r="F1762" i="4" s="1"/>
  <c r="E1763" i="4"/>
  <c r="F1763" i="4" s="1"/>
  <c r="E1765" i="4"/>
  <c r="F1765" i="4" s="1"/>
  <c r="E2256" i="4"/>
  <c r="F2256" i="4" s="1"/>
  <c r="E2258" i="4"/>
  <c r="F2258" i="4" s="1"/>
  <c r="E2257" i="4"/>
  <c r="F2257" i="4" s="1"/>
  <c r="E2358" i="4"/>
  <c r="F2358" i="4" s="1"/>
  <c r="E2359" i="4"/>
  <c r="F2359" i="4" s="1"/>
  <c r="E2360" i="4"/>
  <c r="F2360" i="4" s="1"/>
  <c r="B49" i="3"/>
  <c r="E3826" i="2"/>
  <c r="F3826" i="2" s="1"/>
  <c r="E3828" i="2"/>
  <c r="F3828" i="2" s="1"/>
  <c r="E3827" i="2"/>
  <c r="F3827" i="2" s="1"/>
  <c r="E1678" i="4"/>
  <c r="F1678" i="4" s="1"/>
  <c r="E1677" i="4"/>
  <c r="F1677" i="4" s="1"/>
  <c r="E2941" i="2"/>
  <c r="F2941" i="2" s="1"/>
  <c r="E2940" i="2"/>
  <c r="F2940" i="2" s="1"/>
  <c r="E2942" i="2"/>
  <c r="F2942" i="2" s="1"/>
  <c r="B646" i="3"/>
  <c r="E2932" i="4"/>
  <c r="F2932" i="4" s="1"/>
  <c r="E2934" i="4"/>
  <c r="F2934" i="4" s="1"/>
  <c r="E2933" i="4"/>
  <c r="F2933" i="4" s="1"/>
  <c r="E2935" i="4"/>
  <c r="F2935" i="4" s="1"/>
  <c r="E865" i="4"/>
  <c r="F865" i="4" s="1"/>
  <c r="E866" i="4"/>
  <c r="F866" i="4" s="1"/>
  <c r="E867" i="4"/>
  <c r="F867" i="4" s="1"/>
  <c r="B805" i="3"/>
  <c r="E3570" i="2"/>
  <c r="F3570" i="2" s="1"/>
  <c r="E3571" i="2"/>
  <c r="F3571" i="2" s="1"/>
  <c r="B119" i="3"/>
  <c r="E1078" i="2"/>
  <c r="F1078" i="2" s="1"/>
  <c r="E1081" i="2"/>
  <c r="F1081" i="2" s="1"/>
  <c r="E1079" i="2"/>
  <c r="F1079" i="2" s="1"/>
  <c r="E1080" i="2"/>
  <c r="F1080" i="2" s="1"/>
  <c r="E1082" i="2"/>
  <c r="F1082" i="2" s="1"/>
  <c r="B41" i="3"/>
  <c r="E3798" i="2"/>
  <c r="F3798" i="2" s="1"/>
  <c r="B1081" i="3"/>
  <c r="E868" i="2"/>
  <c r="F868" i="2" s="1"/>
  <c r="E869" i="2"/>
  <c r="F869" i="2" s="1"/>
  <c r="E952" i="4"/>
  <c r="F952" i="4" s="1"/>
  <c r="E953" i="4"/>
  <c r="F953" i="4" s="1"/>
  <c r="E954" i="4"/>
  <c r="F954" i="4" s="1"/>
  <c r="E956" i="4"/>
  <c r="F956" i="4" s="1"/>
  <c r="E957" i="4"/>
  <c r="F957" i="4" s="1"/>
  <c r="E955" i="4"/>
  <c r="F955" i="4" s="1"/>
  <c r="E1870" i="4"/>
  <c r="F1870" i="4" s="1"/>
  <c r="E1871" i="4"/>
  <c r="F1871" i="4" s="1"/>
  <c r="E1872" i="4"/>
  <c r="F1872" i="4" s="1"/>
  <c r="E1869" i="4"/>
  <c r="F1869" i="4" s="1"/>
  <c r="E3004" i="4"/>
  <c r="F3004" i="4" s="1"/>
  <c r="E3002" i="4"/>
  <c r="F3002" i="4" s="1"/>
  <c r="E3003" i="4"/>
  <c r="F3003" i="4" s="1"/>
  <c r="E3005" i="4"/>
  <c r="F3005" i="4" s="1"/>
  <c r="E2340" i="4"/>
  <c r="F2340" i="4" s="1"/>
  <c r="E2339" i="4"/>
  <c r="F2339" i="4" s="1"/>
  <c r="B667" i="3"/>
  <c r="E3032" i="2"/>
  <c r="F3032" i="2" s="1"/>
  <c r="E3033" i="2"/>
  <c r="F3033" i="2" s="1"/>
  <c r="E3034" i="2"/>
  <c r="F3034" i="2" s="1"/>
  <c r="E3035" i="2"/>
  <c r="F3035" i="2" s="1"/>
  <c r="E384" i="4"/>
  <c r="F384" i="4" s="1"/>
  <c r="E385" i="4"/>
  <c r="F385" i="4" s="1"/>
  <c r="E386" i="4"/>
  <c r="F386" i="4" s="1"/>
  <c r="B769" i="3"/>
  <c r="E3439" i="2"/>
  <c r="F3439" i="2" s="1"/>
  <c r="E3440" i="2"/>
  <c r="F3440" i="2" s="1"/>
  <c r="E3437" i="2"/>
  <c r="F3437" i="2" s="1"/>
  <c r="E3438" i="2"/>
  <c r="F3438" i="2" s="1"/>
  <c r="B554" i="3"/>
  <c r="E2623" i="2"/>
  <c r="F2623" i="2" s="1"/>
  <c r="E2624" i="2"/>
  <c r="F2624" i="2" s="1"/>
  <c r="E2625" i="2"/>
  <c r="F2625" i="2" s="1"/>
  <c r="E2626" i="2"/>
  <c r="F2626" i="2" s="1"/>
  <c r="E2622" i="2"/>
  <c r="F2622" i="2" s="1"/>
  <c r="E2222" i="4"/>
  <c r="F2222" i="4" s="1"/>
  <c r="E2223" i="4"/>
  <c r="F2223" i="4" s="1"/>
  <c r="E2220" i="4"/>
  <c r="F2220" i="4" s="1"/>
  <c r="E2221" i="4"/>
  <c r="F2221" i="4" s="1"/>
  <c r="E2218" i="4"/>
  <c r="F2218" i="4" s="1"/>
  <c r="E2219" i="4"/>
  <c r="F2219" i="4" s="1"/>
  <c r="B141" i="3"/>
  <c r="E1139" i="2"/>
  <c r="F1139" i="2" s="1"/>
  <c r="E1140" i="2"/>
  <c r="F1140" i="2" s="1"/>
  <c r="E1141" i="2"/>
  <c r="F1141" i="2" s="1"/>
  <c r="E1142" i="2"/>
  <c r="F1142" i="2" s="1"/>
  <c r="E1138" i="2"/>
  <c r="F1138" i="2" s="1"/>
  <c r="E2852" i="4"/>
  <c r="F2852" i="4" s="1"/>
  <c r="E2851" i="4"/>
  <c r="F2851" i="4" s="1"/>
  <c r="E2850" i="4"/>
  <c r="F2850" i="4" s="1"/>
  <c r="E2853" i="4"/>
  <c r="F2853" i="4" s="1"/>
  <c r="B417" i="3"/>
  <c r="E2065" i="2"/>
  <c r="F2065" i="2" s="1"/>
  <c r="E2066" i="2"/>
  <c r="F2066" i="2" s="1"/>
  <c r="E2067" i="2"/>
  <c r="F2067" i="2" s="1"/>
  <c r="B751" i="3"/>
  <c r="E3375" i="2"/>
  <c r="F3375" i="2" s="1"/>
  <c r="E3374" i="2"/>
  <c r="F3374" i="2" s="1"/>
  <c r="B418" i="3"/>
  <c r="E2071" i="2"/>
  <c r="F2071" i="2" s="1"/>
  <c r="E2072" i="2"/>
  <c r="F2072" i="2" s="1"/>
  <c r="E2069" i="2"/>
  <c r="F2069" i="2" s="1"/>
  <c r="E2068" i="2"/>
  <c r="F2068" i="2" s="1"/>
  <c r="E2070" i="2"/>
  <c r="F2070" i="2" s="1"/>
  <c r="B625" i="3"/>
  <c r="E2866" i="2"/>
  <c r="F2866" i="2" s="1"/>
  <c r="E2869" i="2"/>
  <c r="F2869" i="2" s="1"/>
  <c r="E2868" i="2"/>
  <c r="F2868" i="2" s="1"/>
  <c r="E2867" i="2"/>
  <c r="F2867" i="2" s="1"/>
  <c r="E2406" i="4"/>
  <c r="F2406" i="4" s="1"/>
  <c r="E2407" i="4"/>
  <c r="F2407" i="4" s="1"/>
  <c r="E2408" i="4"/>
  <c r="F2408" i="4" s="1"/>
  <c r="E2409" i="4"/>
  <c r="F2409" i="4" s="1"/>
  <c r="E2410" i="4"/>
  <c r="F2410" i="4" s="1"/>
  <c r="B360" i="3"/>
  <c r="E1860" i="2"/>
  <c r="F1860" i="2" s="1"/>
  <c r="E348" i="4"/>
  <c r="F348" i="4" s="1"/>
  <c r="E351" i="4"/>
  <c r="F351" i="4" s="1"/>
  <c r="E352" i="4"/>
  <c r="F352" i="4" s="1"/>
  <c r="E353" i="4"/>
  <c r="F353" i="4" s="1"/>
  <c r="E349" i="4"/>
  <c r="F349" i="4" s="1"/>
  <c r="E350" i="4"/>
  <c r="F350" i="4" s="1"/>
  <c r="E1084" i="4"/>
  <c r="F1084" i="4" s="1"/>
  <c r="E1085" i="4"/>
  <c r="F1085" i="4" s="1"/>
  <c r="B501" i="3"/>
  <c r="E2400" i="2"/>
  <c r="F2400" i="2" s="1"/>
  <c r="E2401" i="2"/>
  <c r="F2401" i="2" s="1"/>
  <c r="E2402" i="2"/>
  <c r="F2402" i="2" s="1"/>
  <c r="E2403" i="2"/>
  <c r="F2403" i="2" s="1"/>
  <c r="E308" i="4"/>
  <c r="F308" i="4" s="1"/>
  <c r="E309" i="4"/>
  <c r="F309" i="4" s="1"/>
  <c r="E2854" i="4"/>
  <c r="F2854" i="4" s="1"/>
  <c r="E2855" i="4"/>
  <c r="F2855" i="4" s="1"/>
  <c r="E2856" i="4"/>
  <c r="F2856" i="4" s="1"/>
  <c r="E2857" i="4"/>
  <c r="F2857" i="4" s="1"/>
  <c r="E3090" i="4"/>
  <c r="F3090" i="4" s="1"/>
  <c r="E3091" i="4"/>
  <c r="F3091" i="4" s="1"/>
  <c r="E3092" i="4"/>
  <c r="F3092" i="4" s="1"/>
  <c r="E3093" i="4"/>
  <c r="F3093" i="4" s="1"/>
  <c r="E3094" i="4"/>
  <c r="F3094" i="4" s="1"/>
  <c r="E355" i="4"/>
  <c r="F355" i="4" s="1"/>
  <c r="E356" i="4"/>
  <c r="F356" i="4" s="1"/>
  <c r="E359" i="4"/>
  <c r="F359" i="4" s="1"/>
  <c r="E354" i="4"/>
  <c r="F354" i="4" s="1"/>
  <c r="E357" i="4"/>
  <c r="F357" i="4" s="1"/>
  <c r="E358" i="4"/>
  <c r="F358" i="4" s="1"/>
  <c r="E539" i="4"/>
  <c r="F539" i="4" s="1"/>
  <c r="E540" i="4"/>
  <c r="F540" i="4" s="1"/>
  <c r="E543" i="4"/>
  <c r="F543" i="4" s="1"/>
  <c r="E544" i="4"/>
  <c r="F544" i="4" s="1"/>
  <c r="E545" i="4"/>
  <c r="F545" i="4" s="1"/>
  <c r="E546" i="4"/>
  <c r="F546" i="4" s="1"/>
  <c r="E541" i="4"/>
  <c r="F541" i="4" s="1"/>
  <c r="E542" i="4"/>
  <c r="F542" i="4" s="1"/>
  <c r="E175" i="4"/>
  <c r="F175" i="4" s="1"/>
  <c r="E176" i="4"/>
  <c r="F176" i="4" s="1"/>
  <c r="E2231" i="4"/>
  <c r="F2231" i="4" s="1"/>
  <c r="E2232" i="4"/>
  <c r="F2232" i="4" s="1"/>
  <c r="E2732" i="4"/>
  <c r="F2732" i="4" s="1"/>
  <c r="E2735" i="4"/>
  <c r="F2735" i="4" s="1"/>
  <c r="E2733" i="4"/>
  <c r="F2733" i="4" s="1"/>
  <c r="E2734" i="4"/>
  <c r="F2734" i="4" s="1"/>
  <c r="E2690" i="2"/>
  <c r="F2690" i="2" s="1"/>
  <c r="B573" i="3"/>
  <c r="E2691" i="2"/>
  <c r="F2691" i="2" s="1"/>
  <c r="B398" i="3"/>
  <c r="E2001" i="2"/>
  <c r="F2001" i="2" s="1"/>
  <c r="E1999" i="2"/>
  <c r="F1999" i="2" s="1"/>
  <c r="E2000" i="2"/>
  <c r="F2000" i="2" s="1"/>
  <c r="B48" i="3"/>
  <c r="E3817" i="2"/>
  <c r="F3817" i="2" s="1"/>
  <c r="E3818" i="2"/>
  <c r="F3818" i="2" s="1"/>
  <c r="E3821" i="2"/>
  <c r="F3821" i="2" s="1"/>
  <c r="E3819" i="2"/>
  <c r="F3819" i="2" s="1"/>
  <c r="E3820" i="2"/>
  <c r="F3820" i="2" s="1"/>
  <c r="B965" i="3"/>
  <c r="E409" i="2"/>
  <c r="F409" i="2" s="1"/>
  <c r="E410" i="2"/>
  <c r="F410" i="2" s="1"/>
  <c r="E408" i="2"/>
  <c r="F408" i="2" s="1"/>
  <c r="E2054" i="4"/>
  <c r="F2054" i="4" s="1"/>
  <c r="E2055" i="4"/>
  <c r="F2055" i="4" s="1"/>
  <c r="E2056" i="4"/>
  <c r="F2056" i="4" s="1"/>
  <c r="E2057" i="4"/>
  <c r="F2057" i="4" s="1"/>
  <c r="E2058" i="4"/>
  <c r="F2058" i="4" s="1"/>
  <c r="E2687" i="4"/>
  <c r="F2687" i="4" s="1"/>
  <c r="E2688" i="4"/>
  <c r="F2688" i="4" s="1"/>
  <c r="E2996" i="4"/>
  <c r="F2996" i="4" s="1"/>
  <c r="E2993" i="4"/>
  <c r="F2993" i="4" s="1"/>
  <c r="E2994" i="4"/>
  <c r="F2994" i="4" s="1"/>
  <c r="E2995" i="4"/>
  <c r="F2995" i="4" s="1"/>
  <c r="E2943" i="4"/>
  <c r="F2943" i="4" s="1"/>
  <c r="E2941" i="4"/>
  <c r="F2941" i="4" s="1"/>
  <c r="E2942" i="4"/>
  <c r="F2942" i="4" s="1"/>
  <c r="E711" i="4"/>
  <c r="F711" i="4" s="1"/>
  <c r="E712" i="4"/>
  <c r="F712" i="4" s="1"/>
  <c r="B983" i="3"/>
  <c r="E494" i="2"/>
  <c r="F494" i="2" s="1"/>
  <c r="E496" i="2"/>
  <c r="F496" i="2" s="1"/>
  <c r="E495" i="2"/>
  <c r="F495" i="2" s="1"/>
  <c r="E3129" i="4"/>
  <c r="F3129" i="4" s="1"/>
  <c r="E3130" i="4"/>
  <c r="F3130" i="4" s="1"/>
  <c r="E3131" i="4"/>
  <c r="F3131" i="4" s="1"/>
  <c r="E3124" i="4"/>
  <c r="F3124" i="4" s="1"/>
  <c r="E3132" i="4"/>
  <c r="F3132" i="4" s="1"/>
  <c r="E3127" i="4"/>
  <c r="F3127" i="4" s="1"/>
  <c r="E3133" i="4"/>
  <c r="F3133" i="4" s="1"/>
  <c r="E3126" i="4"/>
  <c r="F3126" i="4" s="1"/>
  <c r="E3125" i="4"/>
  <c r="F3125" i="4" s="1"/>
  <c r="E3128" i="4"/>
  <c r="F3128" i="4" s="1"/>
  <c r="E1145" i="2"/>
  <c r="F1145" i="2" s="1"/>
  <c r="E1143" i="2"/>
  <c r="F1143" i="2" s="1"/>
  <c r="E1144" i="2"/>
  <c r="F1144" i="2" s="1"/>
  <c r="B224" i="3"/>
  <c r="E1435" i="2"/>
  <c r="F1435" i="2" s="1"/>
  <c r="E1433" i="2"/>
  <c r="F1433" i="2" s="1"/>
  <c r="E1434" i="2"/>
  <c r="F1434" i="2" s="1"/>
  <c r="B264" i="3"/>
  <c r="E1579" i="2"/>
  <c r="F1579" i="2" s="1"/>
  <c r="E1578" i="2"/>
  <c r="F1578" i="2" s="1"/>
  <c r="E1334" i="4"/>
  <c r="F1334" i="4" s="1"/>
  <c r="E1335" i="4"/>
  <c r="F1335" i="4" s="1"/>
  <c r="E1336" i="4"/>
  <c r="F1336" i="4" s="1"/>
  <c r="E1534" i="4"/>
  <c r="F1534" i="4" s="1"/>
  <c r="E1535" i="4"/>
  <c r="F1535" i="4" s="1"/>
  <c r="E1536" i="4"/>
  <c r="F1536" i="4" s="1"/>
  <c r="E1537" i="4"/>
  <c r="F1537" i="4" s="1"/>
  <c r="E1532" i="4"/>
  <c r="F1532" i="4" s="1"/>
  <c r="E1533" i="4"/>
  <c r="F1533" i="4" s="1"/>
  <c r="E1538" i="4"/>
  <c r="F1538" i="4" s="1"/>
  <c r="E1531" i="4"/>
  <c r="F1531" i="4" s="1"/>
  <c r="E2342" i="4"/>
  <c r="F2342" i="4" s="1"/>
  <c r="E2343" i="4"/>
  <c r="F2343" i="4" s="1"/>
  <c r="E2344" i="4"/>
  <c r="F2344" i="4" s="1"/>
  <c r="E2341" i="4"/>
  <c r="F2341" i="4" s="1"/>
  <c r="E2599" i="4"/>
  <c r="F2599" i="4" s="1"/>
  <c r="E2600" i="4"/>
  <c r="F2600" i="4" s="1"/>
  <c r="E2756" i="4"/>
  <c r="F2756" i="4" s="1"/>
  <c r="E2757" i="4"/>
  <c r="F2757" i="4" s="1"/>
  <c r="E2760" i="4"/>
  <c r="F2760" i="4" s="1"/>
  <c r="E2758" i="4"/>
  <c r="F2758" i="4" s="1"/>
  <c r="E2759" i="4"/>
  <c r="F2759" i="4" s="1"/>
  <c r="E2796" i="4"/>
  <c r="F2796" i="4" s="1"/>
  <c r="E2797" i="4"/>
  <c r="F2797" i="4" s="1"/>
  <c r="B1017" i="3"/>
  <c r="E620" i="2"/>
  <c r="F620" i="2" s="1"/>
  <c r="E621" i="2"/>
  <c r="F621" i="2" s="1"/>
  <c r="E2963" i="4"/>
  <c r="F2963" i="4" s="1"/>
  <c r="E2961" i="4"/>
  <c r="F2961" i="4" s="1"/>
  <c r="E2962" i="4"/>
  <c r="F2962" i="4" s="1"/>
  <c r="E2960" i="4"/>
  <c r="F2960" i="4" s="1"/>
  <c r="E207" i="4"/>
  <c r="F207" i="4" s="1"/>
  <c r="E208" i="4"/>
  <c r="F208" i="4" s="1"/>
  <c r="E205" i="4"/>
  <c r="F205" i="4" s="1"/>
  <c r="E206" i="4"/>
  <c r="F206" i="4" s="1"/>
  <c r="E411" i="4"/>
  <c r="F411" i="4" s="1"/>
  <c r="E412" i="4"/>
  <c r="F412" i="4" s="1"/>
  <c r="E588" i="4"/>
  <c r="F588" i="4" s="1"/>
  <c r="E590" i="4"/>
  <c r="F590" i="4" s="1"/>
  <c r="E591" i="4"/>
  <c r="F591" i="4" s="1"/>
  <c r="E583" i="4"/>
  <c r="F583" i="4" s="1"/>
  <c r="E584" i="4"/>
  <c r="F584" i="4" s="1"/>
  <c r="E585" i="4"/>
  <c r="F585" i="4" s="1"/>
  <c r="E587" i="4"/>
  <c r="F587" i="4" s="1"/>
  <c r="E589" i="4"/>
  <c r="F589" i="4" s="1"/>
  <c r="E586" i="4"/>
  <c r="F586" i="4" s="1"/>
  <c r="E702" i="4"/>
  <c r="F702" i="4" s="1"/>
  <c r="E703" i="4"/>
  <c r="F703" i="4" s="1"/>
  <c r="E701" i="4"/>
  <c r="F701" i="4" s="1"/>
  <c r="E786" i="4"/>
  <c r="F786" i="4" s="1"/>
  <c r="E942" i="4"/>
  <c r="F942" i="4" s="1"/>
  <c r="E943" i="4"/>
  <c r="F943" i="4" s="1"/>
  <c r="E944" i="4"/>
  <c r="F944" i="4" s="1"/>
  <c r="E1000" i="4"/>
  <c r="F1000" i="4" s="1"/>
  <c r="E1001" i="4"/>
  <c r="F1001" i="4" s="1"/>
  <c r="E1002" i="4"/>
  <c r="F1002" i="4" s="1"/>
  <c r="E1003" i="4"/>
  <c r="F1003" i="4" s="1"/>
  <c r="E1057" i="4"/>
  <c r="F1057" i="4" s="1"/>
  <c r="E1058" i="4"/>
  <c r="F1058" i="4" s="1"/>
  <c r="E1060" i="4"/>
  <c r="F1060" i="4" s="1"/>
  <c r="E1059" i="4"/>
  <c r="F1059" i="4" s="1"/>
  <c r="E1142" i="4"/>
  <c r="F1142" i="4" s="1"/>
  <c r="E1143" i="4"/>
  <c r="F1143" i="4" s="1"/>
  <c r="E1140" i="4"/>
  <c r="F1140" i="4" s="1"/>
  <c r="E1139" i="4"/>
  <c r="F1139" i="4" s="1"/>
  <c r="E1141" i="4"/>
  <c r="F1141" i="4" s="1"/>
  <c r="E1358" i="4"/>
  <c r="F1358" i="4" s="1"/>
  <c r="E1366" i="4"/>
  <c r="F1366" i="4" s="1"/>
  <c r="E1359" i="4"/>
  <c r="F1359" i="4" s="1"/>
  <c r="E1367" i="4"/>
  <c r="F1367" i="4" s="1"/>
  <c r="E1360" i="4"/>
  <c r="F1360" i="4" s="1"/>
  <c r="E1361" i="4"/>
  <c r="F1361" i="4" s="1"/>
  <c r="E1356" i="4"/>
  <c r="F1356" i="4" s="1"/>
  <c r="E1364" i="4"/>
  <c r="F1364" i="4" s="1"/>
  <c r="E1363" i="4"/>
  <c r="F1363" i="4" s="1"/>
  <c r="E1365" i="4"/>
  <c r="F1365" i="4" s="1"/>
  <c r="E1357" i="4"/>
  <c r="F1357" i="4" s="1"/>
  <c r="E1355" i="4"/>
  <c r="F1355" i="4" s="1"/>
  <c r="E1362" i="4"/>
  <c r="F1362" i="4" s="1"/>
  <c r="E2452" i="4"/>
  <c r="F2452" i="4" s="1"/>
  <c r="E2451" i="4"/>
  <c r="F2451" i="4" s="1"/>
  <c r="E2453" i="4"/>
  <c r="F2453" i="4" s="1"/>
  <c r="E2728" i="4"/>
  <c r="F2728" i="4" s="1"/>
  <c r="E2729" i="4"/>
  <c r="F2729" i="4" s="1"/>
  <c r="E2730" i="4"/>
  <c r="F2730" i="4" s="1"/>
  <c r="E2731" i="4"/>
  <c r="F2731" i="4" s="1"/>
  <c r="E2865" i="4"/>
  <c r="F2865" i="4" s="1"/>
  <c r="E2866" i="4"/>
  <c r="F2866" i="4" s="1"/>
  <c r="E2867" i="4"/>
  <c r="F2867" i="4" s="1"/>
  <c r="E686" i="4"/>
  <c r="F686" i="4" s="1"/>
  <c r="E687" i="4"/>
  <c r="F687" i="4" s="1"/>
  <c r="E688" i="4"/>
  <c r="F688" i="4" s="1"/>
  <c r="E684" i="4"/>
  <c r="F684" i="4" s="1"/>
  <c r="E685" i="4"/>
  <c r="F685" i="4" s="1"/>
  <c r="E683" i="4"/>
  <c r="F683" i="4" s="1"/>
  <c r="E726" i="4"/>
  <c r="F726" i="4" s="1"/>
  <c r="E727" i="4"/>
  <c r="F727" i="4" s="1"/>
  <c r="E728" i="4"/>
  <c r="F728" i="4" s="1"/>
  <c r="E798" i="4"/>
  <c r="F798" i="4" s="1"/>
  <c r="E796" i="4"/>
  <c r="F796" i="4" s="1"/>
  <c r="E797" i="4"/>
  <c r="F797" i="4" s="1"/>
  <c r="E795" i="4"/>
  <c r="F795" i="4" s="1"/>
  <c r="E1006" i="4"/>
  <c r="F1006" i="4" s="1"/>
  <c r="E1007" i="4"/>
  <c r="F1007" i="4" s="1"/>
  <c r="E1005" i="4"/>
  <c r="F1005" i="4" s="1"/>
  <c r="E1174" i="4"/>
  <c r="F1174" i="4" s="1"/>
  <c r="E1175" i="4"/>
  <c r="F1175" i="4" s="1"/>
  <c r="E1176" i="4"/>
  <c r="F1176" i="4" s="1"/>
  <c r="E1177" i="4"/>
  <c r="F1177" i="4" s="1"/>
  <c r="E1178" i="4"/>
  <c r="F1178" i="4" s="1"/>
  <c r="E1172" i="4"/>
  <c r="F1172" i="4" s="1"/>
  <c r="E1180" i="4"/>
  <c r="F1180" i="4" s="1"/>
  <c r="E1173" i="4"/>
  <c r="F1173" i="4" s="1"/>
  <c r="E1179" i="4"/>
  <c r="F1179" i="4" s="1"/>
  <c r="E1271" i="4"/>
  <c r="F1271" i="4" s="1"/>
  <c r="E1272" i="4"/>
  <c r="F1272" i="4" s="1"/>
  <c r="E1510" i="4"/>
  <c r="F1510" i="4" s="1"/>
  <c r="E1511" i="4"/>
  <c r="F1511" i="4" s="1"/>
  <c r="E1508" i="4"/>
  <c r="F1508" i="4" s="1"/>
  <c r="E1509" i="4"/>
  <c r="F1509" i="4" s="1"/>
  <c r="E1559" i="4"/>
  <c r="F1559" i="4" s="1"/>
  <c r="E1560" i="4"/>
  <c r="F1560" i="4" s="1"/>
  <c r="E1561" i="4"/>
  <c r="F1561" i="4" s="1"/>
  <c r="E1562" i="4"/>
  <c r="F1562" i="4" s="1"/>
  <c r="E83" i="4"/>
  <c r="F83" i="4" s="1"/>
  <c r="E84" i="4"/>
  <c r="F84" i="4" s="1"/>
  <c r="E82" i="4"/>
  <c r="F82" i="4" s="1"/>
  <c r="E85" i="4"/>
  <c r="F85" i="4" s="1"/>
  <c r="E86" i="4"/>
  <c r="F86" i="4" s="1"/>
  <c r="E140" i="4"/>
  <c r="F140" i="4" s="1"/>
  <c r="E141" i="4"/>
  <c r="F141" i="4" s="1"/>
  <c r="E142" i="4"/>
  <c r="F142" i="4" s="1"/>
  <c r="E1876" i="4"/>
  <c r="F1876" i="4" s="1"/>
  <c r="E1874" i="4"/>
  <c r="F1874" i="4" s="1"/>
  <c r="E1875" i="4"/>
  <c r="F1875" i="4" s="1"/>
  <c r="E991" i="4"/>
  <c r="F991" i="4" s="1"/>
  <c r="E992" i="4"/>
  <c r="F992" i="4" s="1"/>
  <c r="E993" i="4"/>
  <c r="F993" i="4" s="1"/>
  <c r="E2794" i="4"/>
  <c r="F2794" i="4" s="1"/>
  <c r="E2795" i="4"/>
  <c r="F2795" i="4" s="1"/>
  <c r="E259" i="4"/>
  <c r="F259" i="4" s="1"/>
  <c r="E260" i="4"/>
  <c r="F260" i="4" s="1"/>
  <c r="E263" i="4"/>
  <c r="F263" i="4" s="1"/>
  <c r="E262" i="4"/>
  <c r="F262" i="4" s="1"/>
  <c r="E261" i="4"/>
  <c r="F261" i="4" s="1"/>
  <c r="E927" i="4"/>
  <c r="F927" i="4" s="1"/>
  <c r="E928" i="4"/>
  <c r="F928" i="4" s="1"/>
  <c r="E112" i="4"/>
  <c r="F112" i="4" s="1"/>
  <c r="E113" i="4"/>
  <c r="F113" i="4" s="1"/>
  <c r="E2180" i="4"/>
  <c r="F2180" i="4" s="1"/>
  <c r="E2178" i="4"/>
  <c r="F2178" i="4" s="1"/>
  <c r="E2179" i="4"/>
  <c r="F2179" i="4" s="1"/>
  <c r="E2181" i="4"/>
  <c r="F2181" i="4" s="1"/>
  <c r="E1472" i="4"/>
  <c r="F1472" i="4" s="1"/>
  <c r="E1473" i="4"/>
  <c r="F1473" i="4" s="1"/>
  <c r="E1474" i="4"/>
  <c r="F1474" i="4" s="1"/>
  <c r="E1475" i="4"/>
  <c r="F1475" i="4" s="1"/>
  <c r="E3020" i="4"/>
  <c r="F3020" i="4" s="1"/>
  <c r="E3021" i="4"/>
  <c r="F3021" i="4" s="1"/>
  <c r="E781" i="4"/>
  <c r="F781" i="4" s="1"/>
  <c r="B503" i="3"/>
  <c r="E2415" i="2"/>
  <c r="F2415" i="2" s="1"/>
  <c r="E2416" i="2"/>
  <c r="F2416" i="2" s="1"/>
  <c r="E2417" i="2"/>
  <c r="F2417" i="2" s="1"/>
  <c r="E2418" i="2"/>
  <c r="F2418" i="2" s="1"/>
  <c r="E1169" i="4"/>
  <c r="F1169" i="4" s="1"/>
  <c r="E1170" i="4"/>
  <c r="F1170" i="4" s="1"/>
  <c r="E1171" i="4"/>
  <c r="F1171" i="4" s="1"/>
  <c r="E1480" i="4"/>
  <c r="F1480" i="4" s="1"/>
  <c r="E1481" i="4"/>
  <c r="F1481" i="4" s="1"/>
  <c r="E1482" i="4"/>
  <c r="F1482" i="4" s="1"/>
  <c r="E214" i="2"/>
  <c r="F214" i="2" s="1"/>
  <c r="B918" i="3"/>
  <c r="E215" i="2"/>
  <c r="F215" i="2" s="1"/>
  <c r="E2881" i="4"/>
  <c r="F2881" i="4" s="1"/>
  <c r="E2882" i="4"/>
  <c r="F2882" i="4" s="1"/>
  <c r="E2880" i="4"/>
  <c r="F2880" i="4" s="1"/>
  <c r="B767" i="3"/>
  <c r="E3431" i="2"/>
  <c r="F3431" i="2" s="1"/>
  <c r="E3432" i="2"/>
  <c r="F3432" i="2" s="1"/>
  <c r="E3430" i="2"/>
  <c r="F3430" i="2" s="1"/>
  <c r="B376" i="3"/>
  <c r="E1925" i="2"/>
  <c r="F1925" i="2" s="1"/>
  <c r="E1924" i="2"/>
  <c r="F1924" i="2" s="1"/>
  <c r="E1926" i="2"/>
  <c r="F1926" i="2" s="1"/>
  <c r="B795" i="3"/>
  <c r="E3528" i="2"/>
  <c r="F3528" i="2" s="1"/>
  <c r="E3529" i="2"/>
  <c r="F3529" i="2" s="1"/>
  <c r="E3530" i="2"/>
  <c r="F3530" i="2" s="1"/>
  <c r="E2415" i="4"/>
  <c r="F2415" i="4" s="1"/>
  <c r="E2416" i="4"/>
  <c r="F2416" i="4" s="1"/>
  <c r="E2418" i="4"/>
  <c r="F2418" i="4" s="1"/>
  <c r="E2419" i="4"/>
  <c r="F2419" i="4" s="1"/>
  <c r="E2417" i="4"/>
  <c r="F2417" i="4" s="1"/>
  <c r="E1190" i="4"/>
  <c r="F1190" i="4" s="1"/>
  <c r="E1189" i="4"/>
  <c r="F1189" i="4" s="1"/>
  <c r="B559" i="3"/>
  <c r="E2642" i="2"/>
  <c r="F2642" i="2" s="1"/>
  <c r="E2643" i="2"/>
  <c r="F2643" i="2" s="1"/>
  <c r="E2644" i="2"/>
  <c r="F2644" i="2" s="1"/>
  <c r="B1006" i="3"/>
  <c r="E577" i="2"/>
  <c r="F577" i="2" s="1"/>
  <c r="E578" i="2"/>
  <c r="F578" i="2" s="1"/>
  <c r="E107" i="4"/>
  <c r="F107" i="4" s="1"/>
  <c r="E103" i="4"/>
  <c r="F103" i="4" s="1"/>
  <c r="E104" i="4"/>
  <c r="F104" i="4" s="1"/>
  <c r="E105" i="4"/>
  <c r="F105" i="4" s="1"/>
  <c r="E106" i="4"/>
  <c r="F106" i="4" s="1"/>
  <c r="E2033" i="2"/>
  <c r="F2033" i="2" s="1"/>
  <c r="E2034" i="2"/>
  <c r="F2034" i="2" s="1"/>
  <c r="B410" i="3"/>
  <c r="E2035" i="2"/>
  <c r="F2035" i="2" s="1"/>
  <c r="E1934" i="4"/>
  <c r="F1934" i="4" s="1"/>
  <c r="E1935" i="4"/>
  <c r="F1935" i="4" s="1"/>
  <c r="E1936" i="4"/>
  <c r="F1936" i="4" s="1"/>
  <c r="E1933" i="4"/>
  <c r="F1933" i="4" s="1"/>
  <c r="E1894" i="4"/>
  <c r="F1894" i="4" s="1"/>
  <c r="E1892" i="4"/>
  <c r="F1892" i="4" s="1"/>
  <c r="E1893" i="4"/>
  <c r="F1893" i="4" s="1"/>
  <c r="B637" i="3"/>
  <c r="E2913" i="2"/>
  <c r="F2913" i="2" s="1"/>
  <c r="E2914" i="2"/>
  <c r="F2914" i="2" s="1"/>
  <c r="E2916" i="2"/>
  <c r="F2916" i="2" s="1"/>
  <c r="E2915" i="2"/>
  <c r="F2915" i="2" s="1"/>
  <c r="E491" i="2"/>
  <c r="F491" i="2" s="1"/>
  <c r="E492" i="2"/>
  <c r="F492" i="2" s="1"/>
  <c r="E493" i="2"/>
  <c r="F493" i="2" s="1"/>
  <c r="B982" i="3"/>
  <c r="B225" i="3"/>
  <c r="E1436" i="2"/>
  <c r="F1436" i="2" s="1"/>
  <c r="E1437" i="2"/>
  <c r="F1437" i="2" s="1"/>
  <c r="E1438" i="2"/>
  <c r="F1438" i="2" s="1"/>
  <c r="E1441" i="2"/>
  <c r="F1441" i="2" s="1"/>
  <c r="E1439" i="2"/>
  <c r="F1439" i="2" s="1"/>
  <c r="E1440" i="2"/>
  <c r="F1440" i="2" s="1"/>
  <c r="B466" i="3"/>
  <c r="E2247" i="2"/>
  <c r="F2247" i="2" s="1"/>
  <c r="E2248" i="2"/>
  <c r="F2248" i="2" s="1"/>
  <c r="E2249" i="2"/>
  <c r="F2249" i="2" s="1"/>
  <c r="E2250" i="2"/>
  <c r="F2250" i="2" s="1"/>
  <c r="E2251" i="2"/>
  <c r="F2251" i="2" s="1"/>
  <c r="E2252" i="2"/>
  <c r="F2252" i="2" s="1"/>
  <c r="B781" i="3"/>
  <c r="E3492" i="2"/>
  <c r="F3492" i="2" s="1"/>
  <c r="E3491" i="2"/>
  <c r="F3491" i="2" s="1"/>
  <c r="B600" i="3"/>
  <c r="E2781" i="2"/>
  <c r="F2781" i="2" s="1"/>
  <c r="E2782" i="2"/>
  <c r="F2782" i="2" s="1"/>
  <c r="B1020" i="3"/>
  <c r="E629" i="2"/>
  <c r="F629" i="2" s="1"/>
  <c r="B949" i="3"/>
  <c r="E345" i="2"/>
  <c r="F345" i="2" s="1"/>
  <c r="E346" i="2"/>
  <c r="F346" i="2" s="1"/>
  <c r="E344" i="2"/>
  <c r="F344" i="2" s="1"/>
  <c r="E1081" i="4"/>
  <c r="F1081" i="4" s="1"/>
  <c r="E1082" i="4"/>
  <c r="F1082" i="4" s="1"/>
  <c r="E1083" i="4"/>
  <c r="F1083" i="4" s="1"/>
  <c r="B120" i="3"/>
  <c r="E1083" i="2"/>
  <c r="F1083" i="2" s="1"/>
  <c r="E1084" i="2"/>
  <c r="F1084" i="2" s="1"/>
  <c r="E239" i="4"/>
  <c r="F239" i="4" s="1"/>
  <c r="E238" i="4"/>
  <c r="F238" i="4" s="1"/>
  <c r="E1448" i="4"/>
  <c r="F1448" i="4" s="1"/>
  <c r="E1449" i="4"/>
  <c r="F1449" i="4" s="1"/>
  <c r="B875" i="3"/>
  <c r="E6" i="2"/>
  <c r="F6" i="2" s="1"/>
  <c r="E9" i="2"/>
  <c r="F9" i="2" s="1"/>
  <c r="E7" i="2"/>
  <c r="F7" i="2" s="1"/>
  <c r="E8" i="2"/>
  <c r="F8" i="2" s="1"/>
  <c r="E10" i="2"/>
  <c r="F10" i="2" s="1"/>
  <c r="B959" i="3"/>
  <c r="E381" i="2"/>
  <c r="F381" i="2" s="1"/>
  <c r="E382" i="2"/>
  <c r="F382" i="2" s="1"/>
  <c r="E385" i="2"/>
  <c r="F385" i="2" s="1"/>
  <c r="E384" i="2"/>
  <c r="F384" i="2" s="1"/>
  <c r="E383" i="2"/>
  <c r="F383" i="2" s="1"/>
  <c r="E240" i="4"/>
  <c r="F240" i="4" s="1"/>
  <c r="E241" i="4"/>
  <c r="F241" i="4" s="1"/>
  <c r="E2068" i="4"/>
  <c r="F2068" i="4" s="1"/>
  <c r="E2069" i="4"/>
  <c r="F2069" i="4" s="1"/>
  <c r="E2252" i="4"/>
  <c r="F2252" i="4" s="1"/>
  <c r="E2253" i="4"/>
  <c r="F2253" i="4" s="1"/>
  <c r="E2250" i="4"/>
  <c r="F2250" i="4" s="1"/>
  <c r="E2251" i="4"/>
  <c r="F2251" i="4" s="1"/>
  <c r="E2681" i="4"/>
  <c r="F2681" i="4" s="1"/>
  <c r="E2682" i="4"/>
  <c r="F2682" i="4" s="1"/>
  <c r="E2683" i="4"/>
  <c r="F2683" i="4" s="1"/>
  <c r="B512" i="3"/>
  <c r="E2451" i="2"/>
  <c r="F2451" i="2" s="1"/>
  <c r="E332" i="2"/>
  <c r="F332" i="2" s="1"/>
  <c r="E333" i="2"/>
  <c r="F333" i="2" s="1"/>
  <c r="B944" i="3"/>
  <c r="E704" i="4"/>
  <c r="F704" i="4" s="1"/>
  <c r="E705" i="4"/>
  <c r="F705" i="4" s="1"/>
  <c r="E1486" i="4"/>
  <c r="F1486" i="4" s="1"/>
  <c r="E1487" i="4"/>
  <c r="F1487" i="4" s="1"/>
  <c r="E1488" i="4"/>
  <c r="F1488" i="4" s="1"/>
  <c r="E1484" i="4"/>
  <c r="F1484" i="4" s="1"/>
  <c r="E1485" i="4"/>
  <c r="F1485" i="4" s="1"/>
  <c r="E1483" i="4"/>
  <c r="F1483" i="4" s="1"/>
  <c r="B32" i="3"/>
  <c r="E3738" i="2"/>
  <c r="F3738" i="2" s="1"/>
  <c r="B338" i="3"/>
  <c r="E1805" i="2"/>
  <c r="F1805" i="2" s="1"/>
  <c r="E1806" i="2"/>
  <c r="F1806" i="2" s="1"/>
  <c r="E1807" i="2"/>
  <c r="F1807" i="2" s="1"/>
  <c r="E1808" i="2"/>
  <c r="F1808" i="2" s="1"/>
  <c r="B91" i="3"/>
  <c r="E987" i="2"/>
  <c r="F987" i="2" s="1"/>
  <c r="E988" i="2"/>
  <c r="F988" i="2" s="1"/>
  <c r="E2432" i="4"/>
  <c r="F2432" i="4" s="1"/>
  <c r="E2433" i="4"/>
  <c r="F2433" i="4" s="1"/>
  <c r="B396" i="3"/>
  <c r="E1994" i="2"/>
  <c r="F1994" i="2" s="1"/>
  <c r="B306" i="3"/>
  <c r="E1705" i="2"/>
  <c r="F1705" i="2" s="1"/>
  <c r="E1704" i="2"/>
  <c r="F1704" i="2" s="1"/>
  <c r="B645" i="3"/>
  <c r="E2936" i="2"/>
  <c r="F2936" i="2" s="1"/>
  <c r="E2937" i="2"/>
  <c r="F2937" i="2" s="1"/>
  <c r="E2938" i="2"/>
  <c r="F2938" i="2" s="1"/>
  <c r="E2939" i="2"/>
  <c r="F2939" i="2" s="1"/>
  <c r="B945" i="3"/>
  <c r="E334" i="2"/>
  <c r="F334" i="2" s="1"/>
  <c r="E337" i="2"/>
  <c r="F337" i="2" s="1"/>
  <c r="E335" i="2"/>
  <c r="F335" i="2" s="1"/>
  <c r="E336" i="2"/>
  <c r="F336" i="2" s="1"/>
  <c r="B197" i="3"/>
  <c r="E1331" i="2"/>
  <c r="F1331" i="2" s="1"/>
  <c r="E1329" i="2"/>
  <c r="F1329" i="2" s="1"/>
  <c r="E1328" i="2"/>
  <c r="F1328" i="2" s="1"/>
  <c r="E1330" i="2"/>
  <c r="F1330" i="2" s="1"/>
  <c r="E1327" i="2"/>
  <c r="F1327" i="2" s="1"/>
  <c r="E1286" i="4"/>
  <c r="F1286" i="4" s="1"/>
  <c r="E1287" i="4"/>
  <c r="F1287" i="4" s="1"/>
  <c r="E1285" i="4"/>
  <c r="F1285" i="4" s="1"/>
  <c r="E187" i="4"/>
  <c r="F187" i="4" s="1"/>
  <c r="E188" i="4"/>
  <c r="F188" i="4" s="1"/>
  <c r="E191" i="4"/>
  <c r="F191" i="4" s="1"/>
  <c r="E189" i="4"/>
  <c r="F189" i="4" s="1"/>
  <c r="E190" i="4"/>
  <c r="F190" i="4" s="1"/>
  <c r="B1066" i="3"/>
  <c r="E817" i="2"/>
  <c r="F817" i="2" s="1"/>
  <c r="E816" i="2"/>
  <c r="F816" i="2" s="1"/>
  <c r="E815" i="2"/>
  <c r="F815" i="2" s="1"/>
  <c r="B286" i="3"/>
  <c r="E1638" i="2"/>
  <c r="F1638" i="2" s="1"/>
  <c r="E1639" i="2"/>
  <c r="F1639" i="2" s="1"/>
  <c r="B531" i="3"/>
  <c r="E2519" i="2"/>
  <c r="F2519" i="2" s="1"/>
  <c r="E2520" i="2"/>
  <c r="F2520" i="2" s="1"/>
  <c r="E2521" i="2"/>
  <c r="F2521" i="2" s="1"/>
  <c r="E2522" i="2"/>
  <c r="F2522" i="2" s="1"/>
  <c r="B760" i="3"/>
  <c r="E3405" i="2"/>
  <c r="F3405" i="2" s="1"/>
  <c r="E3406" i="2"/>
  <c r="F3406" i="2" s="1"/>
  <c r="E3404" i="2"/>
  <c r="F3404" i="2" s="1"/>
  <c r="E211" i="2"/>
  <c r="F211" i="2" s="1"/>
  <c r="E212" i="2"/>
  <c r="F212" i="2" s="1"/>
  <c r="E213" i="2"/>
  <c r="F213" i="2" s="1"/>
  <c r="B917" i="3"/>
  <c r="B952" i="3"/>
  <c r="E355" i="2"/>
  <c r="F355" i="2" s="1"/>
  <c r="E353" i="2"/>
  <c r="F353" i="2" s="1"/>
  <c r="E354" i="2"/>
  <c r="F354" i="2" s="1"/>
  <c r="E531" i="2"/>
  <c r="F531" i="2" s="1"/>
  <c r="E532" i="2"/>
  <c r="F532" i="2" s="1"/>
  <c r="E533" i="2"/>
  <c r="F533" i="2" s="1"/>
  <c r="E534" i="2"/>
  <c r="F534" i="2" s="1"/>
  <c r="B994" i="3"/>
  <c r="E535" i="2"/>
  <c r="F535" i="2" s="1"/>
  <c r="B1056" i="3"/>
  <c r="E772" i="2"/>
  <c r="F772" i="2" s="1"/>
  <c r="E773" i="2"/>
  <c r="F773" i="2" s="1"/>
  <c r="E774" i="2"/>
  <c r="F774" i="2" s="1"/>
  <c r="E777" i="2"/>
  <c r="F777" i="2" s="1"/>
  <c r="E775" i="2"/>
  <c r="F775" i="2" s="1"/>
  <c r="E776" i="2"/>
  <c r="F776" i="2" s="1"/>
  <c r="E243" i="4"/>
  <c r="F243" i="4" s="1"/>
  <c r="E242" i="4"/>
  <c r="F242" i="4" s="1"/>
  <c r="B138" i="3"/>
  <c r="E1131" i="2"/>
  <c r="F1131" i="2" s="1"/>
  <c r="E1132" i="2"/>
  <c r="F1132" i="2" s="1"/>
  <c r="B168" i="3"/>
  <c r="E1227" i="2"/>
  <c r="F1227" i="2" s="1"/>
  <c r="E1228" i="2"/>
  <c r="F1228" i="2" s="1"/>
  <c r="E1226" i="2"/>
  <c r="F1226" i="2" s="1"/>
  <c r="E480" i="4"/>
  <c r="F480" i="4" s="1"/>
  <c r="E481" i="4"/>
  <c r="F481" i="4" s="1"/>
  <c r="E482" i="4"/>
  <c r="F482" i="4" s="1"/>
  <c r="E1566" i="2"/>
  <c r="F1566" i="2" s="1"/>
  <c r="E1569" i="2"/>
  <c r="F1569" i="2" s="1"/>
  <c r="E1567" i="2"/>
  <c r="F1567" i="2" s="1"/>
  <c r="E1568" i="2"/>
  <c r="F1568" i="2" s="1"/>
  <c r="B289" i="3"/>
  <c r="E1652" i="2"/>
  <c r="F1652" i="2" s="1"/>
  <c r="E1653" i="2"/>
  <c r="F1653" i="2" s="1"/>
  <c r="E1654" i="2"/>
  <c r="F1654" i="2" s="1"/>
  <c r="E1650" i="2"/>
  <c r="F1650" i="2" s="1"/>
  <c r="E1651" i="2"/>
  <c r="F1651" i="2" s="1"/>
  <c r="E1655" i="2"/>
  <c r="F1655" i="2" s="1"/>
  <c r="E822" i="4"/>
  <c r="F822" i="4" s="1"/>
  <c r="E823" i="4"/>
  <c r="F823" i="4" s="1"/>
  <c r="E824" i="4"/>
  <c r="F824" i="4" s="1"/>
  <c r="E825" i="4"/>
  <c r="F825" i="4" s="1"/>
  <c r="E826" i="4"/>
  <c r="F826" i="4" s="1"/>
  <c r="E828" i="4"/>
  <c r="F828" i="4" s="1"/>
  <c r="E829" i="4"/>
  <c r="F829" i="4" s="1"/>
  <c r="E827" i="4"/>
  <c r="F827" i="4" s="1"/>
  <c r="B409" i="3"/>
  <c r="E2032" i="2"/>
  <c r="F2032" i="2" s="1"/>
  <c r="E1332" i="4"/>
  <c r="F1332" i="4" s="1"/>
  <c r="E1333" i="4"/>
  <c r="F1333" i="4" s="1"/>
  <c r="E1331" i="4"/>
  <c r="F1331" i="4" s="1"/>
  <c r="B14" i="3"/>
  <c r="E2539" i="2"/>
  <c r="F2539" i="2" s="1"/>
  <c r="E2540" i="2"/>
  <c r="F2540" i="2" s="1"/>
  <c r="E1622" i="4"/>
  <c r="F1622" i="4" s="1"/>
  <c r="E1623" i="4"/>
  <c r="F1623" i="4" s="1"/>
  <c r="E1620" i="4"/>
  <c r="F1620" i="4" s="1"/>
  <c r="E1621" i="4"/>
  <c r="F1621" i="4" s="1"/>
  <c r="E1702" i="4"/>
  <c r="F1702" i="4" s="1"/>
  <c r="E1703" i="4"/>
  <c r="F1703" i="4" s="1"/>
  <c r="E1704" i="4"/>
  <c r="F1704" i="4" s="1"/>
  <c r="E1705" i="4"/>
  <c r="F1705" i="4" s="1"/>
  <c r="E1700" i="4"/>
  <c r="F1700" i="4" s="1"/>
  <c r="E1699" i="4"/>
  <c r="F1699" i="4" s="1"/>
  <c r="E1701" i="4"/>
  <c r="F1701" i="4" s="1"/>
  <c r="B733" i="3"/>
  <c r="E3319" i="2"/>
  <c r="F3319" i="2" s="1"/>
  <c r="E3320" i="2"/>
  <c r="F3320" i="2" s="1"/>
  <c r="E3321" i="2"/>
  <c r="F3321" i="2" s="1"/>
  <c r="E3318" i="2"/>
  <c r="F3318" i="2" s="1"/>
  <c r="E3767" i="2"/>
  <c r="F3767" i="2" s="1"/>
  <c r="E3768" i="2"/>
  <c r="F3768" i="2" s="1"/>
  <c r="E3769" i="2"/>
  <c r="F3769" i="2" s="1"/>
  <c r="E3765" i="2"/>
  <c r="F3765" i="2" s="1"/>
  <c r="B844" i="3"/>
  <c r="E3766" i="2"/>
  <c r="F3766" i="2" s="1"/>
  <c r="B1070" i="3"/>
  <c r="E830" i="2"/>
  <c r="F830" i="2" s="1"/>
  <c r="E832" i="2"/>
  <c r="F832" i="2" s="1"/>
  <c r="E831" i="2"/>
  <c r="F831" i="2" s="1"/>
  <c r="B491" i="3"/>
  <c r="E2351" i="2"/>
  <c r="F2351" i="2" s="1"/>
  <c r="E2349" i="2"/>
  <c r="F2349" i="2" s="1"/>
  <c r="E2347" i="2"/>
  <c r="F2347" i="2" s="1"/>
  <c r="E2350" i="2"/>
  <c r="F2350" i="2" s="1"/>
  <c r="E2348" i="2"/>
  <c r="F2348" i="2" s="1"/>
  <c r="B24" i="3"/>
  <c r="E3261" i="2"/>
  <c r="F3261" i="2" s="1"/>
  <c r="E3260" i="2"/>
  <c r="F3260" i="2" s="1"/>
  <c r="E3262" i="2"/>
  <c r="F3262" i="2" s="1"/>
  <c r="B998" i="3"/>
  <c r="E548" i="2"/>
  <c r="F548" i="2" s="1"/>
  <c r="E549" i="2"/>
  <c r="F549" i="2" s="1"/>
  <c r="E550" i="2"/>
  <c r="F550" i="2" s="1"/>
  <c r="E552" i="2"/>
  <c r="F552" i="2" s="1"/>
  <c r="E551" i="2"/>
  <c r="F551" i="2" s="1"/>
  <c r="E339" i="4"/>
  <c r="F339" i="4" s="1"/>
  <c r="E337" i="4"/>
  <c r="F337" i="4" s="1"/>
  <c r="E338" i="4"/>
  <c r="F338" i="4" s="1"/>
  <c r="E2002" i="2"/>
  <c r="F2002" i="2" s="1"/>
  <c r="B399" i="3"/>
  <c r="E2003" i="2"/>
  <c r="F2003" i="2" s="1"/>
  <c r="E3232" i="2"/>
  <c r="F3232" i="2" s="1"/>
  <c r="E3233" i="2"/>
  <c r="F3233" i="2" s="1"/>
  <c r="B1007" i="3"/>
  <c r="E579" i="2"/>
  <c r="F579" i="2" s="1"/>
  <c r="E580" i="2"/>
  <c r="F580" i="2" s="1"/>
  <c r="E581" i="2"/>
  <c r="F581" i="2" s="1"/>
  <c r="E582" i="2"/>
  <c r="F582" i="2" s="1"/>
  <c r="E585" i="2"/>
  <c r="F585" i="2" s="1"/>
  <c r="E583" i="2"/>
  <c r="F583" i="2" s="1"/>
  <c r="E584" i="2"/>
  <c r="F584" i="2" s="1"/>
  <c r="E331" i="4"/>
  <c r="F331" i="4" s="1"/>
  <c r="E332" i="4"/>
  <c r="F332" i="4" s="1"/>
  <c r="E447" i="4"/>
  <c r="F447" i="4" s="1"/>
  <c r="E448" i="4"/>
  <c r="F448" i="4" s="1"/>
  <c r="E449" i="4"/>
  <c r="F449" i="4" s="1"/>
  <c r="B833" i="3"/>
  <c r="E3671" i="2"/>
  <c r="F3671" i="2" s="1"/>
  <c r="E3672" i="2"/>
  <c r="F3672" i="2" s="1"/>
  <c r="E3673" i="2"/>
  <c r="F3673" i="2" s="1"/>
  <c r="E3674" i="2"/>
  <c r="F3674" i="2" s="1"/>
  <c r="E3675" i="2"/>
  <c r="F3675" i="2" s="1"/>
  <c r="E1288" i="4"/>
  <c r="F1288" i="4" s="1"/>
  <c r="E1289" i="4"/>
  <c r="F1289" i="4" s="1"/>
  <c r="E1292" i="4"/>
  <c r="F1292" i="4" s="1"/>
  <c r="E1293" i="4"/>
  <c r="F1293" i="4" s="1"/>
  <c r="E1290" i="4"/>
  <c r="F1290" i="4" s="1"/>
  <c r="E1291" i="4"/>
  <c r="F1291" i="4" s="1"/>
  <c r="B132" i="3"/>
  <c r="E1116" i="2"/>
  <c r="F1116" i="2" s="1"/>
  <c r="E1117" i="2"/>
  <c r="F1117" i="2" s="1"/>
  <c r="E1118" i="2"/>
  <c r="F1118" i="2" s="1"/>
  <c r="E1121" i="2"/>
  <c r="F1121" i="2" s="1"/>
  <c r="E1119" i="2"/>
  <c r="F1119" i="2" s="1"/>
  <c r="E1120" i="2"/>
  <c r="F1120" i="2" s="1"/>
  <c r="B373" i="3"/>
  <c r="E1913" i="2"/>
  <c r="F1913" i="2" s="1"/>
  <c r="E1914" i="2"/>
  <c r="F1914" i="2" s="1"/>
  <c r="E1915" i="2"/>
  <c r="F1915" i="2" s="1"/>
  <c r="E2824" i="2"/>
  <c r="F2824" i="2" s="1"/>
  <c r="E2825" i="2"/>
  <c r="F2825" i="2" s="1"/>
  <c r="E2826" i="2"/>
  <c r="F2826" i="2" s="1"/>
  <c r="E3717" i="2"/>
  <c r="F3717" i="2" s="1"/>
  <c r="E3718" i="2"/>
  <c r="F3718" i="2" s="1"/>
  <c r="B889" i="3"/>
  <c r="E75" i="2"/>
  <c r="F75" i="2" s="1"/>
  <c r="E724" i="4"/>
  <c r="F724" i="4" s="1"/>
  <c r="E725" i="4"/>
  <c r="F725" i="4" s="1"/>
  <c r="E723" i="4"/>
  <c r="F723" i="4" s="1"/>
  <c r="B481" i="3"/>
  <c r="E2311" i="2"/>
  <c r="F2311" i="2" s="1"/>
  <c r="E2312" i="2"/>
  <c r="F2312" i="2" s="1"/>
  <c r="E2309" i="2"/>
  <c r="F2309" i="2" s="1"/>
  <c r="E2310" i="2"/>
  <c r="F2310" i="2" s="1"/>
  <c r="B895" i="3"/>
  <c r="E107" i="2"/>
  <c r="F107" i="2" s="1"/>
  <c r="E108" i="2"/>
  <c r="F108" i="2" s="1"/>
  <c r="E109" i="2"/>
  <c r="F109" i="2" s="1"/>
  <c r="E106" i="2"/>
  <c r="F106" i="2" s="1"/>
  <c r="E2817" i="4"/>
  <c r="F2817" i="4" s="1"/>
  <c r="E2816" i="4"/>
  <c r="F2816" i="4" s="1"/>
  <c r="E937" i="4"/>
  <c r="F937" i="4" s="1"/>
  <c r="E938" i="4"/>
  <c r="F938" i="4" s="1"/>
  <c r="E1676" i="4"/>
  <c r="F1676" i="4" s="1"/>
  <c r="E1675" i="4"/>
  <c r="F1675" i="4" s="1"/>
  <c r="B783" i="3"/>
  <c r="E3495" i="2"/>
  <c r="F3495" i="2" s="1"/>
  <c r="E3496" i="2"/>
  <c r="F3496" i="2" s="1"/>
  <c r="E3497" i="2"/>
  <c r="F3497" i="2" s="1"/>
  <c r="E3494" i="2"/>
  <c r="F3494" i="2" s="1"/>
  <c r="E2471" i="4"/>
  <c r="F2471" i="4" s="1"/>
  <c r="E2472" i="4"/>
  <c r="F2472" i="4" s="1"/>
  <c r="E2473" i="4"/>
  <c r="F2473" i="4" s="1"/>
  <c r="E2474" i="4"/>
  <c r="F2474" i="4" s="1"/>
  <c r="B457" i="3"/>
  <c r="E2215" i="2"/>
  <c r="F2215" i="2" s="1"/>
  <c r="E2216" i="2"/>
  <c r="F2216" i="2" s="1"/>
  <c r="E2217" i="2"/>
  <c r="F2217" i="2" s="1"/>
  <c r="E2213" i="2"/>
  <c r="F2213" i="2" s="1"/>
  <c r="E2212" i="2"/>
  <c r="F2212" i="2" s="1"/>
  <c r="E2214" i="2"/>
  <c r="F2214" i="2" s="1"/>
  <c r="E2211" i="2"/>
  <c r="F2211" i="2" s="1"/>
  <c r="B695" i="3"/>
  <c r="E3135" i="2"/>
  <c r="F3135" i="2" s="1"/>
  <c r="E3133" i="2"/>
  <c r="F3133" i="2" s="1"/>
  <c r="E3132" i="2"/>
  <c r="F3132" i="2" s="1"/>
  <c r="E3134" i="2"/>
  <c r="F3134" i="2" s="1"/>
  <c r="B874" i="3"/>
  <c r="E3" i="2"/>
  <c r="F3" i="2" s="1"/>
  <c r="E4" i="2"/>
  <c r="F4" i="2" s="1"/>
  <c r="E5" i="2"/>
  <c r="F5" i="2" s="1"/>
  <c r="E2518" i="4"/>
  <c r="F2518" i="4" s="1"/>
  <c r="E2519" i="4"/>
  <c r="F2519" i="4" s="1"/>
  <c r="E2520" i="4"/>
  <c r="F2520" i="4" s="1"/>
  <c r="E2516" i="4"/>
  <c r="F2516" i="4" s="1"/>
  <c r="E2517" i="4"/>
  <c r="F2517" i="4" s="1"/>
  <c r="E2521" i="4"/>
  <c r="F2521" i="4" s="1"/>
  <c r="E963" i="2"/>
  <c r="F963" i="2" s="1"/>
  <c r="E964" i="2"/>
  <c r="F964" i="2" s="1"/>
  <c r="E965" i="2"/>
  <c r="F965" i="2" s="1"/>
  <c r="E966" i="2"/>
  <c r="F966" i="2" s="1"/>
  <c r="B84" i="3"/>
  <c r="B163" i="3"/>
  <c r="E1206" i="2"/>
  <c r="F1206" i="2" s="1"/>
  <c r="E1209" i="2"/>
  <c r="F1209" i="2" s="1"/>
  <c r="E1207" i="2"/>
  <c r="F1207" i="2" s="1"/>
  <c r="E1208" i="2"/>
  <c r="F1208" i="2" s="1"/>
  <c r="B241" i="3"/>
  <c r="E1483" i="2"/>
  <c r="F1483" i="2" s="1"/>
  <c r="E1484" i="2"/>
  <c r="F1484" i="2" s="1"/>
  <c r="E1485" i="2"/>
  <c r="F1485" i="2" s="1"/>
  <c r="E1486" i="2"/>
  <c r="F1486" i="2" s="1"/>
  <c r="E1487" i="2"/>
  <c r="F1487" i="2" s="1"/>
  <c r="E1488" i="2"/>
  <c r="F1488" i="2" s="1"/>
  <c r="B321" i="3"/>
  <c r="E1745" i="2"/>
  <c r="F1745" i="2" s="1"/>
  <c r="E1746" i="2"/>
  <c r="F1746" i="2" s="1"/>
  <c r="B405" i="3"/>
  <c r="E2023" i="2"/>
  <c r="F2023" i="2" s="1"/>
  <c r="E2024" i="2"/>
  <c r="F2024" i="2" s="1"/>
  <c r="B490" i="3"/>
  <c r="E2344" i="2"/>
  <c r="F2344" i="2" s="1"/>
  <c r="E2345" i="2"/>
  <c r="F2345" i="2" s="1"/>
  <c r="E2346" i="2"/>
  <c r="F2346" i="2" s="1"/>
  <c r="E2712" i="2"/>
  <c r="F2712" i="2" s="1"/>
  <c r="E2713" i="2"/>
  <c r="F2713" i="2" s="1"/>
  <c r="E2714" i="2"/>
  <c r="F2714" i="2" s="1"/>
  <c r="E2715" i="2"/>
  <c r="F2715" i="2" s="1"/>
  <c r="B580" i="3"/>
  <c r="E2716" i="2"/>
  <c r="F2716" i="2" s="1"/>
  <c r="B652" i="3"/>
  <c r="E2965" i="2"/>
  <c r="F2965" i="2" s="1"/>
  <c r="B722" i="3"/>
  <c r="E3257" i="2"/>
  <c r="F3257" i="2" s="1"/>
  <c r="E3258" i="2"/>
  <c r="F3258" i="2" s="1"/>
  <c r="E3259" i="2"/>
  <c r="F3259" i="2" s="1"/>
  <c r="B807" i="3"/>
  <c r="E3576" i="2"/>
  <c r="F3576" i="2" s="1"/>
  <c r="B55" i="3"/>
  <c r="E3847" i="2"/>
  <c r="F3847" i="2" s="1"/>
  <c r="E3848" i="2"/>
  <c r="F3848" i="2" s="1"/>
  <c r="E3849" i="2"/>
  <c r="F3849" i="2" s="1"/>
  <c r="E3850" i="2"/>
  <c r="F3850" i="2" s="1"/>
  <c r="E3853" i="2"/>
  <c r="F3853" i="2" s="1"/>
  <c r="E3851" i="2"/>
  <c r="F3851" i="2" s="1"/>
  <c r="E3852" i="2"/>
  <c r="F3852" i="2" s="1"/>
  <c r="E1225" i="4"/>
  <c r="F1225" i="4" s="1"/>
  <c r="E1228" i="4"/>
  <c r="F1228" i="4" s="1"/>
  <c r="E1229" i="4"/>
  <c r="F1229" i="4" s="1"/>
  <c r="E1226" i="4"/>
  <c r="F1226" i="4" s="1"/>
  <c r="E1227" i="4"/>
  <c r="F1227" i="4" s="1"/>
  <c r="E1920" i="4"/>
  <c r="F1920" i="4" s="1"/>
  <c r="E1924" i="4"/>
  <c r="F1924" i="4" s="1"/>
  <c r="E1922" i="4"/>
  <c r="F1922" i="4" s="1"/>
  <c r="E1923" i="4"/>
  <c r="F1923" i="4" s="1"/>
  <c r="E1921" i="4"/>
  <c r="F1921" i="4" s="1"/>
  <c r="B77" i="3"/>
  <c r="E469" i="2"/>
  <c r="F469" i="2" s="1"/>
  <c r="E470" i="2"/>
  <c r="F470" i="2" s="1"/>
  <c r="E473" i="2"/>
  <c r="F473" i="2" s="1"/>
  <c r="E471" i="2"/>
  <c r="F471" i="2" s="1"/>
  <c r="E472" i="2"/>
  <c r="F472" i="2" s="1"/>
  <c r="B134" i="3"/>
  <c r="E1125" i="2"/>
  <c r="F1125" i="2" s="1"/>
  <c r="E1126" i="2"/>
  <c r="F1126" i="2" s="1"/>
  <c r="B298" i="3"/>
  <c r="E1681" i="2"/>
  <c r="F1681" i="2" s="1"/>
  <c r="E1679" i="2"/>
  <c r="F1679" i="2" s="1"/>
  <c r="E1680" i="2"/>
  <c r="F1680" i="2" s="1"/>
  <c r="E1682" i="2"/>
  <c r="F1682" i="2" s="1"/>
  <c r="B458" i="3"/>
  <c r="E2218" i="2"/>
  <c r="F2218" i="2" s="1"/>
  <c r="E2219" i="2"/>
  <c r="F2219" i="2" s="1"/>
  <c r="B18" i="3"/>
  <c r="E2917" i="2"/>
  <c r="F2917" i="2" s="1"/>
  <c r="E2918" i="2"/>
  <c r="F2918" i="2" s="1"/>
  <c r="B1079" i="3"/>
  <c r="E863" i="2"/>
  <c r="F863" i="2" s="1"/>
  <c r="E864" i="2"/>
  <c r="F864" i="2" s="1"/>
  <c r="E870" i="2"/>
  <c r="F870" i="2" s="1"/>
  <c r="E871" i="2"/>
  <c r="F871" i="2" s="1"/>
  <c r="E872" i="2"/>
  <c r="F872" i="2" s="1"/>
  <c r="E303" i="4"/>
  <c r="F303" i="4" s="1"/>
  <c r="E304" i="4"/>
  <c r="F304" i="4" s="1"/>
  <c r="E301" i="4"/>
  <c r="F301" i="4" s="1"/>
  <c r="E302" i="4"/>
  <c r="F302" i="4" s="1"/>
  <c r="B676" i="3"/>
  <c r="E3063" i="2"/>
  <c r="F3063" i="2" s="1"/>
  <c r="E3064" i="2"/>
  <c r="F3064" i="2" s="1"/>
  <c r="E3062" i="2"/>
  <c r="F3062" i="2" s="1"/>
  <c r="B865" i="3"/>
  <c r="E3927" i="2"/>
  <c r="F3927" i="2" s="1"/>
  <c r="E3925" i="2"/>
  <c r="F3925" i="2" s="1"/>
  <c r="E3926" i="2"/>
  <c r="F3926" i="2" s="1"/>
  <c r="E404" i="2"/>
  <c r="F404" i="2" s="1"/>
  <c r="E405" i="2"/>
  <c r="F405" i="2" s="1"/>
  <c r="E406" i="2"/>
  <c r="F406" i="2" s="1"/>
  <c r="B964" i="3"/>
  <c r="E407" i="2"/>
  <c r="F407" i="2" s="1"/>
  <c r="B179" i="3"/>
  <c r="E1277" i="2"/>
  <c r="F1277" i="2" s="1"/>
  <c r="E1278" i="2"/>
  <c r="F1278" i="2" s="1"/>
  <c r="E1279" i="2"/>
  <c r="F1279" i="2" s="1"/>
  <c r="B420" i="3"/>
  <c r="E2074" i="2"/>
  <c r="F2074" i="2" s="1"/>
  <c r="B717" i="3"/>
  <c r="E3236" i="2"/>
  <c r="F3236" i="2" s="1"/>
  <c r="E2716" i="4"/>
  <c r="F2716" i="4" s="1"/>
  <c r="E2717" i="4"/>
  <c r="F2717" i="4" s="1"/>
  <c r="E2718" i="4"/>
  <c r="F2718" i="4" s="1"/>
  <c r="E2719" i="4"/>
  <c r="F2719" i="4" s="1"/>
  <c r="E770" i="4"/>
  <c r="F770" i="4" s="1"/>
  <c r="E771" i="4"/>
  <c r="F771" i="4" s="1"/>
  <c r="B378" i="3"/>
  <c r="E1929" i="2"/>
  <c r="F1929" i="2" s="1"/>
  <c r="E1928" i="2"/>
  <c r="F1928" i="2" s="1"/>
  <c r="E1930" i="2"/>
  <c r="F1930" i="2" s="1"/>
  <c r="E1054" i="4"/>
  <c r="F1054" i="4" s="1"/>
  <c r="E1055" i="4"/>
  <c r="F1055" i="4" s="1"/>
  <c r="E1056" i="4"/>
  <c r="F1056" i="4" s="1"/>
  <c r="E1052" i="4"/>
  <c r="F1052" i="4" s="1"/>
  <c r="E1053" i="4"/>
  <c r="F1053" i="4" s="1"/>
  <c r="E1135" i="4"/>
  <c r="F1135" i="4" s="1"/>
  <c r="E1136" i="4"/>
  <c r="F1136" i="4" s="1"/>
  <c r="E1137" i="4"/>
  <c r="F1137" i="4" s="1"/>
  <c r="E1138" i="4"/>
  <c r="F1138" i="4" s="1"/>
  <c r="E1214" i="4"/>
  <c r="F1214" i="4" s="1"/>
  <c r="E1215" i="4"/>
  <c r="F1215" i="4" s="1"/>
  <c r="E1212" i="4"/>
  <c r="F1212" i="4" s="1"/>
  <c r="E1213" i="4"/>
  <c r="F1213" i="4" s="1"/>
  <c r="E1518" i="4"/>
  <c r="F1518" i="4" s="1"/>
  <c r="E1519" i="4"/>
  <c r="F1519" i="4" s="1"/>
  <c r="E1516" i="4"/>
  <c r="F1516" i="4" s="1"/>
  <c r="E1517" i="4"/>
  <c r="F1517" i="4" s="1"/>
  <c r="B589" i="3"/>
  <c r="E2751" i="2"/>
  <c r="F2751" i="2" s="1"/>
  <c r="E2752" i="2"/>
  <c r="F2752" i="2" s="1"/>
  <c r="E2749" i="2"/>
  <c r="F2749" i="2" s="1"/>
  <c r="E2748" i="2"/>
  <c r="F2748" i="2" s="1"/>
  <c r="E2750" i="2"/>
  <c r="F2750" i="2" s="1"/>
  <c r="E1752" i="4"/>
  <c r="F1752" i="4" s="1"/>
  <c r="E1753" i="4"/>
  <c r="F1753" i="4" s="1"/>
  <c r="E1754" i="4"/>
  <c r="F1754" i="4" s="1"/>
  <c r="B30" i="3"/>
  <c r="E3735" i="2"/>
  <c r="F3735" i="2" s="1"/>
  <c r="E3736" i="2"/>
  <c r="F3736" i="2" s="1"/>
  <c r="E254" i="2"/>
  <c r="F254" i="2" s="1"/>
  <c r="E255" i="2"/>
  <c r="F255" i="2" s="1"/>
  <c r="B162" i="3"/>
  <c r="E1203" i="2"/>
  <c r="F1203" i="2" s="1"/>
  <c r="E1204" i="2"/>
  <c r="F1204" i="2" s="1"/>
  <c r="E1205" i="2"/>
  <c r="F1205" i="2" s="1"/>
  <c r="B11" i="3"/>
  <c r="E1635" i="2"/>
  <c r="F1635" i="2" s="1"/>
  <c r="E1630" i="2"/>
  <c r="F1630" i="2" s="1"/>
  <c r="E1633" i="2"/>
  <c r="F1633" i="2" s="1"/>
  <c r="E1631" i="2"/>
  <c r="F1631" i="2" s="1"/>
  <c r="E1632" i="2"/>
  <c r="F1632" i="2" s="1"/>
  <c r="E1634" i="2"/>
  <c r="F1634" i="2" s="1"/>
  <c r="E2431" i="2"/>
  <c r="F2431" i="2" s="1"/>
  <c r="E2432" i="2"/>
  <c r="F2432" i="2" s="1"/>
  <c r="E2433" i="2"/>
  <c r="F2433" i="2" s="1"/>
  <c r="E2434" i="2"/>
  <c r="F2434" i="2" s="1"/>
  <c r="B507" i="3"/>
  <c r="E2435" i="2"/>
  <c r="F2435" i="2" s="1"/>
  <c r="B47" i="3"/>
  <c r="E3816" i="2"/>
  <c r="F3816" i="2" s="1"/>
  <c r="E2462" i="4"/>
  <c r="F2462" i="4" s="1"/>
  <c r="E2463" i="4"/>
  <c r="F2463" i="4" s="1"/>
  <c r="E2464" i="4"/>
  <c r="F2464" i="4" s="1"/>
  <c r="E2461" i="4"/>
  <c r="F2461" i="4" s="1"/>
  <c r="E2644" i="4"/>
  <c r="F2644" i="4" s="1"/>
  <c r="E2643" i="4"/>
  <c r="F2643" i="4" s="1"/>
  <c r="E2645" i="4"/>
  <c r="F2645" i="4" s="1"/>
  <c r="E2646" i="4"/>
  <c r="F2646" i="4" s="1"/>
  <c r="E2642" i="4"/>
  <c r="F2642" i="4" s="1"/>
  <c r="E427" i="4"/>
  <c r="F427" i="4" s="1"/>
  <c r="E428" i="4"/>
  <c r="F428" i="4" s="1"/>
  <c r="E431" i="4"/>
  <c r="F431" i="4" s="1"/>
  <c r="E429" i="4"/>
  <c r="F429" i="4" s="1"/>
  <c r="E430" i="4"/>
  <c r="F430" i="4" s="1"/>
  <c r="E528" i="4"/>
  <c r="F528" i="4" s="1"/>
  <c r="E527" i="4"/>
  <c r="F527" i="4" s="1"/>
  <c r="E642" i="4"/>
  <c r="F642" i="4" s="1"/>
  <c r="E644" i="4"/>
  <c r="F644" i="4" s="1"/>
  <c r="E643" i="4"/>
  <c r="F643" i="4" s="1"/>
  <c r="E874" i="4"/>
  <c r="F874" i="4" s="1"/>
  <c r="E876" i="4"/>
  <c r="F876" i="4" s="1"/>
  <c r="E877" i="4"/>
  <c r="F877" i="4" s="1"/>
  <c r="E875" i="4"/>
  <c r="F875" i="4" s="1"/>
  <c r="E1679" i="4"/>
  <c r="F1679" i="4" s="1"/>
  <c r="E1680" i="4"/>
  <c r="F1680" i="4" s="1"/>
  <c r="E1681" i="4"/>
  <c r="F1681" i="4" s="1"/>
  <c r="E2514" i="4"/>
  <c r="F2514" i="4" s="1"/>
  <c r="E2515" i="4"/>
  <c r="F2515" i="4" s="1"/>
  <c r="E2560" i="4"/>
  <c r="F2560" i="4" s="1"/>
  <c r="E2562" i="4"/>
  <c r="F2562" i="4" s="1"/>
  <c r="E2561" i="4"/>
  <c r="F2561" i="4" s="1"/>
  <c r="E3137" i="4"/>
  <c r="F3137" i="4" s="1"/>
  <c r="E3138" i="4"/>
  <c r="F3138" i="4" s="1"/>
  <c r="E3135" i="4"/>
  <c r="F3135" i="4" s="1"/>
  <c r="E3134" i="4"/>
  <c r="F3134" i="4" s="1"/>
  <c r="E3136" i="4"/>
  <c r="F3136" i="4" s="1"/>
  <c r="E311" i="4"/>
  <c r="F311" i="4" s="1"/>
  <c r="E310" i="4"/>
  <c r="F310" i="4" s="1"/>
  <c r="E1606" i="4"/>
  <c r="F1606" i="4" s="1"/>
  <c r="E1607" i="4"/>
  <c r="F1607" i="4" s="1"/>
  <c r="E1608" i="4"/>
  <c r="F1608" i="4" s="1"/>
  <c r="E1609" i="4"/>
  <c r="F1609" i="4" s="1"/>
  <c r="E1670" i="4"/>
  <c r="F1670" i="4" s="1"/>
  <c r="E1671" i="4"/>
  <c r="F1671" i="4" s="1"/>
  <c r="E1669" i="4"/>
  <c r="F1669" i="4" s="1"/>
  <c r="E3012" i="4"/>
  <c r="F3012" i="4" s="1"/>
  <c r="E3011" i="4"/>
  <c r="F3011" i="4" s="1"/>
  <c r="E1463" i="4"/>
  <c r="F1463" i="4" s="1"/>
  <c r="E1464" i="4"/>
  <c r="F1464" i="4" s="1"/>
  <c r="E1465" i="4"/>
  <c r="F1465" i="4" s="1"/>
  <c r="E1466" i="4"/>
  <c r="F1466" i="4" s="1"/>
  <c r="E1467" i="4"/>
  <c r="F1467" i="4" s="1"/>
  <c r="E2382" i="4"/>
  <c r="F2382" i="4" s="1"/>
  <c r="E2383" i="4"/>
  <c r="F2383" i="4" s="1"/>
  <c r="E3145" i="4"/>
  <c r="F3145" i="4" s="1"/>
  <c r="E3143" i="4"/>
  <c r="F3143" i="4" s="1"/>
  <c r="E3142" i="4"/>
  <c r="F3142" i="4" s="1"/>
  <c r="E3144" i="4"/>
  <c r="F3144" i="4" s="1"/>
  <c r="E23" i="4"/>
  <c r="F23" i="4" s="1"/>
  <c r="E24" i="4"/>
  <c r="F24" i="4" s="1"/>
  <c r="E25" i="4"/>
  <c r="F25" i="4" s="1"/>
  <c r="E22" i="4"/>
  <c r="F22" i="4" s="1"/>
  <c r="B406" i="3"/>
  <c r="E2025" i="2"/>
  <c r="F2025" i="2" s="1"/>
  <c r="E2026" i="2"/>
  <c r="F2026" i="2" s="1"/>
  <c r="E2027" i="2"/>
  <c r="F2027" i="2" s="1"/>
  <c r="E2028" i="2"/>
  <c r="F2028" i="2" s="1"/>
  <c r="B905" i="3"/>
  <c r="E145" i="2"/>
  <c r="F145" i="2" s="1"/>
  <c r="E143" i="2"/>
  <c r="F143" i="2" s="1"/>
  <c r="E144" i="2"/>
  <c r="F144" i="2" s="1"/>
  <c r="E146" i="2"/>
  <c r="F146" i="2" s="1"/>
  <c r="E592" i="4"/>
  <c r="F592" i="4" s="1"/>
  <c r="E593" i="4"/>
  <c r="F593" i="4" s="1"/>
  <c r="B387" i="3"/>
  <c r="E1958" i="2"/>
  <c r="F1958" i="2" s="1"/>
  <c r="E1959" i="2"/>
  <c r="F1959" i="2" s="1"/>
  <c r="E1960" i="2"/>
  <c r="F1960" i="2" s="1"/>
  <c r="E1957" i="2"/>
  <c r="F1957" i="2" s="1"/>
  <c r="B840" i="3"/>
  <c r="E3695" i="2"/>
  <c r="F3695" i="2" s="1"/>
  <c r="E3696" i="2"/>
  <c r="F3696" i="2" s="1"/>
  <c r="E3697" i="2"/>
  <c r="F3697" i="2" s="1"/>
  <c r="E3698" i="2"/>
  <c r="F3698" i="2" s="1"/>
  <c r="E3701" i="2"/>
  <c r="F3701" i="2" s="1"/>
  <c r="E3694" i="2"/>
  <c r="F3694" i="2" s="1"/>
  <c r="E3700" i="2"/>
  <c r="F3700" i="2" s="1"/>
  <c r="E3699" i="2"/>
  <c r="F3699" i="2" s="1"/>
  <c r="B496" i="3"/>
  <c r="E2383" i="2"/>
  <c r="F2383" i="2" s="1"/>
  <c r="E2384" i="2"/>
  <c r="F2384" i="2" s="1"/>
  <c r="E2377" i="2"/>
  <c r="F2377" i="2" s="1"/>
  <c r="E2378" i="2"/>
  <c r="F2378" i="2" s="1"/>
  <c r="E2381" i="2"/>
  <c r="F2381" i="2" s="1"/>
  <c r="E2382" i="2"/>
  <c r="F2382" i="2" s="1"/>
  <c r="E2379" i="2"/>
  <c r="F2379" i="2" s="1"/>
  <c r="E2380" i="2"/>
  <c r="F2380" i="2" s="1"/>
  <c r="B218" i="3"/>
  <c r="E1413" i="2"/>
  <c r="F1413" i="2" s="1"/>
  <c r="B285" i="3"/>
  <c r="E1636" i="2"/>
  <c r="F1636" i="2" s="1"/>
  <c r="E1637" i="2"/>
  <c r="F1637" i="2" s="1"/>
  <c r="B697" i="3"/>
  <c r="E3140" i="2"/>
  <c r="F3140" i="2" s="1"/>
  <c r="E3139" i="2"/>
  <c r="F3139" i="2" s="1"/>
  <c r="B216" i="3"/>
  <c r="E1406" i="2"/>
  <c r="F1406" i="2" s="1"/>
  <c r="E1409" i="2"/>
  <c r="F1409" i="2" s="1"/>
  <c r="E1408" i="2"/>
  <c r="F1408" i="2" s="1"/>
  <c r="E1407" i="2"/>
  <c r="F1407" i="2" s="1"/>
  <c r="B557" i="3"/>
  <c r="E2634" i="2"/>
  <c r="F2634" i="2" s="1"/>
  <c r="E2637" i="2"/>
  <c r="F2637" i="2" s="1"/>
  <c r="E2635" i="2"/>
  <c r="F2635" i="2" s="1"/>
  <c r="E2636" i="2"/>
  <c r="F2636" i="2" s="1"/>
  <c r="B907" i="3"/>
  <c r="E155" i="2"/>
  <c r="F155" i="2" s="1"/>
  <c r="E156" i="2"/>
  <c r="F156" i="2" s="1"/>
  <c r="E150" i="2"/>
  <c r="F150" i="2" s="1"/>
  <c r="E153" i="2"/>
  <c r="F153" i="2" s="1"/>
  <c r="E154" i="2"/>
  <c r="F154" i="2" s="1"/>
  <c r="E151" i="2"/>
  <c r="F151" i="2" s="1"/>
  <c r="E152" i="2"/>
  <c r="F152" i="2" s="1"/>
  <c r="E940" i="4"/>
  <c r="F940" i="4" s="1"/>
  <c r="E941" i="4"/>
  <c r="F941" i="4" s="1"/>
  <c r="E939" i="4"/>
  <c r="F939" i="4" s="1"/>
  <c r="E1768" i="4"/>
  <c r="F1768" i="4" s="1"/>
  <c r="E1769" i="4"/>
  <c r="F1769" i="4" s="1"/>
  <c r="E1770" i="4"/>
  <c r="F1770" i="4" s="1"/>
  <c r="E1771" i="4"/>
  <c r="F1771" i="4" s="1"/>
  <c r="E2404" i="4"/>
  <c r="F2404" i="4" s="1"/>
  <c r="E2405" i="4"/>
  <c r="F2405" i="4" s="1"/>
  <c r="E1442" i="2"/>
  <c r="F1442" i="2" s="1"/>
  <c r="B226" i="3"/>
  <c r="B705" i="3"/>
  <c r="E3183" i="2"/>
  <c r="F3183" i="2" s="1"/>
  <c r="E3184" i="2"/>
  <c r="F3184" i="2" s="1"/>
  <c r="E3185" i="2"/>
  <c r="F3185" i="2" s="1"/>
  <c r="E3181" i="2"/>
  <c r="F3181" i="2" s="1"/>
  <c r="E3182" i="2"/>
  <c r="F3182" i="2" s="1"/>
  <c r="E299" i="2"/>
  <c r="F299" i="2" s="1"/>
  <c r="E300" i="2"/>
  <c r="F300" i="2" s="1"/>
  <c r="E301" i="2"/>
  <c r="F301" i="2" s="1"/>
  <c r="E302" i="2"/>
  <c r="F302" i="2" s="1"/>
  <c r="B238" i="3"/>
  <c r="E1475" i="2"/>
  <c r="F1475" i="2" s="1"/>
  <c r="E1476" i="2"/>
  <c r="F1476" i="2" s="1"/>
  <c r="E1473" i="2"/>
  <c r="F1473" i="2" s="1"/>
  <c r="E1472" i="2"/>
  <c r="F1472" i="2" s="1"/>
  <c r="E1474" i="2"/>
  <c r="F1474" i="2" s="1"/>
  <c r="E1110" i="4"/>
  <c r="F1110" i="4" s="1"/>
  <c r="E1111" i="4"/>
  <c r="F1111" i="4" s="1"/>
  <c r="E1112" i="4"/>
  <c r="F1112" i="4" s="1"/>
  <c r="E1113" i="4"/>
  <c r="F1113" i="4" s="1"/>
  <c r="B953" i="3"/>
  <c r="E356" i="2"/>
  <c r="F356" i="2" s="1"/>
  <c r="E357" i="2"/>
  <c r="F357" i="2" s="1"/>
  <c r="E358" i="2"/>
  <c r="F358" i="2" s="1"/>
  <c r="E359" i="2"/>
  <c r="F359" i="2" s="1"/>
  <c r="E360" i="2"/>
  <c r="F360" i="2" s="1"/>
  <c r="E3083" i="4"/>
  <c r="F3083" i="4" s="1"/>
  <c r="E3084" i="4"/>
  <c r="F3084" i="4" s="1"/>
  <c r="E1388" i="4"/>
  <c r="F1388" i="4" s="1"/>
  <c r="E1387" i="4"/>
  <c r="F1387" i="4" s="1"/>
  <c r="E1389" i="4"/>
  <c r="F1389" i="4" s="1"/>
  <c r="B312" i="3"/>
  <c r="E1718" i="2"/>
  <c r="F1718" i="2" s="1"/>
  <c r="E1719" i="2"/>
  <c r="F1719" i="2" s="1"/>
  <c r="E3018" i="4"/>
  <c r="F3018" i="4" s="1"/>
  <c r="E3019" i="4"/>
  <c r="F3019" i="4" s="1"/>
  <c r="E3016" i="4"/>
  <c r="F3016" i="4" s="1"/>
  <c r="E3017" i="4"/>
  <c r="F3017" i="4" s="1"/>
  <c r="E732" i="4"/>
  <c r="F732" i="4" s="1"/>
  <c r="E733" i="4"/>
  <c r="F733" i="4" s="1"/>
  <c r="B1080" i="3"/>
  <c r="E867" i="2"/>
  <c r="F867" i="2" s="1"/>
  <c r="E865" i="2"/>
  <c r="F865" i="2" s="1"/>
  <c r="E866" i="2"/>
  <c r="F866" i="2" s="1"/>
  <c r="B548" i="3"/>
  <c r="E2607" i="2"/>
  <c r="F2607" i="2" s="1"/>
  <c r="E2608" i="2"/>
  <c r="F2608" i="2" s="1"/>
  <c r="E2609" i="2"/>
  <c r="F2609" i="2" s="1"/>
  <c r="E2606" i="2"/>
  <c r="F2606" i="2" s="1"/>
  <c r="B94" i="3"/>
  <c r="E1003" i="2"/>
  <c r="F1003" i="2" s="1"/>
  <c r="E1004" i="2"/>
  <c r="F1004" i="2" s="1"/>
  <c r="E1001" i="2"/>
  <c r="F1001" i="2" s="1"/>
  <c r="E1002" i="2"/>
  <c r="F1002" i="2" s="1"/>
  <c r="E1000" i="2"/>
  <c r="F1000" i="2" s="1"/>
  <c r="B857" i="3"/>
  <c r="E3907" i="2"/>
  <c r="F3907" i="2" s="1"/>
  <c r="B830" i="3"/>
  <c r="E3657" i="2"/>
  <c r="F3657" i="2" s="1"/>
  <c r="E3658" i="2"/>
  <c r="F3658" i="2" s="1"/>
  <c r="E3659" i="2"/>
  <c r="F3659" i="2" s="1"/>
  <c r="E750" i="4"/>
  <c r="F750" i="4" s="1"/>
  <c r="E751" i="4"/>
  <c r="F751" i="4" s="1"/>
  <c r="E752" i="4"/>
  <c r="F752" i="4" s="1"/>
  <c r="E749" i="4"/>
  <c r="F749" i="4" s="1"/>
  <c r="B62" i="3"/>
  <c r="E3869" i="2"/>
  <c r="F3869" i="2" s="1"/>
  <c r="E475" i="4"/>
  <c r="F475" i="4" s="1"/>
  <c r="E476" i="4"/>
  <c r="F476" i="4" s="1"/>
  <c r="E472" i="4"/>
  <c r="F472" i="4" s="1"/>
  <c r="E473" i="4"/>
  <c r="F473" i="4" s="1"/>
  <c r="E474" i="4"/>
  <c r="F474" i="4" s="1"/>
  <c r="E734" i="4"/>
  <c r="F734" i="4" s="1"/>
  <c r="E735" i="4"/>
  <c r="F735" i="4" s="1"/>
  <c r="E736" i="4"/>
  <c r="F736" i="4" s="1"/>
  <c r="E737" i="4"/>
  <c r="F737" i="4" s="1"/>
  <c r="B703" i="3"/>
  <c r="E3170" i="2"/>
  <c r="F3170" i="2" s="1"/>
  <c r="E3173" i="2"/>
  <c r="F3173" i="2" s="1"/>
  <c r="E3172" i="2"/>
  <c r="F3172" i="2" s="1"/>
  <c r="E3171" i="2"/>
  <c r="F3171" i="2" s="1"/>
  <c r="E3000" i="4"/>
  <c r="F3000" i="4" s="1"/>
  <c r="E3001" i="4"/>
  <c r="F3001" i="4" s="1"/>
  <c r="E2998" i="4"/>
  <c r="F2998" i="4" s="1"/>
  <c r="E2997" i="4"/>
  <c r="F2997" i="4" s="1"/>
  <c r="E2999" i="4"/>
  <c r="F2999" i="4" s="1"/>
  <c r="E1216" i="4"/>
  <c r="F1216" i="4" s="1"/>
  <c r="E1217" i="4"/>
  <c r="F1217" i="4" s="1"/>
  <c r="E1820" i="4"/>
  <c r="F1820" i="4" s="1"/>
  <c r="E1819" i="4"/>
  <c r="F1819" i="4" s="1"/>
  <c r="E1818" i="4"/>
  <c r="F1818" i="4" s="1"/>
  <c r="E972" i="4"/>
  <c r="F972" i="4" s="1"/>
  <c r="E971" i="4"/>
  <c r="F971" i="4" s="1"/>
  <c r="E1376" i="4"/>
  <c r="F1376" i="4" s="1"/>
  <c r="E1377" i="4"/>
  <c r="F1377" i="4" s="1"/>
  <c r="E1379" i="4"/>
  <c r="F1379" i="4" s="1"/>
  <c r="E1378" i="4"/>
  <c r="F1378" i="4" s="1"/>
  <c r="E1582" i="4"/>
  <c r="F1582" i="4" s="1"/>
  <c r="E1580" i="4"/>
  <c r="F1580" i="4" s="1"/>
  <c r="E1578" i="4"/>
  <c r="F1578" i="4" s="1"/>
  <c r="E1579" i="4"/>
  <c r="F1579" i="4" s="1"/>
  <c r="E1581" i="4"/>
  <c r="F1581" i="4" s="1"/>
  <c r="B1073" i="3"/>
  <c r="E841" i="2"/>
  <c r="F841" i="2" s="1"/>
  <c r="E839" i="2"/>
  <c r="F839" i="2" s="1"/>
  <c r="E840" i="2"/>
  <c r="F840" i="2" s="1"/>
  <c r="E2286" i="4"/>
  <c r="F2286" i="4" s="1"/>
  <c r="E2287" i="4"/>
  <c r="F2287" i="4" s="1"/>
  <c r="E2288" i="4"/>
  <c r="F2288" i="4" s="1"/>
  <c r="E2285" i="4"/>
  <c r="F2285" i="4" s="1"/>
  <c r="B710" i="3"/>
  <c r="E3204" i="2"/>
  <c r="F3204" i="2" s="1"/>
  <c r="B653" i="3"/>
  <c r="E2966" i="2"/>
  <c r="F2966" i="2" s="1"/>
  <c r="B56" i="3"/>
  <c r="E3854" i="2"/>
  <c r="F3854" i="2" s="1"/>
  <c r="B997" i="3"/>
  <c r="E547" i="2"/>
  <c r="F547" i="2" s="1"/>
  <c r="E546" i="2"/>
  <c r="F546" i="2" s="1"/>
  <c r="E1187" i="2"/>
  <c r="F1187" i="2" s="1"/>
  <c r="B155" i="3"/>
  <c r="B482" i="3"/>
  <c r="E2313" i="2"/>
  <c r="F2313" i="2" s="1"/>
  <c r="E2314" i="2"/>
  <c r="F2314" i="2" s="1"/>
  <c r="B793" i="3"/>
  <c r="E3522" i="2"/>
  <c r="F3522" i="2" s="1"/>
  <c r="E3524" i="2"/>
  <c r="F3524" i="2" s="1"/>
  <c r="E3523" i="2"/>
  <c r="F3523" i="2" s="1"/>
  <c r="B961" i="3"/>
  <c r="E395" i="2"/>
  <c r="F395" i="2" s="1"/>
  <c r="E396" i="2"/>
  <c r="F396" i="2" s="1"/>
  <c r="E389" i="2"/>
  <c r="F389" i="2" s="1"/>
  <c r="E390" i="2"/>
  <c r="F390" i="2" s="1"/>
  <c r="E393" i="2"/>
  <c r="F393" i="2" s="1"/>
  <c r="E391" i="2"/>
  <c r="F391" i="2" s="1"/>
  <c r="E392" i="2"/>
  <c r="F392" i="2" s="1"/>
  <c r="E394" i="2"/>
  <c r="F394" i="2" s="1"/>
  <c r="B436" i="3"/>
  <c r="E2141" i="2"/>
  <c r="F2141" i="2" s="1"/>
  <c r="B773" i="3"/>
  <c r="E3450" i="2"/>
  <c r="F3450" i="2" s="1"/>
  <c r="E3453" i="2"/>
  <c r="F3453" i="2" s="1"/>
  <c r="E3451" i="2"/>
  <c r="F3451" i="2" s="1"/>
  <c r="E3452" i="2"/>
  <c r="F3452" i="2" s="1"/>
  <c r="E3454" i="2"/>
  <c r="F3454" i="2" s="1"/>
  <c r="B60" i="3"/>
  <c r="E3864" i="2"/>
  <c r="F3864" i="2" s="1"/>
  <c r="E3865" i="2"/>
  <c r="F3865" i="2" s="1"/>
  <c r="E3046" i="4"/>
  <c r="F3046" i="4" s="1"/>
  <c r="E3047" i="4"/>
  <c r="F3047" i="4" s="1"/>
  <c r="E3045" i="4"/>
  <c r="F3045" i="4" s="1"/>
  <c r="B57" i="3"/>
  <c r="E3855" i="2"/>
  <c r="F3855" i="2" s="1"/>
  <c r="E3856" i="2"/>
  <c r="F3856" i="2" s="1"/>
  <c r="E3857" i="2"/>
  <c r="F3857" i="2" s="1"/>
  <c r="B702" i="3"/>
  <c r="E3167" i="2"/>
  <c r="F3167" i="2" s="1"/>
  <c r="E3168" i="2"/>
  <c r="F3168" i="2" s="1"/>
  <c r="E3169" i="2"/>
  <c r="F3169" i="2" s="1"/>
  <c r="E3166" i="2"/>
  <c r="F3166" i="2" s="1"/>
  <c r="E35" i="2"/>
  <c r="F35" i="2" s="1"/>
  <c r="B880" i="3"/>
  <c r="E33" i="2"/>
  <c r="F33" i="2" s="1"/>
  <c r="E34" i="2"/>
  <c r="F34" i="2" s="1"/>
  <c r="B948" i="3"/>
  <c r="E342" i="2"/>
  <c r="F342" i="2" s="1"/>
  <c r="E343" i="2"/>
  <c r="F343" i="2" s="1"/>
  <c r="B88" i="3"/>
  <c r="E982" i="2"/>
  <c r="F982" i="2" s="1"/>
  <c r="E983" i="2"/>
  <c r="F983" i="2" s="1"/>
  <c r="B327" i="3"/>
  <c r="E1764" i="2"/>
  <c r="F1764" i="2" s="1"/>
  <c r="E1762" i="2"/>
  <c r="F1762" i="2" s="1"/>
  <c r="E1763" i="2"/>
  <c r="F1763" i="2" s="1"/>
  <c r="B570" i="3"/>
  <c r="E2682" i="2"/>
  <c r="F2682" i="2" s="1"/>
  <c r="E2683" i="2"/>
  <c r="F2683" i="2" s="1"/>
  <c r="E2684" i="2"/>
  <c r="F2684" i="2" s="1"/>
  <c r="E3543" i="2"/>
  <c r="F3543" i="2" s="1"/>
  <c r="E3544" i="2"/>
  <c r="F3544" i="2" s="1"/>
  <c r="B799" i="3"/>
  <c r="B885" i="3"/>
  <c r="E59" i="2"/>
  <c r="F59" i="2" s="1"/>
  <c r="E60" i="2"/>
  <c r="F60" i="2" s="1"/>
  <c r="E61" i="2"/>
  <c r="F61" i="2" s="1"/>
  <c r="E62" i="2"/>
  <c r="F62" i="2" s="1"/>
  <c r="E64" i="2"/>
  <c r="F64" i="2" s="1"/>
  <c r="E63" i="2"/>
  <c r="F63" i="2" s="1"/>
  <c r="B960" i="3"/>
  <c r="E387" i="2"/>
  <c r="F387" i="2" s="1"/>
  <c r="E388" i="2"/>
  <c r="F388" i="2" s="1"/>
  <c r="E386" i="2"/>
  <c r="F386" i="2" s="1"/>
  <c r="B1002" i="3"/>
  <c r="E563" i="2"/>
  <c r="F563" i="2" s="1"/>
  <c r="E564" i="2"/>
  <c r="F564" i="2" s="1"/>
  <c r="E561" i="2"/>
  <c r="F561" i="2" s="1"/>
  <c r="E560" i="2"/>
  <c r="F560" i="2" s="1"/>
  <c r="E562" i="2"/>
  <c r="F562" i="2" s="1"/>
  <c r="E559" i="2"/>
  <c r="F559" i="2" s="1"/>
  <c r="E804" i="2"/>
  <c r="F804" i="2" s="1"/>
  <c r="E805" i="2"/>
  <c r="F805" i="2" s="1"/>
  <c r="E806" i="2"/>
  <c r="F806" i="2" s="1"/>
  <c r="E807" i="2"/>
  <c r="F807" i="2" s="1"/>
  <c r="B108" i="3"/>
  <c r="E1046" i="2"/>
  <c r="F1046" i="2" s="1"/>
  <c r="E1049" i="2"/>
  <c r="F1049" i="2" s="1"/>
  <c r="E1047" i="2"/>
  <c r="F1047" i="2" s="1"/>
  <c r="E1048" i="2"/>
  <c r="F1048" i="2" s="1"/>
  <c r="B145" i="3"/>
  <c r="E1157" i="2"/>
  <c r="F1157" i="2" s="1"/>
  <c r="B176" i="3"/>
  <c r="E1259" i="2"/>
  <c r="F1259" i="2" s="1"/>
  <c r="E1257" i="2"/>
  <c r="F1257" i="2" s="1"/>
  <c r="E1258" i="2"/>
  <c r="F1258" i="2" s="1"/>
  <c r="E1256" i="2"/>
  <c r="F1256" i="2" s="1"/>
  <c r="B199" i="3"/>
  <c r="E1337" i="2"/>
  <c r="F1337" i="2" s="1"/>
  <c r="E1335" i="2"/>
  <c r="F1335" i="2" s="1"/>
  <c r="E1336" i="2"/>
  <c r="F1336" i="2" s="1"/>
  <c r="E1338" i="2"/>
  <c r="F1338" i="2" s="1"/>
  <c r="E564" i="4"/>
  <c r="F564" i="4" s="1"/>
  <c r="E562" i="4"/>
  <c r="F562" i="4" s="1"/>
  <c r="E563" i="4"/>
  <c r="F563" i="4" s="1"/>
  <c r="E565" i="4"/>
  <c r="F565" i="4" s="1"/>
  <c r="E560" i="4"/>
  <c r="F560" i="4" s="1"/>
  <c r="E561" i="4"/>
  <c r="F561" i="4" s="1"/>
  <c r="E1587" i="2"/>
  <c r="F1587" i="2" s="1"/>
  <c r="E1588" i="2"/>
  <c r="F1588" i="2" s="1"/>
  <c r="E1589" i="2"/>
  <c r="F1589" i="2" s="1"/>
  <c r="E1590" i="2"/>
  <c r="F1590" i="2" s="1"/>
  <c r="B268" i="3"/>
  <c r="B297" i="3"/>
  <c r="E1676" i="2"/>
  <c r="F1676" i="2" s="1"/>
  <c r="E1677" i="2"/>
  <c r="F1677" i="2" s="1"/>
  <c r="E1678" i="2"/>
  <c r="F1678" i="2" s="1"/>
  <c r="E1675" i="2"/>
  <c r="F1675" i="2" s="1"/>
  <c r="E966" i="4"/>
  <c r="F966" i="4" s="1"/>
  <c r="E961" i="4"/>
  <c r="F961" i="4" s="1"/>
  <c r="E962" i="4"/>
  <c r="F962" i="4" s="1"/>
  <c r="E964" i="4"/>
  <c r="F964" i="4" s="1"/>
  <c r="E965" i="4"/>
  <c r="F965" i="4" s="1"/>
  <c r="E963" i="4"/>
  <c r="F963" i="4" s="1"/>
  <c r="B416" i="3"/>
  <c r="E2063" i="2"/>
  <c r="F2063" i="2" s="1"/>
  <c r="E2064" i="2"/>
  <c r="F2064" i="2" s="1"/>
  <c r="E2061" i="2"/>
  <c r="F2061" i="2" s="1"/>
  <c r="E2062" i="2"/>
  <c r="F2062" i="2" s="1"/>
  <c r="E1144" i="4"/>
  <c r="F1144" i="4" s="1"/>
  <c r="E1145" i="4"/>
  <c r="F1145" i="4" s="1"/>
  <c r="E1146" i="4"/>
  <c r="F1146" i="4" s="1"/>
  <c r="E1454" i="4"/>
  <c r="F1454" i="4" s="1"/>
  <c r="E1452" i="4"/>
  <c r="F1452" i="4" s="1"/>
  <c r="E1451" i="4"/>
  <c r="F1451" i="4" s="1"/>
  <c r="E1453" i="4"/>
  <c r="F1453" i="4" s="1"/>
  <c r="B15" i="3"/>
  <c r="E2573" i="2"/>
  <c r="F2573" i="2" s="1"/>
  <c r="E2574" i="2"/>
  <c r="F2574" i="2" s="1"/>
  <c r="E1556" i="4"/>
  <c r="F1556" i="4" s="1"/>
  <c r="E1555" i="4"/>
  <c r="F1555" i="4" s="1"/>
  <c r="E1557" i="4"/>
  <c r="F1557" i="4" s="1"/>
  <c r="B591" i="3"/>
  <c r="E2756" i="2"/>
  <c r="F2756" i="2" s="1"/>
  <c r="E2755" i="2"/>
  <c r="F2755" i="2" s="1"/>
  <c r="B620" i="3"/>
  <c r="E2847" i="2"/>
  <c r="F2847" i="2" s="1"/>
  <c r="E2848" i="2"/>
  <c r="F2848" i="2" s="1"/>
  <c r="E2849" i="2"/>
  <c r="F2849" i="2" s="1"/>
  <c r="E2845" i="2"/>
  <c r="F2845" i="2" s="1"/>
  <c r="E2846" i="2"/>
  <c r="F2846" i="2" s="1"/>
  <c r="B741" i="3"/>
  <c r="E3344" i="2"/>
  <c r="F3344" i="2" s="1"/>
  <c r="E3345" i="2"/>
  <c r="F3345" i="2" s="1"/>
  <c r="E2114" i="4"/>
  <c r="F2114" i="4" s="1"/>
  <c r="E2115" i="4"/>
  <c r="F2115" i="4" s="1"/>
  <c r="E2262" i="4"/>
  <c r="F2262" i="4" s="1"/>
  <c r="E2263" i="4"/>
  <c r="F2263" i="4" s="1"/>
  <c r="E2264" i="4"/>
  <c r="F2264" i="4" s="1"/>
  <c r="E2261" i="4"/>
  <c r="F2261" i="4" s="1"/>
  <c r="E2265" i="4"/>
  <c r="F2265" i="4" s="1"/>
  <c r="E115" i="4"/>
  <c r="F115" i="4" s="1"/>
  <c r="E116" i="4"/>
  <c r="F116" i="4" s="1"/>
  <c r="E117" i="4"/>
  <c r="F117" i="4" s="1"/>
  <c r="B109" i="3"/>
  <c r="E1051" i="2"/>
  <c r="F1051" i="2" s="1"/>
  <c r="E1052" i="2"/>
  <c r="F1052" i="2" s="1"/>
  <c r="E1050" i="2"/>
  <c r="F1050" i="2" s="1"/>
  <c r="E2543" i="2"/>
  <c r="F2543" i="2" s="1"/>
  <c r="E2544" i="2"/>
  <c r="F2544" i="2" s="1"/>
  <c r="E2545" i="2"/>
  <c r="F2545" i="2" s="1"/>
  <c r="E2541" i="2"/>
  <c r="F2541" i="2" s="1"/>
  <c r="E2542" i="2"/>
  <c r="F2542" i="2" s="1"/>
  <c r="E3423" i="2"/>
  <c r="F3423" i="2" s="1"/>
  <c r="E3424" i="2"/>
  <c r="F3424" i="2" s="1"/>
  <c r="E3421" i="2"/>
  <c r="F3421" i="2" s="1"/>
  <c r="B765" i="3"/>
  <c r="E3422" i="2"/>
  <c r="F3422" i="2" s="1"/>
  <c r="E3420" i="2"/>
  <c r="F3420" i="2" s="1"/>
  <c r="B1022" i="3"/>
  <c r="E636" i="2"/>
  <c r="F636" i="2" s="1"/>
  <c r="E637" i="2"/>
  <c r="F637" i="2" s="1"/>
  <c r="E614" i="4"/>
  <c r="F614" i="4" s="1"/>
  <c r="E615" i="4"/>
  <c r="F615" i="4" s="1"/>
  <c r="E616" i="4"/>
  <c r="F616" i="4" s="1"/>
  <c r="E617" i="4"/>
  <c r="F617" i="4" s="1"/>
  <c r="E618" i="4"/>
  <c r="F618" i="4" s="1"/>
  <c r="E612" i="4"/>
  <c r="F612" i="4" s="1"/>
  <c r="E613" i="4"/>
  <c r="F613" i="4" s="1"/>
  <c r="E619" i="4"/>
  <c r="F619" i="4" s="1"/>
  <c r="E767" i="4"/>
  <c r="F767" i="4" s="1"/>
  <c r="E768" i="4"/>
  <c r="F768" i="4" s="1"/>
  <c r="E769" i="4"/>
  <c r="F769" i="4" s="1"/>
  <c r="E1278" i="4"/>
  <c r="F1278" i="4" s="1"/>
  <c r="E1279" i="4"/>
  <c r="F1279" i="4" s="1"/>
  <c r="E1280" i="4"/>
  <c r="F1280" i="4" s="1"/>
  <c r="E1281" i="4"/>
  <c r="F1281" i="4" s="1"/>
  <c r="E1284" i="4"/>
  <c r="F1284" i="4" s="1"/>
  <c r="E1282" i="4"/>
  <c r="F1282" i="4" s="1"/>
  <c r="E1283" i="4"/>
  <c r="F1283" i="4" s="1"/>
  <c r="B37" i="3"/>
  <c r="E3760" i="2"/>
  <c r="F3760" i="2" s="1"/>
  <c r="E3761" i="2"/>
  <c r="F3761" i="2" s="1"/>
  <c r="B149" i="3"/>
  <c r="E1165" i="2"/>
  <c r="F1165" i="2" s="1"/>
  <c r="E1166" i="2"/>
  <c r="F1166" i="2" s="1"/>
  <c r="B391" i="3"/>
  <c r="E1977" i="2"/>
  <c r="F1977" i="2" s="1"/>
  <c r="E1976" i="2"/>
  <c r="F1976" i="2" s="1"/>
  <c r="E1978" i="2"/>
  <c r="F1978" i="2" s="1"/>
  <c r="E1979" i="2"/>
  <c r="F1979" i="2" s="1"/>
  <c r="E1974" i="2"/>
  <c r="F1974" i="2" s="1"/>
  <c r="E1975" i="2"/>
  <c r="F1975" i="2" s="1"/>
  <c r="B632" i="3"/>
  <c r="E2895" i="2"/>
  <c r="F2895" i="2" s="1"/>
  <c r="E2896" i="2"/>
  <c r="F2896" i="2" s="1"/>
  <c r="E2897" i="2"/>
  <c r="F2897" i="2" s="1"/>
  <c r="E2898" i="2"/>
  <c r="F2898" i="2" s="1"/>
  <c r="E2901" i="2"/>
  <c r="F2901" i="2" s="1"/>
  <c r="E2899" i="2"/>
  <c r="F2899" i="2" s="1"/>
  <c r="E2900" i="2"/>
  <c r="F2900" i="2" s="1"/>
  <c r="B847" i="3"/>
  <c r="E3778" i="2"/>
  <c r="F3778" i="2" s="1"/>
  <c r="E3781" i="2"/>
  <c r="F3781" i="2" s="1"/>
  <c r="E3780" i="2"/>
  <c r="F3780" i="2" s="1"/>
  <c r="E3779" i="2"/>
  <c r="F3779" i="2" s="1"/>
  <c r="E854" i="4"/>
  <c r="F854" i="4" s="1"/>
  <c r="E855" i="4"/>
  <c r="F855" i="4" s="1"/>
  <c r="E856" i="4"/>
  <c r="F856" i="4" s="1"/>
  <c r="E853" i="4"/>
  <c r="F853" i="4" s="1"/>
  <c r="B940" i="3"/>
  <c r="E315" i="2"/>
  <c r="F315" i="2" s="1"/>
  <c r="B523" i="3"/>
  <c r="E2487" i="2"/>
  <c r="F2487" i="2" s="1"/>
  <c r="E2488" i="2"/>
  <c r="F2488" i="2" s="1"/>
  <c r="E2485" i="2"/>
  <c r="F2485" i="2" s="1"/>
  <c r="E2486" i="2"/>
  <c r="F2486" i="2" s="1"/>
  <c r="B909" i="3"/>
  <c r="E166" i="2"/>
  <c r="F166" i="2" s="1"/>
  <c r="E167" i="2"/>
  <c r="F167" i="2" s="1"/>
  <c r="E2684" i="4"/>
  <c r="F2684" i="4" s="1"/>
  <c r="E2685" i="4"/>
  <c r="F2685" i="4" s="1"/>
  <c r="E2686" i="4"/>
  <c r="F2686" i="4" s="1"/>
  <c r="E283" i="4"/>
  <c r="F283" i="4" s="1"/>
  <c r="E284" i="4"/>
  <c r="F284" i="4" s="1"/>
  <c r="E285" i="4"/>
  <c r="F285" i="4" s="1"/>
  <c r="E286" i="4"/>
  <c r="F286" i="4" s="1"/>
  <c r="E20" i="4"/>
  <c r="F20" i="4" s="1"/>
  <c r="E21" i="4"/>
  <c r="F21" i="4" s="1"/>
  <c r="E1160" i="4"/>
  <c r="F1160" i="4" s="1"/>
  <c r="E1161" i="4"/>
  <c r="F1161" i="4" s="1"/>
  <c r="E1502" i="4"/>
  <c r="F1502" i="4" s="1"/>
  <c r="E1503" i="4"/>
  <c r="F1503" i="4" s="1"/>
  <c r="E1504" i="4"/>
  <c r="F1504" i="4" s="1"/>
  <c r="E1505" i="4"/>
  <c r="F1505" i="4" s="1"/>
  <c r="E1500" i="4"/>
  <c r="F1500" i="4" s="1"/>
  <c r="E1499" i="4"/>
  <c r="F1499" i="4" s="1"/>
  <c r="E1506" i="4"/>
  <c r="F1506" i="4" s="1"/>
  <c r="E1501" i="4"/>
  <c r="F1501" i="4" s="1"/>
  <c r="B617" i="3"/>
  <c r="E2839" i="2"/>
  <c r="F2839" i="2" s="1"/>
  <c r="E2840" i="2"/>
  <c r="F2840" i="2" s="1"/>
  <c r="E2837" i="2"/>
  <c r="F2837" i="2" s="1"/>
  <c r="E2838" i="2"/>
  <c r="F2838" i="2" s="1"/>
  <c r="B809" i="3"/>
  <c r="E3583" i="2"/>
  <c r="F3583" i="2" s="1"/>
  <c r="E3581" i="2"/>
  <c r="F3581" i="2" s="1"/>
  <c r="E3582" i="2"/>
  <c r="F3582" i="2" s="1"/>
  <c r="E1886" i="4"/>
  <c r="F1886" i="4" s="1"/>
  <c r="E1887" i="4"/>
  <c r="F1887" i="4" s="1"/>
  <c r="E1888" i="4"/>
  <c r="F1888" i="4" s="1"/>
  <c r="E1890" i="4"/>
  <c r="F1890" i="4" s="1"/>
  <c r="E1885" i="4"/>
  <c r="F1885" i="4" s="1"/>
  <c r="E1889" i="4"/>
  <c r="F1889" i="4" s="1"/>
  <c r="E2260" i="4"/>
  <c r="F2260" i="4" s="1"/>
  <c r="E2259" i="4"/>
  <c r="F2259" i="4" s="1"/>
  <c r="E172" i="4"/>
  <c r="F172" i="4" s="1"/>
  <c r="E173" i="4"/>
  <c r="F173" i="4" s="1"/>
  <c r="E174" i="4"/>
  <c r="F174" i="4" s="1"/>
  <c r="E3031" i="4"/>
  <c r="F3031" i="4" s="1"/>
  <c r="E3032" i="4"/>
  <c r="F3032" i="4" s="1"/>
  <c r="E3033" i="4"/>
  <c r="F3033" i="4" s="1"/>
  <c r="B475" i="3"/>
  <c r="E2279" i="2"/>
  <c r="F2279" i="2" s="1"/>
  <c r="E2280" i="2"/>
  <c r="F2280" i="2" s="1"/>
  <c r="E2281" i="2"/>
  <c r="F2281" i="2" s="1"/>
  <c r="E2282" i="2"/>
  <c r="F2282" i="2" s="1"/>
  <c r="E2278" i="2"/>
  <c r="F2278" i="2" s="1"/>
  <c r="E2283" i="2"/>
  <c r="F2283" i="2" s="1"/>
  <c r="B713" i="3"/>
  <c r="E3215" i="2"/>
  <c r="F3215" i="2" s="1"/>
  <c r="E3216" i="2"/>
  <c r="F3216" i="2" s="1"/>
  <c r="E3217" i="2"/>
  <c r="F3217" i="2" s="1"/>
  <c r="E3218" i="2"/>
  <c r="F3218" i="2" s="1"/>
  <c r="E3213" i="2"/>
  <c r="F3213" i="2" s="1"/>
  <c r="E3214" i="2"/>
  <c r="F3214" i="2" s="1"/>
  <c r="B888" i="3"/>
  <c r="E73" i="2"/>
  <c r="F73" i="2" s="1"/>
  <c r="E74" i="2"/>
  <c r="F74" i="2" s="1"/>
  <c r="B908" i="3"/>
  <c r="E157" i="2"/>
  <c r="F157" i="2" s="1"/>
  <c r="E158" i="2"/>
  <c r="F158" i="2" s="1"/>
  <c r="E159" i="2"/>
  <c r="F159" i="2" s="1"/>
  <c r="E3056" i="4"/>
  <c r="F3056" i="4" s="1"/>
  <c r="E3057" i="4"/>
  <c r="F3057" i="4" s="1"/>
  <c r="B95" i="3"/>
  <c r="E1005" i="2"/>
  <c r="F1005" i="2" s="1"/>
  <c r="E1006" i="2"/>
  <c r="F1006" i="2" s="1"/>
  <c r="E1007" i="2"/>
  <c r="F1007" i="2" s="1"/>
  <c r="B171" i="3"/>
  <c r="E1236" i="2"/>
  <c r="F1236" i="2" s="1"/>
  <c r="E1237" i="2"/>
  <c r="F1237" i="2" s="1"/>
  <c r="E1238" i="2"/>
  <c r="F1238" i="2" s="1"/>
  <c r="E1239" i="2"/>
  <c r="F1239" i="2" s="1"/>
  <c r="B248" i="3"/>
  <c r="E1523" i="2"/>
  <c r="F1523" i="2" s="1"/>
  <c r="E1524" i="2"/>
  <c r="F1524" i="2" s="1"/>
  <c r="E1525" i="2"/>
  <c r="F1525" i="2" s="1"/>
  <c r="E1526" i="2"/>
  <c r="F1526" i="2" s="1"/>
  <c r="B337" i="3"/>
  <c r="E1804" i="2"/>
  <c r="F1804" i="2" s="1"/>
  <c r="E1801" i="2"/>
  <c r="F1801" i="2" s="1"/>
  <c r="E1802" i="2"/>
  <c r="F1802" i="2" s="1"/>
  <c r="E1803" i="2"/>
  <c r="F1803" i="2" s="1"/>
  <c r="E1800" i="2"/>
  <c r="F1800" i="2" s="1"/>
  <c r="B412" i="3"/>
  <c r="E2042" i="2"/>
  <c r="F2042" i="2" s="1"/>
  <c r="E2389" i="2"/>
  <c r="F2389" i="2" s="1"/>
  <c r="E2390" i="2"/>
  <c r="F2390" i="2" s="1"/>
  <c r="B498" i="3"/>
  <c r="B587" i="3"/>
  <c r="E2743" i="2"/>
  <c r="F2743" i="2" s="1"/>
  <c r="E2741" i="2"/>
  <c r="F2741" i="2" s="1"/>
  <c r="E2740" i="2"/>
  <c r="F2740" i="2" s="1"/>
  <c r="E2739" i="2"/>
  <c r="F2739" i="2" s="1"/>
  <c r="E2742" i="2"/>
  <c r="F2742" i="2" s="1"/>
  <c r="B659" i="3"/>
  <c r="E2991" i="2"/>
  <c r="F2991" i="2" s="1"/>
  <c r="E2992" i="2"/>
  <c r="F2992" i="2" s="1"/>
  <c r="E2993" i="2"/>
  <c r="F2993" i="2" s="1"/>
  <c r="E2986" i="2"/>
  <c r="F2986" i="2" s="1"/>
  <c r="E2989" i="2"/>
  <c r="F2989" i="2" s="1"/>
  <c r="E2987" i="2"/>
  <c r="F2987" i="2" s="1"/>
  <c r="E2990" i="2"/>
  <c r="F2990" i="2" s="1"/>
  <c r="E2988" i="2"/>
  <c r="F2988" i="2" s="1"/>
  <c r="B736" i="3"/>
  <c r="E3330" i="2"/>
  <c r="F3330" i="2" s="1"/>
  <c r="E3331" i="2"/>
  <c r="F3331" i="2" s="1"/>
  <c r="B815" i="3"/>
  <c r="E3599" i="2"/>
  <c r="F3599" i="2" s="1"/>
  <c r="E3600" i="2"/>
  <c r="F3600" i="2" s="1"/>
  <c r="E3601" i="2"/>
  <c r="F3601" i="2" s="1"/>
  <c r="E3597" i="2"/>
  <c r="F3597" i="2" s="1"/>
  <c r="E3598" i="2"/>
  <c r="F3598" i="2" s="1"/>
  <c r="B61" i="3"/>
  <c r="E3866" i="2"/>
  <c r="F3866" i="2" s="1"/>
  <c r="E3867" i="2"/>
  <c r="F3867" i="2" s="1"/>
  <c r="E3868" i="2"/>
  <c r="F3868" i="2" s="1"/>
  <c r="E2478" i="4"/>
  <c r="F2478" i="4" s="1"/>
  <c r="E2476" i="4"/>
  <c r="F2476" i="4" s="1"/>
  <c r="E2477" i="4"/>
  <c r="F2477" i="4" s="1"/>
  <c r="E2475" i="4"/>
  <c r="F2475" i="4" s="1"/>
  <c r="E3036" i="4"/>
  <c r="F3036" i="4" s="1"/>
  <c r="E3034" i="4"/>
  <c r="F3034" i="4" s="1"/>
  <c r="E3035" i="4"/>
  <c r="F3035" i="4" s="1"/>
  <c r="B154" i="3"/>
  <c r="E1185" i="2"/>
  <c r="F1185" i="2" s="1"/>
  <c r="E1184" i="2"/>
  <c r="F1184" i="2" s="1"/>
  <c r="E1186" i="2"/>
  <c r="F1186" i="2" s="1"/>
  <c r="E1732" i="2"/>
  <c r="F1732" i="2" s="1"/>
  <c r="E1730" i="2"/>
  <c r="F1730" i="2" s="1"/>
  <c r="E1731" i="2"/>
  <c r="F1731" i="2" s="1"/>
  <c r="B315" i="3"/>
  <c r="B480" i="3"/>
  <c r="E2304" i="2"/>
  <c r="F2304" i="2" s="1"/>
  <c r="E2305" i="2"/>
  <c r="F2305" i="2" s="1"/>
  <c r="E2306" i="2"/>
  <c r="F2306" i="2" s="1"/>
  <c r="E2308" i="2"/>
  <c r="F2308" i="2" s="1"/>
  <c r="E2307" i="2"/>
  <c r="F2307" i="2" s="1"/>
  <c r="B657" i="3"/>
  <c r="E2983" i="2"/>
  <c r="F2983" i="2" s="1"/>
  <c r="E2981" i="2"/>
  <c r="F2981" i="2" s="1"/>
  <c r="E2980" i="2"/>
  <c r="F2980" i="2" s="1"/>
  <c r="E2982" i="2"/>
  <c r="F2982" i="2" s="1"/>
  <c r="B806" i="3"/>
  <c r="E3575" i="2"/>
  <c r="F3575" i="2" s="1"/>
  <c r="E3573" i="2"/>
  <c r="F3573" i="2" s="1"/>
  <c r="E3572" i="2"/>
  <c r="F3572" i="2" s="1"/>
  <c r="E3574" i="2"/>
  <c r="F3574" i="2" s="1"/>
  <c r="E2620" i="4"/>
  <c r="F2620" i="4" s="1"/>
  <c r="E2619" i="4"/>
  <c r="F2619" i="4" s="1"/>
  <c r="E2618" i="4"/>
  <c r="F2618" i="4" s="1"/>
  <c r="E1564" i="4"/>
  <c r="F1564" i="4" s="1"/>
  <c r="E1563" i="4"/>
  <c r="F1563" i="4" s="1"/>
  <c r="E1565" i="4"/>
  <c r="F1565" i="4" s="1"/>
  <c r="B118" i="3"/>
  <c r="E1077" i="2"/>
  <c r="F1077" i="2" s="1"/>
  <c r="E694" i="4"/>
  <c r="F694" i="4" s="1"/>
  <c r="E695" i="4"/>
  <c r="F695" i="4" s="1"/>
  <c r="E696" i="4"/>
  <c r="F696" i="4" s="1"/>
  <c r="E697" i="4"/>
  <c r="F697" i="4" s="1"/>
  <c r="E698" i="4"/>
  <c r="F698" i="4" s="1"/>
  <c r="E699" i="4"/>
  <c r="F699" i="4" s="1"/>
  <c r="E1031" i="4"/>
  <c r="F1031" i="4" s="1"/>
  <c r="E1032" i="4"/>
  <c r="F1032" i="4" s="1"/>
  <c r="E1033" i="4"/>
  <c r="F1033" i="4" s="1"/>
  <c r="B714" i="3"/>
  <c r="E3221" i="2"/>
  <c r="F3221" i="2" s="1"/>
  <c r="E3219" i="2"/>
  <c r="F3219" i="2" s="1"/>
  <c r="E3220" i="2"/>
  <c r="F3220" i="2" s="1"/>
  <c r="E2375" i="4"/>
  <c r="F2375" i="4" s="1"/>
  <c r="E2376" i="4"/>
  <c r="F2376" i="4" s="1"/>
  <c r="E2377" i="4"/>
  <c r="F2377" i="4" s="1"/>
  <c r="E2378" i="4"/>
  <c r="F2378" i="4" s="1"/>
  <c r="B1003" i="3"/>
  <c r="E565" i="2"/>
  <c r="F565" i="2" s="1"/>
  <c r="E566" i="2"/>
  <c r="F566" i="2" s="1"/>
  <c r="B223" i="3"/>
  <c r="E1427" i="2"/>
  <c r="F1427" i="2" s="1"/>
  <c r="E1428" i="2"/>
  <c r="F1428" i="2" s="1"/>
  <c r="E1429" i="2"/>
  <c r="F1429" i="2" s="1"/>
  <c r="E1430" i="2"/>
  <c r="F1430" i="2" s="1"/>
  <c r="E1431" i="2"/>
  <c r="F1431" i="2" s="1"/>
  <c r="E1432" i="2"/>
  <c r="F1432" i="2" s="1"/>
  <c r="E1426" i="2"/>
  <c r="F1426" i="2" s="1"/>
  <c r="E2241" i="2"/>
  <c r="F2241" i="2" s="1"/>
  <c r="E2242" i="2"/>
  <c r="F2242" i="2" s="1"/>
  <c r="E2243" i="2"/>
  <c r="F2243" i="2" s="1"/>
  <c r="B757" i="3"/>
  <c r="E3391" i="2"/>
  <c r="F3391" i="2" s="1"/>
  <c r="E3392" i="2"/>
  <c r="F3392" i="2" s="1"/>
  <c r="E3393" i="2"/>
  <c r="F3393" i="2" s="1"/>
  <c r="E3390" i="2"/>
  <c r="F3390" i="2" s="1"/>
  <c r="E2556" i="4"/>
  <c r="F2556" i="4" s="1"/>
  <c r="E2557" i="4"/>
  <c r="F2557" i="4" s="1"/>
  <c r="E2924" i="4"/>
  <c r="F2924" i="4" s="1"/>
  <c r="E2925" i="4"/>
  <c r="F2925" i="4" s="1"/>
  <c r="E2922" i="4"/>
  <c r="F2922" i="4" s="1"/>
  <c r="E2923" i="4"/>
  <c r="F2923" i="4" s="1"/>
  <c r="E287" i="4"/>
  <c r="F287" i="4" s="1"/>
  <c r="E288" i="4"/>
  <c r="F288" i="4" s="1"/>
  <c r="B136" i="3"/>
  <c r="E1129" i="2"/>
  <c r="F1129" i="2" s="1"/>
  <c r="E387" i="4"/>
  <c r="F387" i="4" s="1"/>
  <c r="E388" i="4"/>
  <c r="F388" i="4" s="1"/>
  <c r="B259" i="3"/>
  <c r="E1563" i="2"/>
  <c r="F1563" i="2" s="1"/>
  <c r="E1561" i="2"/>
  <c r="F1561" i="2" s="1"/>
  <c r="E1562" i="2"/>
  <c r="F1562" i="2" s="1"/>
  <c r="E1559" i="2"/>
  <c r="F1559" i="2" s="1"/>
  <c r="E1560" i="2"/>
  <c r="F1560" i="2" s="1"/>
  <c r="E839" i="4"/>
  <c r="F839" i="4" s="1"/>
  <c r="E840" i="4"/>
  <c r="F840" i="4" s="1"/>
  <c r="E912" i="4"/>
  <c r="F912" i="4" s="1"/>
  <c r="E913" i="4"/>
  <c r="F913" i="4" s="1"/>
  <c r="B438" i="3"/>
  <c r="E2149" i="2"/>
  <c r="F2149" i="2" s="1"/>
  <c r="E2148" i="2"/>
  <c r="F2148" i="2" s="1"/>
  <c r="E2150" i="2"/>
  <c r="F2150" i="2" s="1"/>
  <c r="E1551" i="4"/>
  <c r="F1551" i="4" s="1"/>
  <c r="E1552" i="4"/>
  <c r="F1552" i="4" s="1"/>
  <c r="E1910" i="4"/>
  <c r="F1910" i="4" s="1"/>
  <c r="E1911" i="4"/>
  <c r="F1911" i="4" s="1"/>
  <c r="E1912" i="4"/>
  <c r="F1912" i="4" s="1"/>
  <c r="E1908" i="4"/>
  <c r="F1908" i="4" s="1"/>
  <c r="E1909" i="4"/>
  <c r="F1909" i="4" s="1"/>
  <c r="E2095" i="4"/>
  <c r="F2095" i="4" s="1"/>
  <c r="E2096" i="4"/>
  <c r="F2096" i="4" s="1"/>
  <c r="E2098" i="4"/>
  <c r="F2098" i="4" s="1"/>
  <c r="E2097" i="4"/>
  <c r="F2097" i="4" s="1"/>
  <c r="E3609" i="2"/>
  <c r="F3609" i="2" s="1"/>
  <c r="E3610" i="2"/>
  <c r="F3610" i="2" s="1"/>
  <c r="B818" i="3"/>
  <c r="E3611" i="2"/>
  <c r="F3611" i="2" s="1"/>
  <c r="E2498" i="4"/>
  <c r="F2498" i="4" s="1"/>
  <c r="E2499" i="4"/>
  <c r="F2499" i="4" s="1"/>
  <c r="E2497" i="4"/>
  <c r="F2497" i="4" s="1"/>
  <c r="E2915" i="4"/>
  <c r="F2915" i="4" s="1"/>
  <c r="E2914" i="4"/>
  <c r="F2914" i="4" s="1"/>
  <c r="E967" i="4"/>
  <c r="F967" i="4" s="1"/>
  <c r="E968" i="4"/>
  <c r="F968" i="4" s="1"/>
  <c r="E969" i="4"/>
  <c r="F969" i="4" s="1"/>
  <c r="E970" i="4"/>
  <c r="F970" i="4" s="1"/>
  <c r="E1115" i="4"/>
  <c r="F1115" i="4" s="1"/>
  <c r="B529" i="3"/>
  <c r="E2511" i="2"/>
  <c r="F2511" i="2" s="1"/>
  <c r="E2512" i="2"/>
  <c r="F2512" i="2" s="1"/>
  <c r="E2513" i="2"/>
  <c r="F2513" i="2" s="1"/>
  <c r="E2514" i="2"/>
  <c r="F2514" i="2" s="1"/>
  <c r="E2510" i="2"/>
  <c r="F2510" i="2" s="1"/>
  <c r="E2515" i="2"/>
  <c r="F2515" i="2" s="1"/>
  <c r="E2014" i="4"/>
  <c r="F2014" i="4" s="1"/>
  <c r="E2015" i="4"/>
  <c r="F2015" i="4" s="1"/>
  <c r="E2016" i="4"/>
  <c r="F2016" i="4" s="1"/>
  <c r="B973" i="3"/>
  <c r="E445" i="2"/>
  <c r="F445" i="2" s="1"/>
  <c r="E446" i="2"/>
  <c r="F446" i="2" s="1"/>
  <c r="E449" i="2"/>
  <c r="F449" i="2" s="1"/>
  <c r="E448" i="2"/>
  <c r="F448" i="2" s="1"/>
  <c r="E447" i="2"/>
  <c r="F447" i="2" s="1"/>
  <c r="E3022" i="4"/>
  <c r="F3022" i="4" s="1"/>
  <c r="E3023" i="4"/>
  <c r="F3023" i="4" s="1"/>
  <c r="E3024" i="4"/>
  <c r="F3024" i="4" s="1"/>
  <c r="E198" i="4"/>
  <c r="F198" i="4" s="1"/>
  <c r="E197" i="4"/>
  <c r="F197" i="4" s="1"/>
  <c r="E267" i="4"/>
  <c r="F267" i="4" s="1"/>
  <c r="E264" i="4"/>
  <c r="F264" i="4" s="1"/>
  <c r="E265" i="4"/>
  <c r="F265" i="4" s="1"/>
  <c r="E266" i="4"/>
  <c r="F266" i="4" s="1"/>
  <c r="E479" i="4"/>
  <c r="F479" i="4" s="1"/>
  <c r="E477" i="4"/>
  <c r="F477" i="4" s="1"/>
  <c r="E478" i="4"/>
  <c r="F478" i="4" s="1"/>
  <c r="E772" i="4"/>
  <c r="F772" i="4" s="1"/>
  <c r="E773" i="4"/>
  <c r="F773" i="4" s="1"/>
  <c r="E1913" i="4"/>
  <c r="F1913" i="4" s="1"/>
  <c r="E1914" i="4"/>
  <c r="F1914" i="4" s="1"/>
  <c r="E2672" i="4"/>
  <c r="F2672" i="4" s="1"/>
  <c r="E2673" i="4"/>
  <c r="F2673" i="4" s="1"/>
  <c r="E2674" i="4"/>
  <c r="F2674" i="4" s="1"/>
  <c r="E2675" i="4"/>
  <c r="F2675" i="4" s="1"/>
  <c r="E2972" i="4"/>
  <c r="F2972" i="4" s="1"/>
  <c r="E2973" i="4"/>
  <c r="F2973" i="4" s="1"/>
  <c r="E2974" i="4"/>
  <c r="F2974" i="4" s="1"/>
  <c r="E2975" i="4"/>
  <c r="F2975" i="4" s="1"/>
  <c r="E2976" i="4"/>
  <c r="F2976" i="4" s="1"/>
  <c r="E216" i="4"/>
  <c r="F216" i="4" s="1"/>
  <c r="E217" i="4"/>
  <c r="F217" i="4" s="1"/>
  <c r="E847" i="4"/>
  <c r="F847" i="4" s="1"/>
  <c r="E848" i="4"/>
  <c r="F848" i="4" s="1"/>
  <c r="E849" i="4"/>
  <c r="F849" i="4" s="1"/>
  <c r="E850" i="4"/>
  <c r="F850" i="4" s="1"/>
  <c r="E852" i="4"/>
  <c r="F852" i="4" s="1"/>
  <c r="E851" i="4"/>
  <c r="F851" i="4" s="1"/>
  <c r="E886" i="4"/>
  <c r="F886" i="4" s="1"/>
  <c r="E882" i="4"/>
  <c r="F882" i="4" s="1"/>
  <c r="E884" i="4"/>
  <c r="F884" i="4" s="1"/>
  <c r="E885" i="4"/>
  <c r="F885" i="4" s="1"/>
  <c r="E883" i="4"/>
  <c r="F883" i="4" s="1"/>
  <c r="E1154" i="4"/>
  <c r="F1154" i="4" s="1"/>
  <c r="E1155" i="4"/>
  <c r="F1155" i="4" s="1"/>
  <c r="E1735" i="4"/>
  <c r="F1735" i="4" s="1"/>
  <c r="E1736" i="4"/>
  <c r="F1736" i="4" s="1"/>
  <c r="E1737" i="4"/>
  <c r="F1737" i="4" s="1"/>
  <c r="E1738" i="4"/>
  <c r="F1738" i="4" s="1"/>
  <c r="E1862" i="4"/>
  <c r="F1862" i="4" s="1"/>
  <c r="E1860" i="4"/>
  <c r="F1860" i="4" s="1"/>
  <c r="E1858" i="4"/>
  <c r="F1858" i="4" s="1"/>
  <c r="E1859" i="4"/>
  <c r="F1859" i="4" s="1"/>
  <c r="E1861" i="4"/>
  <c r="F1861" i="4" s="1"/>
  <c r="E2296" i="4"/>
  <c r="F2296" i="4" s="1"/>
  <c r="E2300" i="4"/>
  <c r="F2300" i="4" s="1"/>
  <c r="E2297" i="4"/>
  <c r="F2297" i="4" s="1"/>
  <c r="E2298" i="4"/>
  <c r="F2298" i="4" s="1"/>
  <c r="E2299" i="4"/>
  <c r="F2299" i="4" s="1"/>
  <c r="E51" i="4"/>
  <c r="F51" i="4" s="1"/>
  <c r="E59" i="4"/>
  <c r="F59" i="4" s="1"/>
  <c r="E52" i="4"/>
  <c r="F52" i="4" s="1"/>
  <c r="E47" i="4"/>
  <c r="F47" i="4" s="1"/>
  <c r="E55" i="4"/>
  <c r="F55" i="4" s="1"/>
  <c r="E48" i="4"/>
  <c r="F48" i="4" s="1"/>
  <c r="E56" i="4"/>
  <c r="F56" i="4" s="1"/>
  <c r="E49" i="4"/>
  <c r="F49" i="4" s="1"/>
  <c r="E57" i="4"/>
  <c r="F57" i="4" s="1"/>
  <c r="E54" i="4"/>
  <c r="F54" i="4" s="1"/>
  <c r="E58" i="4"/>
  <c r="F58" i="4" s="1"/>
  <c r="E50" i="4"/>
  <c r="F50" i="4" s="1"/>
  <c r="E53" i="4"/>
  <c r="F53" i="4" s="1"/>
  <c r="E2386" i="4"/>
  <c r="F2386" i="4" s="1"/>
  <c r="E2387" i="4"/>
  <c r="F2387" i="4" s="1"/>
  <c r="E2385" i="4"/>
  <c r="F2385" i="4" s="1"/>
  <c r="E1635" i="4"/>
  <c r="F1635" i="4" s="1"/>
  <c r="E1634" i="4"/>
  <c r="F1634" i="4" s="1"/>
  <c r="E487" i="4"/>
  <c r="F487" i="4" s="1"/>
  <c r="E488" i="4"/>
  <c r="F488" i="4" s="1"/>
  <c r="E486" i="4"/>
  <c r="F486" i="4" s="1"/>
  <c r="E1158" i="4"/>
  <c r="F1158" i="4" s="1"/>
  <c r="E1156" i="4"/>
  <c r="F1156" i="4" s="1"/>
  <c r="E1157" i="4"/>
  <c r="F1157" i="4" s="1"/>
  <c r="E2380" i="4"/>
  <c r="F2380" i="4" s="1"/>
  <c r="E2379" i="4"/>
  <c r="F2379" i="4" s="1"/>
  <c r="E2158" i="4"/>
  <c r="F2158" i="4" s="1"/>
  <c r="E2159" i="4"/>
  <c r="F2159" i="4" s="1"/>
  <c r="E2160" i="4"/>
  <c r="F2160" i="4" s="1"/>
  <c r="E2162" i="4"/>
  <c r="F2162" i="4" s="1"/>
  <c r="E2161" i="4"/>
  <c r="F2161" i="4" s="1"/>
  <c r="B901" i="3"/>
  <c r="E132" i="2"/>
  <c r="F132" i="2" s="1"/>
  <c r="E133" i="2"/>
  <c r="F133" i="2" s="1"/>
  <c r="E134" i="2"/>
  <c r="F134" i="2" s="1"/>
  <c r="E935" i="4"/>
  <c r="F935" i="4" s="1"/>
  <c r="E936" i="4"/>
  <c r="F936" i="4" s="1"/>
  <c r="E1319" i="4"/>
  <c r="F1319" i="4" s="1"/>
  <c r="E1320" i="4"/>
  <c r="F1320" i="4" s="1"/>
  <c r="E1321" i="4"/>
  <c r="F1321" i="4" s="1"/>
  <c r="E1324" i="4"/>
  <c r="F1324" i="4" s="1"/>
  <c r="E1322" i="4"/>
  <c r="F1322" i="4" s="1"/>
  <c r="E1323" i="4"/>
  <c r="F1323" i="4" s="1"/>
  <c r="E1325" i="4"/>
  <c r="F1325" i="4" s="1"/>
  <c r="E1236" i="4"/>
  <c r="F1236" i="4" s="1"/>
  <c r="E1235" i="4"/>
  <c r="F1235" i="4" s="1"/>
  <c r="E1614" i="4"/>
  <c r="F1614" i="4" s="1"/>
  <c r="E1613" i="4"/>
  <c r="F1613" i="4" s="1"/>
  <c r="E1929" i="4"/>
  <c r="F1929" i="4" s="1"/>
  <c r="E1930" i="4"/>
  <c r="F1930" i="4" s="1"/>
  <c r="E1931" i="4"/>
  <c r="F1931" i="4" s="1"/>
  <c r="E1982" i="4"/>
  <c r="F1982" i="4" s="1"/>
  <c r="E1983" i="4"/>
  <c r="F1983" i="4" s="1"/>
  <c r="E1984" i="4"/>
  <c r="F1984" i="4" s="1"/>
  <c r="E1980" i="4"/>
  <c r="F1980" i="4" s="1"/>
  <c r="E1981" i="4"/>
  <c r="F1981" i="4" s="1"/>
  <c r="E39" i="4"/>
  <c r="F39" i="4" s="1"/>
  <c r="E38" i="4"/>
  <c r="F38" i="4" s="1"/>
  <c r="E281" i="4"/>
  <c r="F281" i="4" s="1"/>
  <c r="E282" i="4"/>
  <c r="F282" i="4" s="1"/>
  <c r="B164" i="3"/>
  <c r="E1211" i="2"/>
  <c r="F1211" i="2" s="1"/>
  <c r="E1212" i="2"/>
  <c r="F1212" i="2" s="1"/>
  <c r="E1213" i="2"/>
  <c r="F1213" i="2" s="1"/>
  <c r="E1214" i="2"/>
  <c r="F1214" i="2" s="1"/>
  <c r="E1210" i="2"/>
  <c r="F1210" i="2" s="1"/>
  <c r="E3823" i="2"/>
  <c r="F3823" i="2" s="1"/>
  <c r="E3824" i="2"/>
  <c r="F3824" i="2" s="1"/>
  <c r="E3825" i="2"/>
  <c r="F3825" i="2" s="1"/>
  <c r="E3822" i="2"/>
  <c r="F3822" i="2" s="1"/>
  <c r="B1025" i="3"/>
  <c r="E646" i="2"/>
  <c r="F646" i="2" s="1"/>
  <c r="E649" i="2"/>
  <c r="F649" i="2" s="1"/>
  <c r="E647" i="2"/>
  <c r="F647" i="2" s="1"/>
  <c r="E648" i="2"/>
  <c r="F648" i="2" s="1"/>
  <c r="E456" i="4"/>
  <c r="F456" i="4" s="1"/>
  <c r="E457" i="4"/>
  <c r="F457" i="4" s="1"/>
  <c r="B326" i="3"/>
  <c r="E1761" i="2"/>
  <c r="F1761" i="2" s="1"/>
  <c r="E1759" i="2"/>
  <c r="F1759" i="2" s="1"/>
  <c r="E1760" i="2"/>
  <c r="F1760" i="2" s="1"/>
  <c r="B610" i="3"/>
  <c r="E2810" i="2"/>
  <c r="F2810" i="2" s="1"/>
  <c r="E2811" i="2"/>
  <c r="F2811" i="2" s="1"/>
  <c r="E2812" i="2"/>
  <c r="F2812" i="2" s="1"/>
  <c r="E716" i="4"/>
  <c r="F716" i="4" s="1"/>
  <c r="E717" i="4"/>
  <c r="F717" i="4" s="1"/>
  <c r="E715" i="4"/>
  <c r="F715" i="4" s="1"/>
  <c r="B699" i="3"/>
  <c r="E3151" i="2"/>
  <c r="F3151" i="2" s="1"/>
  <c r="E3149" i="2"/>
  <c r="F3149" i="2" s="1"/>
  <c r="E3150" i="2"/>
  <c r="F3150" i="2" s="1"/>
  <c r="E3147" i="2"/>
  <c r="F3147" i="2" s="1"/>
  <c r="E3148" i="2"/>
  <c r="F3148" i="2" s="1"/>
  <c r="E1404" i="2"/>
  <c r="F1404" i="2" s="1"/>
  <c r="E1405" i="2"/>
  <c r="F1405" i="2" s="1"/>
  <c r="E310" i="2"/>
  <c r="F310" i="2" s="1"/>
  <c r="E313" i="2"/>
  <c r="F313" i="2" s="1"/>
  <c r="E311" i="2"/>
  <c r="F311" i="2" s="1"/>
  <c r="B939" i="3"/>
  <c r="E312" i="2"/>
  <c r="F312" i="2" s="1"/>
  <c r="E314" i="2"/>
  <c r="F314" i="2" s="1"/>
  <c r="B1028" i="3"/>
  <c r="E657" i="2"/>
  <c r="F657" i="2" s="1"/>
  <c r="E655" i="2"/>
  <c r="F655" i="2" s="1"/>
  <c r="E656" i="2"/>
  <c r="F656" i="2" s="1"/>
  <c r="B530" i="3"/>
  <c r="E2517" i="2"/>
  <c r="F2517" i="2" s="1"/>
  <c r="E2516" i="2"/>
  <c r="F2516" i="2" s="1"/>
  <c r="E2518" i="2"/>
  <c r="F2518" i="2" s="1"/>
  <c r="B1078" i="3"/>
  <c r="E859" i="2"/>
  <c r="F859" i="2" s="1"/>
  <c r="E860" i="2"/>
  <c r="F860" i="2" s="1"/>
  <c r="E861" i="2"/>
  <c r="F861" i="2" s="1"/>
  <c r="E862" i="2"/>
  <c r="F862" i="2" s="1"/>
  <c r="E857" i="2"/>
  <c r="F857" i="2" s="1"/>
  <c r="E858" i="2"/>
  <c r="F858" i="2" s="1"/>
  <c r="B832" i="3"/>
  <c r="E3666" i="2"/>
  <c r="F3666" i="2" s="1"/>
  <c r="E3669" i="2"/>
  <c r="F3669" i="2" s="1"/>
  <c r="E3667" i="2"/>
  <c r="F3667" i="2" s="1"/>
  <c r="E3668" i="2"/>
  <c r="F3668" i="2" s="1"/>
  <c r="E3670" i="2"/>
  <c r="F3670" i="2" s="1"/>
  <c r="E1238" i="4"/>
  <c r="F1238" i="4" s="1"/>
  <c r="E1239" i="4"/>
  <c r="F1239" i="4" s="1"/>
  <c r="E1237" i="4"/>
  <c r="F1237" i="4" s="1"/>
  <c r="E1590" i="4"/>
  <c r="F1590" i="4" s="1"/>
  <c r="E1591" i="4"/>
  <c r="F1591" i="4" s="1"/>
  <c r="E1592" i="4"/>
  <c r="F1592" i="4" s="1"/>
  <c r="E1593" i="4"/>
  <c r="F1593" i="4" s="1"/>
  <c r="E1596" i="4"/>
  <c r="F1596" i="4" s="1"/>
  <c r="E1597" i="4"/>
  <c r="F1597" i="4" s="1"/>
  <c r="E1594" i="4"/>
  <c r="F1594" i="4" s="1"/>
  <c r="E1595" i="4"/>
  <c r="F1595" i="4" s="1"/>
  <c r="B467" i="3"/>
  <c r="E2255" i="2"/>
  <c r="F2255" i="2" s="1"/>
  <c r="E2256" i="2"/>
  <c r="F2256" i="2" s="1"/>
  <c r="E2253" i="2"/>
  <c r="F2253" i="2" s="1"/>
  <c r="E2254" i="2"/>
  <c r="F2254" i="2" s="1"/>
  <c r="E3122" i="4"/>
  <c r="F3122" i="4" s="1"/>
  <c r="E3123" i="4"/>
  <c r="F3123" i="4" s="1"/>
  <c r="B68" i="3"/>
  <c r="E3887" i="2"/>
  <c r="F3887" i="2" s="1"/>
  <c r="E3888" i="2"/>
  <c r="F3888" i="2" s="1"/>
  <c r="E3889" i="2"/>
  <c r="F3889" i="2" s="1"/>
  <c r="E3885" i="2"/>
  <c r="F3885" i="2" s="1"/>
  <c r="E3886" i="2"/>
  <c r="F3886" i="2" s="1"/>
  <c r="B280" i="3"/>
  <c r="E1619" i="2"/>
  <c r="F1619" i="2" s="1"/>
  <c r="B1093" i="3"/>
  <c r="E923" i="2"/>
  <c r="F923" i="2" s="1"/>
  <c r="E924" i="2"/>
  <c r="F924" i="2" s="1"/>
  <c r="E925" i="2"/>
  <c r="F925" i="2" s="1"/>
  <c r="E926" i="2"/>
  <c r="F926" i="2" s="1"/>
  <c r="E927" i="2"/>
  <c r="F927" i="2" s="1"/>
  <c r="E1014" i="4"/>
  <c r="F1014" i="4" s="1"/>
  <c r="E1015" i="4"/>
  <c r="F1015" i="4" s="1"/>
  <c r="E1013" i="4"/>
  <c r="F1013" i="4" s="1"/>
  <c r="B738" i="3"/>
  <c r="E3335" i="2"/>
  <c r="F3335" i="2" s="1"/>
  <c r="E3336" i="2"/>
  <c r="F3336" i="2" s="1"/>
  <c r="E3337" i="2"/>
  <c r="F3337" i="2" s="1"/>
  <c r="E3338" i="2"/>
  <c r="F3338" i="2" s="1"/>
  <c r="B1059" i="3"/>
  <c r="E787" i="2"/>
  <c r="F787" i="2" s="1"/>
  <c r="E788" i="2"/>
  <c r="F788" i="2" s="1"/>
  <c r="E785" i="2"/>
  <c r="F785" i="2" s="1"/>
  <c r="E786" i="2"/>
  <c r="F786" i="2" s="1"/>
  <c r="B382" i="3"/>
  <c r="E1945" i="2"/>
  <c r="F1945" i="2" s="1"/>
  <c r="E1943" i="2"/>
  <c r="F1943" i="2" s="1"/>
  <c r="E1946" i="2"/>
  <c r="F1946" i="2" s="1"/>
  <c r="E1944" i="2"/>
  <c r="F1944" i="2" s="1"/>
  <c r="B712" i="3"/>
  <c r="E3210" i="2"/>
  <c r="F3210" i="2" s="1"/>
  <c r="E3211" i="2"/>
  <c r="F3211" i="2" s="1"/>
  <c r="E3212" i="2"/>
  <c r="F3212" i="2" s="1"/>
  <c r="E685" i="2"/>
  <c r="F685" i="2" s="1"/>
  <c r="E686" i="2"/>
  <c r="F686" i="2" s="1"/>
  <c r="E689" i="2"/>
  <c r="F689" i="2" s="1"/>
  <c r="E688" i="2"/>
  <c r="F688" i="2" s="1"/>
  <c r="B1036" i="3"/>
  <c r="E687" i="2"/>
  <c r="F687" i="2" s="1"/>
  <c r="B29" i="3"/>
  <c r="E3733" i="2"/>
  <c r="F3733" i="2" s="1"/>
  <c r="E3732" i="2"/>
  <c r="F3732" i="2" s="1"/>
  <c r="E3734" i="2"/>
  <c r="F3734" i="2" s="1"/>
  <c r="E163" i="2"/>
  <c r="F163" i="2" s="1"/>
  <c r="E164" i="2"/>
  <c r="F164" i="2" s="1"/>
  <c r="E165" i="2"/>
  <c r="F165" i="2" s="1"/>
  <c r="E161" i="2"/>
  <c r="F161" i="2" s="1"/>
  <c r="E160" i="2"/>
  <c r="F160" i="2" s="1"/>
  <c r="E162" i="2"/>
  <c r="F162" i="2" s="1"/>
  <c r="E523" i="4"/>
  <c r="F523" i="4" s="1"/>
  <c r="E524" i="4"/>
  <c r="F524" i="4" s="1"/>
  <c r="E521" i="4"/>
  <c r="F521" i="4" s="1"/>
  <c r="E522" i="4"/>
  <c r="F522" i="4" s="1"/>
  <c r="E525" i="4"/>
  <c r="F525" i="4" s="1"/>
  <c r="E526" i="4"/>
  <c r="F526" i="4" s="1"/>
  <c r="E671" i="4"/>
  <c r="F671" i="4" s="1"/>
  <c r="E672" i="4"/>
  <c r="F672" i="4" s="1"/>
  <c r="E673" i="4"/>
  <c r="F673" i="4" s="1"/>
  <c r="E674" i="4"/>
  <c r="F674" i="4" s="1"/>
  <c r="E675" i="4"/>
  <c r="F675" i="4" s="1"/>
  <c r="E1347" i="2"/>
  <c r="F1347" i="2" s="1"/>
  <c r="E1348" i="2"/>
  <c r="F1348" i="2" s="1"/>
  <c r="E1349" i="2"/>
  <c r="F1349" i="2" s="1"/>
  <c r="E1350" i="2"/>
  <c r="F1350" i="2" s="1"/>
  <c r="B203" i="3"/>
  <c r="E2780" i="4"/>
  <c r="F2780" i="4" s="1"/>
  <c r="E2781" i="4"/>
  <c r="F2781" i="4" s="1"/>
  <c r="E2779" i="4"/>
  <c r="F2779" i="4" s="1"/>
  <c r="E1118" i="4"/>
  <c r="F1118" i="4" s="1"/>
  <c r="E1126" i="4"/>
  <c r="F1126" i="4" s="1"/>
  <c r="E1119" i="4"/>
  <c r="F1119" i="4" s="1"/>
  <c r="E1120" i="4"/>
  <c r="F1120" i="4" s="1"/>
  <c r="E1121" i="4"/>
  <c r="F1121" i="4" s="1"/>
  <c r="E1122" i="4"/>
  <c r="F1122" i="4" s="1"/>
  <c r="E1124" i="4"/>
  <c r="F1124" i="4" s="1"/>
  <c r="E1125" i="4"/>
  <c r="F1125" i="4" s="1"/>
  <c r="E1123" i="4"/>
  <c r="F1123" i="4" s="1"/>
  <c r="E632" i="4"/>
  <c r="F632" i="4" s="1"/>
  <c r="E633" i="4"/>
  <c r="F633" i="4" s="1"/>
  <c r="E634" i="4"/>
  <c r="F634" i="4" s="1"/>
  <c r="B269" i="3"/>
  <c r="E1591" i="2"/>
  <c r="F1591" i="2" s="1"/>
  <c r="E1592" i="2"/>
  <c r="F1592" i="2" s="1"/>
  <c r="E1062" i="4"/>
  <c r="F1062" i="4" s="1"/>
  <c r="E1063" i="4"/>
  <c r="F1063" i="4" s="1"/>
  <c r="E1064" i="4"/>
  <c r="F1064" i="4" s="1"/>
  <c r="E1061" i="4"/>
  <c r="F1061" i="4" s="1"/>
  <c r="B472" i="3"/>
  <c r="E2271" i="2"/>
  <c r="F2271" i="2" s="1"/>
  <c r="E2272" i="2"/>
  <c r="F2272" i="2" s="1"/>
  <c r="E2273" i="2"/>
  <c r="F2273" i="2" s="1"/>
  <c r="E2269" i="2"/>
  <c r="F2269" i="2" s="1"/>
  <c r="E2270" i="2"/>
  <c r="F2270" i="2" s="1"/>
  <c r="E517" i="2"/>
  <c r="F517" i="2" s="1"/>
  <c r="E518" i="2"/>
  <c r="F518" i="2" s="1"/>
  <c r="E519" i="2"/>
  <c r="F519" i="2" s="1"/>
  <c r="B990" i="3"/>
  <c r="E838" i="4"/>
  <c r="F838" i="4" s="1"/>
  <c r="E837" i="4"/>
  <c r="F837" i="4" s="1"/>
  <c r="E2156" i="4"/>
  <c r="F2156" i="4" s="1"/>
  <c r="E2157" i="4"/>
  <c r="F2157" i="4" s="1"/>
  <c r="E2155" i="4"/>
  <c r="F2155" i="4" s="1"/>
  <c r="B233" i="3"/>
  <c r="E1458" i="2"/>
  <c r="F1458" i="2" s="1"/>
  <c r="B564" i="3"/>
  <c r="E2661" i="2"/>
  <c r="F2661" i="2" s="1"/>
  <c r="E2660" i="2"/>
  <c r="F2660" i="2" s="1"/>
  <c r="B278" i="3"/>
  <c r="E1613" i="2"/>
  <c r="F1613" i="2" s="1"/>
  <c r="E1614" i="2"/>
  <c r="F1614" i="2" s="1"/>
  <c r="E1615" i="2"/>
  <c r="F1615" i="2" s="1"/>
  <c r="B616" i="3"/>
  <c r="E2831" i="2"/>
  <c r="F2831" i="2" s="1"/>
  <c r="E2832" i="2"/>
  <c r="F2832" i="2" s="1"/>
  <c r="E2833" i="2"/>
  <c r="F2833" i="2" s="1"/>
  <c r="E2834" i="2"/>
  <c r="F2834" i="2" s="1"/>
  <c r="E2835" i="2"/>
  <c r="F2835" i="2" s="1"/>
  <c r="E2836" i="2"/>
  <c r="F2836" i="2" s="1"/>
  <c r="B1060" i="3"/>
  <c r="E789" i="2"/>
  <c r="F789" i="2" s="1"/>
  <c r="E790" i="2"/>
  <c r="F790" i="2" s="1"/>
  <c r="E791" i="2"/>
  <c r="F791" i="2" s="1"/>
  <c r="E792" i="2"/>
  <c r="F792" i="2" s="1"/>
  <c r="E926" i="4"/>
  <c r="F926" i="4" s="1"/>
  <c r="E924" i="4"/>
  <c r="F924" i="4" s="1"/>
  <c r="E925" i="4"/>
  <c r="F925" i="4" s="1"/>
  <c r="E2967" i="2"/>
  <c r="F2967" i="2" s="1"/>
  <c r="E2968" i="2"/>
  <c r="F2968" i="2" s="1"/>
  <c r="E2969" i="2"/>
  <c r="F2969" i="2" s="1"/>
  <c r="E2970" i="2"/>
  <c r="F2970" i="2" s="1"/>
  <c r="B403" i="3"/>
  <c r="E2020" i="2"/>
  <c r="F2020" i="2" s="1"/>
  <c r="E2019" i="2"/>
  <c r="F2019" i="2" s="1"/>
  <c r="E451" i="4"/>
  <c r="F451" i="4" s="1"/>
  <c r="E450" i="4"/>
  <c r="F450" i="4" s="1"/>
  <c r="E980" i="4"/>
  <c r="F980" i="4" s="1"/>
  <c r="E981" i="4"/>
  <c r="F981" i="4" s="1"/>
  <c r="E1615" i="4"/>
  <c r="F1615" i="4" s="1"/>
  <c r="E1616" i="4"/>
  <c r="F1616" i="4" s="1"/>
  <c r="E3" i="4"/>
  <c r="F3" i="4" s="1"/>
  <c r="E4" i="4"/>
  <c r="F4" i="4" s="1"/>
  <c r="E5" i="4"/>
  <c r="F5" i="4" s="1"/>
  <c r="E2" i="4"/>
  <c r="F2" i="4" s="1"/>
  <c r="B894" i="3"/>
  <c r="E101" i="2"/>
  <c r="F101" i="2" s="1"/>
  <c r="E102" i="2"/>
  <c r="F102" i="2" s="1"/>
  <c r="E105" i="2"/>
  <c r="F105" i="2" s="1"/>
  <c r="E103" i="2"/>
  <c r="F103" i="2" s="1"/>
  <c r="E104" i="2"/>
  <c r="F104" i="2" s="1"/>
  <c r="B104" i="3"/>
  <c r="E1033" i="2"/>
  <c r="F1033" i="2" s="1"/>
  <c r="E1032" i="2"/>
  <c r="F1032" i="2" s="1"/>
  <c r="E1034" i="2"/>
  <c r="F1034" i="2" s="1"/>
  <c r="B346" i="3"/>
  <c r="E1828" i="2"/>
  <c r="F1828" i="2" s="1"/>
  <c r="E1829" i="2"/>
  <c r="F1829" i="2" s="1"/>
  <c r="E1830" i="2"/>
  <c r="F1830" i="2" s="1"/>
  <c r="E1827" i="2"/>
  <c r="F1827" i="2" s="1"/>
  <c r="B588" i="3"/>
  <c r="E2744" i="2"/>
  <c r="F2744" i="2" s="1"/>
  <c r="E2745" i="2"/>
  <c r="F2745" i="2" s="1"/>
  <c r="B816" i="3"/>
  <c r="E3602" i="2"/>
  <c r="F3602" i="2" s="1"/>
  <c r="E3603" i="2"/>
  <c r="F3603" i="2" s="1"/>
  <c r="E91" i="2"/>
  <c r="F91" i="2" s="1"/>
  <c r="E92" i="2"/>
  <c r="F92" i="2" s="1"/>
  <c r="B967" i="3"/>
  <c r="E419" i="2"/>
  <c r="F419" i="2" s="1"/>
  <c r="E417" i="2"/>
  <c r="F417" i="2" s="1"/>
  <c r="E416" i="2"/>
  <c r="F416" i="2" s="1"/>
  <c r="E418" i="2"/>
  <c r="F418" i="2" s="1"/>
  <c r="E595" i="2"/>
  <c r="F595" i="2" s="1"/>
  <c r="E596" i="2"/>
  <c r="F596" i="2" s="1"/>
  <c r="E597" i="2"/>
  <c r="F597" i="2" s="1"/>
  <c r="E598" i="2"/>
  <c r="F598" i="2" s="1"/>
  <c r="B1010" i="3"/>
  <c r="E594" i="2"/>
  <c r="F594" i="2" s="1"/>
  <c r="E2964" i="4"/>
  <c r="F2964" i="4" s="1"/>
  <c r="B1069" i="3"/>
  <c r="E827" i="2"/>
  <c r="F827" i="2" s="1"/>
  <c r="E828" i="2"/>
  <c r="F828" i="2" s="1"/>
  <c r="E829" i="2"/>
  <c r="F829" i="2" s="1"/>
  <c r="E826" i="2"/>
  <c r="F826" i="2" s="1"/>
  <c r="B116" i="3"/>
  <c r="E1071" i="2"/>
  <c r="F1071" i="2" s="1"/>
  <c r="B207" i="3"/>
  <c r="E1363" i="2"/>
  <c r="F1363" i="2" s="1"/>
  <c r="E1364" i="2"/>
  <c r="F1364" i="2" s="1"/>
  <c r="E1365" i="2"/>
  <c r="F1365" i="2" s="1"/>
  <c r="E1366" i="2"/>
  <c r="F1366" i="2" s="1"/>
  <c r="E1367" i="2"/>
  <c r="F1367" i="2" s="1"/>
  <c r="E1362" i="2"/>
  <c r="F1362" i="2" s="1"/>
  <c r="E1368" i="2"/>
  <c r="F1368" i="2" s="1"/>
  <c r="E983" i="4"/>
  <c r="F983" i="4" s="1"/>
  <c r="E984" i="4"/>
  <c r="F984" i="4" s="1"/>
  <c r="E985" i="4"/>
  <c r="F985" i="4" s="1"/>
  <c r="E986" i="4"/>
  <c r="F986" i="4" s="1"/>
  <c r="E987" i="4"/>
  <c r="F987" i="4" s="1"/>
  <c r="E1038" i="4"/>
  <c r="F1038" i="4" s="1"/>
  <c r="E1039" i="4"/>
  <c r="F1039" i="4" s="1"/>
  <c r="E1040" i="4"/>
  <c r="F1040" i="4" s="1"/>
  <c r="E1041" i="4"/>
  <c r="F1041" i="4" s="1"/>
  <c r="E1042" i="4"/>
  <c r="F1042" i="4" s="1"/>
  <c r="B440" i="3"/>
  <c r="E2152" i="2"/>
  <c r="F2152" i="2" s="1"/>
  <c r="E2153" i="2"/>
  <c r="F2153" i="2" s="1"/>
  <c r="E2154" i="2"/>
  <c r="F2154" i="2" s="1"/>
  <c r="B561" i="3"/>
  <c r="E2649" i="2"/>
  <c r="F2649" i="2" s="1"/>
  <c r="E2650" i="2"/>
  <c r="F2650" i="2" s="1"/>
  <c r="E2651" i="2"/>
  <c r="F2651" i="2" s="1"/>
  <c r="E2652" i="2"/>
  <c r="F2652" i="2" s="1"/>
  <c r="E2879" i="2"/>
  <c r="F2879" i="2" s="1"/>
  <c r="E2880" i="2"/>
  <c r="F2880" i="2" s="1"/>
  <c r="E2881" i="2"/>
  <c r="F2881" i="2" s="1"/>
  <c r="E2882" i="2"/>
  <c r="F2882" i="2" s="1"/>
  <c r="E2877" i="2"/>
  <c r="F2877" i="2" s="1"/>
  <c r="E2885" i="2"/>
  <c r="F2885" i="2" s="1"/>
  <c r="B628" i="3"/>
  <c r="E2884" i="2"/>
  <c r="F2884" i="2" s="1"/>
  <c r="E2878" i="2"/>
  <c r="F2878" i="2" s="1"/>
  <c r="E2883" i="2"/>
  <c r="F2883" i="2" s="1"/>
  <c r="E1784" i="4"/>
  <c r="F1784" i="4" s="1"/>
  <c r="E1785" i="4"/>
  <c r="F1785" i="4" s="1"/>
  <c r="B679" i="3"/>
  <c r="E3074" i="2"/>
  <c r="F3074" i="2" s="1"/>
  <c r="E3077" i="2"/>
  <c r="F3077" i="2" s="1"/>
  <c r="E3075" i="2"/>
  <c r="F3075" i="2" s="1"/>
  <c r="E3076" i="2"/>
  <c r="F3076" i="2" s="1"/>
  <c r="E1959" i="4"/>
  <c r="F1959" i="4" s="1"/>
  <c r="E1960" i="4"/>
  <c r="F1960" i="4" s="1"/>
  <c r="E1961" i="4"/>
  <c r="F1961" i="4" s="1"/>
  <c r="E1962" i="4"/>
  <c r="F1962" i="4" s="1"/>
  <c r="B764" i="3"/>
  <c r="E3415" i="2"/>
  <c r="F3415" i="2" s="1"/>
  <c r="E3416" i="2"/>
  <c r="F3416" i="2" s="1"/>
  <c r="E3417" i="2"/>
  <c r="F3417" i="2" s="1"/>
  <c r="E3418" i="2"/>
  <c r="F3418" i="2" s="1"/>
  <c r="E3419" i="2"/>
  <c r="F3419" i="2" s="1"/>
  <c r="B820" i="3"/>
  <c r="E3616" i="2"/>
  <c r="F3616" i="2" s="1"/>
  <c r="E3617" i="2"/>
  <c r="F3617" i="2" s="1"/>
  <c r="E3618" i="2"/>
  <c r="F3618" i="2" s="1"/>
  <c r="E3620" i="2"/>
  <c r="F3620" i="2" s="1"/>
  <c r="E3619" i="2"/>
  <c r="F3619" i="2" s="1"/>
  <c r="E2412" i="4"/>
  <c r="F2412" i="4" s="1"/>
  <c r="E2411" i="4"/>
  <c r="F2411" i="4" s="1"/>
  <c r="B169" i="3"/>
  <c r="E1229" i="2"/>
  <c r="F1229" i="2" s="1"/>
  <c r="E1230" i="2"/>
  <c r="F1230" i="2" s="1"/>
  <c r="B549" i="3"/>
  <c r="E2610" i="2"/>
  <c r="F2610" i="2" s="1"/>
  <c r="E2612" i="2"/>
  <c r="F2612" i="2" s="1"/>
  <c r="E2611" i="2"/>
  <c r="F2611" i="2" s="1"/>
  <c r="B782" i="3"/>
  <c r="E3493" i="2"/>
  <c r="F3493" i="2" s="1"/>
  <c r="E2550" i="4"/>
  <c r="F2550" i="4" s="1"/>
  <c r="E2551" i="4"/>
  <c r="F2551" i="4" s="1"/>
  <c r="E2552" i="4"/>
  <c r="F2552" i="4" s="1"/>
  <c r="E2553" i="4"/>
  <c r="F2553" i="4" s="1"/>
  <c r="E2554" i="4"/>
  <c r="F2554" i="4" s="1"/>
  <c r="E2555" i="4"/>
  <c r="F2555" i="4" s="1"/>
  <c r="E2636" i="4"/>
  <c r="F2636" i="4" s="1"/>
  <c r="E2634" i="4"/>
  <c r="F2634" i="4" s="1"/>
  <c r="E2635" i="4"/>
  <c r="F2635" i="4" s="1"/>
  <c r="E2637" i="4"/>
  <c r="F2637" i="4" s="1"/>
  <c r="E2633" i="4"/>
  <c r="F2633" i="4" s="1"/>
  <c r="E2991" i="4"/>
  <c r="F2991" i="4" s="1"/>
  <c r="E2992" i="4"/>
  <c r="F2992" i="4" s="1"/>
  <c r="B611" i="3"/>
  <c r="E2813" i="2"/>
  <c r="F2813" i="2" s="1"/>
  <c r="E2814" i="2"/>
  <c r="F2814" i="2" s="1"/>
  <c r="B69" i="3"/>
  <c r="E3890" i="2"/>
  <c r="F3890" i="2" s="1"/>
  <c r="E3893" i="2"/>
  <c r="F3893" i="2" s="1"/>
  <c r="E3892" i="2"/>
  <c r="F3892" i="2" s="1"/>
  <c r="E3891" i="2"/>
  <c r="F3891" i="2" s="1"/>
  <c r="E2028" i="4"/>
  <c r="F2028" i="4" s="1"/>
  <c r="E2029" i="4"/>
  <c r="F2029" i="4" s="1"/>
  <c r="E2027" i="4"/>
  <c r="F2027" i="4" s="1"/>
  <c r="B192" i="3"/>
  <c r="E1315" i="2"/>
  <c r="F1315" i="2" s="1"/>
  <c r="E1316" i="2"/>
  <c r="F1316" i="2" s="1"/>
  <c r="E1317" i="2"/>
  <c r="F1317" i="2" s="1"/>
  <c r="B433" i="3"/>
  <c r="E2127" i="2"/>
  <c r="F2127" i="2" s="1"/>
  <c r="E2128" i="2"/>
  <c r="F2128" i="2" s="1"/>
  <c r="E2129" i="2"/>
  <c r="F2129" i="2" s="1"/>
  <c r="E2130" i="2"/>
  <c r="F2130" i="2" s="1"/>
  <c r="E2126" i="2"/>
  <c r="F2126" i="2" s="1"/>
  <c r="E2131" i="2"/>
  <c r="F2131" i="2" s="1"/>
  <c r="E2132" i="2"/>
  <c r="F2132" i="2" s="1"/>
  <c r="B672" i="3"/>
  <c r="E3050" i="2"/>
  <c r="F3050" i="2" s="1"/>
  <c r="E3053" i="2"/>
  <c r="F3053" i="2" s="1"/>
  <c r="E3051" i="2"/>
  <c r="F3051" i="2" s="1"/>
  <c r="E3052" i="2"/>
  <c r="F3052" i="2" s="1"/>
  <c r="B854" i="3"/>
  <c r="E3900" i="2"/>
  <c r="F3900" i="2" s="1"/>
  <c r="B96" i="3"/>
  <c r="E1009" i="2"/>
  <c r="F1009" i="2" s="1"/>
  <c r="E1008" i="2"/>
  <c r="F1008" i="2" s="1"/>
  <c r="E79" i="4"/>
  <c r="F79" i="4" s="1"/>
  <c r="E80" i="4"/>
  <c r="F80" i="4" s="1"/>
  <c r="E81" i="4"/>
  <c r="F81" i="4" s="1"/>
  <c r="E77" i="4"/>
  <c r="F77" i="4" s="1"/>
  <c r="E78" i="4"/>
  <c r="F78" i="4" s="1"/>
  <c r="E3146" i="4"/>
  <c r="F3146" i="4" s="1"/>
  <c r="E3147" i="4"/>
  <c r="F3147" i="4" s="1"/>
  <c r="E3148" i="4"/>
  <c r="F3148" i="4" s="1"/>
  <c r="E556" i="4"/>
  <c r="F556" i="4" s="1"/>
  <c r="E553" i="4"/>
  <c r="F553" i="4" s="1"/>
  <c r="E554" i="4"/>
  <c r="F554" i="4" s="1"/>
  <c r="E555" i="4"/>
  <c r="F555" i="4" s="1"/>
  <c r="E2921" i="2"/>
  <c r="F2921" i="2" s="1"/>
  <c r="E2922" i="2"/>
  <c r="F2922" i="2" s="1"/>
  <c r="B841" i="3"/>
  <c r="E3703" i="2"/>
  <c r="F3703" i="2" s="1"/>
  <c r="E3704" i="2"/>
  <c r="F3704" i="2" s="1"/>
  <c r="E3705" i="2"/>
  <c r="F3705" i="2" s="1"/>
  <c r="E3702" i="2"/>
  <c r="F3702" i="2" s="1"/>
  <c r="B7" i="3"/>
  <c r="E999" i="2"/>
  <c r="F999" i="2" s="1"/>
  <c r="B520" i="3"/>
  <c r="E2471" i="2"/>
  <c r="F2471" i="2" s="1"/>
  <c r="E2472" i="2"/>
  <c r="F2472" i="2" s="1"/>
  <c r="E2473" i="2"/>
  <c r="F2473" i="2" s="1"/>
  <c r="E2474" i="2"/>
  <c r="F2474" i="2" s="1"/>
  <c r="B750" i="3"/>
  <c r="E3370" i="2"/>
  <c r="F3370" i="2" s="1"/>
  <c r="E3373" i="2"/>
  <c r="F3373" i="2" s="1"/>
  <c r="E3371" i="2"/>
  <c r="F3371" i="2" s="1"/>
  <c r="E3372" i="2"/>
  <c r="F3372" i="2" s="1"/>
  <c r="B72" i="3"/>
  <c r="E99" i="2"/>
  <c r="F99" i="2" s="1"/>
  <c r="E100" i="2"/>
  <c r="F100" i="2" s="1"/>
  <c r="B913" i="3"/>
  <c r="E195" i="2"/>
  <c r="F195" i="2" s="1"/>
  <c r="E196" i="2"/>
  <c r="F196" i="2" s="1"/>
  <c r="E197" i="2"/>
  <c r="F197" i="2" s="1"/>
  <c r="E194" i="2"/>
  <c r="F194" i="2" s="1"/>
  <c r="E2868" i="4"/>
  <c r="F2868" i="4" s="1"/>
  <c r="E2872" i="4"/>
  <c r="F2872" i="4" s="1"/>
  <c r="E2873" i="4"/>
  <c r="F2873" i="4" s="1"/>
  <c r="E2874" i="4"/>
  <c r="F2874" i="4" s="1"/>
  <c r="E2875" i="4"/>
  <c r="F2875" i="4" s="1"/>
  <c r="E2870" i="4"/>
  <c r="F2870" i="4" s="1"/>
  <c r="E2871" i="4"/>
  <c r="F2871" i="4" s="1"/>
  <c r="E2869" i="4"/>
  <c r="F2869" i="4" s="1"/>
  <c r="B103" i="3"/>
  <c r="E1030" i="2"/>
  <c r="F1030" i="2" s="1"/>
  <c r="E1031" i="2"/>
  <c r="F1031" i="2" s="1"/>
  <c r="E1275" i="2"/>
  <c r="F1275" i="2" s="1"/>
  <c r="E1268" i="2"/>
  <c r="F1268" i="2" s="1"/>
  <c r="E1276" i="2"/>
  <c r="F1276" i="2" s="1"/>
  <c r="E1269" i="2"/>
  <c r="F1269" i="2" s="1"/>
  <c r="B178" i="3"/>
  <c r="E1270" i="2"/>
  <c r="F1270" i="2" s="1"/>
  <c r="E1273" i="2"/>
  <c r="F1273" i="2" s="1"/>
  <c r="E1271" i="2"/>
  <c r="F1271" i="2" s="1"/>
  <c r="E1272" i="2"/>
  <c r="F1272" i="2" s="1"/>
  <c r="E1274" i="2"/>
  <c r="F1274" i="2" s="1"/>
  <c r="B263" i="3"/>
  <c r="E1577" i="2"/>
  <c r="F1577" i="2" s="1"/>
  <c r="E1576" i="2"/>
  <c r="F1576" i="2" s="1"/>
  <c r="B345" i="3"/>
  <c r="E1825" i="2"/>
  <c r="F1825" i="2" s="1"/>
  <c r="E1824" i="2"/>
  <c r="F1824" i="2" s="1"/>
  <c r="E1826" i="2"/>
  <c r="F1826" i="2" s="1"/>
  <c r="B419" i="3"/>
  <c r="E2073" i="2"/>
  <c r="F2073" i="2" s="1"/>
  <c r="B506" i="3"/>
  <c r="E2429" i="2"/>
  <c r="F2429" i="2" s="1"/>
  <c r="E2427" i="2"/>
  <c r="F2427" i="2" s="1"/>
  <c r="E2428" i="2"/>
  <c r="F2428" i="2" s="1"/>
  <c r="E2430" i="2"/>
  <c r="F2430" i="2" s="1"/>
  <c r="B594" i="3"/>
  <c r="E2767" i="2"/>
  <c r="F2767" i="2" s="1"/>
  <c r="E3031" i="2"/>
  <c r="F3031" i="2" s="1"/>
  <c r="E3026" i="2"/>
  <c r="F3026" i="2" s="1"/>
  <c r="E3029" i="2"/>
  <c r="F3029" i="2" s="1"/>
  <c r="E3027" i="2"/>
  <c r="F3027" i="2" s="1"/>
  <c r="E3028" i="2"/>
  <c r="F3028" i="2" s="1"/>
  <c r="E3030" i="2"/>
  <c r="F3030" i="2" s="1"/>
  <c r="E3376" i="2"/>
  <c r="F3376" i="2" s="1"/>
  <c r="E3377" i="2"/>
  <c r="F3377" i="2" s="1"/>
  <c r="E3378" i="2"/>
  <c r="F3378" i="2" s="1"/>
  <c r="B752" i="3"/>
  <c r="B823" i="3"/>
  <c r="E3631" i="2"/>
  <c r="F3631" i="2" s="1"/>
  <c r="E3629" i="2"/>
  <c r="F3629" i="2" s="1"/>
  <c r="E3628" i="2"/>
  <c r="F3628" i="2" s="1"/>
  <c r="E3630" i="2"/>
  <c r="F3630" i="2" s="1"/>
  <c r="B67" i="3"/>
  <c r="E3884" i="2"/>
  <c r="F3884" i="2" s="1"/>
  <c r="E1816" i="4"/>
  <c r="F1816" i="4" s="1"/>
  <c r="E1817" i="4"/>
  <c r="F1817" i="4" s="1"/>
  <c r="B906" i="3"/>
  <c r="E147" i="2"/>
  <c r="F147" i="2" s="1"/>
  <c r="E148" i="2"/>
  <c r="F148" i="2" s="1"/>
  <c r="E149" i="2"/>
  <c r="F149" i="2" s="1"/>
  <c r="E1260" i="2"/>
  <c r="F1260" i="2" s="1"/>
  <c r="E1261" i="2"/>
  <c r="F1261" i="2" s="1"/>
  <c r="B336" i="3"/>
  <c r="E1796" i="2"/>
  <c r="F1796" i="2" s="1"/>
  <c r="E1797" i="2"/>
  <c r="F1797" i="2" s="1"/>
  <c r="E1798" i="2"/>
  <c r="F1798" i="2" s="1"/>
  <c r="E1793" i="2"/>
  <c r="F1793" i="2" s="1"/>
  <c r="E1794" i="2"/>
  <c r="F1794" i="2" s="1"/>
  <c r="E1795" i="2"/>
  <c r="F1795" i="2" s="1"/>
  <c r="E1799" i="2"/>
  <c r="F1799" i="2" s="1"/>
  <c r="B521" i="3"/>
  <c r="E2479" i="2"/>
  <c r="F2479" i="2" s="1"/>
  <c r="E2480" i="2"/>
  <c r="F2480" i="2" s="1"/>
  <c r="E2477" i="2"/>
  <c r="F2477" i="2" s="1"/>
  <c r="E2478" i="2"/>
  <c r="F2478" i="2" s="1"/>
  <c r="E2475" i="2"/>
  <c r="F2475" i="2" s="1"/>
  <c r="E2476" i="2"/>
  <c r="F2476" i="2" s="1"/>
  <c r="B675" i="3"/>
  <c r="E3061" i="2"/>
  <c r="F3061" i="2" s="1"/>
  <c r="B829" i="3"/>
  <c r="E3655" i="2"/>
  <c r="F3655" i="2" s="1"/>
  <c r="E3656" i="2"/>
  <c r="F3656" i="2" s="1"/>
  <c r="E3653" i="2"/>
  <c r="F3653" i="2" s="1"/>
  <c r="E3654" i="2"/>
  <c r="F3654" i="2" s="1"/>
  <c r="B177" i="3"/>
  <c r="E1267" i="2"/>
  <c r="F1267" i="2" s="1"/>
  <c r="E1262" i="2"/>
  <c r="F1262" i="2" s="1"/>
  <c r="E1265" i="2"/>
  <c r="F1265" i="2" s="1"/>
  <c r="E1264" i="2"/>
  <c r="F1264" i="2" s="1"/>
  <c r="E1266" i="2"/>
  <c r="F1266" i="2" s="1"/>
  <c r="E1263" i="2"/>
  <c r="F1263" i="2" s="1"/>
  <c r="E236" i="4"/>
  <c r="F236" i="4" s="1"/>
  <c r="E237" i="4"/>
  <c r="F237" i="4" s="1"/>
  <c r="E347" i="4"/>
  <c r="F347" i="4" s="1"/>
  <c r="E346" i="4"/>
  <c r="F346" i="4" s="1"/>
  <c r="E574" i="4"/>
  <c r="F574" i="4" s="1"/>
  <c r="E575" i="4"/>
  <c r="F575" i="4" s="1"/>
  <c r="E802" i="4"/>
  <c r="F802" i="4" s="1"/>
  <c r="E803" i="4"/>
  <c r="F803" i="4" s="1"/>
  <c r="E1134" i="4"/>
  <c r="F1134" i="4" s="1"/>
  <c r="E1132" i="4"/>
  <c r="F1132" i="4" s="1"/>
  <c r="E1133" i="4"/>
  <c r="F1133" i="4" s="1"/>
  <c r="E1348" i="4"/>
  <c r="F1348" i="4" s="1"/>
  <c r="E1346" i="4"/>
  <c r="F1346" i="4" s="1"/>
  <c r="E1347" i="4"/>
  <c r="F1347" i="4" s="1"/>
  <c r="B731" i="3"/>
  <c r="E3303" i="2"/>
  <c r="F3303" i="2" s="1"/>
  <c r="E3304" i="2"/>
  <c r="F3304" i="2" s="1"/>
  <c r="E3305" i="2"/>
  <c r="F3305" i="2" s="1"/>
  <c r="E3306" i="2"/>
  <c r="F3306" i="2" s="1"/>
  <c r="E3309" i="2"/>
  <c r="F3309" i="2" s="1"/>
  <c r="E3307" i="2"/>
  <c r="F3307" i="2" s="1"/>
  <c r="E3308" i="2"/>
  <c r="F3308" i="2" s="1"/>
  <c r="E1958" i="4"/>
  <c r="F1958" i="4" s="1"/>
  <c r="E1956" i="4"/>
  <c r="F1956" i="4" s="1"/>
  <c r="E1954" i="4"/>
  <c r="F1954" i="4" s="1"/>
  <c r="E1955" i="4"/>
  <c r="F1955" i="4" s="1"/>
  <c r="E1957" i="4"/>
  <c r="F1957" i="4" s="1"/>
  <c r="E635" i="2"/>
  <c r="F635" i="2" s="1"/>
  <c r="E633" i="2"/>
  <c r="F633" i="2" s="1"/>
  <c r="E634" i="2"/>
  <c r="F634" i="2" s="1"/>
  <c r="E1491" i="2"/>
  <c r="F1491" i="2" s="1"/>
  <c r="E1492" i="2"/>
  <c r="F1492" i="2" s="1"/>
  <c r="E1493" i="2"/>
  <c r="F1493" i="2" s="1"/>
  <c r="E1489" i="2"/>
  <c r="F1489" i="2" s="1"/>
  <c r="B242" i="3"/>
  <c r="E1490" i="2"/>
  <c r="F1490" i="2" s="1"/>
  <c r="B528" i="3"/>
  <c r="E2506" i="2"/>
  <c r="F2506" i="2" s="1"/>
  <c r="E2509" i="2"/>
  <c r="F2509" i="2" s="1"/>
  <c r="E2507" i="2"/>
  <c r="F2507" i="2" s="1"/>
  <c r="E2508" i="2"/>
  <c r="F2508" i="2" s="1"/>
  <c r="B776" i="3"/>
  <c r="E3463" i="2"/>
  <c r="F3463" i="2" s="1"/>
  <c r="E3464" i="2"/>
  <c r="F3464" i="2" s="1"/>
  <c r="E3465" i="2"/>
  <c r="F3465" i="2" s="1"/>
  <c r="E3466" i="2"/>
  <c r="F3466" i="2" s="1"/>
  <c r="E2638" i="4"/>
  <c r="F2638" i="4" s="1"/>
  <c r="E2641" i="4"/>
  <c r="F2641" i="4" s="1"/>
  <c r="E2639" i="4"/>
  <c r="F2639" i="4" s="1"/>
  <c r="E2640" i="4"/>
  <c r="F2640" i="4" s="1"/>
  <c r="E2818" i="4"/>
  <c r="F2818" i="4" s="1"/>
  <c r="E2819" i="4"/>
  <c r="F2819" i="4" s="1"/>
  <c r="E2956" i="4"/>
  <c r="F2956" i="4" s="1"/>
  <c r="E2954" i="4"/>
  <c r="F2954" i="4" s="1"/>
  <c r="E2955" i="4"/>
  <c r="F2955" i="4" s="1"/>
  <c r="E2957" i="4"/>
  <c r="F2957" i="4" s="1"/>
  <c r="E2958" i="4"/>
  <c r="F2958" i="4" s="1"/>
  <c r="E2952" i="4"/>
  <c r="F2952" i="4" s="1"/>
  <c r="E2953" i="4"/>
  <c r="F2953" i="4" s="1"/>
  <c r="E2959" i="4"/>
  <c r="F2959" i="4" s="1"/>
  <c r="E3089" i="4"/>
  <c r="F3089" i="4" s="1"/>
  <c r="E3087" i="4"/>
  <c r="F3087" i="4" s="1"/>
  <c r="E3088" i="4"/>
  <c r="F3088" i="4" s="1"/>
  <c r="E3085" i="4"/>
  <c r="F3085" i="4" s="1"/>
  <c r="E3086" i="4"/>
  <c r="F3086" i="4" s="1"/>
  <c r="E3119" i="4"/>
  <c r="F3119" i="4" s="1"/>
  <c r="E3151" i="4"/>
  <c r="F3151" i="4" s="1"/>
  <c r="E3149" i="4"/>
  <c r="F3149" i="4" s="1"/>
  <c r="E3150" i="4"/>
  <c r="F3150" i="4" s="1"/>
  <c r="E580" i="4"/>
  <c r="F580" i="4" s="1"/>
  <c r="E581" i="4"/>
  <c r="F581" i="4" s="1"/>
  <c r="E582" i="4"/>
  <c r="F582" i="4" s="1"/>
  <c r="E576" i="4"/>
  <c r="F576" i="4" s="1"/>
  <c r="E578" i="4"/>
  <c r="F578" i="4" s="1"/>
  <c r="E579" i="4"/>
  <c r="F579" i="4" s="1"/>
  <c r="E577" i="4"/>
  <c r="F577" i="4" s="1"/>
  <c r="B317" i="3"/>
  <c r="E1735" i="2"/>
  <c r="F1735" i="2" s="1"/>
  <c r="E2025" i="4"/>
  <c r="F2025" i="4" s="1"/>
  <c r="E2026" i="4"/>
  <c r="F2026" i="4" s="1"/>
  <c r="B762" i="3"/>
  <c r="E3409" i="2"/>
  <c r="F3409" i="2" s="1"/>
  <c r="E3410" i="2"/>
  <c r="F3410" i="2" s="1"/>
  <c r="E3411" i="2"/>
  <c r="F3411" i="2" s="1"/>
  <c r="E100" i="4"/>
  <c r="F100" i="4" s="1"/>
  <c r="E101" i="4"/>
  <c r="F101" i="4" s="1"/>
  <c r="E2542" i="4"/>
  <c r="F2542" i="4" s="1"/>
  <c r="E2543" i="4"/>
  <c r="F2543" i="4" s="1"/>
  <c r="E2544" i="4"/>
  <c r="F2544" i="4" s="1"/>
  <c r="E2541" i="4"/>
  <c r="F2541" i="4" s="1"/>
  <c r="E2545" i="4"/>
  <c r="F2545" i="4" s="1"/>
  <c r="B1044" i="3"/>
  <c r="E723" i="2"/>
  <c r="F723" i="2" s="1"/>
  <c r="E731" i="2"/>
  <c r="F731" i="2" s="1"/>
  <c r="E724" i="2"/>
  <c r="F724" i="2" s="1"/>
  <c r="E732" i="2"/>
  <c r="F732" i="2" s="1"/>
  <c r="E725" i="2"/>
  <c r="F725" i="2" s="1"/>
  <c r="E726" i="2"/>
  <c r="F726" i="2" s="1"/>
  <c r="E729" i="2"/>
  <c r="F729" i="2" s="1"/>
  <c r="E730" i="2"/>
  <c r="F730" i="2" s="1"/>
  <c r="E727" i="2"/>
  <c r="F727" i="2" s="1"/>
  <c r="E728" i="2"/>
  <c r="F728" i="2" s="1"/>
  <c r="B85" i="3"/>
  <c r="E967" i="2"/>
  <c r="F967" i="2" s="1"/>
  <c r="E968" i="2"/>
  <c r="F968" i="2" s="1"/>
  <c r="B383" i="3"/>
  <c r="E1949" i="2"/>
  <c r="F1949" i="2" s="1"/>
  <c r="E1950" i="2"/>
  <c r="F1950" i="2" s="1"/>
  <c r="E1951" i="2"/>
  <c r="F1951" i="2" s="1"/>
  <c r="E1947" i="2"/>
  <c r="F1947" i="2" s="1"/>
  <c r="E1948" i="2"/>
  <c r="F1948" i="2" s="1"/>
  <c r="B444" i="3"/>
  <c r="E2175" i="2"/>
  <c r="F2175" i="2" s="1"/>
  <c r="E2176" i="2"/>
  <c r="F2176" i="2" s="1"/>
  <c r="E2177" i="2"/>
  <c r="F2177" i="2" s="1"/>
  <c r="E2173" i="2"/>
  <c r="F2173" i="2" s="1"/>
  <c r="E2171" i="2"/>
  <c r="F2171" i="2" s="1"/>
  <c r="E2172" i="2"/>
  <c r="F2172" i="2" s="1"/>
  <c r="E2174" i="2"/>
  <c r="F2174" i="2" s="1"/>
  <c r="B586" i="3"/>
  <c r="E2736" i="2"/>
  <c r="F2736" i="2" s="1"/>
  <c r="E2737" i="2"/>
  <c r="F2737" i="2" s="1"/>
  <c r="E2738" i="2"/>
  <c r="F2738" i="2" s="1"/>
  <c r="B758" i="3"/>
  <c r="E3399" i="2"/>
  <c r="F3399" i="2" s="1"/>
  <c r="E3394" i="2"/>
  <c r="F3394" i="2" s="1"/>
  <c r="E3397" i="2"/>
  <c r="F3397" i="2" s="1"/>
  <c r="E3396" i="2"/>
  <c r="F3396" i="2" s="1"/>
  <c r="E3395" i="2"/>
  <c r="F3395" i="2" s="1"/>
  <c r="E3398" i="2"/>
  <c r="F3398" i="2" s="1"/>
  <c r="E2182" i="4"/>
  <c r="F2182" i="4" s="1"/>
  <c r="E2183" i="4"/>
  <c r="F2183" i="4" s="1"/>
  <c r="E2184" i="4"/>
  <c r="F2184" i="4" s="1"/>
  <c r="E2188" i="4"/>
  <c r="F2188" i="4" s="1"/>
  <c r="E2185" i="4"/>
  <c r="F2185" i="4" s="1"/>
  <c r="E2189" i="4"/>
  <c r="F2189" i="4" s="1"/>
  <c r="E2186" i="4"/>
  <c r="F2186" i="4" s="1"/>
  <c r="E2187" i="4"/>
  <c r="F2187" i="4" s="1"/>
  <c r="E2492" i="4"/>
  <c r="F2492" i="4" s="1"/>
  <c r="E2489" i="4"/>
  <c r="F2489" i="4" s="1"/>
  <c r="E2491" i="4"/>
  <c r="F2491" i="4" s="1"/>
  <c r="E2490" i="4"/>
  <c r="F2490" i="4" s="1"/>
  <c r="E2508" i="4"/>
  <c r="F2508" i="4" s="1"/>
  <c r="E2506" i="4"/>
  <c r="F2506" i="4" s="1"/>
  <c r="E2507" i="4"/>
  <c r="F2507" i="4" s="1"/>
  <c r="E2820" i="4"/>
  <c r="F2820" i="4" s="1"/>
  <c r="E2821" i="4"/>
  <c r="F2821" i="4" s="1"/>
  <c r="E3066" i="4"/>
  <c r="F3066" i="4" s="1"/>
  <c r="E3153" i="4"/>
  <c r="F3153" i="4" s="1"/>
  <c r="E3154" i="4"/>
  <c r="F3154" i="4" s="1"/>
  <c r="E3155" i="4"/>
  <c r="F3155" i="4" s="1"/>
  <c r="E3156" i="4"/>
  <c r="F3156" i="4" s="1"/>
  <c r="E3159" i="4"/>
  <c r="F3159" i="4" s="1"/>
  <c r="E3152" i="4"/>
  <c r="F3152" i="4" s="1"/>
  <c r="E3157" i="4"/>
  <c r="F3157" i="4" s="1"/>
  <c r="E3158" i="4"/>
  <c r="F3158" i="4" s="1"/>
  <c r="E3160" i="4"/>
  <c r="F3160" i="4" s="1"/>
  <c r="E372" i="4"/>
  <c r="F372" i="4" s="1"/>
  <c r="E374" i="4"/>
  <c r="F374" i="4" s="1"/>
  <c r="E373" i="4"/>
  <c r="F373" i="4" s="1"/>
  <c r="E808" i="4"/>
  <c r="F808" i="4" s="1"/>
  <c r="E809" i="4"/>
  <c r="F809" i="4" s="1"/>
  <c r="E841" i="4"/>
  <c r="F841" i="4" s="1"/>
  <c r="E842" i="4"/>
  <c r="F842" i="4" s="1"/>
  <c r="E843" i="4"/>
  <c r="F843" i="4" s="1"/>
  <c r="E958" i="4"/>
  <c r="F958" i="4" s="1"/>
  <c r="E959" i="4"/>
  <c r="F959" i="4" s="1"/>
  <c r="E960" i="4"/>
  <c r="F960" i="4" s="1"/>
  <c r="E1326" i="4"/>
  <c r="F1326" i="4" s="1"/>
  <c r="E1327" i="4"/>
  <c r="F1327" i="4" s="1"/>
  <c r="E1328" i="4"/>
  <c r="F1328" i="4" s="1"/>
  <c r="E1329" i="4"/>
  <c r="F1329" i="4" s="1"/>
  <c r="E1330" i="4"/>
  <c r="F1330" i="4" s="1"/>
  <c r="E2762" i="4"/>
  <c r="F2762" i="4" s="1"/>
  <c r="E2763" i="4"/>
  <c r="F2763" i="4" s="1"/>
  <c r="E3075" i="4"/>
  <c r="F3075" i="4" s="1"/>
  <c r="E3076" i="4"/>
  <c r="F3076" i="4" s="1"/>
  <c r="E3077" i="4"/>
  <c r="F3077" i="4" s="1"/>
  <c r="E3078" i="4"/>
  <c r="F3078" i="4" s="1"/>
  <c r="E363" i="4"/>
  <c r="F363" i="4" s="1"/>
  <c r="E364" i="4"/>
  <c r="F364" i="4" s="1"/>
  <c r="E362" i="4"/>
  <c r="F362" i="4" s="1"/>
  <c r="E365" i="4"/>
  <c r="F365" i="4" s="1"/>
  <c r="E743" i="4"/>
  <c r="F743" i="4" s="1"/>
  <c r="E744" i="4"/>
  <c r="F744" i="4" s="1"/>
  <c r="E832" i="4"/>
  <c r="F832" i="4" s="1"/>
  <c r="E833" i="4"/>
  <c r="F833" i="4" s="1"/>
  <c r="E1440" i="4"/>
  <c r="F1440" i="4" s="1"/>
  <c r="E1433" i="4"/>
  <c r="F1433" i="4" s="1"/>
  <c r="E1442" i="4"/>
  <c r="F1442" i="4" s="1"/>
  <c r="E1996" i="4"/>
  <c r="F1996" i="4" s="1"/>
  <c r="E1993" i="4"/>
  <c r="F1993" i="4" s="1"/>
  <c r="E1997" i="4"/>
  <c r="F1997" i="4" s="1"/>
  <c r="E1994" i="4"/>
  <c r="F1994" i="4" s="1"/>
  <c r="E1995" i="4"/>
  <c r="F1995" i="4" s="1"/>
  <c r="E2345" i="4"/>
  <c r="F2345" i="4" s="1"/>
  <c r="E2346" i="4"/>
  <c r="F2346" i="4" s="1"/>
  <c r="E2347" i="4"/>
  <c r="F2347" i="4" s="1"/>
  <c r="E2071" i="4"/>
  <c r="F2071" i="4" s="1"/>
  <c r="E2072" i="4"/>
  <c r="F2072" i="4" s="1"/>
  <c r="E2073" i="4"/>
  <c r="F2073" i="4" s="1"/>
  <c r="E2876" i="4"/>
  <c r="F2876" i="4" s="1"/>
  <c r="E2879" i="4"/>
  <c r="F2879" i="4" s="1"/>
  <c r="E2877" i="4"/>
  <c r="F2877" i="4" s="1"/>
  <c r="E2878" i="4"/>
  <c r="F2878" i="4" s="1"/>
  <c r="E2422" i="4"/>
  <c r="F2422" i="4" s="1"/>
  <c r="E2420" i="4"/>
  <c r="F2420" i="4" s="1"/>
  <c r="E2421" i="4"/>
  <c r="F2421" i="4" s="1"/>
  <c r="E183" i="4"/>
  <c r="F183" i="4" s="1"/>
  <c r="E184" i="4"/>
  <c r="F184" i="4" s="1"/>
  <c r="E185" i="4"/>
  <c r="F185" i="4" s="1"/>
  <c r="E186" i="4"/>
  <c r="F186" i="4" s="1"/>
  <c r="E887" i="4"/>
  <c r="F887" i="4" s="1"/>
  <c r="E888" i="4"/>
  <c r="F888" i="4" s="1"/>
  <c r="E889" i="4"/>
  <c r="F889" i="4" s="1"/>
  <c r="E557" i="4"/>
  <c r="F557" i="4" s="1"/>
  <c r="E558" i="4"/>
  <c r="F558" i="4" s="1"/>
  <c r="E1638" i="4"/>
  <c r="F1638" i="4" s="1"/>
  <c r="E1639" i="4"/>
  <c r="F1639" i="4" s="1"/>
  <c r="E1640" i="4"/>
  <c r="F1640" i="4" s="1"/>
  <c r="E1637" i="4"/>
  <c r="F1637" i="4" s="1"/>
  <c r="E159" i="4"/>
  <c r="F159" i="4" s="1"/>
  <c r="E158" i="4"/>
  <c r="F158" i="4" s="1"/>
  <c r="E1718" i="4"/>
  <c r="F1718" i="4" s="1"/>
  <c r="E1719" i="4"/>
  <c r="F1719" i="4" s="1"/>
  <c r="E1720" i="4"/>
  <c r="F1720" i="4" s="1"/>
  <c r="E1721" i="4"/>
  <c r="F1721" i="4" s="1"/>
  <c r="E1716" i="4"/>
  <c r="F1716" i="4" s="1"/>
  <c r="E1717" i="4"/>
  <c r="F1717" i="4" s="1"/>
  <c r="E1715" i="4"/>
  <c r="F1715" i="4" s="1"/>
  <c r="E1310" i="4"/>
  <c r="F1310" i="4" s="1"/>
  <c r="E1585" i="4"/>
  <c r="F1585" i="4" s="1"/>
  <c r="E1588" i="4"/>
  <c r="F1588" i="4" s="1"/>
  <c r="E1586" i="4"/>
  <c r="F1586" i="4" s="1"/>
  <c r="E1587" i="4"/>
  <c r="F1587" i="4" s="1"/>
  <c r="E1660" i="4"/>
  <c r="F1660" i="4" s="1"/>
  <c r="E1661" i="4"/>
  <c r="F1661" i="4" s="1"/>
  <c r="E756" i="4"/>
  <c r="F756" i="4" s="1"/>
  <c r="E755" i="4"/>
  <c r="F755" i="4" s="1"/>
  <c r="B290" i="3"/>
  <c r="E1657" i="2"/>
  <c r="F1657" i="2" s="1"/>
  <c r="E1658" i="2"/>
  <c r="F1658" i="2" s="1"/>
  <c r="E1656" i="2"/>
  <c r="F1656" i="2" s="1"/>
  <c r="E950" i="4"/>
  <c r="F950" i="4" s="1"/>
  <c r="E951" i="4"/>
  <c r="F951" i="4" s="1"/>
  <c r="B683" i="3"/>
  <c r="E3095" i="2"/>
  <c r="F3095" i="2" s="1"/>
  <c r="E3096" i="2"/>
  <c r="F3096" i="2" s="1"/>
  <c r="E3093" i="2"/>
  <c r="F3093" i="2" s="1"/>
  <c r="E3091" i="2"/>
  <c r="F3091" i="2" s="1"/>
  <c r="E3092" i="2"/>
  <c r="F3092" i="2" s="1"/>
  <c r="E3094" i="2"/>
  <c r="F3094" i="2" s="1"/>
  <c r="B727" i="3"/>
  <c r="E3287" i="2"/>
  <c r="F3287" i="2" s="1"/>
  <c r="E3288" i="2"/>
  <c r="F3288" i="2" s="1"/>
  <c r="E3289" i="2"/>
  <c r="F3289" i="2" s="1"/>
  <c r="E3285" i="2"/>
  <c r="F3285" i="2" s="1"/>
  <c r="E3286" i="2"/>
  <c r="F3286" i="2" s="1"/>
  <c r="B63" i="3"/>
  <c r="E3871" i="2"/>
  <c r="F3871" i="2" s="1"/>
  <c r="E3870" i="2"/>
  <c r="F3870" i="2" s="1"/>
  <c r="B443" i="3"/>
  <c r="E2168" i="2"/>
  <c r="F2168" i="2" s="1"/>
  <c r="E2169" i="2"/>
  <c r="F2169" i="2" s="1"/>
  <c r="E2170" i="2"/>
  <c r="F2170" i="2" s="1"/>
  <c r="B839" i="3"/>
  <c r="E3690" i="2"/>
  <c r="F3690" i="2" s="1"/>
  <c r="E3693" i="2"/>
  <c r="F3693" i="2" s="1"/>
  <c r="E3691" i="2"/>
  <c r="F3691" i="2" s="1"/>
  <c r="E3692" i="2"/>
  <c r="F3692" i="2" s="1"/>
  <c r="E367" i="4"/>
  <c r="F367" i="4" s="1"/>
  <c r="E366" i="4"/>
  <c r="F366" i="4" s="1"/>
  <c r="E2806" i="4"/>
  <c r="F2806" i="4" s="1"/>
  <c r="B21" i="3"/>
  <c r="E3231" i="2"/>
  <c r="F3231" i="2" s="1"/>
  <c r="E3230" i="2"/>
  <c r="F3230" i="2" s="1"/>
  <c r="E1734" i="4"/>
  <c r="F1734" i="4" s="1"/>
  <c r="E1733" i="4"/>
  <c r="F1733" i="4" s="1"/>
  <c r="B301" i="3"/>
  <c r="E1685" i="2"/>
  <c r="F1685" i="2" s="1"/>
  <c r="E1686" i="2"/>
  <c r="F1686" i="2" s="1"/>
  <c r="E1687" i="2"/>
  <c r="F1687" i="2" s="1"/>
  <c r="E2526" i="4"/>
  <c r="F2526" i="4" s="1"/>
  <c r="E2524" i="4"/>
  <c r="F2524" i="4" s="1"/>
  <c r="E2525" i="4"/>
  <c r="F2525" i="4" s="1"/>
  <c r="E425" i="4"/>
  <c r="F425" i="4" s="1"/>
  <c r="E426" i="4"/>
  <c r="F426" i="4" s="1"/>
  <c r="E806" i="4"/>
  <c r="F806" i="4" s="1"/>
  <c r="E807" i="4"/>
  <c r="F807" i="4" s="1"/>
  <c r="E804" i="4"/>
  <c r="F804" i="4" s="1"/>
  <c r="E805" i="4"/>
  <c r="F805" i="4" s="1"/>
  <c r="E1774" i="4"/>
  <c r="F1774" i="4" s="1"/>
  <c r="E1775" i="4"/>
  <c r="F1775" i="4" s="1"/>
  <c r="E1773" i="4"/>
  <c r="F1773" i="4" s="1"/>
  <c r="B798" i="3"/>
  <c r="E3538" i="2"/>
  <c r="F3538" i="2" s="1"/>
  <c r="E3541" i="2"/>
  <c r="F3541" i="2" s="1"/>
  <c r="E3539" i="2"/>
  <c r="F3539" i="2" s="1"/>
  <c r="E3540" i="2"/>
  <c r="F3540" i="2" s="1"/>
  <c r="E3542" i="2"/>
  <c r="F3542" i="2" s="1"/>
  <c r="B601" i="3"/>
  <c r="E2783" i="2"/>
  <c r="F2783" i="2" s="1"/>
  <c r="E2784" i="2"/>
  <c r="F2784" i="2" s="1"/>
  <c r="E2785" i="2"/>
  <c r="F2785" i="2" s="1"/>
  <c r="E459" i="2"/>
  <c r="F459" i="2" s="1"/>
  <c r="B975" i="3"/>
  <c r="E460" i="2"/>
  <c r="F460" i="2" s="1"/>
  <c r="E461" i="2"/>
  <c r="F461" i="2" s="1"/>
  <c r="E457" i="2"/>
  <c r="F457" i="2" s="1"/>
  <c r="E456" i="2"/>
  <c r="F456" i="2" s="1"/>
  <c r="E458" i="2"/>
  <c r="F458" i="2" s="1"/>
  <c r="E3503" i="2"/>
  <c r="F3503" i="2" s="1"/>
  <c r="E3504" i="2"/>
  <c r="F3504" i="2" s="1"/>
  <c r="E2566" i="4"/>
  <c r="F2566" i="4" s="1"/>
  <c r="E2567" i="4"/>
  <c r="F2567" i="4" s="1"/>
  <c r="E2568" i="4"/>
  <c r="F2568" i="4" s="1"/>
  <c r="E2565" i="4"/>
  <c r="F2565" i="4" s="1"/>
  <c r="B335" i="3"/>
  <c r="E1790" i="2"/>
  <c r="F1790" i="2" s="1"/>
  <c r="E1791" i="2"/>
  <c r="F1791" i="2" s="1"/>
  <c r="E1792" i="2"/>
  <c r="F1792" i="2" s="1"/>
  <c r="E1684" i="2"/>
  <c r="F1684" i="2" s="1"/>
  <c r="B300" i="3"/>
  <c r="B638" i="3"/>
  <c r="E2919" i="2"/>
  <c r="F2919" i="2" s="1"/>
  <c r="B257" i="3"/>
  <c r="E1555" i="2"/>
  <c r="F1555" i="2" s="1"/>
  <c r="E1553" i="2"/>
  <c r="F1553" i="2" s="1"/>
  <c r="E1554" i="2"/>
  <c r="F1554" i="2" s="1"/>
  <c r="E1210" i="4"/>
  <c r="F1210" i="4" s="1"/>
  <c r="E1211" i="4"/>
  <c r="F1211" i="4" s="1"/>
  <c r="E1263" i="4"/>
  <c r="F1263" i="4" s="1"/>
  <c r="E1264" i="4"/>
  <c r="F1264" i="4" s="1"/>
  <c r="E1265" i="4"/>
  <c r="F1265" i="4" s="1"/>
  <c r="E1266" i="4"/>
  <c r="F1266" i="4" s="1"/>
  <c r="E1267" i="4"/>
  <c r="F1267" i="4" s="1"/>
  <c r="B660" i="3"/>
  <c r="E2994" i="2"/>
  <c r="F2994" i="2" s="1"/>
  <c r="E2995" i="2"/>
  <c r="F2995" i="2" s="1"/>
  <c r="E2572" i="4"/>
  <c r="F2572" i="4" s="1"/>
  <c r="E2569" i="4"/>
  <c r="F2569" i="4" s="1"/>
  <c r="E2570" i="4"/>
  <c r="F2570" i="4" s="1"/>
  <c r="E2571" i="4"/>
  <c r="F2571" i="4" s="1"/>
  <c r="E638" i="4"/>
  <c r="F638" i="4" s="1"/>
  <c r="E639" i="4"/>
  <c r="F639" i="4" s="1"/>
  <c r="E640" i="4"/>
  <c r="F640" i="4" s="1"/>
  <c r="E641" i="4"/>
  <c r="F641" i="4" s="1"/>
  <c r="B707" i="3"/>
  <c r="E3193" i="2"/>
  <c r="F3193" i="2" s="1"/>
  <c r="E3194" i="2"/>
  <c r="F3194" i="2" s="1"/>
  <c r="E3195" i="2"/>
  <c r="F3195" i="2" s="1"/>
  <c r="E2724" i="4"/>
  <c r="F2724" i="4" s="1"/>
  <c r="E2726" i="4"/>
  <c r="F2726" i="4" s="1"/>
  <c r="E2727" i="4"/>
  <c r="F2727" i="4" s="1"/>
  <c r="E2725" i="4"/>
  <c r="F2725" i="4" s="1"/>
  <c r="E681" i="4"/>
  <c r="F681" i="4" s="1"/>
  <c r="E682" i="4"/>
  <c r="F682" i="4" s="1"/>
  <c r="E320" i="4"/>
  <c r="F320" i="4" s="1"/>
  <c r="E321" i="4"/>
  <c r="F321" i="4" s="1"/>
  <c r="E2030" i="4"/>
  <c r="F2030" i="4" s="1"/>
  <c r="E2031" i="4"/>
  <c r="F2031" i="4" s="1"/>
  <c r="E2032" i="4"/>
  <c r="F2032" i="4" s="1"/>
  <c r="E2033" i="4"/>
  <c r="F2033" i="4" s="1"/>
  <c r="E2753" i="4"/>
  <c r="F2753" i="4" s="1"/>
  <c r="E2754" i="4"/>
  <c r="F2754" i="4" s="1"/>
  <c r="E2751" i="4"/>
  <c r="F2751" i="4" s="1"/>
  <c r="E2752" i="4"/>
  <c r="F2752" i="4" s="1"/>
  <c r="E2367" i="4"/>
  <c r="F2367" i="4" s="1"/>
  <c r="E2368" i="4"/>
  <c r="F2368" i="4" s="1"/>
  <c r="E2238" i="4"/>
  <c r="F2238" i="4" s="1"/>
  <c r="E2239" i="4"/>
  <c r="F2239" i="4" s="1"/>
  <c r="E2240" i="4"/>
  <c r="F2240" i="4" s="1"/>
  <c r="E2236" i="4"/>
  <c r="F2236" i="4" s="1"/>
  <c r="E2237" i="4"/>
  <c r="F2237" i="4" s="1"/>
  <c r="E2235" i="4"/>
  <c r="F2235" i="4" s="1"/>
  <c r="E2234" i="4"/>
  <c r="F2234" i="4" s="1"/>
  <c r="E1798" i="4"/>
  <c r="F1798" i="4" s="1"/>
  <c r="E1799" i="4"/>
  <c r="F1799" i="4" s="1"/>
  <c r="E1797" i="4"/>
  <c r="F1797" i="4" s="1"/>
  <c r="B1049" i="3"/>
  <c r="E748" i="2"/>
  <c r="F748" i="2" s="1"/>
  <c r="E749" i="2"/>
  <c r="F749" i="2" s="1"/>
  <c r="E750" i="2"/>
  <c r="F750" i="2" s="1"/>
  <c r="E752" i="2"/>
  <c r="F752" i="2" s="1"/>
  <c r="E751" i="2"/>
  <c r="F751" i="2" s="1"/>
  <c r="B742" i="3"/>
  <c r="E3346" i="2"/>
  <c r="F3346" i="2" s="1"/>
  <c r="E3349" i="2"/>
  <c r="F3349" i="2" s="1"/>
  <c r="E3347" i="2"/>
  <c r="F3347" i="2" s="1"/>
  <c r="E3348" i="2"/>
  <c r="F3348" i="2" s="1"/>
  <c r="E3350" i="2"/>
  <c r="F3350" i="2" s="1"/>
  <c r="E391" i="4"/>
  <c r="F391" i="4" s="1"/>
  <c r="E390" i="4"/>
  <c r="F390" i="4" s="1"/>
  <c r="B1011" i="3"/>
  <c r="E601" i="2"/>
  <c r="F601" i="2" s="1"/>
  <c r="E602" i="2"/>
  <c r="F602" i="2" s="1"/>
  <c r="E599" i="2"/>
  <c r="F599" i="2" s="1"/>
  <c r="E600" i="2"/>
  <c r="F600" i="2" s="1"/>
  <c r="E2582" i="4"/>
  <c r="F2582" i="4" s="1"/>
  <c r="E2583" i="4"/>
  <c r="F2583" i="4" s="1"/>
  <c r="B658" i="3"/>
  <c r="E2984" i="2"/>
  <c r="F2984" i="2" s="1"/>
  <c r="E2985" i="2"/>
  <c r="F2985" i="2" s="1"/>
  <c r="B789" i="3"/>
  <c r="E3513" i="2"/>
  <c r="F3513" i="2" s="1"/>
  <c r="E1617" i="4"/>
  <c r="F1617" i="4" s="1"/>
  <c r="E1619" i="4"/>
  <c r="F1619" i="4" s="1"/>
  <c r="E1618" i="4"/>
  <c r="F1618" i="4" s="1"/>
  <c r="E2392" i="4"/>
  <c r="F2392" i="4" s="1"/>
  <c r="E2396" i="4"/>
  <c r="F2396" i="4" s="1"/>
  <c r="E2393" i="4"/>
  <c r="F2393" i="4" s="1"/>
  <c r="E2394" i="4"/>
  <c r="F2394" i="4" s="1"/>
  <c r="E2395" i="4"/>
  <c r="F2395" i="4" s="1"/>
  <c r="B330" i="3"/>
  <c r="E1773" i="2"/>
  <c r="F1773" i="2" s="1"/>
  <c r="E1774" i="2"/>
  <c r="F1774" i="2" s="1"/>
  <c r="E1775" i="2"/>
  <c r="F1775" i="2" s="1"/>
  <c r="B801" i="3"/>
  <c r="E3552" i="2"/>
  <c r="F3552" i="2" s="1"/>
  <c r="E3553" i="2"/>
  <c r="F3553" i="2" s="1"/>
  <c r="E3554" i="2"/>
  <c r="F3554" i="2" s="1"/>
  <c r="E819" i="2"/>
  <c r="F819" i="2" s="1"/>
  <c r="E820" i="2"/>
  <c r="F820" i="2" s="1"/>
  <c r="E818" i="2"/>
  <c r="F818" i="2" s="1"/>
  <c r="B753" i="3"/>
  <c r="E3381" i="2"/>
  <c r="F3381" i="2" s="1"/>
  <c r="E3382" i="2"/>
  <c r="F3382" i="2" s="1"/>
  <c r="B1087" i="3"/>
  <c r="E899" i="2"/>
  <c r="F899" i="2" s="1"/>
  <c r="E900" i="2"/>
  <c r="F900" i="2" s="1"/>
  <c r="E898" i="2"/>
  <c r="F898" i="2" s="1"/>
  <c r="B716" i="3"/>
  <c r="E3234" i="2"/>
  <c r="F3234" i="2" s="1"/>
  <c r="E3235" i="2"/>
  <c r="F3235" i="2" s="1"/>
  <c r="B117" i="3"/>
  <c r="E1075" i="2"/>
  <c r="F1075" i="2" s="1"/>
  <c r="E1076" i="2"/>
  <c r="F1076" i="2" s="1"/>
  <c r="E1073" i="2"/>
  <c r="F1073" i="2" s="1"/>
  <c r="E1072" i="2"/>
  <c r="F1072" i="2" s="1"/>
  <c r="E1074" i="2"/>
  <c r="F1074" i="2" s="1"/>
  <c r="B460" i="3"/>
  <c r="E2225" i="2"/>
  <c r="F2225" i="2" s="1"/>
  <c r="E2226" i="2"/>
  <c r="F2226" i="2" s="1"/>
  <c r="E2229" i="2"/>
  <c r="F2229" i="2" s="1"/>
  <c r="E2228" i="2"/>
  <c r="F2228" i="2" s="1"/>
  <c r="E2227" i="2"/>
  <c r="F2227" i="2" s="1"/>
  <c r="B161" i="3"/>
  <c r="E1201" i="2"/>
  <c r="F1201" i="2" s="1"/>
  <c r="E1200" i="2"/>
  <c r="F1200" i="2" s="1"/>
  <c r="E1202" i="2"/>
  <c r="F1202" i="2" s="1"/>
  <c r="E1199" i="2"/>
  <c r="F1199" i="2" s="1"/>
  <c r="E2884" i="4"/>
  <c r="F2884" i="4" s="1"/>
  <c r="E2883" i="4"/>
  <c r="F2883" i="4" s="1"/>
  <c r="E2885" i="4"/>
  <c r="F2885" i="4" s="1"/>
  <c r="E2886" i="4"/>
  <c r="F2886" i="4" s="1"/>
  <c r="E1158" i="2"/>
  <c r="F1158" i="2" s="1"/>
  <c r="B146" i="3"/>
  <c r="B388" i="3"/>
  <c r="E1961" i="2"/>
  <c r="F1961" i="2" s="1"/>
  <c r="E1962" i="2"/>
  <c r="F1962" i="2" s="1"/>
  <c r="E1963" i="2"/>
  <c r="F1963" i="2" s="1"/>
  <c r="B629" i="3"/>
  <c r="E2887" i="2"/>
  <c r="F2887" i="2" s="1"/>
  <c r="E2888" i="2"/>
  <c r="F2888" i="2" s="1"/>
  <c r="E2886" i="2"/>
  <c r="F2886" i="2" s="1"/>
  <c r="B3" i="3"/>
  <c r="E3770" i="2"/>
  <c r="F3770" i="2" s="1"/>
  <c r="B898" i="3"/>
  <c r="E115" i="2"/>
  <c r="F115" i="2" s="1"/>
  <c r="E116" i="2"/>
  <c r="F116" i="2" s="1"/>
  <c r="E117" i="2"/>
  <c r="F117" i="2" s="1"/>
  <c r="E118" i="2"/>
  <c r="F118" i="2" s="1"/>
  <c r="B974" i="3"/>
  <c r="E451" i="2"/>
  <c r="F451" i="2" s="1"/>
  <c r="E452" i="2"/>
  <c r="F452" i="2" s="1"/>
  <c r="E453" i="2"/>
  <c r="F453" i="2" s="1"/>
  <c r="E454" i="2"/>
  <c r="F454" i="2" s="1"/>
  <c r="E455" i="2"/>
  <c r="F455" i="2" s="1"/>
  <c r="E450" i="2"/>
  <c r="F450" i="2" s="1"/>
  <c r="E622" i="2"/>
  <c r="F622" i="2" s="1"/>
  <c r="B1018" i="3"/>
  <c r="E625" i="2"/>
  <c r="F625" i="2" s="1"/>
  <c r="E624" i="2"/>
  <c r="F624" i="2" s="1"/>
  <c r="E623" i="2"/>
  <c r="F623" i="2" s="1"/>
  <c r="B1077" i="3"/>
  <c r="E854" i="2"/>
  <c r="F854" i="2" s="1"/>
  <c r="E855" i="2"/>
  <c r="F855" i="2" s="1"/>
  <c r="E856" i="2"/>
  <c r="F856" i="2" s="1"/>
  <c r="B319" i="3"/>
  <c r="E1737" i="2"/>
  <c r="F1737" i="2" s="1"/>
  <c r="E1738" i="2"/>
  <c r="F1738" i="2" s="1"/>
  <c r="E1739" i="2"/>
  <c r="F1739" i="2" s="1"/>
  <c r="E916" i="4"/>
  <c r="F916" i="4" s="1"/>
  <c r="E915" i="4"/>
  <c r="F915" i="4" s="1"/>
  <c r="B380" i="3"/>
  <c r="E1935" i="2"/>
  <c r="F1935" i="2" s="1"/>
  <c r="E1936" i="2"/>
  <c r="F1936" i="2" s="1"/>
  <c r="B448" i="3"/>
  <c r="E2183" i="2"/>
  <c r="F2183" i="2" s="1"/>
  <c r="E2184" i="2"/>
  <c r="F2184" i="2" s="1"/>
  <c r="E2185" i="2"/>
  <c r="F2185" i="2" s="1"/>
  <c r="E2186" i="2"/>
  <c r="F2186" i="2" s="1"/>
  <c r="E2189" i="2"/>
  <c r="F2189" i="2" s="1"/>
  <c r="E2187" i="2"/>
  <c r="F2187" i="2" s="1"/>
  <c r="E2188" i="2"/>
  <c r="F2188" i="2" s="1"/>
  <c r="E1241" i="4"/>
  <c r="F1241" i="4" s="1"/>
  <c r="E1244" i="4"/>
  <c r="F1244" i="4" s="1"/>
  <c r="E1242" i="4"/>
  <c r="F1242" i="4" s="1"/>
  <c r="E1243" i="4"/>
  <c r="F1243" i="4" s="1"/>
  <c r="E1245" i="4"/>
  <c r="F1245" i="4" s="1"/>
  <c r="E1368" i="4"/>
  <c r="F1368" i="4" s="1"/>
  <c r="E1369" i="4"/>
  <c r="F1369" i="4" s="1"/>
  <c r="B569" i="3"/>
  <c r="E2680" i="2"/>
  <c r="F2680" i="2" s="1"/>
  <c r="E2681" i="2"/>
  <c r="F2681" i="2" s="1"/>
  <c r="B649" i="3"/>
  <c r="E2952" i="2"/>
  <c r="F2952" i="2" s="1"/>
  <c r="E2953" i="2"/>
  <c r="F2953" i="2" s="1"/>
  <c r="E2954" i="2"/>
  <c r="F2954" i="2" s="1"/>
  <c r="E2955" i="2"/>
  <c r="F2955" i="2" s="1"/>
  <c r="E2956" i="2"/>
  <c r="F2956" i="2" s="1"/>
  <c r="B686" i="3"/>
  <c r="E3103" i="2"/>
  <c r="F3103" i="2" s="1"/>
  <c r="E3104" i="2"/>
  <c r="F3104" i="2" s="1"/>
  <c r="B231" i="3"/>
  <c r="E1454" i="2"/>
  <c r="F1454" i="2" s="1"/>
  <c r="E1456" i="2"/>
  <c r="F1456" i="2" s="1"/>
  <c r="E1455" i="2"/>
  <c r="F1455" i="2" s="1"/>
  <c r="B592" i="3"/>
  <c r="E2759" i="2"/>
  <c r="F2759" i="2" s="1"/>
  <c r="E2760" i="2"/>
  <c r="F2760" i="2" s="1"/>
  <c r="E2761" i="2"/>
  <c r="F2761" i="2" s="1"/>
  <c r="E2762" i="2"/>
  <c r="F2762" i="2" s="1"/>
  <c r="E2757" i="2"/>
  <c r="F2757" i="2" s="1"/>
  <c r="E2758" i="2"/>
  <c r="F2758" i="2" s="1"/>
  <c r="B821" i="3"/>
  <c r="E3621" i="2"/>
  <c r="F3621" i="2" s="1"/>
  <c r="E3622" i="2"/>
  <c r="F3622" i="2" s="1"/>
  <c r="E1822" i="4"/>
  <c r="F1822" i="4" s="1"/>
  <c r="E1823" i="4"/>
  <c r="F1823" i="4" s="1"/>
  <c r="E1821" i="4"/>
  <c r="F1821" i="4" s="1"/>
  <c r="B661" i="3"/>
  <c r="E2999" i="2"/>
  <c r="F2999" i="2" s="1"/>
  <c r="E2997" i="2"/>
  <c r="F2997" i="2" s="1"/>
  <c r="E2996" i="2"/>
  <c r="F2996" i="2" s="1"/>
  <c r="E2998" i="2"/>
  <c r="F2998" i="2" s="1"/>
  <c r="B211" i="3"/>
  <c r="E1387" i="2"/>
  <c r="F1387" i="2" s="1"/>
  <c r="E1388" i="2"/>
  <c r="F1388" i="2" s="1"/>
  <c r="E1389" i="2"/>
  <c r="F1389" i="2" s="1"/>
  <c r="E1390" i="2"/>
  <c r="F1390" i="2" s="1"/>
  <c r="E1386" i="2"/>
  <c r="F1386" i="2" s="1"/>
  <c r="B452" i="3"/>
  <c r="E2199" i="2"/>
  <c r="F2199" i="2" s="1"/>
  <c r="E2200" i="2"/>
  <c r="F2200" i="2" s="1"/>
  <c r="E2197" i="2"/>
  <c r="F2197" i="2" s="1"/>
  <c r="E2198" i="2"/>
  <c r="F2198" i="2" s="1"/>
  <c r="B690" i="3"/>
  <c r="E3114" i="2"/>
  <c r="F3114" i="2" s="1"/>
  <c r="E3117" i="2"/>
  <c r="F3117" i="2" s="1"/>
  <c r="E3115" i="2"/>
  <c r="F3115" i="2" s="1"/>
  <c r="E3116" i="2"/>
  <c r="F3116" i="2" s="1"/>
  <c r="B870" i="3"/>
  <c r="E3945" i="2"/>
  <c r="F3945" i="2" s="1"/>
  <c r="E1188" i="2"/>
  <c r="F1188" i="2" s="1"/>
  <c r="B156" i="3"/>
  <c r="E2614" i="4"/>
  <c r="F2614" i="4" s="1"/>
  <c r="E2615" i="4"/>
  <c r="F2615" i="4" s="1"/>
  <c r="E2616" i="4"/>
  <c r="F2616" i="4" s="1"/>
  <c r="E2613" i="4"/>
  <c r="F2613" i="4" s="1"/>
  <c r="E2617" i="4"/>
  <c r="F2617" i="4" s="1"/>
  <c r="E403" i="4"/>
  <c r="F403" i="4" s="1"/>
  <c r="E404" i="4"/>
  <c r="F404" i="4" s="1"/>
  <c r="E407" i="4"/>
  <c r="F407" i="4" s="1"/>
  <c r="E402" i="4"/>
  <c r="F402" i="4" s="1"/>
  <c r="E405" i="4"/>
  <c r="F405" i="4" s="1"/>
  <c r="E406" i="4"/>
  <c r="F406" i="4" s="1"/>
  <c r="E670" i="4"/>
  <c r="F670" i="4" s="1"/>
  <c r="E666" i="4"/>
  <c r="F666" i="4" s="1"/>
  <c r="E668" i="4"/>
  <c r="F668" i="4" s="1"/>
  <c r="E669" i="4"/>
  <c r="F669" i="4" s="1"/>
  <c r="E667" i="4"/>
  <c r="F667" i="4" s="1"/>
  <c r="E1106" i="4"/>
  <c r="F1106" i="4" s="1"/>
  <c r="E1550" i="4"/>
  <c r="F1550" i="4" s="1"/>
  <c r="E1549" i="4"/>
  <c r="F1549" i="4" s="1"/>
  <c r="B668" i="3"/>
  <c r="E3037" i="2"/>
  <c r="F3037" i="2" s="1"/>
  <c r="E3036" i="2"/>
  <c r="F3036" i="2" s="1"/>
  <c r="B4" i="3"/>
  <c r="E3805" i="2"/>
  <c r="F3805" i="2" s="1"/>
  <c r="E3803" i="2"/>
  <c r="F3803" i="2" s="1"/>
  <c r="E3806" i="2"/>
  <c r="F3806" i="2" s="1"/>
  <c r="E3804" i="2"/>
  <c r="F3804" i="2" s="1"/>
  <c r="E1398" i="4"/>
  <c r="F1398" i="4" s="1"/>
  <c r="E1399" i="4"/>
  <c r="F1399" i="4" s="1"/>
  <c r="E1400" i="4"/>
  <c r="F1400" i="4" s="1"/>
  <c r="E1393" i="4"/>
  <c r="F1393" i="4" s="1"/>
  <c r="E1396" i="4"/>
  <c r="F1396" i="4" s="1"/>
  <c r="E1394" i="4"/>
  <c r="F1394" i="4" s="1"/>
  <c r="E1395" i="4"/>
  <c r="F1395" i="4" s="1"/>
  <c r="E1397" i="4"/>
  <c r="F1397" i="4" s="1"/>
  <c r="B153" i="3"/>
  <c r="E1180" i="2"/>
  <c r="F1180" i="2" s="1"/>
  <c r="E1181" i="2"/>
  <c r="F1181" i="2" s="1"/>
  <c r="E1182" i="2"/>
  <c r="F1182" i="2" s="1"/>
  <c r="E1183" i="2"/>
  <c r="F1183" i="2" s="1"/>
  <c r="B536" i="3"/>
  <c r="E2553" i="2"/>
  <c r="F2553" i="2" s="1"/>
  <c r="E2554" i="2"/>
  <c r="F2554" i="2" s="1"/>
  <c r="E2555" i="2"/>
  <c r="F2555" i="2" s="1"/>
  <c r="E2556" i="2"/>
  <c r="F2556" i="2" s="1"/>
  <c r="B768" i="3"/>
  <c r="E3433" i="2"/>
  <c r="F3433" i="2" s="1"/>
  <c r="E3434" i="2"/>
  <c r="F3434" i="2" s="1"/>
  <c r="E3435" i="2"/>
  <c r="F3435" i="2" s="1"/>
  <c r="E3436" i="2"/>
  <c r="F3436" i="2" s="1"/>
  <c r="E251" i="2"/>
  <c r="F251" i="2" s="1"/>
  <c r="B927" i="3"/>
  <c r="E252" i="2"/>
  <c r="F252" i="2" s="1"/>
  <c r="E253" i="2"/>
  <c r="F253" i="2" s="1"/>
  <c r="E250" i="2"/>
  <c r="F250" i="2" s="1"/>
  <c r="E2676" i="4"/>
  <c r="F2676" i="4" s="1"/>
  <c r="E2680" i="4"/>
  <c r="F2680" i="4" s="1"/>
  <c r="E2678" i="4"/>
  <c r="F2678" i="4" s="1"/>
  <c r="E2677" i="4"/>
  <c r="F2677" i="4" s="1"/>
  <c r="E2679" i="4"/>
  <c r="F2679" i="4" s="1"/>
  <c r="B1021" i="3"/>
  <c r="E630" i="2"/>
  <c r="F630" i="2" s="1"/>
  <c r="E631" i="2"/>
  <c r="F631" i="2" s="1"/>
  <c r="E632" i="2"/>
  <c r="F632" i="2" s="1"/>
  <c r="B111" i="3"/>
  <c r="E1059" i="2"/>
  <c r="F1059" i="2" s="1"/>
  <c r="E1057" i="2"/>
  <c r="F1057" i="2" s="1"/>
  <c r="E1056" i="2"/>
  <c r="F1056" i="2" s="1"/>
  <c r="E1058" i="2"/>
  <c r="F1058" i="2" s="1"/>
  <c r="B186" i="3"/>
  <c r="E1295" i="2"/>
  <c r="F1295" i="2" s="1"/>
  <c r="B279" i="3"/>
  <c r="E1617" i="2"/>
  <c r="F1617" i="2" s="1"/>
  <c r="E1618" i="2"/>
  <c r="F1618" i="2" s="1"/>
  <c r="E1616" i="2"/>
  <c r="F1616" i="2" s="1"/>
  <c r="B353" i="3"/>
  <c r="E1841" i="2"/>
  <c r="F1841" i="2" s="1"/>
  <c r="E1840" i="2"/>
  <c r="F1840" i="2" s="1"/>
  <c r="B427" i="3"/>
  <c r="E2106" i="2"/>
  <c r="F2106" i="2" s="1"/>
  <c r="E2107" i="2"/>
  <c r="F2107" i="2" s="1"/>
  <c r="E2108" i="2"/>
  <c r="F2108" i="2" s="1"/>
  <c r="B514" i="3"/>
  <c r="E2457" i="2"/>
  <c r="F2457" i="2" s="1"/>
  <c r="E2458" i="2"/>
  <c r="F2458" i="2" s="1"/>
  <c r="E2459" i="2"/>
  <c r="F2459" i="2" s="1"/>
  <c r="E2460" i="2"/>
  <c r="F2460" i="2" s="1"/>
  <c r="B602" i="3"/>
  <c r="E2791" i="2"/>
  <c r="F2791" i="2" s="1"/>
  <c r="E2792" i="2"/>
  <c r="F2792" i="2" s="1"/>
  <c r="E2786" i="2"/>
  <c r="F2786" i="2" s="1"/>
  <c r="E2789" i="2"/>
  <c r="F2789" i="2" s="1"/>
  <c r="E2788" i="2"/>
  <c r="F2788" i="2" s="1"/>
  <c r="E2790" i="2"/>
  <c r="F2790" i="2" s="1"/>
  <c r="E2787" i="2"/>
  <c r="F2787" i="2" s="1"/>
  <c r="B681" i="3"/>
  <c r="E3087" i="2"/>
  <c r="F3087" i="2" s="1"/>
  <c r="E3088" i="2"/>
  <c r="F3088" i="2" s="1"/>
  <c r="E3082" i="2"/>
  <c r="F3082" i="2" s="1"/>
  <c r="E3085" i="2"/>
  <c r="F3085" i="2" s="1"/>
  <c r="E3086" i="2"/>
  <c r="F3086" i="2" s="1"/>
  <c r="E3083" i="2"/>
  <c r="F3083" i="2" s="1"/>
  <c r="E3084" i="2"/>
  <c r="F3084" i="2" s="1"/>
  <c r="B759" i="3"/>
  <c r="E3400" i="2"/>
  <c r="F3400" i="2" s="1"/>
  <c r="E3401" i="2"/>
  <c r="F3401" i="2" s="1"/>
  <c r="E3402" i="2"/>
  <c r="F3402" i="2" s="1"/>
  <c r="E3403" i="2"/>
  <c r="F3403" i="2" s="1"/>
  <c r="B831" i="3"/>
  <c r="E3663" i="2"/>
  <c r="F3663" i="2" s="1"/>
  <c r="E3664" i="2"/>
  <c r="F3664" i="2" s="1"/>
  <c r="E3665" i="2"/>
  <c r="F3665" i="2" s="1"/>
  <c r="E3661" i="2"/>
  <c r="F3661" i="2" s="1"/>
  <c r="E3662" i="2"/>
  <c r="F3662" i="2" s="1"/>
  <c r="E3660" i="2"/>
  <c r="F3660" i="2" s="1"/>
  <c r="E3922" i="2"/>
  <c r="F3922" i="2" s="1"/>
  <c r="E3923" i="2"/>
  <c r="F3923" i="2" s="1"/>
  <c r="E225" i="2"/>
  <c r="F225" i="2" s="1"/>
  <c r="B920" i="3"/>
  <c r="E226" i="2"/>
  <c r="F226" i="2" s="1"/>
  <c r="B195" i="3"/>
  <c r="E1323" i="2"/>
  <c r="F1323" i="2" s="1"/>
  <c r="E1324" i="2"/>
  <c r="F1324" i="2" s="1"/>
  <c r="E1325" i="2"/>
  <c r="F1325" i="2" s="1"/>
  <c r="B358" i="3"/>
  <c r="E1854" i="2"/>
  <c r="F1854" i="2" s="1"/>
  <c r="E1855" i="2"/>
  <c r="F1855" i="2" s="1"/>
  <c r="E1856" i="2"/>
  <c r="F1856" i="2" s="1"/>
  <c r="B16" i="3"/>
  <c r="E2575" i="2"/>
  <c r="F2575" i="2" s="1"/>
  <c r="E2576" i="2"/>
  <c r="F2576" i="2" s="1"/>
  <c r="E2577" i="2"/>
  <c r="F2577" i="2" s="1"/>
  <c r="B696" i="3"/>
  <c r="E3136" i="2"/>
  <c r="F3136" i="2" s="1"/>
  <c r="E3137" i="2"/>
  <c r="F3137" i="2" s="1"/>
  <c r="E3138" i="2"/>
  <c r="F3138" i="2" s="1"/>
  <c r="B28" i="3"/>
  <c r="E3727" i="2"/>
  <c r="F3727" i="2" s="1"/>
  <c r="E3728" i="2"/>
  <c r="F3728" i="2" s="1"/>
  <c r="E3729" i="2"/>
  <c r="F3729" i="2" s="1"/>
  <c r="E3730" i="2"/>
  <c r="F3730" i="2" s="1"/>
  <c r="E3726" i="2"/>
  <c r="F3726" i="2" s="1"/>
  <c r="E3731" i="2"/>
  <c r="F3731" i="2" s="1"/>
  <c r="B240" i="3"/>
  <c r="E1481" i="2"/>
  <c r="F1481" i="2" s="1"/>
  <c r="E1482" i="2"/>
  <c r="F1482" i="2" s="1"/>
  <c r="B777" i="3"/>
  <c r="E3471" i="2"/>
  <c r="F3471" i="2" s="1"/>
  <c r="E3469" i="2"/>
  <c r="F3469" i="2" s="1"/>
  <c r="E3470" i="2"/>
  <c r="F3470" i="2" s="1"/>
  <c r="E3467" i="2"/>
  <c r="F3467" i="2" s="1"/>
  <c r="E3468" i="2"/>
  <c r="F3468" i="2" s="1"/>
  <c r="E809" i="2"/>
  <c r="F809" i="2" s="1"/>
  <c r="B1063" i="3"/>
  <c r="E810" i="2"/>
  <c r="F810" i="2" s="1"/>
  <c r="E808" i="2"/>
  <c r="F808" i="2" s="1"/>
  <c r="B10" i="3"/>
  <c r="E1629" i="2"/>
  <c r="F1629" i="2" s="1"/>
  <c r="B585" i="3"/>
  <c r="E2735" i="2"/>
  <c r="F2735" i="2" s="1"/>
  <c r="E2733" i="2"/>
  <c r="F2733" i="2" s="1"/>
  <c r="E2732" i="2"/>
  <c r="F2732" i="2" s="1"/>
  <c r="E2734" i="2"/>
  <c r="F2734" i="2" s="1"/>
  <c r="B813" i="3"/>
  <c r="E3593" i="2"/>
  <c r="F3593" i="2" s="1"/>
  <c r="B79" i="3"/>
  <c r="E948" i="2"/>
  <c r="F948" i="2" s="1"/>
  <c r="E1422" i="4"/>
  <c r="F1422" i="4" s="1"/>
  <c r="E1423" i="4"/>
  <c r="F1423" i="4" s="1"/>
  <c r="E1424" i="4"/>
  <c r="F1424" i="4" s="1"/>
  <c r="E1420" i="4"/>
  <c r="F1420" i="4" s="1"/>
  <c r="E1421" i="4"/>
  <c r="F1421" i="4" s="1"/>
  <c r="E1478" i="4"/>
  <c r="F1478" i="4" s="1"/>
  <c r="E1479" i="4"/>
  <c r="F1479" i="4" s="1"/>
  <c r="E1476" i="4"/>
  <c r="F1476" i="4" s="1"/>
  <c r="E1477" i="4"/>
  <c r="F1477" i="4" s="1"/>
  <c r="B25" i="3"/>
  <c r="E3311" i="2"/>
  <c r="F3311" i="2" s="1"/>
  <c r="E3312" i="2"/>
  <c r="F3312" i="2" s="1"/>
  <c r="E3310" i="2"/>
  <c r="F3310" i="2" s="1"/>
  <c r="E2198" i="4"/>
  <c r="F2198" i="4" s="1"/>
  <c r="E2199" i="4"/>
  <c r="F2199" i="4" s="1"/>
  <c r="E2200" i="4"/>
  <c r="F2200" i="4" s="1"/>
  <c r="E2455" i="4"/>
  <c r="F2455" i="4" s="1"/>
  <c r="E2456" i="4"/>
  <c r="F2456" i="4" s="1"/>
  <c r="E2460" i="4"/>
  <c r="F2460" i="4" s="1"/>
  <c r="E2457" i="4"/>
  <c r="F2457" i="4" s="1"/>
  <c r="E2459" i="4"/>
  <c r="F2459" i="4" s="1"/>
  <c r="E2458" i="4"/>
  <c r="F2458" i="4" s="1"/>
  <c r="E223" i="4"/>
  <c r="F223" i="4" s="1"/>
  <c r="E224" i="4"/>
  <c r="F224" i="4" s="1"/>
  <c r="E225" i="4"/>
  <c r="F225" i="4" s="1"/>
  <c r="B102" i="3"/>
  <c r="E1027" i="2"/>
  <c r="F1027" i="2" s="1"/>
  <c r="E1028" i="2"/>
  <c r="F1028" i="2" s="1"/>
  <c r="E1029" i="2"/>
  <c r="F1029" i="2" s="1"/>
  <c r="E1026" i="2"/>
  <c r="F1026" i="2" s="1"/>
  <c r="E830" i="4"/>
  <c r="F830" i="4" s="1"/>
  <c r="E831" i="4"/>
  <c r="F831" i="4" s="1"/>
  <c r="B404" i="3"/>
  <c r="E2022" i="2"/>
  <c r="F2022" i="2" s="1"/>
  <c r="E2021" i="2"/>
  <c r="F2021" i="2" s="1"/>
  <c r="B465" i="3"/>
  <c r="E2245" i="2"/>
  <c r="F2245" i="2" s="1"/>
  <c r="E2244" i="2"/>
  <c r="F2244" i="2" s="1"/>
  <c r="E2246" i="2"/>
  <c r="F2246" i="2" s="1"/>
  <c r="E2935" i="2"/>
  <c r="F2935" i="2" s="1"/>
  <c r="B644" i="3"/>
  <c r="E2934" i="2"/>
  <c r="F2934" i="2" s="1"/>
  <c r="B814" i="3"/>
  <c r="E3594" i="2"/>
  <c r="F3594" i="2" s="1"/>
  <c r="E3595" i="2"/>
  <c r="F3595" i="2" s="1"/>
  <c r="E3596" i="2"/>
  <c r="F3596" i="2" s="1"/>
  <c r="B904" i="3"/>
  <c r="E139" i="2"/>
  <c r="F139" i="2" s="1"/>
  <c r="E140" i="2"/>
  <c r="F140" i="2" s="1"/>
  <c r="E141" i="2"/>
  <c r="F141" i="2" s="1"/>
  <c r="E142" i="2"/>
  <c r="F142" i="2" s="1"/>
  <c r="E307" i="4"/>
  <c r="F307" i="4" s="1"/>
  <c r="E306" i="4"/>
  <c r="F306" i="4" s="1"/>
  <c r="E16" i="4"/>
  <c r="F16" i="4" s="1"/>
  <c r="E17" i="4"/>
  <c r="F17" i="4" s="1"/>
  <c r="E1191" i="4"/>
  <c r="F1191" i="4" s="1"/>
  <c r="E1192" i="4"/>
  <c r="F1192" i="4" s="1"/>
  <c r="E1425" i="4"/>
  <c r="F1425" i="4" s="1"/>
  <c r="E1426" i="4"/>
  <c r="F1426" i="4" s="1"/>
  <c r="E111" i="4"/>
  <c r="F111" i="4" s="1"/>
  <c r="E109" i="4"/>
  <c r="F109" i="4" s="1"/>
  <c r="E110" i="4"/>
  <c r="F110" i="4" s="1"/>
  <c r="E2584" i="4"/>
  <c r="F2584" i="4" s="1"/>
  <c r="E2585" i="4"/>
  <c r="F2585" i="4" s="1"/>
  <c r="E2940" i="4"/>
  <c r="F2940" i="4" s="1"/>
  <c r="E2936" i="4"/>
  <c r="F2936" i="4" s="1"/>
  <c r="E2937" i="4"/>
  <c r="F2937" i="4" s="1"/>
  <c r="E2938" i="4"/>
  <c r="F2938" i="4" s="1"/>
  <c r="E2939" i="4"/>
  <c r="F2939" i="4" s="1"/>
  <c r="E3167" i="4"/>
  <c r="F3167" i="4" s="1"/>
  <c r="E3168" i="4"/>
  <c r="F3168" i="4" s="1"/>
  <c r="E340" i="4"/>
  <c r="F340" i="4" s="1"/>
  <c r="E341" i="4"/>
  <c r="F341" i="4" s="1"/>
  <c r="E463" i="4"/>
  <c r="F463" i="4" s="1"/>
  <c r="E462" i="4"/>
  <c r="F462" i="4" s="1"/>
  <c r="E512" i="4"/>
  <c r="F512" i="4" s="1"/>
  <c r="E513" i="4"/>
  <c r="F513" i="4" s="1"/>
  <c r="E511" i="4"/>
  <c r="F511" i="4" s="1"/>
  <c r="E514" i="4"/>
  <c r="F514" i="4" s="1"/>
  <c r="E710" i="4"/>
  <c r="F710" i="4" s="1"/>
  <c r="E709" i="4"/>
  <c r="F709" i="4" s="1"/>
  <c r="E1204" i="4"/>
  <c r="F1204" i="4" s="1"/>
  <c r="E1203" i="4"/>
  <c r="F1203" i="4" s="1"/>
  <c r="E1540" i="4"/>
  <c r="F1540" i="4" s="1"/>
  <c r="E1539" i="4"/>
  <c r="F1539" i="4" s="1"/>
  <c r="E1541" i="4"/>
  <c r="F1541" i="4" s="1"/>
  <c r="E1807" i="4"/>
  <c r="F1807" i="4" s="1"/>
  <c r="E1808" i="4"/>
  <c r="F1808" i="4" s="1"/>
  <c r="E1812" i="4"/>
  <c r="F1812" i="4" s="1"/>
  <c r="E1810" i="4"/>
  <c r="F1810" i="4" s="1"/>
  <c r="E1811" i="4"/>
  <c r="F1811" i="4" s="1"/>
  <c r="E1809" i="4"/>
  <c r="F1809" i="4" s="1"/>
  <c r="E2039" i="4"/>
  <c r="F2039" i="4" s="1"/>
  <c r="E2040" i="4"/>
  <c r="F2040" i="4" s="1"/>
  <c r="E2041" i="4"/>
  <c r="F2041" i="4" s="1"/>
  <c r="E2042" i="4"/>
  <c r="F2042" i="4" s="1"/>
  <c r="E2043" i="4"/>
  <c r="F2043" i="4" s="1"/>
  <c r="E2086" i="4"/>
  <c r="F2086" i="4" s="1"/>
  <c r="E2087" i="4"/>
  <c r="F2087" i="4" s="1"/>
  <c r="E2088" i="4"/>
  <c r="F2088" i="4" s="1"/>
  <c r="E2089" i="4"/>
  <c r="F2089" i="4" s="1"/>
  <c r="E2090" i="4"/>
  <c r="F2090" i="4" s="1"/>
  <c r="E1683" i="4"/>
  <c r="F1683" i="4" s="1"/>
  <c r="E1682" i="4"/>
  <c r="F1682" i="4" s="1"/>
  <c r="E219" i="4"/>
  <c r="F219" i="4" s="1"/>
  <c r="E60" i="4"/>
  <c r="F60" i="4" s="1"/>
  <c r="E61" i="4"/>
  <c r="F61" i="4" s="1"/>
  <c r="E2662" i="4"/>
  <c r="F2662" i="4" s="1"/>
  <c r="E2663" i="4"/>
  <c r="F2663" i="4" s="1"/>
  <c r="E2338" i="4"/>
  <c r="F2338" i="4" s="1"/>
  <c r="E2337" i="4"/>
  <c r="F2337" i="4" s="1"/>
  <c r="E2318" i="4"/>
  <c r="F2318" i="4" s="1"/>
  <c r="E2319" i="4"/>
  <c r="F2319" i="4" s="1"/>
  <c r="E2316" i="4"/>
  <c r="F2316" i="4" s="1"/>
  <c r="E2317" i="4"/>
  <c r="F2317" i="4" s="1"/>
  <c r="E408" i="4"/>
  <c r="F408" i="4" s="1"/>
  <c r="E409" i="4"/>
  <c r="F409" i="4" s="1"/>
  <c r="E410" i="4"/>
  <c r="F410" i="4" s="1"/>
  <c r="E1262" i="4"/>
  <c r="F1262" i="4" s="1"/>
  <c r="E1260" i="4"/>
  <c r="F1260" i="4" s="1"/>
  <c r="E1261" i="4"/>
  <c r="F1261" i="4" s="1"/>
  <c r="E1382" i="4"/>
  <c r="F1382" i="4" s="1"/>
  <c r="E1383" i="4"/>
  <c r="F1383" i="4" s="1"/>
  <c r="E1384" i="4"/>
  <c r="F1384" i="4" s="1"/>
  <c r="E1385" i="4"/>
  <c r="F1385" i="4" s="1"/>
  <c r="E1386" i="4"/>
  <c r="F1386" i="4" s="1"/>
  <c r="E1381" i="4"/>
  <c r="F1381" i="4" s="1"/>
  <c r="E2808" i="4" l="1"/>
  <c r="F2808" i="4" s="1"/>
  <c r="E2441" i="4"/>
  <c r="F2441" i="4" s="1"/>
  <c r="E1437" i="4"/>
  <c r="F1437" i="4" s="1"/>
  <c r="E1432" i="4"/>
  <c r="F1432" i="4" s="1"/>
  <c r="E3064" i="4"/>
  <c r="F3064" i="4" s="1"/>
  <c r="E3116" i="4"/>
  <c r="F3116" i="4" s="1"/>
  <c r="E1116" i="4"/>
  <c r="F1116" i="4" s="1"/>
  <c r="E2437" i="4"/>
  <c r="F2437" i="4" s="1"/>
  <c r="E2438" i="4"/>
  <c r="F2438" i="4" s="1"/>
  <c r="E780" i="4"/>
  <c r="F780" i="4" s="1"/>
  <c r="E785" i="4"/>
  <c r="F785" i="4" s="1"/>
  <c r="E622" i="4"/>
  <c r="F622" i="4" s="1"/>
  <c r="E1309" i="4"/>
  <c r="F1309" i="4" s="1"/>
  <c r="E1443" i="4"/>
  <c r="F1443" i="4" s="1"/>
  <c r="E1439" i="4"/>
  <c r="F1439" i="4" s="1"/>
  <c r="E3115" i="4"/>
  <c r="F3115" i="4" s="1"/>
  <c r="E1114" i="4"/>
  <c r="F1114" i="4" s="1"/>
  <c r="E2435" i="4"/>
  <c r="F2435" i="4" s="1"/>
  <c r="E784" i="4"/>
  <c r="F784" i="4" s="1"/>
  <c r="E2439" i="4"/>
  <c r="F2439" i="4" s="1"/>
  <c r="E623" i="4"/>
  <c r="F623" i="4" s="1"/>
  <c r="E1314" i="4"/>
  <c r="F1314" i="4" s="1"/>
  <c r="E1435" i="4"/>
  <c r="F1435" i="4" s="1"/>
  <c r="E1431" i="4"/>
  <c r="F1431" i="4" s="1"/>
  <c r="E3120" i="4"/>
  <c r="F3120" i="4" s="1"/>
  <c r="E3114" i="4"/>
  <c r="F3114" i="4" s="1"/>
  <c r="E1317" i="4"/>
  <c r="F1317" i="4" s="1"/>
  <c r="E2907" i="4"/>
  <c r="F2907" i="4" s="1"/>
  <c r="E2434" i="4"/>
  <c r="F2434" i="4" s="1"/>
  <c r="E1313" i="4"/>
  <c r="F1313" i="4" s="1"/>
  <c r="E1434" i="4"/>
  <c r="F1434" i="4" s="1"/>
  <c r="E1438" i="4"/>
  <c r="F1438" i="4" s="1"/>
  <c r="E3063" i="4"/>
  <c r="F3063" i="4" s="1"/>
  <c r="E3118" i="4"/>
  <c r="F3118" i="4" s="1"/>
  <c r="E3113" i="4"/>
  <c r="F3113" i="4" s="1"/>
  <c r="E2967" i="4"/>
  <c r="F2967" i="4" s="1"/>
  <c r="E1315" i="4"/>
  <c r="F1315" i="4" s="1"/>
  <c r="E2905" i="4"/>
  <c r="F2905" i="4" s="1"/>
  <c r="E2444" i="4"/>
  <c r="F2444" i="4" s="1"/>
  <c r="E1105" i="4"/>
  <c r="F1105" i="4" s="1"/>
  <c r="E3111" i="4"/>
  <c r="F3111" i="4" s="1"/>
  <c r="E1312" i="4"/>
  <c r="F1312" i="4" s="1"/>
  <c r="E1436" i="4"/>
  <c r="F1436" i="4" s="1"/>
  <c r="E3062" i="4"/>
  <c r="F3062" i="4" s="1"/>
  <c r="E3117" i="4"/>
  <c r="F3117" i="4" s="1"/>
  <c r="E2966" i="4"/>
  <c r="F2966" i="4" s="1"/>
  <c r="E1316" i="4"/>
  <c r="F1316" i="4" s="1"/>
  <c r="E2906" i="4"/>
  <c r="F2906" i="4" s="1"/>
  <c r="E2442" i="4"/>
  <c r="F2442" i="4" s="1"/>
  <c r="E2436" i="4"/>
  <c r="F2436" i="4" s="1"/>
  <c r="E3065" i="4"/>
  <c r="F3065" i="4" s="1"/>
  <c r="E2443" i="4"/>
  <c r="F2443" i="4" s="1"/>
  <c r="E360" i="4"/>
  <c r="F360" i="4" s="1"/>
  <c r="E2701" i="4"/>
  <c r="F2701" i="4" s="1"/>
  <c r="E203" i="4"/>
  <c r="F203" i="4" s="1"/>
  <c r="E2361" i="4"/>
  <c r="F2361" i="4" s="1"/>
  <c r="E2899" i="4"/>
  <c r="F2899" i="4" s="1"/>
  <c r="E731" i="4"/>
  <c r="F731" i="4" s="1"/>
  <c r="E1004" i="4"/>
  <c r="F1004" i="4" s="1"/>
  <c r="E820" i="4"/>
  <c r="F820" i="4" s="1"/>
  <c r="E860" i="4"/>
  <c r="F860" i="4" s="1"/>
  <c r="E920" i="4"/>
  <c r="F920" i="4" s="1"/>
  <c r="E1080" i="4"/>
  <c r="F1080" i="4" s="1"/>
  <c r="E1732" i="4"/>
  <c r="F1732" i="4" s="1"/>
  <c r="E2389" i="4"/>
  <c r="F2389" i="4" s="1"/>
  <c r="E611" i="4"/>
  <c r="F611" i="4" s="1"/>
  <c r="E573" i="4"/>
  <c r="F573" i="4" s="1"/>
  <c r="E19" i="4"/>
  <c r="F19" i="4" s="1"/>
  <c r="E193" i="4"/>
  <c r="F193" i="4" s="1"/>
  <c r="E2481" i="4"/>
  <c r="F2481" i="4" s="1"/>
  <c r="E1498" i="4"/>
  <c r="F1498" i="4" s="1"/>
  <c r="E1430" i="4"/>
  <c r="F1430" i="4" s="1"/>
  <c r="E1446" i="4"/>
  <c r="F1446" i="4" s="1"/>
  <c r="E930" i="4"/>
  <c r="F930" i="4" s="1"/>
  <c r="E1815" i="4"/>
  <c r="F1815" i="4" s="1"/>
  <c r="E2527" i="4"/>
  <c r="F2527" i="4" s="1"/>
  <c r="E464" i="4"/>
  <c r="F464" i="4" s="1"/>
  <c r="E900" i="4"/>
  <c r="F900" i="4" s="1"/>
  <c r="E631" i="4"/>
  <c r="F631" i="4" s="1"/>
  <c r="E293" i="4"/>
  <c r="F293" i="4" s="1"/>
  <c r="E1824" i="4"/>
  <c r="F1824" i="4" s="1"/>
  <c r="E2538" i="4"/>
  <c r="F2538" i="4" s="1"/>
  <c r="E2080" i="4"/>
  <c r="F2080" i="4" s="1"/>
  <c r="E2352" i="4"/>
  <c r="F2352" i="4" s="1"/>
  <c r="E143" i="4"/>
  <c r="F143" i="4" s="1"/>
  <c r="E1558" i="4"/>
  <c r="F1558" i="4" s="1"/>
  <c r="E2390" i="4"/>
  <c r="F2390" i="4" s="1"/>
  <c r="E2006" i="4"/>
  <c r="F2006" i="4" s="1"/>
  <c r="E382" i="4"/>
  <c r="F382" i="4" s="1"/>
  <c r="E2010" i="4"/>
  <c r="F2010" i="4" s="1"/>
  <c r="E35" i="4"/>
  <c r="F35" i="4" s="1"/>
  <c r="E2320" i="4"/>
  <c r="F2320" i="4" s="1"/>
  <c r="E1877" i="4"/>
  <c r="F1877" i="4" s="1"/>
  <c r="E2500" i="4"/>
  <c r="F2500" i="4" s="1"/>
  <c r="E1270" i="4"/>
  <c r="F1270" i="4" s="1"/>
  <c r="E28" i="4"/>
  <c r="F28" i="4" s="1"/>
  <c r="E1992" i="4"/>
  <c r="F1992" i="4" s="1"/>
  <c r="E1104" i="4"/>
  <c r="F1104" i="4" s="1"/>
  <c r="E660" i="4"/>
  <c r="F660" i="4" s="1"/>
  <c r="E1884" i="4"/>
  <c r="F1884" i="4" s="1"/>
  <c r="E18" i="4"/>
  <c r="F18" i="4" s="1"/>
  <c r="E2266" i="4"/>
  <c r="F2266" i="4" s="1"/>
  <c r="E2207" i="4"/>
  <c r="F2207" i="4" s="1"/>
  <c r="E1780" i="4"/>
  <c r="F1780" i="4" s="1"/>
  <c r="E1012" i="4"/>
  <c r="F1012" i="4" s="1"/>
  <c r="E1880" i="4"/>
  <c r="F1880" i="4" s="1"/>
  <c r="E1756" i="4"/>
  <c r="F1756" i="4" s="1"/>
  <c r="E2330" i="4"/>
  <c r="F2330" i="4" s="1"/>
  <c r="E878" i="4"/>
  <c r="F878" i="4" s="1"/>
  <c r="E2632" i="4"/>
  <c r="F2632" i="4" s="1"/>
  <c r="E121" i="4"/>
  <c r="F121" i="4" s="1"/>
  <c r="E44" i="4"/>
  <c r="F44" i="4" s="1"/>
  <c r="E1077" i="4"/>
  <c r="F1077" i="4" s="1"/>
  <c r="E2798" i="4"/>
  <c r="F2798" i="4" s="1"/>
  <c r="E1570" i="4"/>
  <c r="F1570" i="4" s="1"/>
  <c r="E2559" i="4"/>
  <c r="F2559" i="4" s="1"/>
  <c r="E2414" i="4"/>
  <c r="F2414" i="4" s="1"/>
  <c r="E819" i="4"/>
  <c r="F819" i="4" s="1"/>
  <c r="E436" i="4"/>
  <c r="F436" i="4" s="1"/>
  <c r="E163" i="4"/>
  <c r="F163" i="4" s="1"/>
  <c r="E13" i="4"/>
  <c r="F13" i="4" s="1"/>
  <c r="E2384" i="4"/>
  <c r="F2384" i="4" s="1"/>
  <c r="E401" i="4"/>
  <c r="F401" i="4" s="1"/>
  <c r="E333" i="4"/>
  <c r="F333" i="4" s="1"/>
  <c r="E2070" i="4"/>
  <c r="F2070" i="4" s="1"/>
  <c r="E1380" i="4"/>
  <c r="F1380" i="4" s="1"/>
  <c r="E2539" i="4"/>
  <c r="F2539" i="4" s="1"/>
  <c r="E1766" i="4"/>
  <c r="F1766" i="4" s="1"/>
  <c r="E396" i="4"/>
  <c r="F396" i="4" s="1"/>
  <c r="E2249" i="4"/>
  <c r="F2249" i="4" s="1"/>
  <c r="E2558" i="4"/>
  <c r="F2558" i="4" s="1"/>
  <c r="E108" i="4"/>
  <c r="F108" i="4" s="1"/>
  <c r="E1786" i="4"/>
  <c r="F1786" i="4" s="1"/>
  <c r="E1526" i="4"/>
  <c r="F1526" i="4" s="1"/>
  <c r="E799" i="4"/>
  <c r="F799" i="4" s="1"/>
  <c r="E818" i="4"/>
  <c r="F818" i="4" s="1"/>
  <c r="E515" i="4"/>
  <c r="F515" i="4" s="1"/>
  <c r="E383" i="4"/>
  <c r="F383" i="4" s="1"/>
  <c r="E1723" i="4"/>
  <c r="F1723" i="4" s="1"/>
  <c r="E2522" i="4"/>
  <c r="F2522" i="4" s="1"/>
  <c r="E2011" i="4"/>
  <c r="F2011" i="4" s="1"/>
  <c r="E6" i="4"/>
  <c r="F6" i="4" s="1"/>
  <c r="E2233" i="4"/>
  <c r="F2233" i="4" s="1"/>
  <c r="E40" i="4"/>
  <c r="F40" i="4" s="1"/>
  <c r="E1672" i="4"/>
  <c r="F1672" i="4" s="1"/>
  <c r="E2547" i="4"/>
  <c r="F2547" i="4" s="1"/>
  <c r="E2102" i="4"/>
  <c r="F2102" i="4" s="1"/>
  <c r="E1891" i="4"/>
  <c r="F1891" i="4" s="1"/>
  <c r="E763" i="4"/>
  <c r="F763" i="4" s="1"/>
  <c r="E766" i="4"/>
  <c r="F766" i="4" s="1"/>
  <c r="E144" i="4"/>
  <c r="F144" i="4" s="1"/>
  <c r="E446" i="4"/>
  <c r="F446" i="4" s="1"/>
  <c r="E1051" i="4"/>
  <c r="F1051" i="4" s="1"/>
  <c r="E1078" i="4"/>
  <c r="F1078" i="4" s="1"/>
  <c r="E949" i="4"/>
  <c r="F949" i="4" s="1"/>
  <c r="E948" i="4"/>
  <c r="F948" i="4" s="1"/>
  <c r="E2193" i="4"/>
  <c r="F2193" i="4" s="1"/>
  <c r="E1602" i="4"/>
  <c r="F1602" i="4" s="1"/>
  <c r="E2743" i="4"/>
  <c r="F2743" i="4" s="1"/>
  <c r="E361" i="4"/>
  <c r="F361" i="4" s="1"/>
  <c r="E204" i="4"/>
  <c r="F204" i="4" s="1"/>
  <c r="E416" i="4"/>
  <c r="F416" i="4" s="1"/>
  <c r="E1575" i="4"/>
  <c r="F1575" i="4" s="1"/>
  <c r="E290" i="4"/>
  <c r="F290" i="4" s="1"/>
  <c r="E1159" i="4"/>
  <c r="F1159" i="4" s="1"/>
  <c r="E155" i="4"/>
  <c r="F155" i="4" s="1"/>
  <c r="E2528" i="4"/>
  <c r="F2528" i="4" s="1"/>
  <c r="E126" i="4"/>
  <c r="F126" i="4" s="1"/>
  <c r="E917" i="4"/>
  <c r="F917" i="4" s="1"/>
  <c r="E2166" i="4"/>
  <c r="F2166" i="4" s="1"/>
  <c r="E1205" i="4"/>
  <c r="F1205" i="4" s="1"/>
  <c r="E931" i="4"/>
  <c r="F931" i="4" s="1"/>
  <c r="E149" i="4"/>
  <c r="F149" i="4" s="1"/>
  <c r="E2208" i="4"/>
  <c r="F2208" i="4" s="1"/>
  <c r="E1917" i="4"/>
  <c r="F1917" i="4" s="1"/>
  <c r="E1707" i="4"/>
  <c r="F1707" i="4" s="1"/>
  <c r="E2270" i="4"/>
  <c r="F2270" i="4" s="1"/>
  <c r="E2271" i="4"/>
  <c r="F2271" i="4" s="1"/>
  <c r="E2272" i="4"/>
  <c r="F2272" i="4" s="1"/>
  <c r="E2274" i="4"/>
  <c r="F2274" i="4" s="1"/>
  <c r="E2273" i="4"/>
  <c r="F2273" i="4" s="1"/>
  <c r="E740" i="4"/>
  <c r="F740" i="4" s="1"/>
  <c r="E739" i="4"/>
  <c r="F739" i="4" s="1"/>
  <c r="E71" i="4"/>
  <c r="F71" i="4" s="1"/>
  <c r="E72" i="4"/>
  <c r="F72" i="4" s="1"/>
  <c r="E988" i="4"/>
  <c r="F988" i="4" s="1"/>
  <c r="E989" i="4"/>
  <c r="F989" i="4" s="1"/>
  <c r="E2844" i="4"/>
  <c r="F2844" i="4" s="1"/>
  <c r="E2845" i="4"/>
  <c r="F2845" i="4" s="1"/>
  <c r="E2846" i="4"/>
  <c r="F2846" i="4" s="1"/>
  <c r="E2847" i="4"/>
  <c r="F2847" i="4" s="1"/>
  <c r="E2848" i="4"/>
  <c r="F2848" i="4" s="1"/>
  <c r="E2849" i="4"/>
  <c r="F2849" i="4" s="1"/>
  <c r="E2843" i="4"/>
  <c r="F2843" i="4" s="1"/>
  <c r="E1342" i="4"/>
  <c r="F1342" i="4" s="1"/>
  <c r="E1343" i="4"/>
  <c r="F1343" i="4" s="1"/>
  <c r="E1344" i="4"/>
  <c r="F1344" i="4" s="1"/>
  <c r="E1345" i="4"/>
  <c r="F1345" i="4" s="1"/>
  <c r="E1341" i="4"/>
  <c r="F1341" i="4" s="1"/>
  <c r="E2654" i="4"/>
  <c r="F2654" i="4" s="1"/>
  <c r="E2655" i="4"/>
  <c r="F2655" i="4" s="1"/>
  <c r="E2656" i="4"/>
  <c r="F2656" i="4" s="1"/>
  <c r="E1673" i="4"/>
  <c r="F1673" i="4" s="1"/>
  <c r="E1674" i="4"/>
  <c r="F1674" i="4" s="1"/>
  <c r="E139" i="4"/>
  <c r="F139" i="4" s="1"/>
  <c r="E135" i="4"/>
  <c r="F135" i="4" s="1"/>
  <c r="E136" i="4"/>
  <c r="F136" i="4" s="1"/>
  <c r="E137" i="4"/>
  <c r="F137" i="4" s="1"/>
  <c r="E134" i="4"/>
  <c r="F134" i="4" s="1"/>
  <c r="E138" i="4"/>
  <c r="F138" i="4" s="1"/>
  <c r="E625" i="4"/>
  <c r="F625" i="4" s="1"/>
  <c r="E626" i="4"/>
  <c r="F626" i="4" s="1"/>
  <c r="E211" i="4"/>
  <c r="F211" i="4" s="1"/>
  <c r="E212" i="4"/>
  <c r="F212" i="4" s="1"/>
  <c r="E209" i="4"/>
  <c r="F209" i="4" s="1"/>
  <c r="E210" i="4"/>
  <c r="F210" i="4" s="1"/>
  <c r="E213" i="4"/>
  <c r="F213" i="4" s="1"/>
  <c r="E1942" i="4"/>
  <c r="F1942" i="4" s="1"/>
  <c r="E1943" i="4"/>
  <c r="F1943" i="4" s="1"/>
  <c r="E1944" i="4"/>
  <c r="F1944" i="4" s="1"/>
  <c r="E1945" i="4"/>
  <c r="F1945" i="4" s="1"/>
  <c r="E945" i="4"/>
  <c r="F945" i="4" s="1"/>
  <c r="E946" i="4"/>
  <c r="F946" i="4" s="1"/>
  <c r="E947" i="4"/>
  <c r="F947" i="4" s="1"/>
  <c r="E2326" i="4"/>
  <c r="F2326" i="4" s="1"/>
  <c r="E2327" i="4"/>
  <c r="F2327" i="4" s="1"/>
  <c r="E2328" i="4"/>
  <c r="F2328" i="4" s="1"/>
  <c r="E2324" i="4"/>
  <c r="F2324" i="4" s="1"/>
  <c r="E2325" i="4"/>
  <c r="F2325" i="4" s="1"/>
  <c r="E2329" i="4"/>
  <c r="F2329" i="4" s="1"/>
  <c r="E2900" i="4"/>
  <c r="F2900" i="4" s="1"/>
  <c r="E2901" i="4"/>
  <c r="F2901" i="4" s="1"/>
  <c r="E2902" i="4"/>
  <c r="F2902" i="4" s="1"/>
  <c r="E628" i="4"/>
  <c r="F628" i="4" s="1"/>
  <c r="E629" i="4"/>
  <c r="F629" i="4" s="1"/>
  <c r="E627" i="4"/>
  <c r="F627" i="4" s="1"/>
  <c r="E3097" i="4"/>
  <c r="F3097" i="4" s="1"/>
  <c r="E3095" i="4"/>
  <c r="F3095" i="4" s="1"/>
  <c r="E3096" i="4"/>
  <c r="F3096" i="4" s="1"/>
  <c r="E1686" i="4"/>
  <c r="F1686" i="4" s="1"/>
  <c r="E1687" i="4"/>
  <c r="F1687" i="4" s="1"/>
  <c r="E1688" i="4"/>
  <c r="F1688" i="4" s="1"/>
  <c r="E1462" i="4"/>
  <c r="F1462" i="4" s="1"/>
  <c r="E1457" i="4"/>
  <c r="F1457" i="4" s="1"/>
  <c r="E1460" i="4"/>
  <c r="F1460" i="4" s="1"/>
  <c r="E1458" i="4"/>
  <c r="F1458" i="4" s="1"/>
  <c r="E1459" i="4"/>
  <c r="F1459" i="4" s="1"/>
  <c r="E1461" i="4"/>
  <c r="F1461" i="4" s="1"/>
  <c r="E2105" i="4"/>
  <c r="F2105" i="4" s="1"/>
  <c r="E2107" i="4"/>
  <c r="F2107" i="4" s="1"/>
  <c r="E2106" i="4"/>
  <c r="F2106" i="4" s="1"/>
  <c r="E1414" i="4"/>
  <c r="F1414" i="4" s="1"/>
  <c r="E1412" i="4"/>
  <c r="F1412" i="4" s="1"/>
  <c r="E1411" i="4"/>
  <c r="F1411" i="4" s="1"/>
  <c r="E1413" i="4"/>
  <c r="F1413" i="4" s="1"/>
  <c r="E1455" i="4"/>
  <c r="F1455" i="4" s="1"/>
  <c r="E1456" i="4"/>
  <c r="F1456" i="4" s="1"/>
  <c r="E235" i="4"/>
  <c r="F235" i="4" s="1"/>
  <c r="E234" i="4"/>
  <c r="F234" i="4" s="1"/>
  <c r="E1166" i="4"/>
  <c r="F1166" i="4" s="1"/>
  <c r="E1167" i="4"/>
  <c r="F1167" i="4" s="1"/>
  <c r="E1168" i="4"/>
  <c r="F1168" i="4" s="1"/>
  <c r="E2720" i="4"/>
  <c r="F2720" i="4" s="1"/>
  <c r="E2723" i="4"/>
  <c r="F2723" i="4" s="1"/>
  <c r="E2721" i="4"/>
  <c r="F2721" i="4" s="1"/>
  <c r="E2722" i="4"/>
  <c r="F2722" i="4" s="1"/>
  <c r="E1654" i="4"/>
  <c r="F1654" i="4" s="1"/>
  <c r="E1653" i="4"/>
  <c r="F1653" i="4" s="1"/>
  <c r="E3044" i="4"/>
  <c r="F3044" i="4" s="1"/>
  <c r="E3043" i="4"/>
  <c r="F3043" i="4" s="1"/>
  <c r="E3042" i="4"/>
  <c r="F3042" i="4" s="1"/>
  <c r="E3041" i="4"/>
  <c r="F3041" i="4" s="1"/>
  <c r="E2076" i="4"/>
  <c r="F2076" i="4" s="1"/>
  <c r="E2077" i="4"/>
  <c r="F2077" i="4" s="1"/>
  <c r="E2075" i="4"/>
  <c r="F2075" i="4" s="1"/>
  <c r="E2074" i="4"/>
  <c r="F2074" i="4" s="1"/>
  <c r="E1255" i="4"/>
  <c r="F1255" i="4" s="1"/>
  <c r="E1256" i="4"/>
  <c r="F1256" i="4" s="1"/>
  <c r="E1257" i="4"/>
  <c r="F1257" i="4" s="1"/>
  <c r="E1258" i="4"/>
  <c r="F1258" i="4" s="1"/>
  <c r="E3098" i="4"/>
  <c r="F3098" i="4" s="1"/>
  <c r="E3099" i="4"/>
  <c r="F3099" i="4" s="1"/>
  <c r="E3100" i="4"/>
  <c r="F3100" i="4" s="1"/>
  <c r="E3103" i="4"/>
  <c r="F3103" i="4" s="1"/>
  <c r="E3102" i="4"/>
  <c r="F3102" i="4" s="1"/>
  <c r="E3101" i="4"/>
  <c r="F3101" i="4" s="1"/>
  <c r="E2918" i="4"/>
  <c r="F2918" i="4" s="1"/>
  <c r="E2919" i="4"/>
  <c r="F2919" i="4" s="1"/>
  <c r="E2920" i="4"/>
  <c r="F2920" i="4" s="1"/>
  <c r="E2910" i="4"/>
  <c r="F2910" i="4" s="1"/>
  <c r="E2911" i="4"/>
  <c r="F2911" i="4" s="1"/>
  <c r="E2912" i="4"/>
  <c r="F2912" i="4" s="1"/>
  <c r="E2913" i="4"/>
  <c r="F2913" i="4" s="1"/>
  <c r="E1726" i="4"/>
  <c r="F1726" i="4" s="1"/>
  <c r="E1727" i="4"/>
  <c r="F1727" i="4" s="1"/>
  <c r="E1724" i="4"/>
  <c r="F1724" i="4" s="1"/>
  <c r="E1725" i="4"/>
  <c r="F1725" i="4" s="1"/>
  <c r="E2470" i="4"/>
  <c r="F2470" i="4" s="1"/>
  <c r="E2468" i="4"/>
  <c r="F2468" i="4" s="1"/>
  <c r="E2466" i="4"/>
  <c r="F2466" i="4" s="1"/>
  <c r="E2467" i="4"/>
  <c r="F2467" i="4" s="1"/>
  <c r="E2469" i="4"/>
  <c r="F2469" i="4" s="1"/>
  <c r="E2465" i="4"/>
  <c r="F2465" i="4" s="1"/>
  <c r="E1655" i="4"/>
  <c r="F1655" i="4" s="1"/>
  <c r="E1656" i="4"/>
  <c r="F1656" i="4" s="1"/>
  <c r="E1657" i="4"/>
  <c r="F1657" i="4" s="1"/>
  <c r="E1658" i="4"/>
  <c r="F1658" i="4" s="1"/>
  <c r="E1659" i="4"/>
  <c r="F1659" i="4" s="1"/>
  <c r="E1881" i="4"/>
  <c r="F1881" i="4" s="1"/>
  <c r="E1882" i="4"/>
  <c r="F1882" i="4" s="1"/>
  <c r="E1883" i="4"/>
  <c r="F1883" i="4" s="1"/>
  <c r="E1223" i="4"/>
  <c r="F1223" i="4" s="1"/>
  <c r="E1224" i="4"/>
  <c r="F1224" i="4" s="1"/>
  <c r="E329" i="4"/>
  <c r="F329" i="4" s="1"/>
  <c r="E330" i="4"/>
  <c r="F330" i="4" s="1"/>
  <c r="E1814" i="4"/>
  <c r="F1814" i="4" s="1"/>
  <c r="E1813" i="4"/>
  <c r="F1813" i="4" s="1"/>
  <c r="E868" i="4"/>
  <c r="F868" i="4" s="1"/>
  <c r="E869" i="4"/>
  <c r="F869" i="4" s="1"/>
  <c r="E1940" i="4"/>
  <c r="F1940" i="4" s="1"/>
  <c r="E1938" i="4"/>
  <c r="F1938" i="4" s="1"/>
  <c r="E1939" i="4"/>
  <c r="F1939" i="4" s="1"/>
  <c r="E1941" i="4"/>
  <c r="F1941" i="4" s="1"/>
  <c r="E1222" i="4"/>
  <c r="F1222" i="4" s="1"/>
  <c r="E1220" i="4"/>
  <c r="F1220" i="4" s="1"/>
  <c r="E1219" i="4"/>
  <c r="F1219" i="4" s="1"/>
  <c r="E1221" i="4"/>
  <c r="F1221" i="4" s="1"/>
  <c r="E790" i="4"/>
  <c r="F790" i="4" s="1"/>
  <c r="E791" i="4"/>
  <c r="F791" i="4" s="1"/>
  <c r="E788" i="4"/>
  <c r="F788" i="4" s="1"/>
  <c r="E789" i="4"/>
  <c r="F789" i="4" s="1"/>
  <c r="E787" i="4"/>
  <c r="F787" i="4" s="1"/>
  <c r="E2652" i="4"/>
  <c r="F2652" i="4" s="1"/>
  <c r="E2650" i="4"/>
  <c r="F2650" i="4" s="1"/>
  <c r="E2651" i="4"/>
  <c r="F2651" i="4" s="1"/>
  <c r="E2649" i="4"/>
  <c r="F2649" i="4" s="1"/>
  <c r="E834" i="4"/>
  <c r="F834" i="4" s="1"/>
  <c r="E835" i="4"/>
  <c r="F835" i="4" s="1"/>
  <c r="E1684" i="4"/>
  <c r="F1684" i="4" s="1"/>
  <c r="E1685" i="4"/>
  <c r="F1685" i="4" s="1"/>
  <c r="E994" i="4"/>
  <c r="F994" i="4" s="1"/>
  <c r="E996" i="4"/>
  <c r="F996" i="4" s="1"/>
  <c r="E995" i="4"/>
  <c r="F995" i="4" s="1"/>
  <c r="E1049" i="4"/>
  <c r="F1049" i="4" s="1"/>
  <c r="E1050" i="4"/>
  <c r="F1050" i="4" s="1"/>
  <c r="E3110" i="4"/>
  <c r="F3110" i="4" s="1"/>
  <c r="E3109" i="4"/>
  <c r="F3109" i="4" s="1"/>
  <c r="E295" i="4"/>
  <c r="F295" i="4" s="1"/>
  <c r="E296" i="4"/>
  <c r="F296" i="4" s="1"/>
  <c r="E297" i="4"/>
  <c r="F297" i="4" s="1"/>
  <c r="E294" i="4"/>
  <c r="F294" i="4" s="1"/>
  <c r="E298" i="4"/>
  <c r="F298" i="4" s="1"/>
  <c r="E918" i="4"/>
  <c r="F918" i="4" s="1"/>
  <c r="E919" i="4"/>
  <c r="F919" i="4" s="1"/>
  <c r="E2702" i="4"/>
  <c r="F2702" i="4" s="1"/>
  <c r="E2705" i="4"/>
  <c r="F2705" i="4" s="1"/>
  <c r="E2703" i="4"/>
  <c r="F2703" i="4" s="1"/>
  <c r="E2704" i="4"/>
  <c r="F2704" i="4" s="1"/>
  <c r="E654" i="4"/>
  <c r="F654" i="4" s="1"/>
  <c r="E655" i="4"/>
  <c r="F655" i="4" s="1"/>
  <c r="E656" i="4"/>
  <c r="F656" i="4" s="1"/>
  <c r="E657" i="4"/>
  <c r="F657" i="4" s="1"/>
  <c r="E652" i="4"/>
  <c r="F652" i="4" s="1"/>
  <c r="E653" i="4"/>
  <c r="F653" i="4" s="1"/>
  <c r="E651" i="4"/>
  <c r="F651" i="4" s="1"/>
  <c r="E1740" i="4"/>
  <c r="F1740" i="4" s="1"/>
  <c r="E1741" i="4"/>
  <c r="F1741" i="4" s="1"/>
  <c r="E1739" i="4"/>
  <c r="F1739" i="4" s="1"/>
  <c r="E974" i="4"/>
  <c r="F974" i="4" s="1"/>
  <c r="E975" i="4"/>
  <c r="F975" i="4" s="1"/>
  <c r="E973" i="4"/>
  <c r="F973" i="4" s="1"/>
  <c r="E1294" i="4"/>
  <c r="F1294" i="4" s="1"/>
  <c r="E1295" i="4"/>
  <c r="F1295" i="4" s="1"/>
  <c r="E1296" i="4"/>
  <c r="F1296" i="4" s="1"/>
  <c r="E1297" i="4"/>
  <c r="F1297" i="4" s="1"/>
  <c r="E706" i="4"/>
  <c r="F706" i="4" s="1"/>
  <c r="E708" i="4"/>
  <c r="F708" i="4" s="1"/>
  <c r="E707" i="4"/>
  <c r="F707" i="4" s="1"/>
  <c r="E1838" i="4"/>
  <c r="F1838" i="4" s="1"/>
  <c r="E1839" i="4"/>
  <c r="F1839" i="4" s="1"/>
  <c r="E1836" i="4"/>
  <c r="F1836" i="4" s="1"/>
  <c r="E1837" i="4"/>
  <c r="F1837" i="4" s="1"/>
  <c r="E2988" i="4"/>
  <c r="F2988" i="4" s="1"/>
  <c r="E2982" i="4"/>
  <c r="F2982" i="4" s="1"/>
  <c r="E2983" i="4"/>
  <c r="F2983" i="4" s="1"/>
  <c r="E2984" i="4"/>
  <c r="F2984" i="4" s="1"/>
  <c r="E2985" i="4"/>
  <c r="F2985" i="4" s="1"/>
  <c r="E2989" i="4"/>
  <c r="F2989" i="4" s="1"/>
  <c r="E2987" i="4"/>
  <c r="F2987" i="4" s="1"/>
  <c r="E2990" i="4"/>
  <c r="F2990" i="4" s="1"/>
  <c r="E2981" i="4"/>
  <c r="F2981" i="4" s="1"/>
  <c r="E2986" i="4"/>
  <c r="F2986" i="4" s="1"/>
  <c r="E2860" i="4"/>
  <c r="F2860" i="4" s="1"/>
  <c r="E2861" i="4"/>
  <c r="F2861" i="4" s="1"/>
  <c r="E2858" i="4"/>
  <c r="F2858" i="4" s="1"/>
  <c r="E2862" i="4"/>
  <c r="F2862" i="4" s="1"/>
  <c r="E2859" i="4"/>
  <c r="F2859" i="4" s="1"/>
  <c r="E1470" i="4"/>
  <c r="F1470" i="4" s="1"/>
  <c r="E1471" i="4"/>
  <c r="F1471" i="4" s="1"/>
  <c r="E1468" i="4"/>
  <c r="F1468" i="4" s="1"/>
  <c r="E1469" i="4"/>
  <c r="F1469" i="4" s="1"/>
  <c r="E3081" i="4"/>
  <c r="F3081" i="4" s="1"/>
  <c r="E3082" i="4"/>
  <c r="F3082" i="4" s="1"/>
  <c r="E3080" i="4"/>
  <c r="F3080" i="4" s="1"/>
  <c r="E3028" i="4"/>
  <c r="F3028" i="4" s="1"/>
  <c r="E3027" i="4"/>
  <c r="F3027" i="4" s="1"/>
  <c r="E3029" i="4"/>
  <c r="F3029" i="4" s="1"/>
  <c r="E3030" i="4"/>
  <c r="F3030" i="4" s="1"/>
  <c r="E3025" i="4"/>
  <c r="F3025" i="4" s="1"/>
  <c r="E3026" i="4"/>
  <c r="F3026" i="4" s="1"/>
  <c r="E2948" i="4"/>
  <c r="F2948" i="4" s="1"/>
  <c r="E2945" i="4"/>
  <c r="F2945" i="4" s="1"/>
  <c r="E2946" i="4"/>
  <c r="F2946" i="4" s="1"/>
  <c r="E2947" i="4"/>
  <c r="F2947" i="4" s="1"/>
  <c r="E2944" i="4"/>
  <c r="F2944" i="4" s="1"/>
  <c r="E152" i="4"/>
  <c r="F152" i="4" s="1"/>
  <c r="E153" i="4"/>
  <c r="F153" i="4" s="1"/>
  <c r="E154" i="4"/>
  <c r="F154" i="4" s="1"/>
  <c r="E1542" i="4"/>
  <c r="F1542" i="4" s="1"/>
  <c r="E1543" i="4"/>
  <c r="F1543" i="4" s="1"/>
  <c r="E1544" i="4"/>
  <c r="F1544" i="4" s="1"/>
  <c r="E1545" i="4"/>
  <c r="F1545" i="4" s="1"/>
  <c r="E1566" i="4"/>
  <c r="F1566" i="4" s="1"/>
  <c r="E1567" i="4"/>
  <c r="F1567" i="4" s="1"/>
  <c r="E1568" i="4"/>
  <c r="F1568" i="4" s="1"/>
  <c r="E1304" i="4"/>
  <c r="F1304" i="4" s="1"/>
  <c r="E1305" i="4"/>
  <c r="F1305" i="4" s="1"/>
  <c r="E1306" i="4"/>
  <c r="F1306" i="4" s="1"/>
  <c r="E2665" i="4"/>
  <c r="F2665" i="4" s="1"/>
  <c r="E2666" i="4"/>
  <c r="F2666" i="4" s="1"/>
  <c r="E75" i="4"/>
  <c r="F75" i="4" s="1"/>
  <c r="E76" i="4"/>
  <c r="F76" i="4" s="1"/>
  <c r="E74" i="4"/>
  <c r="F74" i="4" s="1"/>
  <c r="E606" i="4"/>
  <c r="F606" i="4" s="1"/>
  <c r="E607" i="4"/>
  <c r="F607" i="4" s="1"/>
  <c r="E608" i="4"/>
  <c r="F608" i="4" s="1"/>
  <c r="E609" i="4"/>
  <c r="F609" i="4" s="1"/>
  <c r="E610" i="4"/>
  <c r="F610" i="4" s="1"/>
  <c r="E605" i="4"/>
  <c r="F605" i="4" s="1"/>
  <c r="E600" i="4"/>
  <c r="F600" i="4" s="1"/>
  <c r="E601" i="4"/>
  <c r="F601" i="4" s="1"/>
  <c r="E602" i="4"/>
  <c r="F602" i="4" s="1"/>
  <c r="E604" i="4"/>
  <c r="F604" i="4" s="1"/>
  <c r="E603" i="4"/>
  <c r="F603" i="4" s="1"/>
  <c r="E2310" i="4"/>
  <c r="F2310" i="4" s="1"/>
  <c r="E2311" i="4"/>
  <c r="F2311" i="4" s="1"/>
  <c r="E2312" i="4"/>
  <c r="F2312" i="4" s="1"/>
  <c r="E2308" i="4"/>
  <c r="F2308" i="4" s="1"/>
  <c r="E2309" i="4"/>
  <c r="F2309" i="4" s="1"/>
  <c r="E2313" i="4"/>
  <c r="F2313" i="4" s="1"/>
  <c r="E1246" i="4"/>
  <c r="F1246" i="4" s="1"/>
  <c r="E1247" i="4"/>
  <c r="F1247" i="4" s="1"/>
  <c r="E1248" i="4"/>
  <c r="F1248" i="4" s="1"/>
  <c r="E2174" i="4"/>
  <c r="F2174" i="4" s="1"/>
  <c r="E2175" i="4"/>
  <c r="F2175" i="4" s="1"/>
  <c r="E2176" i="4"/>
  <c r="F2176" i="4" s="1"/>
  <c r="E2173" i="4"/>
  <c r="F2173" i="4" s="1"/>
  <c r="E2177" i="4"/>
  <c r="F2177" i="4" s="1"/>
  <c r="E1444" i="4"/>
  <c r="F1444" i="4" s="1"/>
  <c r="E1445" i="4"/>
  <c r="F1445" i="4" s="1"/>
  <c r="E549" i="4"/>
  <c r="F549" i="4" s="1"/>
  <c r="E551" i="4"/>
  <c r="F551" i="4" s="1"/>
  <c r="E552" i="4"/>
  <c r="F552" i="4" s="1"/>
  <c r="E550" i="4"/>
  <c r="F550" i="4" s="1"/>
  <c r="E291" i="4"/>
  <c r="F291" i="4" s="1"/>
  <c r="E292" i="4"/>
  <c r="F292" i="4" s="1"/>
  <c r="E2038" i="4"/>
  <c r="F2038" i="4" s="1"/>
  <c r="E2036" i="4"/>
  <c r="F2036" i="4" s="1"/>
  <c r="E2034" i="4"/>
  <c r="F2034" i="4" s="1"/>
  <c r="E2035" i="4"/>
  <c r="F2035" i="4" s="1"/>
  <c r="E2037" i="4"/>
  <c r="F2037" i="4" s="1"/>
  <c r="E2130" i="4"/>
  <c r="F2130" i="4" s="1"/>
  <c r="E2131" i="4"/>
  <c r="F2131" i="4" s="1"/>
  <c r="E2129" i="4"/>
  <c r="F2129" i="4" s="1"/>
  <c r="E2172" i="4"/>
  <c r="F2172" i="4" s="1"/>
  <c r="E2169" i="4"/>
  <c r="F2169" i="4" s="1"/>
  <c r="E2170" i="4"/>
  <c r="F2170" i="4" s="1"/>
  <c r="E2171" i="4"/>
  <c r="F2171" i="4" s="1"/>
  <c r="E1102" i="4"/>
  <c r="F1102" i="4" s="1"/>
  <c r="E1103" i="4"/>
  <c r="F1103" i="4" s="1"/>
  <c r="E2135" i="4"/>
  <c r="F2135" i="4" s="1"/>
  <c r="E2136" i="4"/>
  <c r="F2136" i="4" s="1"/>
  <c r="E2137" i="4"/>
  <c r="F2137" i="4" s="1"/>
  <c r="E531" i="4"/>
  <c r="F531" i="4" s="1"/>
  <c r="E532" i="4"/>
  <c r="F532" i="4" s="1"/>
  <c r="E533" i="4"/>
  <c r="F533" i="4" s="1"/>
  <c r="E534" i="4"/>
  <c r="F534" i="4" s="1"/>
  <c r="E529" i="4"/>
  <c r="F529" i="4" s="1"/>
  <c r="E530" i="4"/>
  <c r="F530" i="4" s="1"/>
  <c r="E2740" i="4"/>
  <c r="F2740" i="4" s="1"/>
  <c r="E2738" i="4"/>
  <c r="F2738" i="4" s="1"/>
  <c r="E2742" i="4"/>
  <c r="F2742" i="4" s="1"/>
  <c r="E2739" i="4"/>
  <c r="F2739" i="4" s="1"/>
  <c r="E2741" i="4"/>
  <c r="F2741" i="4" s="1"/>
  <c r="E598" i="4"/>
  <c r="F598" i="4" s="1"/>
  <c r="E599" i="4"/>
  <c r="F599" i="4" s="1"/>
  <c r="E594" i="4"/>
  <c r="F594" i="4" s="1"/>
  <c r="E596" i="4"/>
  <c r="F596" i="4" s="1"/>
  <c r="E597" i="4"/>
  <c r="F597" i="4" s="1"/>
  <c r="E595" i="4"/>
  <c r="F595" i="4" s="1"/>
  <c r="E231" i="4"/>
  <c r="F231" i="4" s="1"/>
  <c r="E232" i="4"/>
  <c r="F232" i="4" s="1"/>
  <c r="E233" i="4"/>
  <c r="F233" i="4" s="1"/>
  <c r="E2004" i="4"/>
  <c r="F2004" i="4" s="1"/>
  <c r="E2002" i="4"/>
  <c r="F2002" i="4" s="1"/>
  <c r="E2003" i="4"/>
  <c r="F2003" i="4" s="1"/>
  <c r="E2005" i="4"/>
  <c r="F2005" i="4" s="1"/>
  <c r="E2001" i="4"/>
  <c r="F2001" i="4" s="1"/>
  <c r="E2372" i="4"/>
  <c r="F2372" i="4" s="1"/>
  <c r="E2370" i="4"/>
  <c r="F2370" i="4" s="1"/>
  <c r="E2371" i="4"/>
  <c r="F2371" i="4" s="1"/>
  <c r="E2369" i="4"/>
  <c r="F2369" i="4" s="1"/>
  <c r="E268" i="4"/>
  <c r="F268" i="4" s="1"/>
  <c r="E271" i="4"/>
  <c r="F271" i="4" s="1"/>
  <c r="E269" i="4"/>
  <c r="F269" i="4" s="1"/>
  <c r="E270" i="4"/>
  <c r="F270" i="4" s="1"/>
  <c r="E1966" i="4"/>
  <c r="F1966" i="4" s="1"/>
  <c r="E1964" i="4"/>
  <c r="F1964" i="4" s="1"/>
  <c r="E1965" i="4"/>
  <c r="F1965" i="4" s="1"/>
  <c r="E1963" i="4"/>
  <c r="F1963" i="4" s="1"/>
  <c r="E2164" i="4"/>
  <c r="F2164" i="4" s="1"/>
  <c r="E2163" i="4"/>
  <c r="F2163" i="4" s="1"/>
  <c r="E2165" i="4"/>
  <c r="F2165" i="4" s="1"/>
  <c r="E3105" i="4"/>
  <c r="F3105" i="4" s="1"/>
  <c r="E3104" i="4"/>
  <c r="F3104" i="4" s="1"/>
  <c r="E1630" i="4"/>
  <c r="F1630" i="4" s="1"/>
  <c r="E1631" i="4"/>
  <c r="F1631" i="4" s="1"/>
  <c r="E1632" i="4"/>
  <c r="F1632" i="4" s="1"/>
  <c r="E1633" i="4"/>
  <c r="F1633" i="4" s="1"/>
  <c r="E1629" i="4"/>
  <c r="F1629" i="4" s="1"/>
  <c r="E1340" i="4"/>
  <c r="F1340" i="4" s="1"/>
  <c r="E1338" i="4"/>
  <c r="F1338" i="4" s="1"/>
  <c r="E1339" i="4"/>
  <c r="F1339" i="4" s="1"/>
  <c r="E2334" i="4"/>
  <c r="F2334" i="4" s="1"/>
  <c r="E2335" i="4"/>
  <c r="F2335" i="4" s="1"/>
  <c r="E2332" i="4"/>
  <c r="F2332" i="4" s="1"/>
  <c r="E2333" i="4"/>
  <c r="F2333" i="4" s="1"/>
  <c r="E2331" i="4"/>
  <c r="F2331" i="4" s="1"/>
  <c r="E1044" i="4"/>
  <c r="F1044" i="4" s="1"/>
  <c r="E1043" i="4"/>
  <c r="F1043" i="4" s="1"/>
  <c r="E220" i="4"/>
  <c r="F220" i="4" s="1"/>
  <c r="E221" i="4"/>
  <c r="F221" i="4" s="1"/>
  <c r="E2647" i="4"/>
  <c r="F2647" i="4" s="1"/>
  <c r="E2648" i="4"/>
  <c r="F2648" i="4" s="1"/>
  <c r="E1254" i="4"/>
  <c r="F1254" i="4" s="1"/>
  <c r="E1249" i="4"/>
  <c r="F1249" i="4" s="1"/>
  <c r="E1252" i="4"/>
  <c r="F1252" i="4" s="1"/>
  <c r="E1251" i="4"/>
  <c r="F1251" i="4" s="1"/>
  <c r="E1250" i="4"/>
  <c r="F1250" i="4" s="1"/>
  <c r="E1253" i="4"/>
  <c r="F1253" i="4" s="1"/>
  <c r="E2764" i="4"/>
  <c r="F2764" i="4" s="1"/>
  <c r="E2765" i="4"/>
  <c r="F2765" i="4" s="1"/>
  <c r="E2766" i="4"/>
  <c r="F2766" i="4" s="1"/>
  <c r="E1776" i="4"/>
  <c r="F1776" i="4" s="1"/>
  <c r="E1778" i="4"/>
  <c r="F1778" i="4" s="1"/>
  <c r="E1779" i="4"/>
  <c r="F1779" i="4" s="1"/>
  <c r="E1777" i="4"/>
  <c r="F1777" i="4" s="1"/>
  <c r="E2888" i="4"/>
  <c r="F2888" i="4" s="1"/>
  <c r="E2887" i="4"/>
  <c r="F2887" i="4" s="1"/>
  <c r="E2769" i="4"/>
  <c r="F2769" i="4" s="1"/>
  <c r="E2768" i="4"/>
  <c r="F2768" i="4" s="1"/>
  <c r="E2767" i="4"/>
  <c r="F2767" i="4" s="1"/>
  <c r="E1612" i="4"/>
  <c r="F1612" i="4" s="1"/>
  <c r="E1611" i="4"/>
  <c r="F1611" i="4" s="1"/>
  <c r="E1094" i="4"/>
  <c r="F1094" i="4" s="1"/>
  <c r="E1095" i="4"/>
  <c r="F1095" i="4" s="1"/>
  <c r="E1096" i="4"/>
  <c r="F1096" i="4" s="1"/>
  <c r="E2494" i="4"/>
  <c r="F2494" i="4" s="1"/>
  <c r="E2495" i="4"/>
  <c r="F2495" i="4" s="1"/>
  <c r="E2496" i="4"/>
  <c r="F2496" i="4" s="1"/>
  <c r="E2493" i="4"/>
  <c r="F2493" i="4" s="1"/>
  <c r="E2048" i="4"/>
  <c r="F2048" i="4" s="1"/>
  <c r="E2050" i="4"/>
  <c r="F2050" i="4" s="1"/>
  <c r="E2049" i="4"/>
  <c r="F2049" i="4" s="1"/>
  <c r="E91" i="4"/>
  <c r="F91" i="4" s="1"/>
  <c r="E87" i="4"/>
  <c r="F87" i="4" s="1"/>
  <c r="E88" i="4"/>
  <c r="F88" i="4" s="1"/>
  <c r="E89" i="4"/>
  <c r="F89" i="4" s="1"/>
  <c r="E90" i="4"/>
  <c r="F90" i="4" s="1"/>
  <c r="E2167" i="4"/>
  <c r="F2167" i="4" s="1"/>
  <c r="E2168" i="4"/>
  <c r="F2168" i="4" s="1"/>
  <c r="E1974" i="4"/>
  <c r="F1974" i="4" s="1"/>
  <c r="E1975" i="4"/>
  <c r="F1975" i="4" s="1"/>
  <c r="E1976" i="4"/>
  <c r="F1976" i="4" s="1"/>
  <c r="E1972" i="4"/>
  <c r="F1972" i="4" s="1"/>
  <c r="E1970" i="4"/>
  <c r="F1970" i="4" s="1"/>
  <c r="E1971" i="4"/>
  <c r="F1971" i="4" s="1"/>
  <c r="E1973" i="4"/>
  <c r="F1973" i="4" s="1"/>
  <c r="E2980" i="4"/>
  <c r="F2980" i="4" s="1"/>
  <c r="E2979" i="4"/>
  <c r="F2979" i="4" s="1"/>
  <c r="E2977" i="4"/>
  <c r="F2977" i="4" s="1"/>
  <c r="E2978" i="4"/>
  <c r="F2978" i="4" s="1"/>
  <c r="E746" i="4"/>
  <c r="F746" i="4" s="1"/>
  <c r="E748" i="4"/>
  <c r="F748" i="4" s="1"/>
  <c r="E747" i="4"/>
  <c r="F747" i="4" s="1"/>
  <c r="E2612" i="4"/>
  <c r="F2612" i="4" s="1"/>
  <c r="E2610" i="4"/>
  <c r="F2610" i="4" s="1"/>
  <c r="E2611" i="4"/>
  <c r="F2611" i="4" s="1"/>
  <c r="E2022" i="4"/>
  <c r="F2022" i="4" s="1"/>
  <c r="E2023" i="4"/>
  <c r="F2023" i="4" s="1"/>
  <c r="E2024" i="4"/>
  <c r="F2024" i="4" s="1"/>
  <c r="E2020" i="4"/>
  <c r="F2020" i="4" s="1"/>
  <c r="E2021" i="4"/>
  <c r="F2021" i="4" s="1"/>
  <c r="E1806" i="4"/>
  <c r="F1806" i="4" s="1"/>
  <c r="E1805" i="4"/>
  <c r="F1805" i="4" s="1"/>
  <c r="E1624" i="4"/>
  <c r="F1624" i="4" s="1"/>
  <c r="E1625" i="4"/>
  <c r="F1625" i="4" s="1"/>
  <c r="E1626" i="4"/>
  <c r="F1626" i="4" s="1"/>
  <c r="E1758" i="4"/>
  <c r="F1758" i="4" s="1"/>
  <c r="E1759" i="4"/>
  <c r="F1759" i="4" s="1"/>
  <c r="E1757" i="4"/>
  <c r="F1757" i="4" s="1"/>
  <c r="E792" i="4"/>
  <c r="F792" i="4" s="1"/>
  <c r="E793" i="4"/>
  <c r="F793" i="4" s="1"/>
  <c r="E794" i="4"/>
  <c r="F794" i="4" s="1"/>
  <c r="E2302" i="4"/>
  <c r="F2302" i="4" s="1"/>
  <c r="E2303" i="4"/>
  <c r="F2303" i="4" s="1"/>
  <c r="E2301" i="4"/>
  <c r="F2301" i="4" s="1"/>
  <c r="E443" i="4"/>
  <c r="F443" i="4" s="1"/>
  <c r="E444" i="4"/>
  <c r="F444" i="4" s="1"/>
  <c r="E439" i="4"/>
  <c r="F439" i="4" s="1"/>
  <c r="E440" i="4"/>
  <c r="F440" i="4" s="1"/>
  <c r="E441" i="4"/>
  <c r="F441" i="4" s="1"/>
  <c r="E438" i="4"/>
  <c r="F438" i="4" s="1"/>
  <c r="E442" i="4"/>
  <c r="F442" i="4" s="1"/>
  <c r="E445" i="4"/>
  <c r="F445" i="4" s="1"/>
  <c r="E437" i="4"/>
  <c r="F437" i="4" s="1"/>
  <c r="E2356" i="4"/>
  <c r="F2356" i="4" s="1"/>
  <c r="E2354" i="4"/>
  <c r="F2354" i="4" s="1"/>
  <c r="E2355" i="4"/>
  <c r="F2355" i="4" s="1"/>
  <c r="E2353" i="4"/>
  <c r="F2353" i="4" s="1"/>
  <c r="E2142" i="4"/>
  <c r="F2142" i="4" s="1"/>
  <c r="E2140" i="4"/>
  <c r="F2140" i="4" s="1"/>
  <c r="E2141" i="4"/>
  <c r="F2141" i="4" s="1"/>
  <c r="E2138" i="4"/>
  <c r="F2138" i="4" s="1"/>
  <c r="E2139" i="4"/>
  <c r="F2139" i="4" s="1"/>
  <c r="E2510" i="4"/>
  <c r="F2510" i="4" s="1"/>
  <c r="E2511" i="4"/>
  <c r="F2511" i="4" s="1"/>
  <c r="E2512" i="4"/>
  <c r="F2512" i="4" s="1"/>
  <c r="E2509" i="4"/>
  <c r="F2509" i="4" s="1"/>
  <c r="E2513" i="4"/>
  <c r="F2513" i="4" s="1"/>
  <c r="E3009" i="4"/>
  <c r="F3009" i="4" s="1"/>
  <c r="E3007" i="4"/>
  <c r="F3007" i="4" s="1"/>
  <c r="E3006" i="4"/>
  <c r="F3006" i="4" s="1"/>
  <c r="E3008" i="4"/>
  <c r="F3008" i="4" s="1"/>
  <c r="E1182" i="4"/>
  <c r="F1182" i="4" s="1"/>
  <c r="E1183" i="4"/>
  <c r="F1183" i="4" s="1"/>
  <c r="E1181" i="4"/>
  <c r="F1181" i="4" s="1"/>
  <c r="E662" i="4"/>
  <c r="F662" i="4" s="1"/>
  <c r="E663" i="4"/>
  <c r="F663" i="4" s="1"/>
  <c r="E664" i="4"/>
  <c r="F664" i="4" s="1"/>
  <c r="E665" i="4"/>
  <c r="F665" i="4" s="1"/>
  <c r="E661" i="4"/>
  <c r="F661" i="4" s="1"/>
  <c r="E1548" i="4"/>
  <c r="F1548" i="4" s="1"/>
  <c r="E1547" i="4"/>
  <c r="F1547" i="4" s="1"/>
  <c r="E1546" i="4"/>
  <c r="F1546" i="4" s="1"/>
  <c r="E689" i="4"/>
  <c r="F689" i="4" s="1"/>
  <c r="E690" i="4"/>
  <c r="F690" i="4" s="1"/>
  <c r="E692" i="4"/>
  <c r="F692" i="4" s="1"/>
  <c r="E691" i="4"/>
  <c r="F691" i="4" s="1"/>
  <c r="E1662" i="4"/>
  <c r="F1662" i="4" s="1"/>
  <c r="E1663" i="4"/>
  <c r="F1663" i="4" s="1"/>
  <c r="E1071" i="4"/>
  <c r="F1071" i="4" s="1"/>
  <c r="E1072" i="4"/>
  <c r="F1072" i="4" s="1"/>
  <c r="E1073" i="4"/>
  <c r="F1073" i="4" s="1"/>
  <c r="E1074" i="4"/>
  <c r="F1074" i="4" s="1"/>
  <c r="E535" i="4"/>
  <c r="F535" i="4" s="1"/>
  <c r="E536" i="4"/>
  <c r="F536" i="4" s="1"/>
  <c r="E537" i="4"/>
  <c r="F537" i="4" s="1"/>
  <c r="E538" i="4"/>
  <c r="F538" i="4" s="1"/>
  <c r="E3052" i="4"/>
  <c r="F3052" i="4" s="1"/>
  <c r="E3053" i="4"/>
  <c r="F3053" i="4" s="1"/>
  <c r="E3054" i="4"/>
  <c r="F3054" i="4" s="1"/>
  <c r="E1916" i="4"/>
  <c r="F1916" i="4" s="1"/>
  <c r="E1915" i="4"/>
  <c r="F1915" i="4" s="1"/>
  <c r="E1198" i="4"/>
  <c r="F1198" i="4" s="1"/>
  <c r="E1199" i="4"/>
  <c r="F1199" i="4" s="1"/>
  <c r="E1193" i="4"/>
  <c r="F1193" i="4" s="1"/>
  <c r="E1194" i="4"/>
  <c r="F1194" i="4" s="1"/>
  <c r="E1196" i="4"/>
  <c r="F1196" i="4" s="1"/>
  <c r="E1195" i="4"/>
  <c r="F1195" i="4" s="1"/>
  <c r="E1197" i="4"/>
  <c r="F1197" i="4" s="1"/>
  <c r="E1022" i="4"/>
  <c r="F1022" i="4" s="1"/>
  <c r="E1023" i="4"/>
  <c r="F1023" i="4" s="1"/>
  <c r="E1021" i="4"/>
  <c r="F1021" i="4" s="1"/>
  <c r="E2863" i="4"/>
  <c r="F2863" i="4" s="1"/>
  <c r="E2864" i="4"/>
  <c r="F2864" i="4" s="1"/>
  <c r="E2084" i="4"/>
  <c r="F2084" i="4" s="1"/>
  <c r="E2082" i="4"/>
  <c r="F2082" i="4" s="1"/>
  <c r="E2083" i="4"/>
  <c r="F2083" i="4" s="1"/>
  <c r="E2085" i="4"/>
  <c r="F2085" i="4" s="1"/>
  <c r="E2081" i="4"/>
  <c r="F2081" i="4" s="1"/>
  <c r="E2748" i="4"/>
  <c r="F2748" i="4" s="1"/>
  <c r="E2744" i="4"/>
  <c r="F2744" i="4" s="1"/>
  <c r="E2745" i="4"/>
  <c r="F2745" i="4" s="1"/>
  <c r="E2746" i="4"/>
  <c r="F2746" i="4" s="1"/>
  <c r="E2747" i="4"/>
  <c r="F2747" i="4" s="1"/>
  <c r="E2749" i="4"/>
  <c r="F2749" i="4" s="1"/>
  <c r="E1646" i="4"/>
  <c r="F1646" i="4" s="1"/>
  <c r="E1647" i="4"/>
  <c r="F1647" i="4" s="1"/>
  <c r="E1184" i="4"/>
  <c r="F1184" i="4" s="1"/>
  <c r="E1185" i="4"/>
  <c r="F1185" i="4" s="1"/>
  <c r="E1186" i="4"/>
  <c r="F1186" i="4" s="1"/>
  <c r="E1187" i="4"/>
  <c r="F1187" i="4" s="1"/>
  <c r="E483" i="4"/>
  <c r="F483" i="4" s="1"/>
  <c r="E484" i="4"/>
  <c r="F484" i="4" s="1"/>
  <c r="E171" i="4"/>
  <c r="F171" i="4" s="1"/>
  <c r="E169" i="4"/>
  <c r="F169" i="4" s="1"/>
  <c r="E170" i="4"/>
  <c r="F170" i="4" s="1"/>
  <c r="E3037" i="4"/>
  <c r="F3037" i="4" s="1"/>
  <c r="E3038" i="4"/>
  <c r="F3038" i="4" s="1"/>
  <c r="E3039" i="4"/>
  <c r="F3039" i="4" s="1"/>
  <c r="E3040" i="4"/>
  <c r="F3040" i="4" s="1"/>
  <c r="E2628" i="4"/>
  <c r="F2628" i="4" s="1"/>
  <c r="E2627" i="4"/>
  <c r="F2627" i="4" s="1"/>
  <c r="E2629" i="4"/>
  <c r="F2629" i="4" s="1"/>
  <c r="E2630" i="4"/>
  <c r="F2630" i="4" s="1"/>
  <c r="E2631" i="4"/>
  <c r="F2631" i="4" s="1"/>
  <c r="E2284" i="4"/>
  <c r="F2284" i="4" s="1"/>
  <c r="E2282" i="4"/>
  <c r="F2282" i="4" s="1"/>
  <c r="E2283" i="4"/>
  <c r="F2283" i="4" s="1"/>
  <c r="E2246" i="4"/>
  <c r="F2246" i="4" s="1"/>
  <c r="E2247" i="4"/>
  <c r="F2247" i="4" s="1"/>
  <c r="E2248" i="4"/>
  <c r="F2248" i="4" s="1"/>
  <c r="E2245" i="4"/>
  <c r="F2245" i="4" s="1"/>
  <c r="E1830" i="4"/>
  <c r="F1830" i="4" s="1"/>
  <c r="E1831" i="4"/>
  <c r="F1831" i="4" s="1"/>
  <c r="E1832" i="4"/>
  <c r="F1832" i="4" s="1"/>
  <c r="E1828" i="4"/>
  <c r="F1828" i="4" s="1"/>
  <c r="E1827" i="4"/>
  <c r="F1827" i="4" s="1"/>
  <c r="E1829" i="4"/>
  <c r="F1829" i="4" s="1"/>
  <c r="E1833" i="4"/>
  <c r="F1833" i="4" s="1"/>
  <c r="E2479" i="4"/>
  <c r="F2479" i="4" s="1"/>
  <c r="E2480" i="4"/>
  <c r="F2480" i="4" s="1"/>
  <c r="E2254" i="4"/>
  <c r="F2254" i="4" s="1"/>
  <c r="E2255" i="4"/>
  <c r="F2255" i="4" s="1"/>
  <c r="E272" i="4"/>
  <c r="F272" i="4" s="1"/>
  <c r="E273" i="4"/>
  <c r="F273" i="4" s="1"/>
  <c r="E274" i="4"/>
  <c r="F274" i="4" s="1"/>
  <c r="E1092" i="4"/>
  <c r="F1092" i="4" s="1"/>
  <c r="E1093" i="4"/>
  <c r="F1093" i="4" s="1"/>
  <c r="E1091" i="4"/>
  <c r="F1091" i="4" s="1"/>
  <c r="E435" i="4"/>
  <c r="F435" i="4" s="1"/>
  <c r="E432" i="4"/>
  <c r="F432" i="4" s="1"/>
  <c r="E433" i="4"/>
  <c r="F433" i="4" s="1"/>
  <c r="E434" i="4"/>
  <c r="F434" i="4" s="1"/>
  <c r="E879" i="4"/>
  <c r="F879" i="4" s="1"/>
  <c r="E880" i="4"/>
  <c r="F880" i="4" s="1"/>
  <c r="E881" i="4"/>
  <c r="F881" i="4" s="1"/>
  <c r="E646" i="4"/>
  <c r="F646" i="4" s="1"/>
  <c r="E647" i="4"/>
  <c r="F647" i="4" s="1"/>
  <c r="E648" i="4"/>
  <c r="F648" i="4" s="1"/>
  <c r="E649" i="4"/>
  <c r="F649" i="4" s="1"/>
  <c r="E650" i="4"/>
  <c r="F650" i="4" s="1"/>
  <c r="E645" i="4"/>
  <c r="F645" i="4" s="1"/>
  <c r="E1415" i="4"/>
  <c r="F1415" i="4" s="1"/>
  <c r="E1416" i="4"/>
  <c r="F1416" i="4" s="1"/>
  <c r="E1417" i="4"/>
  <c r="F1417" i="4" s="1"/>
  <c r="E1418" i="4"/>
  <c r="F1418" i="4" s="1"/>
  <c r="E2424" i="4"/>
  <c r="F2424" i="4" s="1"/>
  <c r="E2425" i="4"/>
  <c r="F2425" i="4" s="1"/>
  <c r="E2426" i="4"/>
  <c r="F2426" i="4" s="1"/>
  <c r="E3073" i="4"/>
  <c r="F3073" i="4" s="1"/>
  <c r="E3074" i="4"/>
  <c r="F3074" i="4" s="1"/>
  <c r="E3072" i="4"/>
  <c r="F3072" i="4" s="1"/>
  <c r="E415" i="4"/>
  <c r="F415" i="4" s="1"/>
  <c r="E413" i="4"/>
  <c r="F413" i="4" s="1"/>
  <c r="E414" i="4"/>
  <c r="F414" i="4" s="1"/>
  <c r="E495" i="4"/>
  <c r="F495" i="4" s="1"/>
  <c r="E496" i="4"/>
  <c r="F496" i="4" s="1"/>
  <c r="E497" i="4"/>
  <c r="F497" i="4" s="1"/>
  <c r="E493" i="4"/>
  <c r="F493" i="4" s="1"/>
  <c r="E494" i="4"/>
  <c r="F494" i="4" s="1"/>
  <c r="E2660" i="4"/>
  <c r="F2660" i="4" s="1"/>
  <c r="E2659" i="4"/>
  <c r="F2659" i="4" s="1"/>
  <c r="E2661" i="4"/>
  <c r="F2661" i="4" s="1"/>
  <c r="E2191" i="4"/>
  <c r="F2191" i="4" s="1"/>
  <c r="E2192" i="4"/>
  <c r="F2192" i="4" s="1"/>
  <c r="E1097" i="4"/>
  <c r="F1097" i="4" s="1"/>
  <c r="E1098" i="4"/>
  <c r="F1098" i="4" s="1"/>
  <c r="E1100" i="4"/>
  <c r="F1100" i="4" s="1"/>
  <c r="E1099" i="4"/>
  <c r="F1099" i="4" s="1"/>
  <c r="E1101" i="4"/>
  <c r="F1101" i="4" s="1"/>
  <c r="E2244" i="4"/>
  <c r="F2244" i="4" s="1"/>
  <c r="E2243" i="4"/>
  <c r="F2243" i="4" s="1"/>
  <c r="E1792" i="4"/>
  <c r="F1792" i="4" s="1"/>
  <c r="E1794" i="4"/>
  <c r="F1794" i="4" s="1"/>
  <c r="E1795" i="4"/>
  <c r="F1795" i="4" s="1"/>
  <c r="E1793" i="4"/>
  <c r="F1793" i="4" s="1"/>
  <c r="E131" i="4"/>
  <c r="F131" i="4" s="1"/>
  <c r="E127" i="4"/>
  <c r="F127" i="4" s="1"/>
  <c r="E128" i="4"/>
  <c r="F128" i="4" s="1"/>
  <c r="E129" i="4"/>
  <c r="F129" i="4" s="1"/>
  <c r="E130" i="4"/>
  <c r="F130" i="4" s="1"/>
  <c r="E1728" i="4"/>
  <c r="F1728" i="4" s="1"/>
  <c r="E1729" i="4"/>
  <c r="F1729" i="4" s="1"/>
  <c r="E1730" i="4"/>
  <c r="F1730" i="4" s="1"/>
  <c r="E1046" i="4"/>
  <c r="F1046" i="4" s="1"/>
  <c r="E1047" i="4"/>
  <c r="F1047" i="4" s="1"/>
  <c r="E1048" i="4"/>
  <c r="F1048" i="4" s="1"/>
  <c r="E1045" i="4"/>
  <c r="F1045" i="4" s="1"/>
  <c r="E3169" i="4"/>
  <c r="F3169" i="4" s="1"/>
  <c r="E3170" i="4"/>
  <c r="F3170" i="4" s="1"/>
  <c r="E1428" i="4"/>
  <c r="F1428" i="4" s="1"/>
  <c r="E1427" i="4"/>
  <c r="F1427" i="4" s="1"/>
  <c r="E1429" i="4"/>
  <c r="F1429" i="4" s="1"/>
  <c r="E2929" i="4"/>
  <c r="F2929" i="4" s="1"/>
  <c r="E2930" i="4"/>
  <c r="F2930" i="4" s="1"/>
  <c r="E2931" i="4"/>
  <c r="F2931" i="4" s="1"/>
  <c r="E1200" i="4"/>
  <c r="F1200" i="4" s="1"/>
  <c r="E1201" i="4"/>
  <c r="F1201" i="4" s="1"/>
  <c r="E1202" i="4"/>
  <c r="F1202" i="4" s="1"/>
  <c r="E2927" i="4"/>
  <c r="F2927" i="4" s="1"/>
  <c r="E2928" i="4"/>
  <c r="F2928" i="4" s="1"/>
  <c r="E2926" i="4"/>
  <c r="F2926" i="4" s="1"/>
  <c r="E1926" i="4"/>
  <c r="F1926" i="4" s="1"/>
  <c r="E1927" i="4"/>
  <c r="F1927" i="4" s="1"/>
  <c r="E1928" i="4"/>
  <c r="F1928" i="4" s="1"/>
  <c r="E1925" i="4"/>
  <c r="F1925" i="4" s="1"/>
  <c r="E890" i="4"/>
  <c r="F890" i="4" s="1"/>
  <c r="E892" i="4"/>
  <c r="F892" i="4" s="1"/>
  <c r="E891" i="4"/>
  <c r="F891" i="4" s="1"/>
  <c r="E897" i="4"/>
  <c r="F897" i="4" s="1"/>
  <c r="E898" i="4"/>
  <c r="F898" i="4" s="1"/>
  <c r="E899" i="4"/>
  <c r="F899" i="4" s="1"/>
  <c r="E2119" i="4"/>
  <c r="F2119" i="4" s="1"/>
  <c r="E2120" i="4"/>
  <c r="F2120" i="4" s="1"/>
  <c r="E2118" i="4"/>
  <c r="F2118" i="4" s="1"/>
  <c r="E2116" i="4"/>
  <c r="F2116" i="4" s="1"/>
  <c r="E2117" i="4"/>
  <c r="F2117" i="4" s="1"/>
  <c r="E1374" i="4"/>
  <c r="F1374" i="4" s="1"/>
  <c r="E1375" i="4"/>
  <c r="F1375" i="4" s="1"/>
  <c r="E1372" i="4"/>
  <c r="F1372" i="4" s="1"/>
  <c r="E1370" i="4"/>
  <c r="F1370" i="4" s="1"/>
  <c r="E1371" i="4"/>
  <c r="F1371" i="4" s="1"/>
  <c r="E1373" i="4"/>
  <c r="F1373" i="4" s="1"/>
  <c r="E905" i="4"/>
  <c r="F905" i="4" s="1"/>
  <c r="E906" i="4"/>
  <c r="F906" i="4" s="1"/>
  <c r="E908" i="4"/>
  <c r="F908" i="4" s="1"/>
  <c r="E907" i="4"/>
  <c r="F907" i="4" s="1"/>
  <c r="E1986" i="4"/>
  <c r="F1986" i="4" s="1"/>
  <c r="E1987" i="4"/>
  <c r="F1987" i="4" s="1"/>
  <c r="E1985" i="4"/>
  <c r="F1985" i="4" s="1"/>
  <c r="E255" i="4"/>
  <c r="F255" i="4" s="1"/>
  <c r="E256" i="4"/>
  <c r="F256" i="4" s="1"/>
  <c r="E254" i="4"/>
  <c r="F254" i="4" s="1"/>
  <c r="E1648" i="4"/>
  <c r="F1648" i="4" s="1"/>
  <c r="E1649" i="4"/>
  <c r="F1649" i="4" s="1"/>
  <c r="E1652" i="4"/>
  <c r="F1652" i="4" s="1"/>
  <c r="E1650" i="4"/>
  <c r="F1650" i="4" s="1"/>
  <c r="E1651" i="4"/>
  <c r="F1651" i="4" s="1"/>
  <c r="E2809" i="4"/>
  <c r="F2809" i="4" s="1"/>
  <c r="E2810" i="4"/>
  <c r="F2810" i="4" s="1"/>
  <c r="E2196" i="4"/>
  <c r="F2196" i="4" s="1"/>
  <c r="E2194" i="4"/>
  <c r="F2194" i="4" s="1"/>
  <c r="E2195" i="4"/>
  <c r="F2195" i="4" s="1"/>
  <c r="E2197" i="4"/>
  <c r="F2197" i="4" s="1"/>
  <c r="E778" i="4"/>
  <c r="F778" i="4" s="1"/>
  <c r="E779" i="4"/>
  <c r="F779" i="4" s="1"/>
  <c r="E1390" i="4"/>
  <c r="F1390" i="4" s="1"/>
  <c r="E1391" i="4"/>
  <c r="F1391" i="4" s="1"/>
  <c r="E1392" i="4"/>
  <c r="F1392" i="4" s="1"/>
  <c r="E1521" i="4"/>
  <c r="F1521" i="4" s="1"/>
  <c r="E1524" i="4"/>
  <c r="F1524" i="4" s="1"/>
  <c r="E1522" i="4"/>
  <c r="F1522" i="4" s="1"/>
  <c r="E1523" i="4"/>
  <c r="F1523" i="4" s="1"/>
  <c r="E1525" i="4"/>
  <c r="F1525" i="4" s="1"/>
  <c r="E179" i="4"/>
  <c r="F179" i="4" s="1"/>
  <c r="E180" i="4"/>
  <c r="F180" i="4" s="1"/>
  <c r="E182" i="4"/>
  <c r="F182" i="4" s="1"/>
  <c r="E181" i="4"/>
  <c r="F181" i="4" s="1"/>
  <c r="E2268" i="4"/>
  <c r="F2268" i="4" s="1"/>
  <c r="E2269" i="4"/>
  <c r="F2269" i="4" s="1"/>
  <c r="E2267" i="4"/>
  <c r="F2267" i="4" s="1"/>
  <c r="E251" i="4"/>
  <c r="F251" i="4" s="1"/>
  <c r="E249" i="4"/>
  <c r="F249" i="4" s="1"/>
  <c r="E250" i="4"/>
  <c r="F250" i="4" s="1"/>
  <c r="E45" i="4"/>
  <c r="F45" i="4" s="1"/>
  <c r="E46" i="4"/>
  <c r="F46" i="4" s="1"/>
  <c r="E67" i="4"/>
  <c r="F67" i="4" s="1"/>
  <c r="E63" i="4"/>
  <c r="F63" i="4" s="1"/>
  <c r="E64" i="4"/>
  <c r="F64" i="4" s="1"/>
  <c r="E65" i="4"/>
  <c r="F65" i="4" s="1"/>
  <c r="E62" i="4"/>
  <c r="F62" i="4" s="1"/>
  <c r="E66" i="4"/>
  <c r="F66" i="4" s="1"/>
  <c r="E31" i="4"/>
  <c r="F31" i="4" s="1"/>
  <c r="E29" i="4"/>
  <c r="F29" i="4" s="1"/>
  <c r="E30" i="4"/>
  <c r="F30" i="4" s="1"/>
  <c r="E491" i="4"/>
  <c r="F491" i="4" s="1"/>
  <c r="E489" i="4"/>
  <c r="F489" i="4" s="1"/>
  <c r="E490" i="4"/>
  <c r="F490" i="4" s="1"/>
  <c r="E279" i="4"/>
  <c r="F279" i="4" s="1"/>
  <c r="E280" i="4"/>
  <c r="F280" i="4" s="1"/>
  <c r="E278" i="4"/>
  <c r="F278" i="4" s="1"/>
  <c r="E1513" i="4"/>
  <c r="F1513" i="4" s="1"/>
  <c r="E1514" i="4"/>
  <c r="F1514" i="4" s="1"/>
  <c r="E1206" i="4"/>
  <c r="F1206" i="4" s="1"/>
  <c r="E1207" i="4"/>
  <c r="F1207" i="4" s="1"/>
  <c r="E1208" i="4"/>
  <c r="F1208" i="4" s="1"/>
  <c r="E1209" i="4"/>
  <c r="F1209" i="4" s="1"/>
  <c r="E1664" i="4"/>
  <c r="F1664" i="4" s="1"/>
  <c r="E1665" i="4"/>
  <c r="F1665" i="4" s="1"/>
  <c r="E1668" i="4"/>
  <c r="F1668" i="4" s="1"/>
  <c r="E1666" i="4"/>
  <c r="F1666" i="4" s="1"/>
  <c r="E1667" i="4"/>
  <c r="F1667" i="4" s="1"/>
  <c r="E862" i="4"/>
  <c r="F862" i="4" s="1"/>
  <c r="E863" i="4"/>
  <c r="F863" i="4" s="1"/>
  <c r="E864" i="4"/>
  <c r="F864" i="4" s="1"/>
  <c r="E2892" i="4"/>
  <c r="F2892" i="4" s="1"/>
  <c r="E2890" i="4"/>
  <c r="F2890" i="4" s="1"/>
  <c r="E2891" i="4"/>
  <c r="F2891" i="4" s="1"/>
  <c r="E2889" i="4"/>
  <c r="F2889" i="4" s="1"/>
  <c r="E1230" i="4"/>
  <c r="F1230" i="4" s="1"/>
  <c r="E1231" i="4"/>
  <c r="F1231" i="4" s="1"/>
  <c r="E1232" i="4"/>
  <c r="F1232" i="4" s="1"/>
  <c r="E1233" i="4"/>
  <c r="F1233" i="4" s="1"/>
  <c r="E1234" i="4"/>
  <c r="F1234" i="4" s="1"/>
  <c r="E2108" i="4"/>
  <c r="F2108" i="4" s="1"/>
  <c r="E2109" i="4"/>
  <c r="F2109" i="4" s="1"/>
  <c r="E1826" i="4"/>
  <c r="F1826" i="4" s="1"/>
  <c r="E1825" i="4"/>
  <c r="F1825" i="4" s="1"/>
  <c r="E1834" i="4"/>
  <c r="F1834" i="4" s="1"/>
  <c r="E1835" i="4"/>
  <c r="F1835" i="4" s="1"/>
  <c r="E156" i="4"/>
  <c r="F156" i="4" s="1"/>
  <c r="E157" i="4"/>
  <c r="F157" i="4" s="1"/>
  <c r="E2292" i="4"/>
  <c r="F2292" i="4" s="1"/>
  <c r="E2290" i="4"/>
  <c r="F2290" i="4" s="1"/>
  <c r="E2291" i="4"/>
  <c r="F2291" i="4" s="1"/>
  <c r="E2293" i="4"/>
  <c r="F2293" i="4" s="1"/>
  <c r="E2289" i="4"/>
  <c r="F2289" i="4" s="1"/>
  <c r="E1065" i="4"/>
  <c r="F1065" i="4" s="1"/>
  <c r="E1066" i="4"/>
  <c r="F1066" i="4" s="1"/>
  <c r="E1495" i="4"/>
  <c r="F1495" i="4" s="1"/>
  <c r="E1496" i="4"/>
  <c r="F1496" i="4" s="1"/>
  <c r="E1497" i="4"/>
  <c r="F1497" i="4" s="1"/>
  <c r="E1494" i="4"/>
  <c r="F1494" i="4" s="1"/>
  <c r="E1493" i="4"/>
  <c r="F1493" i="4" s="1"/>
  <c r="E1162" i="4"/>
  <c r="F1162" i="4" s="1"/>
  <c r="E1164" i="4"/>
  <c r="F1164" i="4" s="1"/>
  <c r="E1163" i="4"/>
  <c r="F1163" i="4" s="1"/>
  <c r="E902" i="4"/>
  <c r="F902" i="4" s="1"/>
  <c r="E903" i="4"/>
  <c r="F903" i="4" s="1"/>
  <c r="E904" i="4"/>
  <c r="F904" i="4" s="1"/>
  <c r="E901" i="4"/>
  <c r="F901" i="4" s="1"/>
  <c r="E368" i="4"/>
  <c r="F368" i="4" s="1"/>
  <c r="E369" i="4"/>
  <c r="F369" i="4" s="1"/>
  <c r="E2903" i="4"/>
  <c r="F2903" i="4" s="1"/>
  <c r="E2904" i="4"/>
  <c r="F2904" i="4" s="1"/>
  <c r="E2448" i="4"/>
  <c r="F2448" i="4" s="1"/>
  <c r="E2450" i="4"/>
  <c r="F2450" i="4" s="1"/>
  <c r="E2449" i="4"/>
  <c r="F2449" i="4" s="1"/>
  <c r="E151" i="4"/>
  <c r="F151" i="4" s="1"/>
  <c r="E150" i="4"/>
  <c r="F150" i="4" s="1"/>
  <c r="E1308" i="4"/>
  <c r="F1308" i="4" s="1"/>
  <c r="E1307" i="4"/>
  <c r="F1307" i="4" s="1"/>
  <c r="E2322" i="4"/>
  <c r="F2322" i="4" s="1"/>
  <c r="E2323" i="4"/>
  <c r="F2323" i="4" s="1"/>
  <c r="E2321" i="4"/>
  <c r="F2321" i="4" s="1"/>
  <c r="E227" i="4"/>
  <c r="F227" i="4" s="1"/>
  <c r="E228" i="4"/>
  <c r="F228" i="4" s="1"/>
  <c r="E226" i="4"/>
  <c r="F226" i="4" s="1"/>
  <c r="E229" i="4"/>
  <c r="F229" i="4" s="1"/>
  <c r="E230" i="4"/>
  <c r="F230" i="4" s="1"/>
  <c r="E2534" i="4"/>
  <c r="F2534" i="4" s="1"/>
  <c r="E2535" i="4"/>
  <c r="F2535" i="4" s="1"/>
  <c r="E2536" i="4"/>
  <c r="F2536" i="4" s="1"/>
  <c r="E2532" i="4"/>
  <c r="F2532" i="4" s="1"/>
  <c r="E2533" i="4"/>
  <c r="F2533" i="4" s="1"/>
  <c r="E2537" i="4"/>
  <c r="F2537" i="4" s="1"/>
  <c r="E776" i="4"/>
  <c r="F776" i="4" s="1"/>
  <c r="E777" i="4"/>
  <c r="F777" i="4" s="1"/>
  <c r="E2402" i="4"/>
  <c r="F2402" i="4" s="1"/>
  <c r="E2403" i="4"/>
  <c r="F2403" i="4" s="1"/>
  <c r="E2401" i="4"/>
  <c r="F2401" i="4" s="1"/>
  <c r="E399" i="4"/>
  <c r="F399" i="4" s="1"/>
  <c r="E400" i="4"/>
  <c r="F400" i="4" s="1"/>
  <c r="E397" i="4"/>
  <c r="F397" i="4" s="1"/>
  <c r="E398" i="4"/>
  <c r="F398" i="4" s="1"/>
  <c r="E2502" i="4"/>
  <c r="F2502" i="4" s="1"/>
  <c r="E2503" i="4"/>
  <c r="F2503" i="4" s="1"/>
  <c r="E2504" i="4"/>
  <c r="F2504" i="4" s="1"/>
  <c r="E2501" i="4"/>
  <c r="F2501" i="4" s="1"/>
  <c r="E27" i="4"/>
  <c r="F27" i="4" s="1"/>
  <c r="E26" i="4"/>
  <c r="F26" i="4" s="1"/>
  <c r="E299" i="4"/>
  <c r="F299" i="4" s="1"/>
  <c r="E300" i="4"/>
  <c r="F300" i="4" s="1"/>
  <c r="E2215" i="4"/>
  <c r="F2215" i="4" s="1"/>
  <c r="E2216" i="4"/>
  <c r="F2216" i="4" s="1"/>
  <c r="E2144" i="4"/>
  <c r="F2144" i="4" s="1"/>
  <c r="E2146" i="4"/>
  <c r="F2146" i="4" s="1"/>
  <c r="E2145" i="4"/>
  <c r="F2145" i="4" s="1"/>
  <c r="E123" i="4"/>
  <c r="F123" i="4" s="1"/>
  <c r="E124" i="4"/>
  <c r="F124" i="4" s="1"/>
  <c r="E122" i="4"/>
  <c r="F122" i="4" s="1"/>
  <c r="E125" i="4"/>
  <c r="F125" i="4" s="1"/>
  <c r="E343" i="4"/>
  <c r="F343" i="4" s="1"/>
  <c r="E344" i="4"/>
  <c r="F344" i="4" s="1"/>
  <c r="E345" i="4"/>
  <c r="F345" i="4" s="1"/>
  <c r="E342" i="4"/>
  <c r="F342" i="4" s="1"/>
  <c r="E2893" i="4"/>
  <c r="F2893" i="4" s="1"/>
  <c r="E2894" i="4"/>
  <c r="F2894" i="4" s="1"/>
  <c r="E2897" i="4"/>
  <c r="F2897" i="4" s="1"/>
  <c r="E2896" i="4"/>
  <c r="F2896" i="4" s="1"/>
  <c r="E2898" i="4"/>
  <c r="F2898" i="4" s="1"/>
  <c r="E2895" i="4"/>
  <c r="F2895" i="4" s="1"/>
  <c r="E315" i="4"/>
  <c r="F315" i="4" s="1"/>
  <c r="E316" i="4"/>
  <c r="F316" i="4" s="1"/>
  <c r="E312" i="4"/>
  <c r="F312" i="4" s="1"/>
  <c r="E313" i="4"/>
  <c r="F313" i="4" s="1"/>
  <c r="E314" i="4"/>
  <c r="F314" i="4" s="1"/>
  <c r="E2304" i="4"/>
  <c r="F2304" i="4" s="1"/>
  <c r="E2306" i="4"/>
  <c r="F2306" i="4" s="1"/>
  <c r="E2307" i="4"/>
  <c r="F2307" i="4" s="1"/>
  <c r="E2305" i="4"/>
  <c r="F2305" i="4" s="1"/>
  <c r="E2092" i="4"/>
  <c r="F2092" i="4" s="1"/>
  <c r="E2093" i="4"/>
  <c r="F2093" i="4" s="1"/>
  <c r="E1990" i="4"/>
  <c r="F1990" i="4" s="1"/>
  <c r="E1991" i="4"/>
  <c r="F1991" i="4" s="1"/>
  <c r="E1989" i="4"/>
  <c r="F1989" i="4" s="1"/>
  <c r="E2708" i="4"/>
  <c r="F2708" i="4" s="1"/>
  <c r="E2707" i="4"/>
  <c r="F2707" i="4" s="1"/>
  <c r="E2706" i="4"/>
  <c r="F2706" i="4" s="1"/>
  <c r="E1268" i="4"/>
  <c r="F1268" i="4" s="1"/>
  <c r="E1269" i="4"/>
  <c r="F1269" i="4" s="1"/>
  <c r="E195" i="4"/>
  <c r="F195" i="4" s="1"/>
  <c r="E196" i="4"/>
  <c r="F196" i="4" s="1"/>
  <c r="E2150" i="4"/>
  <c r="F2150" i="4" s="1"/>
  <c r="E2148" i="4"/>
  <c r="F2148" i="4" s="1"/>
  <c r="E2147" i="4"/>
  <c r="F2147" i="4" s="1"/>
  <c r="E2149" i="4"/>
  <c r="F2149" i="4" s="1"/>
  <c r="E1150" i="4"/>
  <c r="F1150" i="4" s="1"/>
  <c r="E1151" i="4"/>
  <c r="F1151" i="4" s="1"/>
  <c r="E1152" i="4"/>
  <c r="F1152" i="4" s="1"/>
  <c r="E1153" i="4"/>
  <c r="F1153" i="4" s="1"/>
  <c r="E1148" i="4"/>
  <c r="F1148" i="4" s="1"/>
  <c r="E1149" i="4"/>
  <c r="F1149" i="4" s="1"/>
  <c r="E1147" i="4"/>
  <c r="F1147" i="4" s="1"/>
  <c r="E68" i="4"/>
  <c r="F68" i="4" s="1"/>
  <c r="E70" i="4"/>
  <c r="F70" i="4" s="1"/>
  <c r="E69" i="4"/>
  <c r="F69" i="4" s="1"/>
  <c r="E857" i="4"/>
  <c r="F857" i="4" s="1"/>
  <c r="E858" i="4"/>
  <c r="F858" i="4" s="1"/>
  <c r="E99" i="4"/>
  <c r="F99" i="4" s="1"/>
  <c r="E98" i="4"/>
  <c r="F98" i="4" s="1"/>
  <c r="E1604" i="4"/>
  <c r="F1604" i="4" s="1"/>
  <c r="E1603" i="4"/>
  <c r="F1603" i="4" s="1"/>
  <c r="E1605" i="4"/>
  <c r="F1605" i="4" s="1"/>
  <c r="E2692" i="4"/>
  <c r="F2692" i="4" s="1"/>
  <c r="E2689" i="4"/>
  <c r="F2689" i="4" s="1"/>
  <c r="E2690" i="4"/>
  <c r="F2690" i="4" s="1"/>
  <c r="E2691" i="4"/>
  <c r="F2691" i="4" s="1"/>
  <c r="E2693" i="4"/>
  <c r="F2693" i="4" s="1"/>
  <c r="E2588" i="4"/>
  <c r="F2588" i="4" s="1"/>
  <c r="E2589" i="4"/>
  <c r="F2589" i="4" s="1"/>
  <c r="E2587" i="4"/>
  <c r="F2587" i="4" s="1"/>
  <c r="E2586" i="4"/>
  <c r="F2586" i="4" s="1"/>
  <c r="E1868" i="4"/>
  <c r="F1868" i="4" s="1"/>
  <c r="E1867" i="4"/>
  <c r="F1867" i="4" s="1"/>
  <c r="E1800" i="4"/>
  <c r="F1800" i="4" s="1"/>
  <c r="E1804" i="4"/>
  <c r="F1804" i="4" s="1"/>
  <c r="E1801" i="4"/>
  <c r="F1801" i="4" s="1"/>
  <c r="E1802" i="4"/>
  <c r="F1802" i="4" s="1"/>
  <c r="E1803" i="4"/>
  <c r="F1803" i="4" s="1"/>
  <c r="E3139" i="4"/>
  <c r="F3139" i="4" s="1"/>
  <c r="E3140" i="4"/>
  <c r="F3140" i="4" s="1"/>
  <c r="E3141" i="4"/>
  <c r="F3141" i="4" s="1"/>
  <c r="E1998" i="4"/>
  <c r="F1998" i="4" s="1"/>
  <c r="E1999" i="4"/>
  <c r="F1999" i="4" s="1"/>
  <c r="E2000" i="4"/>
  <c r="F2000" i="4" s="1"/>
  <c r="E164" i="4"/>
  <c r="F164" i="4" s="1"/>
  <c r="E167" i="4"/>
  <c r="F167" i="4" s="1"/>
  <c r="E168" i="4"/>
  <c r="F168" i="4" s="1"/>
  <c r="E165" i="4"/>
  <c r="F165" i="4" s="1"/>
  <c r="E166" i="4"/>
  <c r="F166" i="4" s="1"/>
  <c r="E1276" i="4"/>
  <c r="F1276" i="4" s="1"/>
  <c r="E1277" i="4"/>
  <c r="F1277" i="4" s="1"/>
  <c r="E1274" i="4"/>
  <c r="F1274" i="4" s="1"/>
  <c r="E1275" i="4"/>
  <c r="F1275" i="4" s="1"/>
  <c r="E2700" i="4"/>
  <c r="F2700" i="4" s="1"/>
  <c r="E2698" i="4"/>
  <c r="F2698" i="4" s="1"/>
  <c r="E2699" i="4"/>
  <c r="F2699" i="4" s="1"/>
  <c r="E2696" i="4"/>
  <c r="F2696" i="4" s="1"/>
  <c r="E2695" i="4"/>
  <c r="F2695" i="4" s="1"/>
  <c r="E2694" i="4"/>
  <c r="F2694" i="4" s="1"/>
  <c r="E2697" i="4"/>
  <c r="F2697" i="4" s="1"/>
  <c r="E1967" i="4"/>
  <c r="F1967" i="4" s="1"/>
  <c r="E1968" i="4"/>
  <c r="F1968" i="4" s="1"/>
  <c r="E1969" i="4"/>
  <c r="F1969" i="4" s="1"/>
  <c r="E1947" i="4"/>
  <c r="F1947" i="4" s="1"/>
  <c r="E1946" i="4"/>
  <c r="F1946" i="4" s="1"/>
  <c r="E2126" i="4"/>
  <c r="F2126" i="4" s="1"/>
  <c r="E2127" i="4"/>
  <c r="F2127" i="4" s="1"/>
  <c r="E2125" i="4"/>
  <c r="F2125" i="4" s="1"/>
  <c r="E1788" i="4"/>
  <c r="F1788" i="4" s="1"/>
  <c r="E1787" i="4"/>
  <c r="F1787" i="4" s="1"/>
  <c r="E1068" i="4"/>
  <c r="F1068" i="4" s="1"/>
  <c r="E1067" i="4"/>
  <c r="F1067" i="4" s="1"/>
  <c r="E658" i="4"/>
  <c r="F658" i="4" s="1"/>
  <c r="E659" i="4"/>
  <c r="F659" i="4" s="1"/>
  <c r="E2124" i="4"/>
  <c r="F2124" i="4" s="1"/>
  <c r="E2121" i="4"/>
  <c r="F2121" i="4" s="1"/>
  <c r="E2122" i="4"/>
  <c r="F2122" i="4" s="1"/>
  <c r="E2123" i="4"/>
  <c r="F2123" i="4" s="1"/>
  <c r="E1895" i="4"/>
  <c r="F1895" i="4" s="1"/>
  <c r="E1896" i="4"/>
  <c r="F1896" i="4" s="1"/>
  <c r="E1900" i="4"/>
  <c r="F1900" i="4" s="1"/>
  <c r="E1897" i="4"/>
  <c r="F1897" i="4" s="1"/>
  <c r="E1901" i="4"/>
  <c r="F1901" i="4" s="1"/>
  <c r="E1898" i="4"/>
  <c r="F1898" i="4" s="1"/>
  <c r="E1899" i="4"/>
  <c r="F1899" i="4" s="1"/>
  <c r="E1689" i="4"/>
  <c r="F1689" i="4" s="1"/>
  <c r="E1690" i="4"/>
  <c r="F1690" i="4" s="1"/>
  <c r="E764" i="4"/>
  <c r="F764" i="4" s="1"/>
  <c r="E765" i="4"/>
  <c r="F765" i="4" s="1"/>
  <c r="E2294" i="4"/>
  <c r="F2294" i="4" s="1"/>
  <c r="E2295" i="4"/>
  <c r="F2295" i="4" s="1"/>
  <c r="E2008" i="4"/>
  <c r="F2008" i="4" s="1"/>
  <c r="E2009" i="4"/>
  <c r="F2009" i="4" s="1"/>
  <c r="E2350" i="4"/>
  <c r="F2350" i="4" s="1"/>
  <c r="E2351" i="4"/>
  <c r="F2351" i="4" s="1"/>
  <c r="E2348" i="4"/>
  <c r="F2348" i="4" s="1"/>
  <c r="E2349" i="4"/>
  <c r="F2349" i="4" s="1"/>
  <c r="E2052" i="4"/>
  <c r="F2052" i="4" s="1"/>
  <c r="E2051" i="4"/>
  <c r="F2051" i="4" s="1"/>
  <c r="E2053" i="4"/>
  <c r="F2053" i="4" s="1"/>
  <c r="E2276" i="4"/>
  <c r="F2276" i="4" s="1"/>
  <c r="E2275" i="4"/>
  <c r="F2275" i="4" s="1"/>
  <c r="E921" i="4"/>
  <c r="F921" i="4" s="1"/>
  <c r="E922" i="4"/>
  <c r="F922" i="4" s="1"/>
  <c r="E923" i="4"/>
  <c r="F923" i="4" s="1"/>
  <c r="E1710" i="4"/>
  <c r="F1710" i="4" s="1"/>
  <c r="E1708" i="4"/>
  <c r="F1708" i="4" s="1"/>
  <c r="E1709" i="4"/>
  <c r="F1709" i="4" s="1"/>
  <c r="E2828" i="4"/>
  <c r="F2828" i="4" s="1"/>
  <c r="E2827" i="4"/>
  <c r="F2827" i="4" s="1"/>
  <c r="E2826" i="4"/>
  <c r="F2826" i="4" s="1"/>
  <c r="E2824" i="4"/>
  <c r="F2824" i="4" s="1"/>
  <c r="E2823" i="4"/>
  <c r="F2823" i="4" s="1"/>
  <c r="E2825" i="4"/>
  <c r="F2825" i="4" s="1"/>
  <c r="E2822" i="4"/>
  <c r="F2822" i="4" s="1"/>
  <c r="E3106" i="4"/>
  <c r="F3106" i="4" s="1"/>
  <c r="E3107" i="4"/>
  <c r="F3107" i="4" s="1"/>
  <c r="E3108" i="4"/>
  <c r="F3108" i="4" s="1"/>
  <c r="E1977" i="4"/>
  <c r="F1977" i="4" s="1"/>
  <c r="E1979" i="4"/>
  <c r="F1979" i="4" s="1"/>
  <c r="E1978" i="4"/>
  <c r="F1978" i="4" s="1"/>
  <c r="E1018" i="4"/>
  <c r="F1018" i="4" s="1"/>
  <c r="E1020" i="4"/>
  <c r="F1020" i="4" s="1"/>
  <c r="E1019" i="4"/>
  <c r="F1019" i="4" s="1"/>
  <c r="E998" i="4"/>
  <c r="F998" i="4" s="1"/>
  <c r="E999" i="4"/>
  <c r="F999" i="4" s="1"/>
  <c r="E2709" i="4"/>
  <c r="F2709" i="4" s="1"/>
  <c r="E2710" i="4"/>
  <c r="F2710" i="4" s="1"/>
  <c r="E2711" i="4"/>
  <c r="F2711" i="4" s="1"/>
  <c r="E2712" i="4"/>
  <c r="F2712" i="4" s="1"/>
  <c r="E814" i="4"/>
  <c r="F814" i="4" s="1"/>
  <c r="E815" i="4"/>
  <c r="F815" i="4" s="1"/>
  <c r="E816" i="4"/>
  <c r="F816" i="4" s="1"/>
  <c r="E817" i="4"/>
  <c r="F817" i="4" s="1"/>
  <c r="E1070" i="4"/>
  <c r="F1070" i="4" s="1"/>
  <c r="E1069" i="4"/>
  <c r="F1069" i="4" s="1"/>
  <c r="E2812" i="4"/>
  <c r="F2812" i="4" s="1"/>
  <c r="E2811" i="4"/>
  <c r="F2811" i="4" s="1"/>
  <c r="E2815" i="4"/>
  <c r="F2815" i="4" s="1"/>
  <c r="E2813" i="4"/>
  <c r="F2813" i="4" s="1"/>
  <c r="E2814" i="4"/>
  <c r="F2814" i="4" s="1"/>
  <c r="E3060" i="4"/>
  <c r="F3060" i="4" s="1"/>
  <c r="E3058" i="4"/>
  <c r="F3058" i="4" s="1"/>
  <c r="E3059" i="4"/>
  <c r="F3059" i="4" s="1"/>
  <c r="E1790" i="4"/>
  <c r="F1790" i="4" s="1"/>
  <c r="E1791" i="4"/>
  <c r="F1791" i="4" s="1"/>
  <c r="E1789" i="4"/>
  <c r="F1789" i="4" s="1"/>
  <c r="E2430" i="4"/>
  <c r="F2430" i="4" s="1"/>
  <c r="E2431" i="4"/>
  <c r="F2431" i="4" s="1"/>
  <c r="E2428" i="4"/>
  <c r="F2428" i="4" s="1"/>
  <c r="E2429" i="4"/>
  <c r="F2429" i="4" s="1"/>
  <c r="E2427" i="4"/>
  <c r="F2427" i="4" s="1"/>
  <c r="E2839" i="4"/>
  <c r="F2839" i="4" s="1"/>
  <c r="E2842" i="4"/>
  <c r="F2842" i="4" s="1"/>
  <c r="E2841" i="4"/>
  <c r="F2841" i="4" s="1"/>
  <c r="E2840" i="4"/>
  <c r="F2840" i="4" s="1"/>
  <c r="E1401" i="4"/>
  <c r="F1401" i="4" s="1"/>
  <c r="E1404" i="4"/>
  <c r="F1404" i="4" s="1"/>
  <c r="E1402" i="4"/>
  <c r="F1402" i="4" s="1"/>
  <c r="E1403" i="4"/>
  <c r="F1403" i="4" s="1"/>
  <c r="E1750" i="4"/>
  <c r="F1750" i="4" s="1"/>
  <c r="E1751" i="4"/>
  <c r="F1751" i="4" s="1"/>
  <c r="E1748" i="4"/>
  <c r="F1748" i="4" s="1"/>
  <c r="E1749" i="4"/>
  <c r="F1749" i="4" s="1"/>
  <c r="E2151" i="4"/>
  <c r="F2151" i="4" s="1"/>
  <c r="E2152" i="4"/>
  <c r="F2152" i="4" s="1"/>
  <c r="E2153" i="4"/>
  <c r="F2153" i="4" s="1"/>
  <c r="E1863" i="4"/>
  <c r="F1863" i="4" s="1"/>
  <c r="E1864" i="4"/>
  <c r="F1864" i="4" s="1"/>
  <c r="E1865" i="4"/>
  <c r="F1865" i="4" s="1"/>
  <c r="E1866" i="4"/>
  <c r="F1866" i="4" s="1"/>
  <c r="E244" i="4"/>
  <c r="F244" i="4" s="1"/>
  <c r="E247" i="4"/>
  <c r="F247" i="4" s="1"/>
  <c r="E248" i="4"/>
  <c r="F248" i="4" s="1"/>
  <c r="E246" i="4"/>
  <c r="F246" i="4" s="1"/>
  <c r="E245" i="4"/>
  <c r="F245" i="4" s="1"/>
  <c r="E870" i="4"/>
  <c r="F870" i="4" s="1"/>
  <c r="E871" i="4"/>
  <c r="F871" i="4" s="1"/>
  <c r="E713" i="4"/>
  <c r="F713" i="4" s="1"/>
  <c r="E714" i="4"/>
  <c r="F714" i="4" s="1"/>
  <c r="E1489" i="4"/>
  <c r="F1489" i="4" s="1"/>
  <c r="E1492" i="4"/>
  <c r="F1492" i="4" s="1"/>
  <c r="E1491" i="4"/>
  <c r="F1491" i="4" s="1"/>
  <c r="E1490" i="4"/>
  <c r="F1490" i="4" s="1"/>
  <c r="E934" i="4"/>
  <c r="F934" i="4" s="1"/>
  <c r="E933" i="4"/>
  <c r="F933" i="4" s="1"/>
  <c r="E375" i="4"/>
  <c r="F375" i="4" s="1"/>
  <c r="E376" i="4"/>
  <c r="F376" i="4" s="1"/>
  <c r="E377" i="4"/>
  <c r="F377" i="4" s="1"/>
  <c r="E378" i="4"/>
  <c r="F378" i="4" s="1"/>
  <c r="E1903" i="4"/>
  <c r="F1903" i="4" s="1"/>
  <c r="E1904" i="4"/>
  <c r="F1904" i="4" s="1"/>
  <c r="E1906" i="4"/>
  <c r="F1906" i="4" s="1"/>
  <c r="E1907" i="4"/>
  <c r="F1907" i="4" s="1"/>
  <c r="E1905" i="4"/>
  <c r="F1905" i="4" s="1"/>
  <c r="E729" i="4"/>
  <c r="F729" i="4" s="1"/>
  <c r="E730" i="4"/>
  <c r="F730" i="4" s="1"/>
  <c r="E3068" i="4"/>
  <c r="F3068" i="4" s="1"/>
  <c r="E3071" i="4"/>
  <c r="F3071" i="4" s="1"/>
  <c r="E3069" i="4"/>
  <c r="F3069" i="4" s="1"/>
  <c r="E3070" i="4"/>
  <c r="F3070" i="4" s="1"/>
  <c r="E3162" i="4"/>
  <c r="F3162" i="4" s="1"/>
  <c r="E3163" i="4"/>
  <c r="F3163" i="4" s="1"/>
  <c r="E3164" i="4"/>
  <c r="F3164" i="4" s="1"/>
  <c r="E3165" i="4"/>
  <c r="F3165" i="4" s="1"/>
  <c r="E3166" i="4"/>
  <c r="F3166" i="4" s="1"/>
  <c r="E1030" i="4"/>
  <c r="F1030" i="4" s="1"/>
  <c r="E1026" i="4"/>
  <c r="F1026" i="4" s="1"/>
  <c r="E1028" i="4"/>
  <c r="F1028" i="4" s="1"/>
  <c r="E1029" i="4"/>
  <c r="F1029" i="4" s="1"/>
  <c r="E1027" i="4"/>
  <c r="F1027" i="4" s="1"/>
  <c r="E2230" i="4"/>
  <c r="F2230" i="4" s="1"/>
  <c r="E2229" i="4"/>
  <c r="F2229" i="4" s="1"/>
  <c r="E2657" i="4"/>
  <c r="F2657" i="4" s="1"/>
  <c r="E2658" i="4"/>
  <c r="F2658" i="4" s="1"/>
  <c r="E2212" i="4"/>
  <c r="F2212" i="4" s="1"/>
  <c r="E2211" i="4"/>
  <c r="F2211" i="4" s="1"/>
  <c r="E2213" i="4"/>
  <c r="F2213" i="4" s="1"/>
  <c r="E2668" i="4"/>
  <c r="F2668" i="4" s="1"/>
  <c r="E2671" i="4"/>
  <c r="F2671" i="4" s="1"/>
  <c r="E2669" i="4"/>
  <c r="F2669" i="4" s="1"/>
  <c r="E2670" i="4"/>
  <c r="F2670" i="4" s="1"/>
  <c r="E2667" i="4"/>
  <c r="F2667" i="4" s="1"/>
  <c r="E1644" i="4"/>
  <c r="F1644" i="4" s="1"/>
  <c r="E1642" i="4"/>
  <c r="F1642" i="4" s="1"/>
  <c r="E1643" i="4"/>
  <c r="F1643" i="4" s="1"/>
  <c r="E1645" i="4"/>
  <c r="F1645" i="4" s="1"/>
  <c r="E2564" i="4"/>
  <c r="F2564" i="4" s="1"/>
  <c r="E2563" i="4"/>
  <c r="F2563" i="4" s="1"/>
  <c r="E1127" i="4"/>
  <c r="F1127" i="4" s="1"/>
  <c r="E1128" i="4"/>
  <c r="F1128" i="4" s="1"/>
  <c r="E1129" i="4"/>
  <c r="F1129" i="4" s="1"/>
  <c r="E10" i="4"/>
  <c r="F10" i="4" s="1"/>
  <c r="E7" i="4"/>
  <c r="F7" i="4" s="1"/>
  <c r="E8" i="4"/>
  <c r="F8" i="4" s="1"/>
  <c r="E9" i="4"/>
  <c r="F9" i="4" s="1"/>
  <c r="E395" i="4"/>
  <c r="F395" i="4" s="1"/>
  <c r="E392" i="4"/>
  <c r="F392" i="4" s="1"/>
  <c r="E393" i="4"/>
  <c r="F393" i="4" s="1"/>
  <c r="E394" i="4"/>
  <c r="F394" i="4" s="1"/>
  <c r="E2224" i="4"/>
  <c r="F2224" i="4" s="1"/>
  <c r="E2228" i="4"/>
  <c r="F2228" i="4" s="1"/>
  <c r="E2226" i="4"/>
  <c r="F2226" i="4" s="1"/>
  <c r="E2227" i="4"/>
  <c r="F2227" i="4" s="1"/>
  <c r="E2225" i="4"/>
  <c r="F2225" i="4" s="1"/>
  <c r="E2530" i="4"/>
  <c r="F2530" i="4" s="1"/>
  <c r="E2531" i="4"/>
  <c r="F2531" i="4" s="1"/>
  <c r="E2529" i="4"/>
  <c r="F2529" i="4" s="1"/>
  <c r="E252" i="4"/>
  <c r="F252" i="4" s="1"/>
  <c r="E253" i="4"/>
  <c r="F253" i="4" s="1"/>
  <c r="E177" i="4"/>
  <c r="F177" i="4" s="1"/>
  <c r="E178" i="4"/>
  <c r="F178" i="4" s="1"/>
  <c r="E1711" i="4"/>
  <c r="F1711" i="4" s="1"/>
  <c r="E1712" i="4"/>
  <c r="F1712" i="4" s="1"/>
  <c r="E1583" i="4"/>
  <c r="F1583" i="4" s="1"/>
  <c r="E1584" i="4"/>
  <c r="F1584" i="4" s="1"/>
  <c r="E2788" i="4"/>
  <c r="F2788" i="4" s="1"/>
  <c r="E2787" i="4"/>
  <c r="F2787" i="4" s="1"/>
  <c r="E2789" i="4"/>
  <c r="F2789" i="4" s="1"/>
  <c r="E742" i="4"/>
  <c r="F742" i="4" s="1"/>
  <c r="E741" i="4"/>
  <c r="F741" i="4" s="1"/>
  <c r="E516" i="4"/>
  <c r="F516" i="4" s="1"/>
  <c r="E519" i="4"/>
  <c r="F519" i="4" s="1"/>
  <c r="E517" i="4"/>
  <c r="F517" i="4" s="1"/>
  <c r="E518" i="4"/>
  <c r="F518" i="4" s="1"/>
  <c r="E1008" i="4"/>
  <c r="F1008" i="4" s="1"/>
  <c r="E1009" i="4"/>
  <c r="F1009" i="4" s="1"/>
  <c r="E1010" i="4"/>
  <c r="F1010" i="4" s="1"/>
  <c r="E1011" i="4"/>
  <c r="F1011" i="4" s="1"/>
  <c r="E1950" i="4"/>
  <c r="F1950" i="4" s="1"/>
  <c r="E1951" i="4"/>
  <c r="F1951" i="4" s="1"/>
  <c r="E1952" i="4"/>
  <c r="F1952" i="4" s="1"/>
  <c r="E1949" i="4"/>
  <c r="F1949" i="4" s="1"/>
  <c r="E1953" i="4"/>
  <c r="F1953" i="4" s="1"/>
  <c r="E718" i="4"/>
  <c r="F718" i="4" s="1"/>
  <c r="E719" i="4"/>
  <c r="F719" i="4" s="1"/>
  <c r="E720" i="4"/>
  <c r="F720" i="4" s="1"/>
  <c r="E721" i="4"/>
  <c r="F721" i="4" s="1"/>
  <c r="E1302" i="4"/>
  <c r="F1302" i="4" s="1"/>
  <c r="E1303" i="4"/>
  <c r="F1303" i="4" s="1"/>
  <c r="E1300" i="4"/>
  <c r="F1300" i="4" s="1"/>
  <c r="E1299" i="4"/>
  <c r="F1299" i="4" s="1"/>
  <c r="E1301" i="4"/>
  <c r="F1301" i="4" s="1"/>
  <c r="E1298" i="4"/>
  <c r="F1298" i="4" s="1"/>
  <c r="E379" i="4"/>
  <c r="F379" i="4" s="1"/>
  <c r="E380" i="4"/>
  <c r="F380" i="4" s="1"/>
  <c r="E381" i="4"/>
  <c r="F381" i="4" s="1"/>
  <c r="E419" i="4"/>
  <c r="F419" i="4" s="1"/>
  <c r="E420" i="4"/>
  <c r="F420" i="4" s="1"/>
  <c r="E418" i="4"/>
  <c r="F418" i="4" s="1"/>
  <c r="E421" i="4"/>
  <c r="F421" i="4" s="1"/>
  <c r="E810" i="4"/>
  <c r="F810" i="4" s="1"/>
  <c r="E812" i="4"/>
  <c r="F812" i="4" s="1"/>
  <c r="E813" i="4"/>
  <c r="F813" i="4" s="1"/>
  <c r="E811" i="4"/>
  <c r="F811" i="4" s="1"/>
  <c r="E507" i="4"/>
  <c r="F507" i="4" s="1"/>
  <c r="E503" i="4"/>
  <c r="F503" i="4" s="1"/>
  <c r="E504" i="4"/>
  <c r="F504" i="4" s="1"/>
  <c r="E505" i="4"/>
  <c r="F505" i="4" s="1"/>
  <c r="E506" i="4"/>
  <c r="F506" i="4" s="1"/>
  <c r="E215" i="4"/>
  <c r="F215" i="4" s="1"/>
  <c r="E214" i="4"/>
  <c r="F214" i="4" s="1"/>
  <c r="E147" i="4"/>
  <c r="F147" i="4" s="1"/>
  <c r="E145" i="4"/>
  <c r="F145" i="4" s="1"/>
  <c r="E146" i="4"/>
  <c r="F146" i="4" s="1"/>
  <c r="E846" i="4"/>
  <c r="F846" i="4" s="1"/>
  <c r="E845" i="4"/>
  <c r="F845" i="4" s="1"/>
  <c r="E566" i="4"/>
  <c r="F566" i="4" s="1"/>
  <c r="E567" i="4"/>
  <c r="F567" i="4" s="1"/>
  <c r="E569" i="4"/>
  <c r="F569" i="4" s="1"/>
  <c r="E568" i="4"/>
  <c r="F568" i="4" s="1"/>
  <c r="E2018" i="4"/>
  <c r="F2018" i="4" s="1"/>
  <c r="E2019" i="4"/>
  <c r="F2019" i="4" s="1"/>
  <c r="E2017" i="4"/>
  <c r="F2017" i="4" s="1"/>
  <c r="E323" i="4"/>
  <c r="F323" i="4" s="1"/>
  <c r="E324" i="4"/>
  <c r="F324" i="4" s="1"/>
  <c r="E327" i="4"/>
  <c r="F327" i="4" s="1"/>
  <c r="E326" i="4"/>
  <c r="F326" i="4" s="1"/>
  <c r="E325" i="4"/>
  <c r="F325" i="4" s="1"/>
  <c r="E2060" i="4"/>
  <c r="F2060" i="4" s="1"/>
  <c r="E2061" i="4"/>
  <c r="F2061" i="4" s="1"/>
  <c r="E2059" i="4"/>
  <c r="F2059" i="4" s="1"/>
  <c r="E335" i="4"/>
  <c r="F335" i="4" s="1"/>
  <c r="E336" i="4"/>
  <c r="F336" i="4" s="1"/>
  <c r="E2714" i="4"/>
  <c r="F2714" i="4" s="1"/>
  <c r="E2715" i="4"/>
  <c r="F2715" i="4" s="1"/>
  <c r="E2713" i="4"/>
  <c r="F2713" i="4" s="1"/>
  <c r="E2103" i="4"/>
  <c r="F2103" i="4" s="1"/>
  <c r="E2104" i="4"/>
  <c r="F2104" i="4" s="1"/>
  <c r="E119" i="4"/>
  <c r="F119" i="4" s="1"/>
  <c r="E120" i="4"/>
  <c r="F120" i="4" s="1"/>
  <c r="E118" i="4"/>
  <c r="F118" i="4" s="1"/>
  <c r="E1628" i="4"/>
  <c r="F1628" i="4" s="1"/>
  <c r="E1627" i="4"/>
  <c r="F1627" i="4" s="1"/>
  <c r="E572" i="4"/>
  <c r="F572" i="4" s="1"/>
  <c r="E571" i="4"/>
  <c r="F571" i="4" s="1"/>
  <c r="E570" i="4"/>
  <c r="F570" i="4" s="1"/>
  <c r="E758" i="4"/>
  <c r="F758" i="4" s="1"/>
  <c r="E759" i="4"/>
  <c r="F759" i="4" s="1"/>
  <c r="E760" i="4"/>
  <c r="F760" i="4" s="1"/>
  <c r="E761" i="4"/>
  <c r="F761" i="4" s="1"/>
  <c r="E762" i="4"/>
  <c r="F762" i="4" s="1"/>
  <c r="E757" i="4"/>
  <c r="F757" i="4" s="1"/>
  <c r="E3013" i="4"/>
  <c r="F3013" i="4" s="1"/>
  <c r="E3014" i="4"/>
  <c r="F3014" i="4" s="1"/>
  <c r="E3015" i="4"/>
  <c r="F3015" i="4" s="1"/>
  <c r="E1692" i="4"/>
  <c r="F1692" i="4" s="1"/>
  <c r="E1691" i="4"/>
  <c r="F1691" i="4" s="1"/>
  <c r="E199" i="4"/>
  <c r="F199" i="4" s="1"/>
  <c r="E200" i="4"/>
  <c r="F200" i="4" s="1"/>
</calcChain>
</file>

<file path=xl/sharedStrings.xml><?xml version="1.0" encoding="utf-8"?>
<sst xmlns="http://schemas.openxmlformats.org/spreadsheetml/2006/main" count="8299" uniqueCount="5233">
  <si>
    <t>start_p10</t>
  </si>
  <si>
    <t>mem_id</t>
  </si>
  <si>
    <t>1000193972-1</t>
  </si>
  <si>
    <t>1000292440-2</t>
  </si>
  <si>
    <t>1000292440-3</t>
  </si>
  <si>
    <t>1000292440-1</t>
  </si>
  <si>
    <t>1000438461-3</t>
  </si>
  <si>
    <t>1000438461-5</t>
  </si>
  <si>
    <t>1000438461-1</t>
  </si>
  <si>
    <t>1000438461-4</t>
  </si>
  <si>
    <t>1000438461-2</t>
  </si>
  <si>
    <t>1000536137-4</t>
  </si>
  <si>
    <t>1000536137-10</t>
  </si>
  <si>
    <t>1000536137-12</t>
  </si>
  <si>
    <t>1000536137-13</t>
  </si>
  <si>
    <t>1000536137-5</t>
  </si>
  <si>
    <t>1000536137-8</t>
  </si>
  <si>
    <t>1000536137-7</t>
  </si>
  <si>
    <t>1000536137-1</t>
  </si>
  <si>
    <t>1000536137-2</t>
  </si>
  <si>
    <t>1000536137-3</t>
  </si>
  <si>
    <t>1000536137-6</t>
  </si>
  <si>
    <t>1000536137-11</t>
  </si>
  <si>
    <t>1000536137-9</t>
  </si>
  <si>
    <t>1000538215-3</t>
  </si>
  <si>
    <t>1000538215-2</t>
  </si>
  <si>
    <t>1000538215-4</t>
  </si>
  <si>
    <t>1000538215-1</t>
  </si>
  <si>
    <t>1000638664-1</t>
  </si>
  <si>
    <t>1000638664-2</t>
  </si>
  <si>
    <t>1000638664-3</t>
  </si>
  <si>
    <t>1000643548-2</t>
  </si>
  <si>
    <t>1000643548-1</t>
  </si>
  <si>
    <t>1000871711-2</t>
  </si>
  <si>
    <t>1000871711-1</t>
  </si>
  <si>
    <t>1000871711-3</t>
  </si>
  <si>
    <t>1001033236-3</t>
  </si>
  <si>
    <t>1001033236-1</t>
  </si>
  <si>
    <t>1001033236-2</t>
  </si>
  <si>
    <t>1001139233-2</t>
  </si>
  <si>
    <t>1001139233-1</t>
  </si>
  <si>
    <t>1001235015-1</t>
  </si>
  <si>
    <t>1001359510-4</t>
  </si>
  <si>
    <t>1001359510-3</t>
  </si>
  <si>
    <t>1001359510-5</t>
  </si>
  <si>
    <t>1001359510-2</t>
  </si>
  <si>
    <t>1001359510-1</t>
  </si>
  <si>
    <t>1001359510-6</t>
  </si>
  <si>
    <t>1001851457-4</t>
  </si>
  <si>
    <t>1001851457-1</t>
  </si>
  <si>
    <t>1001851457-6</t>
  </si>
  <si>
    <t>1001851457-3</t>
  </si>
  <si>
    <t>1001851457-5</t>
  </si>
  <si>
    <t>1001851457-2</t>
  </si>
  <si>
    <t>1002022185-4</t>
  </si>
  <si>
    <t>1002022185-5</t>
  </si>
  <si>
    <t>1002022185-1</t>
  </si>
  <si>
    <t>1002022185-3</t>
  </si>
  <si>
    <t>1002022185-2</t>
  </si>
  <si>
    <t>1002026183-3</t>
  </si>
  <si>
    <t>1002026183-4</t>
  </si>
  <si>
    <t>1002026183-2</t>
  </si>
  <si>
    <t>1002026183-5</t>
  </si>
  <si>
    <t>1002026183-6</t>
  </si>
  <si>
    <t>1002026183-1</t>
  </si>
  <si>
    <t>1002034065-3</t>
  </si>
  <si>
    <t>1002034065-1</t>
  </si>
  <si>
    <t>1002034065-2</t>
  </si>
  <si>
    <t>1002034065-4</t>
  </si>
  <si>
    <t>1002130477-2</t>
  </si>
  <si>
    <t>1002130477-1</t>
  </si>
  <si>
    <t>1002130477-4</t>
  </si>
  <si>
    <t>1002130477-3</t>
  </si>
  <si>
    <t>1002155243-2</t>
  </si>
  <si>
    <t>1002155243-1</t>
  </si>
  <si>
    <t>1002163129-1</t>
  </si>
  <si>
    <t>1002793265-4</t>
  </si>
  <si>
    <t>1002793265-6</t>
  </si>
  <si>
    <t>1002793265-7</t>
  </si>
  <si>
    <t>1002793265-3</t>
  </si>
  <si>
    <t>1002793265-2</t>
  </si>
  <si>
    <t>1002793265-5</t>
  </si>
  <si>
    <t>1002793265-1</t>
  </si>
  <si>
    <t>100306195-4</t>
  </si>
  <si>
    <t>100306195-2</t>
  </si>
  <si>
    <t>100306195-1</t>
  </si>
  <si>
    <t>100306195-3</t>
  </si>
  <si>
    <t>1005706694-2</t>
  </si>
  <si>
    <t>1005706694-4</t>
  </si>
  <si>
    <t>1005706694-3</t>
  </si>
  <si>
    <t>1005706694-1</t>
  </si>
  <si>
    <t>1005873832-2</t>
  </si>
  <si>
    <t>1005873832-1</t>
  </si>
  <si>
    <t>1005934818-3</t>
  </si>
  <si>
    <t>1005934818-1</t>
  </si>
  <si>
    <t>1005934818-4</t>
  </si>
  <si>
    <t>1005934818-2</t>
  </si>
  <si>
    <t>1006233749-1</t>
  </si>
  <si>
    <t>1006233749-2</t>
  </si>
  <si>
    <t>10068285-1</t>
  </si>
  <si>
    <t>10068285-2</t>
  </si>
  <si>
    <t>1007132436-1</t>
  </si>
  <si>
    <t>1007132436-2</t>
  </si>
  <si>
    <t>1007132436-4</t>
  </si>
  <si>
    <t>1007132436-5</t>
  </si>
  <si>
    <t>1007132436-3</t>
  </si>
  <si>
    <t>1007175950-2</t>
  </si>
  <si>
    <t>1007175950-3</t>
  </si>
  <si>
    <t>1007175950-1</t>
  </si>
  <si>
    <t>1007175950-4</t>
  </si>
  <si>
    <t>1007908804-1</t>
  </si>
  <si>
    <t>1010032037-2</t>
  </si>
  <si>
    <t>1010032037-1</t>
  </si>
  <si>
    <t>1010032037-4</t>
  </si>
  <si>
    <t>1010032037-3</t>
  </si>
  <si>
    <t>1010119253-2</t>
  </si>
  <si>
    <t>1010119253-1</t>
  </si>
  <si>
    <t>1010119253-3</t>
  </si>
  <si>
    <t>1010119253-4</t>
  </si>
  <si>
    <t>10122125-3</t>
  </si>
  <si>
    <t>10122125-1</t>
  </si>
  <si>
    <t>10122125-4</t>
  </si>
  <si>
    <t>10122125-2</t>
  </si>
  <si>
    <t>1015186975-1</t>
  </si>
  <si>
    <t>1015186975-2</t>
  </si>
  <si>
    <t>1015186975-3</t>
  </si>
  <si>
    <t>1015193737-3</t>
  </si>
  <si>
    <t>1015193737-6</t>
  </si>
  <si>
    <t>1015193737-1</t>
  </si>
  <si>
    <t>1015193737-2</t>
  </si>
  <si>
    <t>1015193737-4</t>
  </si>
  <si>
    <t>1015193737-5</t>
  </si>
  <si>
    <t>1017135726-2</t>
  </si>
  <si>
    <t>1017135726-1</t>
  </si>
  <si>
    <t>1017135726-3</t>
  </si>
  <si>
    <t>1017152403-1</t>
  </si>
  <si>
    <t>1017154497-3</t>
  </si>
  <si>
    <t>1017154497-2</t>
  </si>
  <si>
    <t>1017154497-1</t>
  </si>
  <si>
    <t>1017179652-2</t>
  </si>
  <si>
    <t>1017179652-3</t>
  </si>
  <si>
    <t>1017179652-1</t>
  </si>
  <si>
    <t>1017179652-4</t>
  </si>
  <si>
    <t>1017179966-4</t>
  </si>
  <si>
    <t>1017179966-3</t>
  </si>
  <si>
    <t>1017179966-1</t>
  </si>
  <si>
    <t>1017179966-2</t>
  </si>
  <si>
    <t>1017190314-2</t>
  </si>
  <si>
    <t>1017190314-1</t>
  </si>
  <si>
    <t>1017190314-3</t>
  </si>
  <si>
    <t>1017192472-1</t>
  </si>
  <si>
    <t>1017192472-3</t>
  </si>
  <si>
    <t>1017192472-6</t>
  </si>
  <si>
    <t>1017192472-2</t>
  </si>
  <si>
    <t>1017192472-7</t>
  </si>
  <si>
    <t>1017192472-5</t>
  </si>
  <si>
    <t>1017192472-4</t>
  </si>
  <si>
    <t>1017206637-2</t>
  </si>
  <si>
    <t>1017206637-1</t>
  </si>
  <si>
    <t>1017206637-3</t>
  </si>
  <si>
    <t>1017212544-3</t>
  </si>
  <si>
    <t>1017212544-2</t>
  </si>
  <si>
    <t>1017212544-1</t>
  </si>
  <si>
    <t>1017212544-6</t>
  </si>
  <si>
    <t>1017212544-4</t>
  </si>
  <si>
    <t>1017212544-5</t>
  </si>
  <si>
    <t>1017216558-1</t>
  </si>
  <si>
    <t>1017216558-2</t>
  </si>
  <si>
    <t>1017233148-1</t>
  </si>
  <si>
    <t>1017233148-2</t>
  </si>
  <si>
    <t>1017239115-1</t>
  </si>
  <si>
    <t>1017247299-5</t>
  </si>
  <si>
    <t>1017247299-9</t>
  </si>
  <si>
    <t>1017247299-1</t>
  </si>
  <si>
    <t>1017247299-2</t>
  </si>
  <si>
    <t>1017247299-6</t>
  </si>
  <si>
    <t>1017247299-8</t>
  </si>
  <si>
    <t>1017247299-10</t>
  </si>
  <si>
    <t>1017247299-3</t>
  </si>
  <si>
    <t>1017247299-4</t>
  </si>
  <si>
    <t>1017247299-7</t>
  </si>
  <si>
    <t>1017248051-4</t>
  </si>
  <si>
    <t>1017248051-5</t>
  </si>
  <si>
    <t>1017248051-1</t>
  </si>
  <si>
    <t>1017248051-2</t>
  </si>
  <si>
    <t>1017248051-3</t>
  </si>
  <si>
    <t>1017266133-5</t>
  </si>
  <si>
    <t>1017266133-7</t>
  </si>
  <si>
    <t>1017266133-6</t>
  </si>
  <si>
    <t>1017266133-3</t>
  </si>
  <si>
    <t>1017266133-4</t>
  </si>
  <si>
    <t>1017266133-1</t>
  </si>
  <si>
    <t>1017266133-8</t>
  </si>
  <si>
    <t>1017266133-2</t>
  </si>
  <si>
    <t>1017269447-2</t>
  </si>
  <si>
    <t>1017269447-4</t>
  </si>
  <si>
    <t>1017269447-3</t>
  </si>
  <si>
    <t>1017269447-1</t>
  </si>
  <si>
    <t>1017269998-1</t>
  </si>
  <si>
    <t>1017269998-2</t>
  </si>
  <si>
    <t>1020450299-6</t>
  </si>
  <si>
    <t>1020450299-5</t>
  </si>
  <si>
    <t>1020450299-4</t>
  </si>
  <si>
    <t>1020450299-2</t>
  </si>
  <si>
    <t>1020450299-1</t>
  </si>
  <si>
    <t>1020450299-3</t>
  </si>
  <si>
    <t>1020482801-1</t>
  </si>
  <si>
    <t>1020482801-2</t>
  </si>
  <si>
    <t>1022094431-1</t>
  </si>
  <si>
    <t>1022094431-2</t>
  </si>
  <si>
    <t>1022094431-3</t>
  </si>
  <si>
    <t>1022124557-3</t>
  </si>
  <si>
    <t>1022124557-2</t>
  </si>
  <si>
    <t>1022124557-1</t>
  </si>
  <si>
    <t>1022125326-2</t>
  </si>
  <si>
    <t>1022125326-1</t>
  </si>
  <si>
    <t>1023626536-1</t>
  </si>
  <si>
    <t>1023626536-2</t>
  </si>
  <si>
    <t>1023626536-3</t>
  </si>
  <si>
    <t>10239436-6</t>
  </si>
  <si>
    <t>10239436-5</t>
  </si>
  <si>
    <t>10239436-3</t>
  </si>
  <si>
    <t>10239436-1</t>
  </si>
  <si>
    <t>10239436-2</t>
  </si>
  <si>
    <t>10239436-4</t>
  </si>
  <si>
    <t>1025640590-2</t>
  </si>
  <si>
    <t>1025640590-1</t>
  </si>
  <si>
    <t>1025665487-1</t>
  </si>
  <si>
    <t>1025665487-4</t>
  </si>
  <si>
    <t>1025665487-2</t>
  </si>
  <si>
    <t>1025665487-3</t>
  </si>
  <si>
    <t>1026145865-2</t>
  </si>
  <si>
    <t>1026145865-4</t>
  </si>
  <si>
    <t>1026145865-1</t>
  </si>
  <si>
    <t>1026145865-3</t>
  </si>
  <si>
    <t>1032421813-6</t>
  </si>
  <si>
    <t>1032421813-5</t>
  </si>
  <si>
    <t>1032421813-1</t>
  </si>
  <si>
    <t>1032421813-2</t>
  </si>
  <si>
    <t>1032421813-4</t>
  </si>
  <si>
    <t>1032421813-3</t>
  </si>
  <si>
    <t>1033176878-1</t>
  </si>
  <si>
    <t>1033176878-2</t>
  </si>
  <si>
    <t>1033176878-4</t>
  </si>
  <si>
    <t>1033176878-3</t>
  </si>
  <si>
    <t>1035228839-2</t>
  </si>
  <si>
    <t>1035228839-3</t>
  </si>
  <si>
    <t>1035228839-1</t>
  </si>
  <si>
    <t>1035921080-2</t>
  </si>
  <si>
    <t>1035921080-1</t>
  </si>
  <si>
    <t>1036601648-2</t>
  </si>
  <si>
    <t>1036601648-3</t>
  </si>
  <si>
    <t>1036601648-4</t>
  </si>
  <si>
    <t>1036601648-1</t>
  </si>
  <si>
    <t>1036615312-2</t>
  </si>
  <si>
    <t>1036615312-1</t>
  </si>
  <si>
    <t>1036617115-1</t>
  </si>
  <si>
    <t>1036617115-2</t>
  </si>
  <si>
    <t>1036617115-4</t>
  </si>
  <si>
    <t>1036617115-3</t>
  </si>
  <si>
    <t>1036631758-3</t>
  </si>
  <si>
    <t>1036631758-1</t>
  </si>
  <si>
    <t>1036631758-2</t>
  </si>
  <si>
    <t>1036631758-6</t>
  </si>
  <si>
    <t>1036631758-5</t>
  </si>
  <si>
    <t>1036631758-4</t>
  </si>
  <si>
    <t>1036934154-1</t>
  </si>
  <si>
    <t>1037263422-6</t>
  </si>
  <si>
    <t>1037263422-3</t>
  </si>
  <si>
    <t>1037263422-2</t>
  </si>
  <si>
    <t>1037263422-1</t>
  </si>
  <si>
    <t>1037263422-4</t>
  </si>
  <si>
    <t>1037263422-7</t>
  </si>
  <si>
    <t>1037263422-5</t>
  </si>
  <si>
    <t>10375239-3</t>
  </si>
  <si>
    <t>10375239-4</t>
  </si>
  <si>
    <t>10375239-1</t>
  </si>
  <si>
    <t>10375239-2</t>
  </si>
  <si>
    <t>10375239-5</t>
  </si>
  <si>
    <t>1037570230-1</t>
  </si>
  <si>
    <t>1037584599-3</t>
  </si>
  <si>
    <t>1037584599-1</t>
  </si>
  <si>
    <t>1037584599-4</t>
  </si>
  <si>
    <t>1037584599-2</t>
  </si>
  <si>
    <t>1037613164-1</t>
  </si>
  <si>
    <t>1037613164-2</t>
  </si>
  <si>
    <t>1037613164-3</t>
  </si>
  <si>
    <t>1039285463-4</t>
  </si>
  <si>
    <t>1039285463-3</t>
  </si>
  <si>
    <t>1039285463-2</t>
  </si>
  <si>
    <t>1039285463-6</t>
  </si>
  <si>
    <t>1039285463-1</t>
  </si>
  <si>
    <t>1039285463-5</t>
  </si>
  <si>
    <t>1039460475-1</t>
  </si>
  <si>
    <t>1039460475-3</t>
  </si>
  <si>
    <t>1039460475-2</t>
  </si>
  <si>
    <t>1040749440-2</t>
  </si>
  <si>
    <t>1040749440-3</t>
  </si>
  <si>
    <t>1040749440-1</t>
  </si>
  <si>
    <t>1042064849-2</t>
  </si>
  <si>
    <t>1042064849-4</t>
  </si>
  <si>
    <t>1042064849-3</t>
  </si>
  <si>
    <t>1042064849-1</t>
  </si>
  <si>
    <t>1043435114-1</t>
  </si>
  <si>
    <t>1043435114-2</t>
  </si>
  <si>
    <t>1043435114-5</t>
  </si>
  <si>
    <t>1043435114-3</t>
  </si>
  <si>
    <t>1043435114-4</t>
  </si>
  <si>
    <t>1043665208-2</t>
  </si>
  <si>
    <t>1043665208-1</t>
  </si>
  <si>
    <t>1043873936-5</t>
  </si>
  <si>
    <t>1043873936-3</t>
  </si>
  <si>
    <t>1043873936-2</t>
  </si>
  <si>
    <t>1043873936-4</t>
  </si>
  <si>
    <t>1043873936-1</t>
  </si>
  <si>
    <t>1044150889-1</t>
  </si>
  <si>
    <t>1044618006-1</t>
  </si>
  <si>
    <t>1044618006-6</t>
  </si>
  <si>
    <t>1044618006-2</t>
  </si>
  <si>
    <t>1044618006-4</t>
  </si>
  <si>
    <t>1044618006-3</t>
  </si>
  <si>
    <t>1044618006-5</t>
  </si>
  <si>
    <t>1044618006-7</t>
  </si>
  <si>
    <t>1045674075-2</t>
  </si>
  <si>
    <t>1045674075-1</t>
  </si>
  <si>
    <t>1045674075-4</t>
  </si>
  <si>
    <t>1045674075-3</t>
  </si>
  <si>
    <t>1045675162-4</t>
  </si>
  <si>
    <t>1045675162-5</t>
  </si>
  <si>
    <t>1045675162-1</t>
  </si>
  <si>
    <t>1045675162-3</t>
  </si>
  <si>
    <t>1045675162-2</t>
  </si>
  <si>
    <t>1045677797-1</t>
  </si>
  <si>
    <t>1045677797-2</t>
  </si>
  <si>
    <t>1045678951-4</t>
  </si>
  <si>
    <t>1045678951-2</t>
  </si>
  <si>
    <t>1045678951-1</t>
  </si>
  <si>
    <t>1045678951-3</t>
  </si>
  <si>
    <t>1045679578-1</t>
  </si>
  <si>
    <t>1045683391-3</t>
  </si>
  <si>
    <t>1045683391-1</t>
  </si>
  <si>
    <t>1045683391-2</t>
  </si>
  <si>
    <t>1045684410-2</t>
  </si>
  <si>
    <t>1045684410-1</t>
  </si>
  <si>
    <t>1045685911-3</t>
  </si>
  <si>
    <t>1045685911-2</t>
  </si>
  <si>
    <t>1045685911-1</t>
  </si>
  <si>
    <t>1045691917-1</t>
  </si>
  <si>
    <t>1045691917-2</t>
  </si>
  <si>
    <t>1045724437-1</t>
  </si>
  <si>
    <t>1045724437-4</t>
  </si>
  <si>
    <t>1045724437-3</t>
  </si>
  <si>
    <t>1045724437-2</t>
  </si>
  <si>
    <t>1045731398-2</t>
  </si>
  <si>
    <t>1045731398-1</t>
  </si>
  <si>
    <t>1045731398-3</t>
  </si>
  <si>
    <t>1045741495-4</t>
  </si>
  <si>
    <t>1045741495-2</t>
  </si>
  <si>
    <t>1045741495-3</t>
  </si>
  <si>
    <t>1045741495-5</t>
  </si>
  <si>
    <t>1045741495-1</t>
  </si>
  <si>
    <t>1045743889-2</t>
  </si>
  <si>
    <t>1045743889-3</t>
  </si>
  <si>
    <t>1045743889-4</t>
  </si>
  <si>
    <t>1045743889-1</t>
  </si>
  <si>
    <t>1045746691-2</t>
  </si>
  <si>
    <t>1045746691-5</t>
  </si>
  <si>
    <t>1045746691-3</t>
  </si>
  <si>
    <t>1045746691-1</t>
  </si>
  <si>
    <t>1045746691-4</t>
  </si>
  <si>
    <t>1045748346-1</t>
  </si>
  <si>
    <t>1045748346-3</t>
  </si>
  <si>
    <t>1045748346-2</t>
  </si>
  <si>
    <t>1045759593-2</t>
  </si>
  <si>
    <t>1045759593-4</t>
  </si>
  <si>
    <t>1045759593-3</t>
  </si>
  <si>
    <t>1045759593-1</t>
  </si>
  <si>
    <t>1046697166-2</t>
  </si>
  <si>
    <t>1046697166-1</t>
  </si>
  <si>
    <t>1046697166-3</t>
  </si>
  <si>
    <t>1046697166-4</t>
  </si>
  <si>
    <t>1046702906-1</t>
  </si>
  <si>
    <t>1046702906-4</t>
  </si>
  <si>
    <t>1046702906-5</t>
  </si>
  <si>
    <t>1046702906-2</t>
  </si>
  <si>
    <t>1046702906-3</t>
  </si>
  <si>
    <t>1047048484-1</t>
  </si>
  <si>
    <t>1047048484-2</t>
  </si>
  <si>
    <t>1047048484-3</t>
  </si>
  <si>
    <t>1047217469-1</t>
  </si>
  <si>
    <t>1047217469-8</t>
  </si>
  <si>
    <t>1047217469-5</t>
  </si>
  <si>
    <t>1047217469-3</t>
  </si>
  <si>
    <t>1047217469-2</t>
  </si>
  <si>
    <t>1047217469-4</t>
  </si>
  <si>
    <t>1047217469-6</t>
  </si>
  <si>
    <t>1047217469-7</t>
  </si>
  <si>
    <t>1047221609-1</t>
  </si>
  <si>
    <t>1047221609-2</t>
  </si>
  <si>
    <t>1047221609-3</t>
  </si>
  <si>
    <t>1047221609-4</t>
  </si>
  <si>
    <t>1047222969-1</t>
  </si>
  <si>
    <t>1047222969-2</t>
  </si>
  <si>
    <t>1047222969-3</t>
  </si>
  <si>
    <t>1047223166-1</t>
  </si>
  <si>
    <t>1047223166-3</t>
  </si>
  <si>
    <t>1047223166-4</t>
  </si>
  <si>
    <t>1047223166-2</t>
  </si>
  <si>
    <t>1047223432-1</t>
  </si>
  <si>
    <t>1047223432-2</t>
  </si>
  <si>
    <t>1047223432-3</t>
  </si>
  <si>
    <t>1047226056-3</t>
  </si>
  <si>
    <t>1047226056-2</t>
  </si>
  <si>
    <t>1047226056-4</t>
  </si>
  <si>
    <t>1047226056-1</t>
  </si>
  <si>
    <t>10472271-1</t>
  </si>
  <si>
    <t>1047227573-1</t>
  </si>
  <si>
    <t>1047227573-3</t>
  </si>
  <si>
    <t>1047227573-2</t>
  </si>
  <si>
    <t>1047227573-4</t>
  </si>
  <si>
    <t>1048220109-4</t>
  </si>
  <si>
    <t>1048220109-2</t>
  </si>
  <si>
    <t>1048220109-1</t>
  </si>
  <si>
    <t>1048220109-3</t>
  </si>
  <si>
    <t>1051360142-2</t>
  </si>
  <si>
    <t>1051360142-3</t>
  </si>
  <si>
    <t>1051360142-4</t>
  </si>
  <si>
    <t>1051360142-1</t>
  </si>
  <si>
    <t>1059044849-4</t>
  </si>
  <si>
    <t>1059044849-3</t>
  </si>
  <si>
    <t>1059044849-2</t>
  </si>
  <si>
    <t>1059044849-1</t>
  </si>
  <si>
    <t>1059044885-2</t>
  </si>
  <si>
    <t>1059044885-1</t>
  </si>
  <si>
    <t>1059044885-3</t>
  </si>
  <si>
    <t>1059044885-4</t>
  </si>
  <si>
    <t>1059986053-1</t>
  </si>
  <si>
    <t>1059986053-5</t>
  </si>
  <si>
    <t>1059986053-4</t>
  </si>
  <si>
    <t>1059986053-2</t>
  </si>
  <si>
    <t>1059986053-3</t>
  </si>
  <si>
    <t>1060102242-3</t>
  </si>
  <si>
    <t>1060102242-2</t>
  </si>
  <si>
    <t>1060102242-1</t>
  </si>
  <si>
    <t>1060102242-4</t>
  </si>
  <si>
    <t>1061433798-2</t>
  </si>
  <si>
    <t>1061433798-3</t>
  </si>
  <si>
    <t>1061433798-1</t>
  </si>
  <si>
    <t>1061433798-5</t>
  </si>
  <si>
    <t>1061433798-4</t>
  </si>
  <si>
    <t>1062297779-1</t>
  </si>
  <si>
    <t>1062297779-4</t>
  </si>
  <si>
    <t>1062297779-2</t>
  </si>
  <si>
    <t>1062297779-6</t>
  </si>
  <si>
    <t>1062297779-5</t>
  </si>
  <si>
    <t>1062297779-3</t>
  </si>
  <si>
    <t>1063282279-4</t>
  </si>
  <si>
    <t>1063282279-5</t>
  </si>
  <si>
    <t>1063282279-1</t>
  </si>
  <si>
    <t>1063282279-3</t>
  </si>
  <si>
    <t>1063282279-6</t>
  </si>
  <si>
    <t>1063282279-2</t>
  </si>
  <si>
    <t>1067094968-3</t>
  </si>
  <si>
    <t>1067094968-2</t>
  </si>
  <si>
    <t>1067094968-4</t>
  </si>
  <si>
    <t>1067094968-1</t>
  </si>
  <si>
    <t>1067461300-1</t>
  </si>
  <si>
    <t>1067461300-2</t>
  </si>
  <si>
    <t>1067461300-3</t>
  </si>
  <si>
    <t>10741712-5</t>
  </si>
  <si>
    <t>10741712-2</t>
  </si>
  <si>
    <t>10741712-4</t>
  </si>
  <si>
    <t>10741712-1</t>
  </si>
  <si>
    <t>10741712-3</t>
  </si>
  <si>
    <t>1080835928-2</t>
  </si>
  <si>
    <t>1080835928-1</t>
  </si>
  <si>
    <t>1080835928-4</t>
  </si>
  <si>
    <t>1080835928-3</t>
  </si>
  <si>
    <t>10885223-1</t>
  </si>
  <si>
    <t>1101200056-3</t>
  </si>
  <si>
    <t>1101200056-5</t>
  </si>
  <si>
    <t>1101200056-4</t>
  </si>
  <si>
    <t>1101200056-1</t>
  </si>
  <si>
    <t>1101200056-2</t>
  </si>
  <si>
    <t>1107036712-1</t>
  </si>
  <si>
    <t>1107038099-1</t>
  </si>
  <si>
    <t>1107062248-3</t>
  </si>
  <si>
    <t>1107062248-5</t>
  </si>
  <si>
    <t>1107062248-4</t>
  </si>
  <si>
    <t>1107062248-2</t>
  </si>
  <si>
    <t>1107062248-1</t>
  </si>
  <si>
    <t>1107077651-3</t>
  </si>
  <si>
    <t>1107077651-2</t>
  </si>
  <si>
    <t>1107077651-1</t>
  </si>
  <si>
    <t>1107082402-2</t>
  </si>
  <si>
    <t>1107082402-1</t>
  </si>
  <si>
    <t>1107082402-3</t>
  </si>
  <si>
    <t>1107090332-1</t>
  </si>
  <si>
    <t>1107096112-4</t>
  </si>
  <si>
    <t>1107096112-2</t>
  </si>
  <si>
    <t>1107096112-1</t>
  </si>
  <si>
    <t>1107096112-3</t>
  </si>
  <si>
    <t>1107101692-2</t>
  </si>
  <si>
    <t>1107101692-3</t>
  </si>
  <si>
    <t>1107101692-1</t>
  </si>
  <si>
    <t>1107511494-1</t>
  </si>
  <si>
    <t>1107511973-3</t>
  </si>
  <si>
    <t>1107511973-2</t>
  </si>
  <si>
    <t>1107511973-1</t>
  </si>
  <si>
    <t>1107528203-2</t>
  </si>
  <si>
    <t>1107528203-1</t>
  </si>
  <si>
    <t>1107528203-3</t>
  </si>
  <si>
    <t>1108641125-4</t>
  </si>
  <si>
    <t>1108641125-2</t>
  </si>
  <si>
    <t>1108641125-5</t>
  </si>
  <si>
    <t>1108641125-1</t>
  </si>
  <si>
    <t>1108641125-3</t>
  </si>
  <si>
    <t>1112459228-2</t>
  </si>
  <si>
    <t>1112459228-3</t>
  </si>
  <si>
    <t>1112459228-1</t>
  </si>
  <si>
    <t>1112460885-1</t>
  </si>
  <si>
    <t>1112460885-4</t>
  </si>
  <si>
    <t>1112460885-2</t>
  </si>
  <si>
    <t>1112460885-3</t>
  </si>
  <si>
    <t>1112464691-1</t>
  </si>
  <si>
    <t>1112464691-2</t>
  </si>
  <si>
    <t>1112464691-3</t>
  </si>
  <si>
    <t>1112473004-3</t>
  </si>
  <si>
    <t>1112473004-4</t>
  </si>
  <si>
    <t>1112473004-2</t>
  </si>
  <si>
    <t>1112473004-1</t>
  </si>
  <si>
    <t>1114729169-1</t>
  </si>
  <si>
    <t>1114729169-4</t>
  </si>
  <si>
    <t>1114729169-2</t>
  </si>
  <si>
    <t>1114729169-3</t>
  </si>
  <si>
    <t>1114729169-5</t>
  </si>
  <si>
    <t>1114731315-1</t>
  </si>
  <si>
    <t>1114731315-3</t>
  </si>
  <si>
    <t>1114731315-2</t>
  </si>
  <si>
    <t>1114731315-7</t>
  </si>
  <si>
    <t>1114731315-6</t>
  </si>
  <si>
    <t>1114731315-4</t>
  </si>
  <si>
    <t>1114731315-5</t>
  </si>
  <si>
    <t>1118256990-2</t>
  </si>
  <si>
    <t>1118256990-3</t>
  </si>
  <si>
    <t>1118256990-1</t>
  </si>
  <si>
    <t>1128165897-1</t>
  </si>
  <si>
    <t>1128165897-2</t>
  </si>
  <si>
    <t>1128271580-1</t>
  </si>
  <si>
    <t>1128271580-5</t>
  </si>
  <si>
    <t>1128271580-3</t>
  </si>
  <si>
    <t>1128271580-2</t>
  </si>
  <si>
    <t>1128271580-4</t>
  </si>
  <si>
    <t>1128407663-1</t>
  </si>
  <si>
    <t>1128407663-2</t>
  </si>
  <si>
    <t>1128424631-2</t>
  </si>
  <si>
    <t>1128424631-1</t>
  </si>
  <si>
    <t>1128424714-1</t>
  </si>
  <si>
    <t>1128424714-2</t>
  </si>
  <si>
    <t>1128427798-5</t>
  </si>
  <si>
    <t>1128427798-4</t>
  </si>
  <si>
    <t>1128427798-6</t>
  </si>
  <si>
    <t>1128427798-3</t>
  </si>
  <si>
    <t>1128427798-2</t>
  </si>
  <si>
    <t>1128427798-1</t>
  </si>
  <si>
    <t>1128437441-1</t>
  </si>
  <si>
    <t>1128437441-2</t>
  </si>
  <si>
    <t>1128437636-1</t>
  </si>
  <si>
    <t>1128437636-3</t>
  </si>
  <si>
    <t>1128437636-4</t>
  </si>
  <si>
    <t>1128437636-2</t>
  </si>
  <si>
    <t>1128437636-5</t>
  </si>
  <si>
    <t>1128481612-2</t>
  </si>
  <si>
    <t>1128481612-5</t>
  </si>
  <si>
    <t>1128481612-4</t>
  </si>
  <si>
    <t>1128481612-1</t>
  </si>
  <si>
    <t>1128481612-3</t>
  </si>
  <si>
    <t>1129487310-2</t>
  </si>
  <si>
    <t>1129487310-1</t>
  </si>
  <si>
    <t>1129497775-6</t>
  </si>
  <si>
    <t>1129497775-3</t>
  </si>
  <si>
    <t>1129497775-7</t>
  </si>
  <si>
    <t>1129497775-2</t>
  </si>
  <si>
    <t>1129497775-1</t>
  </si>
  <si>
    <t>1129497775-4</t>
  </si>
  <si>
    <t>1129497775-5</t>
  </si>
  <si>
    <t>1129498810-3</t>
  </si>
  <si>
    <t>1129498810-4</t>
  </si>
  <si>
    <t>1129498810-2</t>
  </si>
  <si>
    <t>1129498810-1</t>
  </si>
  <si>
    <t>1129504681-1</t>
  </si>
  <si>
    <t>1129504681-3</t>
  </si>
  <si>
    <t>1129504681-4</t>
  </si>
  <si>
    <t>1129504681-2</t>
  </si>
  <si>
    <t>1129510023-4</t>
  </si>
  <si>
    <t>1129510023-2</t>
  </si>
  <si>
    <t>1129510023-1</t>
  </si>
  <si>
    <t>1129510023-3</t>
  </si>
  <si>
    <t>1129510023-5</t>
  </si>
  <si>
    <t>1129514883-3</t>
  </si>
  <si>
    <t>1129514883-2</t>
  </si>
  <si>
    <t>1129514883-1</t>
  </si>
  <si>
    <t>1129514883-4</t>
  </si>
  <si>
    <t>1129519478-3</t>
  </si>
  <si>
    <t>1129519478-1</t>
  </si>
  <si>
    <t>1129519478-2</t>
  </si>
  <si>
    <t>1129520081-4</t>
  </si>
  <si>
    <t>1129520081-1</t>
  </si>
  <si>
    <t>1129520081-3</t>
  </si>
  <si>
    <t>1129520081-2</t>
  </si>
  <si>
    <t>1129543553-1</t>
  </si>
  <si>
    <t>1129543553-4</t>
  </si>
  <si>
    <t>1129543553-3</t>
  </si>
  <si>
    <t>1129543553-2</t>
  </si>
  <si>
    <t>1129565229-3</t>
  </si>
  <si>
    <t>1129565229-1</t>
  </si>
  <si>
    <t>1129565229-2</t>
  </si>
  <si>
    <t>1129566300-1</t>
  </si>
  <si>
    <t>1129566300-2</t>
  </si>
  <si>
    <t>1129566300-3</t>
  </si>
  <si>
    <t>1129583301-2</t>
  </si>
  <si>
    <t>1129583301-1</t>
  </si>
  <si>
    <t>1130590826-1</t>
  </si>
  <si>
    <t>1130590826-2</t>
  </si>
  <si>
    <t>1130590826-4</t>
  </si>
  <si>
    <t>1130590826-3</t>
  </si>
  <si>
    <t>1130591575-2</t>
  </si>
  <si>
    <t>1130591575-1</t>
  </si>
  <si>
    <t>1130591575-3</t>
  </si>
  <si>
    <t>1130594662-1</t>
  </si>
  <si>
    <t>1130598844-2</t>
  </si>
  <si>
    <t>1130598844-1</t>
  </si>
  <si>
    <t>1130598844-3</t>
  </si>
  <si>
    <t>1130599678-1</t>
  </si>
  <si>
    <t>1130599678-3</t>
  </si>
  <si>
    <t>1130599678-2</t>
  </si>
  <si>
    <t>1130602891-1</t>
  </si>
  <si>
    <t>1130602891-2</t>
  </si>
  <si>
    <t>1130609656-5</t>
  </si>
  <si>
    <t>1130609656-2</t>
  </si>
  <si>
    <t>1130609656-1</t>
  </si>
  <si>
    <t>1130609656-3</t>
  </si>
  <si>
    <t>1130609656-4</t>
  </si>
  <si>
    <t>1130611960-1</t>
  </si>
  <si>
    <t>1130611960-3</t>
  </si>
  <si>
    <t>1130611960-2</t>
  </si>
  <si>
    <t>1130612532-3</t>
  </si>
  <si>
    <t>1130612532-1</t>
  </si>
  <si>
    <t>1130612532-2</t>
  </si>
  <si>
    <t>1130612532-4</t>
  </si>
  <si>
    <t>1130614058-2</t>
  </si>
  <si>
    <t>1130614058-1</t>
  </si>
  <si>
    <t>1130614058-3</t>
  </si>
  <si>
    <t>1130621848-2</t>
  </si>
  <si>
    <t>1130621848-1</t>
  </si>
  <si>
    <t>1130668655-1</t>
  </si>
  <si>
    <t>1130668655-2</t>
  </si>
  <si>
    <t>1130668655-3</t>
  </si>
  <si>
    <t>1136060053-1</t>
  </si>
  <si>
    <t>1136060053-3</t>
  </si>
  <si>
    <t>1136060053-2</t>
  </si>
  <si>
    <t>1140822745-1</t>
  </si>
  <si>
    <t>1140822745-2</t>
  </si>
  <si>
    <t>1140837632-2</t>
  </si>
  <si>
    <t>1140837632-3</t>
  </si>
  <si>
    <t>1140837632-4</t>
  </si>
  <si>
    <t>1140837632-1</t>
  </si>
  <si>
    <t>1143115892-2</t>
  </si>
  <si>
    <t>1143115892-3</t>
  </si>
  <si>
    <t>1143115892-1</t>
  </si>
  <si>
    <t>1143121744-2</t>
  </si>
  <si>
    <t>1143121744-3</t>
  </si>
  <si>
    <t>1143121744-1</t>
  </si>
  <si>
    <t>1143122394-4</t>
  </si>
  <si>
    <t>1143122394-2</t>
  </si>
  <si>
    <t>1143122394-1</t>
  </si>
  <si>
    <t>1143122394-3</t>
  </si>
  <si>
    <t>1143125383-1</t>
  </si>
  <si>
    <t>1143125383-3</t>
  </si>
  <si>
    <t>1143125383-4</t>
  </si>
  <si>
    <t>1143125383-2</t>
  </si>
  <si>
    <t>1143125383-5</t>
  </si>
  <si>
    <t>1143138306-1</t>
  </si>
  <si>
    <t>1143138306-2</t>
  </si>
  <si>
    <t>1143138306-3</t>
  </si>
  <si>
    <t>1143224673-3</t>
  </si>
  <si>
    <t>1143224673-2</t>
  </si>
  <si>
    <t>1143224673-1</t>
  </si>
  <si>
    <t>1143224673-4</t>
  </si>
  <si>
    <t>1143224673-5</t>
  </si>
  <si>
    <t>1143229612-2</t>
  </si>
  <si>
    <t>1143229612-1</t>
  </si>
  <si>
    <t>1143229612-3</t>
  </si>
  <si>
    <t>1143229612-4</t>
  </si>
  <si>
    <t>1143243433-3</t>
  </si>
  <si>
    <t>1143243433-7</t>
  </si>
  <si>
    <t>1143243433-1</t>
  </si>
  <si>
    <t>1143243433-5</t>
  </si>
  <si>
    <t>1143243433-4</t>
  </si>
  <si>
    <t>1143243433-2</t>
  </si>
  <si>
    <t>1143243433-8</t>
  </si>
  <si>
    <t>1143243433-6</t>
  </si>
  <si>
    <t>1143246211-2</t>
  </si>
  <si>
    <t>1143246211-4</t>
  </si>
  <si>
    <t>1143246211-3</t>
  </si>
  <si>
    <t>1143246211-1</t>
  </si>
  <si>
    <t>1143247447-2</t>
  </si>
  <si>
    <t>1143247447-3</t>
  </si>
  <si>
    <t>1143247447-4</t>
  </si>
  <si>
    <t>1143247447-1</t>
  </si>
  <si>
    <t>1143259102-1</t>
  </si>
  <si>
    <t>1143259102-3</t>
  </si>
  <si>
    <t>1143259102-2</t>
  </si>
  <si>
    <t>1143259102-4</t>
  </si>
  <si>
    <t>1143429421-1</t>
  </si>
  <si>
    <t>1143429421-3</t>
  </si>
  <si>
    <t>1143429421-4</t>
  </si>
  <si>
    <t>1143429421-2</t>
  </si>
  <si>
    <t>1143429421-5</t>
  </si>
  <si>
    <t>1143830506-4</t>
  </si>
  <si>
    <t>1143830506-3</t>
  </si>
  <si>
    <t>1143830506-1</t>
  </si>
  <si>
    <t>1143830506-2</t>
  </si>
  <si>
    <t>1143831016-6</t>
  </si>
  <si>
    <t>1143831016-9</t>
  </si>
  <si>
    <t>1143831016-8</t>
  </si>
  <si>
    <t>1143831016-3</t>
  </si>
  <si>
    <t>1143831016-7</t>
  </si>
  <si>
    <t>1143831016-1</t>
  </si>
  <si>
    <t>1143831016-10</t>
  </si>
  <si>
    <t>1143831016-2</t>
  </si>
  <si>
    <t>1143831016-4</t>
  </si>
  <si>
    <t>1143831016-5</t>
  </si>
  <si>
    <t>1143831802-1</t>
  </si>
  <si>
    <t>1143831802-2</t>
  </si>
  <si>
    <t>1143831857-2</t>
  </si>
  <si>
    <t>1143831857-3</t>
  </si>
  <si>
    <t>1143831857-4</t>
  </si>
  <si>
    <t>1143831857-1</t>
  </si>
  <si>
    <t>1143833310-4</t>
  </si>
  <si>
    <t>1143833310-3</t>
  </si>
  <si>
    <t>1143833310-2</t>
  </si>
  <si>
    <t>1143833310-1</t>
  </si>
  <si>
    <t>1143833310-5</t>
  </si>
  <si>
    <t>1143834208-3</t>
  </si>
  <si>
    <t>1143834208-2</t>
  </si>
  <si>
    <t>1143834208-4</t>
  </si>
  <si>
    <t>1143834208-1</t>
  </si>
  <si>
    <t>1143838084-3</t>
  </si>
  <si>
    <t>1143838084-4</t>
  </si>
  <si>
    <t>1143838084-5</t>
  </si>
  <si>
    <t>1143838084-2</t>
  </si>
  <si>
    <t>1143838084-1</t>
  </si>
  <si>
    <t>1143841537-2</t>
  </si>
  <si>
    <t>1143841537-1</t>
  </si>
  <si>
    <t>1143841537-3</t>
  </si>
  <si>
    <t>1143841537-4</t>
  </si>
  <si>
    <t>1143841673-2</t>
  </si>
  <si>
    <t>1143841673-3</t>
  </si>
  <si>
    <t>1143841673-1</t>
  </si>
  <si>
    <t>1143843397-3</t>
  </si>
  <si>
    <t>1143843397-2</t>
  </si>
  <si>
    <t>1143843397-1</t>
  </si>
  <si>
    <t>1143845493-2</t>
  </si>
  <si>
    <t>1143845493-1</t>
  </si>
  <si>
    <t>1143845493-3</t>
  </si>
  <si>
    <t>1143845493-4</t>
  </si>
  <si>
    <t>1143846263-1</t>
  </si>
  <si>
    <t>1143846263-2</t>
  </si>
  <si>
    <t>1143846465-3</t>
  </si>
  <si>
    <t>1143846465-1</t>
  </si>
  <si>
    <t>1143846465-2</t>
  </si>
  <si>
    <t>1143847668-6</t>
  </si>
  <si>
    <t>1143847668-3</t>
  </si>
  <si>
    <t>1143847668-5</t>
  </si>
  <si>
    <t>1143847668-1</t>
  </si>
  <si>
    <t>1143847668-2</t>
  </si>
  <si>
    <t>1143847668-4</t>
  </si>
  <si>
    <t>1143853115-2</t>
  </si>
  <si>
    <t>1143853115-1</t>
  </si>
  <si>
    <t>1143853115-3</t>
  </si>
  <si>
    <t>1143853293-2</t>
  </si>
  <si>
    <t>1143853293-4</t>
  </si>
  <si>
    <t>1143853293-3</t>
  </si>
  <si>
    <t>1143853293-1</t>
  </si>
  <si>
    <t>1143853398-2</t>
  </si>
  <si>
    <t>1143853398-4</t>
  </si>
  <si>
    <t>1143853398-3</t>
  </si>
  <si>
    <t>1143853398-1</t>
  </si>
  <si>
    <t>1143857197-3</t>
  </si>
  <si>
    <t>1143857197-4</t>
  </si>
  <si>
    <t>1143857197-1</t>
  </si>
  <si>
    <t>1143857197-2</t>
  </si>
  <si>
    <t>1143958126-1</t>
  </si>
  <si>
    <t>1143958126-3</t>
  </si>
  <si>
    <t>1143958126-2</t>
  </si>
  <si>
    <t>1143958126-4</t>
  </si>
  <si>
    <t>1144024517-3</t>
  </si>
  <si>
    <t>1144024517-2</t>
  </si>
  <si>
    <t>1144024517-1</t>
  </si>
  <si>
    <t>1144024517-4</t>
  </si>
  <si>
    <t>1144028216-1</t>
  </si>
  <si>
    <t>1144028216-2</t>
  </si>
  <si>
    <t>1144028216-3</t>
  </si>
  <si>
    <t>1144030139-3</t>
  </si>
  <si>
    <t>1144030139-2</t>
  </si>
  <si>
    <t>1144030139-1</t>
  </si>
  <si>
    <t>1144030139-4</t>
  </si>
  <si>
    <t>1144031654-2</t>
  </si>
  <si>
    <t>1144031654-3</t>
  </si>
  <si>
    <t>1144031654-1</t>
  </si>
  <si>
    <t>1144034037-2</t>
  </si>
  <si>
    <t>1144034037-1</t>
  </si>
  <si>
    <t>1144035169-2</t>
  </si>
  <si>
    <t>1144035169-1</t>
  </si>
  <si>
    <t>1144037995-3</t>
  </si>
  <si>
    <t>1144037995-1</t>
  </si>
  <si>
    <t>1144037995-2</t>
  </si>
  <si>
    <t>1144038638-3</t>
  </si>
  <si>
    <t>1144038638-2</t>
  </si>
  <si>
    <t>1144038638-1</t>
  </si>
  <si>
    <t>1144038733-1</t>
  </si>
  <si>
    <t>1144043798-4</t>
  </si>
  <si>
    <t>1144043798-3</t>
  </si>
  <si>
    <t>1144043798-1</t>
  </si>
  <si>
    <t>1144043798-2</t>
  </si>
  <si>
    <t>1144045256-2</t>
  </si>
  <si>
    <t>1144045256-4</t>
  </si>
  <si>
    <t>1144045256-3</t>
  </si>
  <si>
    <t>1144045256-1</t>
  </si>
  <si>
    <t>1144046314-1</t>
  </si>
  <si>
    <t>1144046314-2</t>
  </si>
  <si>
    <t>1144046314-3</t>
  </si>
  <si>
    <t>1144046952-1</t>
  </si>
  <si>
    <t>1144046952-3</t>
  </si>
  <si>
    <t>1144046952-2</t>
  </si>
  <si>
    <t>1144051270-2</t>
  </si>
  <si>
    <t>1144051270-3</t>
  </si>
  <si>
    <t>1144051270-1</t>
  </si>
  <si>
    <t>1144059852-2</t>
  </si>
  <si>
    <t>1144059852-3</t>
  </si>
  <si>
    <t>1144059852-1</t>
  </si>
  <si>
    <t>1144065963-2</t>
  </si>
  <si>
    <t>1144065963-1</t>
  </si>
  <si>
    <t>1144068248-2</t>
  </si>
  <si>
    <t>1144068248-5</t>
  </si>
  <si>
    <t>1144068248-4</t>
  </si>
  <si>
    <t>1144068248-3</t>
  </si>
  <si>
    <t>1144068248-1</t>
  </si>
  <si>
    <t>1144071056-3</t>
  </si>
  <si>
    <t>1144071056-4</t>
  </si>
  <si>
    <t>1144071056-1</t>
  </si>
  <si>
    <t>1144071056-5</t>
  </si>
  <si>
    <t>1144071056-2</t>
  </si>
  <si>
    <t>1144082561-2</t>
  </si>
  <si>
    <t>1144082561-1</t>
  </si>
  <si>
    <t>1144082561-3</t>
  </si>
  <si>
    <t>1144094813-3</t>
  </si>
  <si>
    <t>1144094813-6</t>
  </si>
  <si>
    <t>1144094813-4</t>
  </si>
  <si>
    <t>1144094813-1</t>
  </si>
  <si>
    <t>1144094813-2</t>
  </si>
  <si>
    <t>1144094813-5</t>
  </si>
  <si>
    <t>1144097141-1</t>
  </si>
  <si>
    <t>1144097141-2</t>
  </si>
  <si>
    <t>1144101026-1</t>
  </si>
  <si>
    <t>1144101026-2</t>
  </si>
  <si>
    <t>1144101026-3</t>
  </si>
  <si>
    <t>1144160399-1</t>
  </si>
  <si>
    <t>1144160399-2</t>
  </si>
  <si>
    <t>1144201470-2</t>
  </si>
  <si>
    <t>1144201470-3</t>
  </si>
  <si>
    <t>1144201470-1</t>
  </si>
  <si>
    <t>1146434251-3</t>
  </si>
  <si>
    <t>1146434251-6</t>
  </si>
  <si>
    <t>1146434251-11</t>
  </si>
  <si>
    <t>1146434251-5</t>
  </si>
  <si>
    <t>1146434251-2</t>
  </si>
  <si>
    <t>1146434251-7</t>
  </si>
  <si>
    <t>1146434251-10</t>
  </si>
  <si>
    <t>1146434251-1</t>
  </si>
  <si>
    <t>1146434251-9</t>
  </si>
  <si>
    <t>1146434251-4</t>
  </si>
  <si>
    <t>1146434251-8</t>
  </si>
  <si>
    <t>1147950412-2</t>
  </si>
  <si>
    <t>1147950412-3</t>
  </si>
  <si>
    <t>1147950412-4</t>
  </si>
  <si>
    <t>1147950412-1</t>
  </si>
  <si>
    <t>1147957415-2</t>
  </si>
  <si>
    <t>1147957415-1</t>
  </si>
  <si>
    <t>1149440235-3</t>
  </si>
  <si>
    <t>1149440235-2</t>
  </si>
  <si>
    <t>1149440235-1</t>
  </si>
  <si>
    <t>1152204057-2</t>
  </si>
  <si>
    <t>1152204057-1</t>
  </si>
  <si>
    <t>1152204057-3</t>
  </si>
  <si>
    <t>1152204057-5</t>
  </si>
  <si>
    <t>1152204057-4</t>
  </si>
  <si>
    <t>1152449711-2</t>
  </si>
  <si>
    <t>1152449711-3</t>
  </si>
  <si>
    <t>1152449711-1</t>
  </si>
  <si>
    <t>1152716412-5</t>
  </si>
  <si>
    <t>1152716412-1</t>
  </si>
  <si>
    <t>1152716412-4</t>
  </si>
  <si>
    <t>1152716412-2</t>
  </si>
  <si>
    <t>1152716412-3</t>
  </si>
  <si>
    <t>1192898936-1</t>
  </si>
  <si>
    <t>1192898936-2</t>
  </si>
  <si>
    <t>1193298386-2</t>
  </si>
  <si>
    <t>1193298386-1</t>
  </si>
  <si>
    <t>1193298386-3</t>
  </si>
  <si>
    <t>1193327320-6</t>
  </si>
  <si>
    <t>1193327320-3</t>
  </si>
  <si>
    <t>1193327320-7</t>
  </si>
  <si>
    <t>1193327320-4</t>
  </si>
  <si>
    <t>1193327320-5</t>
  </si>
  <si>
    <t>1193327320-2</t>
  </si>
  <si>
    <t>1193327320-1</t>
  </si>
  <si>
    <t>1193327320-8</t>
  </si>
  <si>
    <t>1193371842-3</t>
  </si>
  <si>
    <t>1193371842-4</t>
  </si>
  <si>
    <t>1193371842-2</t>
  </si>
  <si>
    <t>1193371842-1</t>
  </si>
  <si>
    <t>1193456461-1</t>
  </si>
  <si>
    <t>1193456461-5</t>
  </si>
  <si>
    <t>1193456461-4</t>
  </si>
  <si>
    <t>1193456461-2</t>
  </si>
  <si>
    <t>1193456461-3</t>
  </si>
  <si>
    <t>1193555442-1</t>
  </si>
  <si>
    <t>1193555442-2</t>
  </si>
  <si>
    <t>1214733443-1</t>
  </si>
  <si>
    <t>1214733443-6</t>
  </si>
  <si>
    <t>1214733443-5</t>
  </si>
  <si>
    <t>1214733443-3</t>
  </si>
  <si>
    <t>1214733443-4</t>
  </si>
  <si>
    <t>1214733443-7</t>
  </si>
  <si>
    <t>1214733443-2</t>
  </si>
  <si>
    <t>1214733443-9</t>
  </si>
  <si>
    <t>1214733443-8</t>
  </si>
  <si>
    <t>1214737888-2</t>
  </si>
  <si>
    <t>1214737888-1</t>
  </si>
  <si>
    <t>1214748815-5</t>
  </si>
  <si>
    <t>1214748815-3</t>
  </si>
  <si>
    <t>1214748815-7</t>
  </si>
  <si>
    <t>1214748815-1</t>
  </si>
  <si>
    <t>1214748815-2</t>
  </si>
  <si>
    <t>1214748815-4</t>
  </si>
  <si>
    <t>1214748815-6</t>
  </si>
  <si>
    <t>12207323-1</t>
  </si>
  <si>
    <t>12534970-1</t>
  </si>
  <si>
    <t>12534970-2</t>
  </si>
  <si>
    <t>12549369-2</t>
  </si>
  <si>
    <t>12549369-1</t>
  </si>
  <si>
    <t>12593159-5</t>
  </si>
  <si>
    <t>12593159-4</t>
  </si>
  <si>
    <t>12593159-6</t>
  </si>
  <si>
    <t>12593159-7</t>
  </si>
  <si>
    <t>12593159-1</t>
  </si>
  <si>
    <t>12593159-2</t>
  </si>
  <si>
    <t>12593159-3</t>
  </si>
  <si>
    <t>12621053-1</t>
  </si>
  <si>
    <t>12621053-3</t>
  </si>
  <si>
    <t>12621053-2</t>
  </si>
  <si>
    <t>12798984-3</t>
  </si>
  <si>
    <t>12798984-2</t>
  </si>
  <si>
    <t>12798984-1</t>
  </si>
  <si>
    <t>12798984-4</t>
  </si>
  <si>
    <t>13665069-2</t>
  </si>
  <si>
    <t>13665069-1</t>
  </si>
  <si>
    <t>1381356-1</t>
  </si>
  <si>
    <t>1381356-2</t>
  </si>
  <si>
    <t>14440058-1</t>
  </si>
  <si>
    <t>14446046-3</t>
  </si>
  <si>
    <t>14446046-5</t>
  </si>
  <si>
    <t>14446046-1</t>
  </si>
  <si>
    <t>14446046-4</t>
  </si>
  <si>
    <t>14446046-2</t>
  </si>
  <si>
    <t>14465565-2</t>
  </si>
  <si>
    <t>14465565-5</t>
  </si>
  <si>
    <t>14465565-4</t>
  </si>
  <si>
    <t>14465565-3</t>
  </si>
  <si>
    <t>14465565-1</t>
  </si>
  <si>
    <t>14468000-2</t>
  </si>
  <si>
    <t>14468000-1</t>
  </si>
  <si>
    <t>14469075-1</t>
  </si>
  <si>
    <t>14940320-2</t>
  </si>
  <si>
    <t>14940320-1</t>
  </si>
  <si>
    <t>14947608-2</t>
  </si>
  <si>
    <t>14947608-1</t>
  </si>
  <si>
    <t>14949573-1</t>
  </si>
  <si>
    <t>14960260-2</t>
  </si>
  <si>
    <t>14960260-1</t>
  </si>
  <si>
    <t>14960260-3</t>
  </si>
  <si>
    <t>1522015-2</t>
  </si>
  <si>
    <t>1522015-4</t>
  </si>
  <si>
    <t>1522015-3</t>
  </si>
  <si>
    <t>1522015-1</t>
  </si>
  <si>
    <t>1522015-5</t>
  </si>
  <si>
    <t>15609707-1</t>
  </si>
  <si>
    <t>1586059-1</t>
  </si>
  <si>
    <t>15901804-5</t>
  </si>
  <si>
    <t>15901804-1</t>
  </si>
  <si>
    <t>15901804-3</t>
  </si>
  <si>
    <t>15901804-4</t>
  </si>
  <si>
    <t>15901804-2</t>
  </si>
  <si>
    <t>15906342-3</t>
  </si>
  <si>
    <t>15906342-1</t>
  </si>
  <si>
    <t>15906342-2</t>
  </si>
  <si>
    <t>16281450-1</t>
  </si>
  <si>
    <t>16281450-2</t>
  </si>
  <si>
    <t>16582114-2</t>
  </si>
  <si>
    <t>16582114-1</t>
  </si>
  <si>
    <t>16591744-2</t>
  </si>
  <si>
    <t>16591744-1</t>
  </si>
  <si>
    <t>16591848-2</t>
  </si>
  <si>
    <t>16591848-1</t>
  </si>
  <si>
    <t>16607117-2</t>
  </si>
  <si>
    <t>16607117-1</t>
  </si>
  <si>
    <t>16633533-3</t>
  </si>
  <si>
    <t>16633533-7</t>
  </si>
  <si>
    <t>16633533-5</t>
  </si>
  <si>
    <t>16633533-8</t>
  </si>
  <si>
    <t>16633533-4</t>
  </si>
  <si>
    <t>16633533-2</t>
  </si>
  <si>
    <t>16633533-1</t>
  </si>
  <si>
    <t>16633533-6</t>
  </si>
  <si>
    <t>16637843-3</t>
  </si>
  <si>
    <t>16637843-1</t>
  </si>
  <si>
    <t>16637843-2</t>
  </si>
  <si>
    <t>16637843-4</t>
  </si>
  <si>
    <t>16669439-2</t>
  </si>
  <si>
    <t>16669439-1</t>
  </si>
  <si>
    <t>16679467-2</t>
  </si>
  <si>
    <t>16679467-1</t>
  </si>
  <si>
    <t>16679467-3</t>
  </si>
  <si>
    <t>16698500-1</t>
  </si>
  <si>
    <t>16698500-2</t>
  </si>
  <si>
    <t>16708888-2</t>
  </si>
  <si>
    <t>16708888-3</t>
  </si>
  <si>
    <t>16708888-1</t>
  </si>
  <si>
    <t>16708888-5</t>
  </si>
  <si>
    <t>16708888-4</t>
  </si>
  <si>
    <t>16723219-4</t>
  </si>
  <si>
    <t>16723219-3</t>
  </si>
  <si>
    <t>16723219-1</t>
  </si>
  <si>
    <t>16723219-2</t>
  </si>
  <si>
    <t>16730078-1</t>
  </si>
  <si>
    <t>16730078-4</t>
  </si>
  <si>
    <t>16730078-3</t>
  </si>
  <si>
    <t>16730078-2</t>
  </si>
  <si>
    <t>16749425-1</t>
  </si>
  <si>
    <t>16749425-3</t>
  </si>
  <si>
    <t>16749425-2</t>
  </si>
  <si>
    <t>16751591-3</t>
  </si>
  <si>
    <t>16751591-1</t>
  </si>
  <si>
    <t>16751591-2</t>
  </si>
  <si>
    <t>16761714-2</t>
  </si>
  <si>
    <t>16761714-1</t>
  </si>
  <si>
    <t>16761714-4</t>
  </si>
  <si>
    <t>16761714-3</t>
  </si>
  <si>
    <t>16778426-2</t>
  </si>
  <si>
    <t>16778426-1</t>
  </si>
  <si>
    <t>16781675-4</t>
  </si>
  <si>
    <t>16781675-1</t>
  </si>
  <si>
    <t>16781675-2</t>
  </si>
  <si>
    <t>16781675-3</t>
  </si>
  <si>
    <t>16820143-1</t>
  </si>
  <si>
    <t>16820143-2</t>
  </si>
  <si>
    <t>16824095-2</t>
  </si>
  <si>
    <t>16824095-3</t>
  </si>
  <si>
    <t>16824095-1</t>
  </si>
  <si>
    <t>16827577-1</t>
  </si>
  <si>
    <t>16828126-4</t>
  </si>
  <si>
    <t>16828126-3</t>
  </si>
  <si>
    <t>16828126-5</t>
  </si>
  <si>
    <t>16828126-1</t>
  </si>
  <si>
    <t>16828126-2</t>
  </si>
  <si>
    <t>16830582-1</t>
  </si>
  <si>
    <t>16881076-4</t>
  </si>
  <si>
    <t>16881076-3</t>
  </si>
  <si>
    <t>16881076-2</t>
  </si>
  <si>
    <t>16881076-1</t>
  </si>
  <si>
    <t>16881076-5</t>
  </si>
  <si>
    <t>16881275-1</t>
  </si>
  <si>
    <t>16881275-2</t>
  </si>
  <si>
    <t>16917385-4</t>
  </si>
  <si>
    <t>16917385-1</t>
  </si>
  <si>
    <t>16917385-3</t>
  </si>
  <si>
    <t>16917385-5</t>
  </si>
  <si>
    <t>16917385-2</t>
  </si>
  <si>
    <t>16936771-2</t>
  </si>
  <si>
    <t>16936771-4</t>
  </si>
  <si>
    <t>16936771-1</t>
  </si>
  <si>
    <t>16936771-3</t>
  </si>
  <si>
    <t>17152604-2</t>
  </si>
  <si>
    <t>17152604-1</t>
  </si>
  <si>
    <t>1747298-2</t>
  </si>
  <si>
    <t>1747298-1</t>
  </si>
  <si>
    <t>17632722-1</t>
  </si>
  <si>
    <t>17632722-2</t>
  </si>
  <si>
    <t>17808718-2</t>
  </si>
  <si>
    <t>17808718-1</t>
  </si>
  <si>
    <t>17849804-2</t>
  </si>
  <si>
    <t>17849804-3</t>
  </si>
  <si>
    <t>17849804-6</t>
  </si>
  <si>
    <t>17849804-1</t>
  </si>
  <si>
    <t>17849804-4</t>
  </si>
  <si>
    <t>17849804-5</t>
  </si>
  <si>
    <t>18932393-3</t>
  </si>
  <si>
    <t>18932393-2</t>
  </si>
  <si>
    <t>18932393-1</t>
  </si>
  <si>
    <t>19143848-1</t>
  </si>
  <si>
    <t>19218873-1</t>
  </si>
  <si>
    <t>19288937-1</t>
  </si>
  <si>
    <t>19288937-2</t>
  </si>
  <si>
    <t>19582075-1</t>
  </si>
  <si>
    <t>19596310-5</t>
  </si>
  <si>
    <t>19596310-3</t>
  </si>
  <si>
    <t>19596310-2</t>
  </si>
  <si>
    <t>19596310-4</t>
  </si>
  <si>
    <t>19596310-6</t>
  </si>
  <si>
    <t>19596310-1</t>
  </si>
  <si>
    <t>21308025-1</t>
  </si>
  <si>
    <t>21308025-2</t>
  </si>
  <si>
    <t>21311154-1</t>
  </si>
  <si>
    <t>21386259-1</t>
  </si>
  <si>
    <t>21386259-2</t>
  </si>
  <si>
    <t>21399690-2</t>
  </si>
  <si>
    <t>21399690-1</t>
  </si>
  <si>
    <t>21400273-1</t>
  </si>
  <si>
    <t>21451130-1</t>
  </si>
  <si>
    <t>21451506-2</t>
  </si>
  <si>
    <t>21451506-1</t>
  </si>
  <si>
    <t>21464825-2</t>
  </si>
  <si>
    <t>21464825-3</t>
  </si>
  <si>
    <t>21464825-1</t>
  </si>
  <si>
    <t>21467983-1</t>
  </si>
  <si>
    <t>21467983-2</t>
  </si>
  <si>
    <t>21469067-5</t>
  </si>
  <si>
    <t>21469067-3</t>
  </si>
  <si>
    <t>21469067-2</t>
  </si>
  <si>
    <t>21469067-1</t>
  </si>
  <si>
    <t>21469067-4</t>
  </si>
  <si>
    <t>21499811-2</t>
  </si>
  <si>
    <t>21499811-1</t>
  </si>
  <si>
    <t>21499811-3</t>
  </si>
  <si>
    <t>21508452-1</t>
  </si>
  <si>
    <t>21521912-1</t>
  </si>
  <si>
    <t>21521912-3</t>
  </si>
  <si>
    <t>21521912-4</t>
  </si>
  <si>
    <t>21521912-2</t>
  </si>
  <si>
    <t>21559816-1</t>
  </si>
  <si>
    <t>21559816-3</t>
  </si>
  <si>
    <t>21559816-6</t>
  </si>
  <si>
    <t>21559816-4</t>
  </si>
  <si>
    <t>21559816-5</t>
  </si>
  <si>
    <t>21559816-2</t>
  </si>
  <si>
    <t>21573512-1</t>
  </si>
  <si>
    <t>21575791-1</t>
  </si>
  <si>
    <t>21584884-3</t>
  </si>
  <si>
    <t>21584884-2</t>
  </si>
  <si>
    <t>21584884-1</t>
  </si>
  <si>
    <t>21584884-4</t>
  </si>
  <si>
    <t>21610540-1</t>
  </si>
  <si>
    <t>21610540-2</t>
  </si>
  <si>
    <t>21620314-2</t>
  </si>
  <si>
    <t>21620314-1</t>
  </si>
  <si>
    <t>21691463-1</t>
  </si>
  <si>
    <t>21693354-1</t>
  </si>
  <si>
    <t>21693354-4</t>
  </si>
  <si>
    <t>21693354-3</t>
  </si>
  <si>
    <t>21693354-2</t>
  </si>
  <si>
    <t>21693354-5</t>
  </si>
  <si>
    <t>21693354-6</t>
  </si>
  <si>
    <t>21693424-1</t>
  </si>
  <si>
    <t>21693424-2</t>
  </si>
  <si>
    <t>21693424-3</t>
  </si>
  <si>
    <t>21697016-3</t>
  </si>
  <si>
    <t>21697016-1</t>
  </si>
  <si>
    <t>21697016-2</t>
  </si>
  <si>
    <t>21697063-3</t>
  </si>
  <si>
    <t>21697063-2</t>
  </si>
  <si>
    <t>21697063-1</t>
  </si>
  <si>
    <t>21697063-4</t>
  </si>
  <si>
    <t>21697589-3</t>
  </si>
  <si>
    <t>21697589-2</t>
  </si>
  <si>
    <t>21697589-1</t>
  </si>
  <si>
    <t>21709045-1</t>
  </si>
  <si>
    <t>21744070-1</t>
  </si>
  <si>
    <t>21757096-4</t>
  </si>
  <si>
    <t>21757096-1</t>
  </si>
  <si>
    <t>21757096-5</t>
  </si>
  <si>
    <t>21757096-3</t>
  </si>
  <si>
    <t>21757096-2</t>
  </si>
  <si>
    <t>21785236-1</t>
  </si>
  <si>
    <t>21785236-2</t>
  </si>
  <si>
    <t>21792037-1</t>
  </si>
  <si>
    <t>21808751-1</t>
  </si>
  <si>
    <t>21808751-2</t>
  </si>
  <si>
    <t>21808821-4</t>
  </si>
  <si>
    <t>21808821-3</t>
  </si>
  <si>
    <t>21808821-2</t>
  </si>
  <si>
    <t>21808821-1</t>
  </si>
  <si>
    <t>21809439-3</t>
  </si>
  <si>
    <t>21809439-2</t>
  </si>
  <si>
    <t>21809439-1</t>
  </si>
  <si>
    <t>21812687-3</t>
  </si>
  <si>
    <t>21812687-1</t>
  </si>
  <si>
    <t>21812687-2</t>
  </si>
  <si>
    <t>21812687-4</t>
  </si>
  <si>
    <t>21816448-5</t>
  </si>
  <si>
    <t>21816448-2</t>
  </si>
  <si>
    <t>21816448-1</t>
  </si>
  <si>
    <t>21816448-3</t>
  </si>
  <si>
    <t>21816448-4</t>
  </si>
  <si>
    <t>21869006-6</t>
  </si>
  <si>
    <t>21869006-4</t>
  </si>
  <si>
    <t>21869006-2</t>
  </si>
  <si>
    <t>21869006-5</t>
  </si>
  <si>
    <t>21869006-3</t>
  </si>
  <si>
    <t>21869006-1</t>
  </si>
  <si>
    <t>21893072-2</t>
  </si>
  <si>
    <t>21893072-3</t>
  </si>
  <si>
    <t>21893072-1</t>
  </si>
  <si>
    <t>21906091-1</t>
  </si>
  <si>
    <t>21906091-2</t>
  </si>
  <si>
    <t>21910729-2</t>
  </si>
  <si>
    <t>21910729-3</t>
  </si>
  <si>
    <t>21910729-1</t>
  </si>
  <si>
    <t>21910873-1</t>
  </si>
  <si>
    <t>21910873-2</t>
  </si>
  <si>
    <t>21910907-2</t>
  </si>
  <si>
    <t>21910907-4</t>
  </si>
  <si>
    <t>21910907-1</t>
  </si>
  <si>
    <t>21910907-5</t>
  </si>
  <si>
    <t>21910907-3</t>
  </si>
  <si>
    <t>21912116-3</t>
  </si>
  <si>
    <t>21912116-1</t>
  </si>
  <si>
    <t>21912116-2</t>
  </si>
  <si>
    <t>21912116-4</t>
  </si>
  <si>
    <t>21954148-3</t>
  </si>
  <si>
    <t>21954148-4</t>
  </si>
  <si>
    <t>21954148-1</t>
  </si>
  <si>
    <t>21954148-2</t>
  </si>
  <si>
    <t>21969109-2</t>
  </si>
  <si>
    <t>21969109-1</t>
  </si>
  <si>
    <t>21977327-2</t>
  </si>
  <si>
    <t>21977327-1</t>
  </si>
  <si>
    <t>21977805-8</t>
  </si>
  <si>
    <t>21977805-3</t>
  </si>
  <si>
    <t>21977805-5</t>
  </si>
  <si>
    <t>21977805-2</t>
  </si>
  <si>
    <t>21977805-6</t>
  </si>
  <si>
    <t>21977805-4</t>
  </si>
  <si>
    <t>21977805-1</t>
  </si>
  <si>
    <t>21977805-7</t>
  </si>
  <si>
    <t>22015124-3</t>
  </si>
  <si>
    <t>22015124-4</t>
  </si>
  <si>
    <t>22015124-2</t>
  </si>
  <si>
    <t>22015124-1</t>
  </si>
  <si>
    <t>22032152-1</t>
  </si>
  <si>
    <t>22032152-2</t>
  </si>
  <si>
    <t>22103917-2</t>
  </si>
  <si>
    <t>22103917-6</t>
  </si>
  <si>
    <t>22103917-5</t>
  </si>
  <si>
    <t>22103917-1</t>
  </si>
  <si>
    <t>22103917-3</t>
  </si>
  <si>
    <t>22103917-4</t>
  </si>
  <si>
    <t>22108850-2</t>
  </si>
  <si>
    <t>22108850-3</t>
  </si>
  <si>
    <t>22108850-1</t>
  </si>
  <si>
    <t>22108850-6</t>
  </si>
  <si>
    <t>22108850-5</t>
  </si>
  <si>
    <t>22108850-8</t>
  </si>
  <si>
    <t>22108850-4</t>
  </si>
  <si>
    <t>22108850-9</t>
  </si>
  <si>
    <t>22108850-7</t>
  </si>
  <si>
    <t>22139441-3</t>
  </si>
  <si>
    <t>22139441-1</t>
  </si>
  <si>
    <t>22139441-2</t>
  </si>
  <si>
    <t>22187123-1</t>
  </si>
  <si>
    <t>22210262-2</t>
  </si>
  <si>
    <t>22210262-1</t>
  </si>
  <si>
    <t>22222115-3</t>
  </si>
  <si>
    <t>22222115-2</t>
  </si>
  <si>
    <t>22222115-4</t>
  </si>
  <si>
    <t>22222115-1</t>
  </si>
  <si>
    <t>22227595-1</t>
  </si>
  <si>
    <t>22227595-2</t>
  </si>
  <si>
    <t>22230457-3</t>
  </si>
  <si>
    <t>22230457-1</t>
  </si>
  <si>
    <t>22230457-2</t>
  </si>
  <si>
    <t>22230457-4</t>
  </si>
  <si>
    <t>22294421-1</t>
  </si>
  <si>
    <t>22294421-2</t>
  </si>
  <si>
    <t>22295551-1</t>
  </si>
  <si>
    <t>22304817-5</t>
  </si>
  <si>
    <t>22304817-3</t>
  </si>
  <si>
    <t>22304817-4</t>
  </si>
  <si>
    <t>22304817-2</t>
  </si>
  <si>
    <t>22304817-1</t>
  </si>
  <si>
    <t>22313863-2</t>
  </si>
  <si>
    <t>22313863-1</t>
  </si>
  <si>
    <t>22317957-4</t>
  </si>
  <si>
    <t>22317957-3</t>
  </si>
  <si>
    <t>22317957-5</t>
  </si>
  <si>
    <t>22317957-2</t>
  </si>
  <si>
    <t>22317957-1</t>
  </si>
  <si>
    <t>22317957-6</t>
  </si>
  <si>
    <t>22333001-2</t>
  </si>
  <si>
    <t>22333001-1</t>
  </si>
  <si>
    <t>22333001-3</t>
  </si>
  <si>
    <t>22351069-1</t>
  </si>
  <si>
    <t>22351069-3</t>
  </si>
  <si>
    <t>22351069-2</t>
  </si>
  <si>
    <t>22353868-3</t>
  </si>
  <si>
    <t>22353868-2</t>
  </si>
  <si>
    <t>22353868-1</t>
  </si>
  <si>
    <t>22357171-1</t>
  </si>
  <si>
    <t>22357171-2</t>
  </si>
  <si>
    <t>22362412-3</t>
  </si>
  <si>
    <t>22362412-1</t>
  </si>
  <si>
    <t>22362412-2</t>
  </si>
  <si>
    <t>22365884-1</t>
  </si>
  <si>
    <t>22365884-3</t>
  </si>
  <si>
    <t>22365884-2</t>
  </si>
  <si>
    <t>22372597-1</t>
  </si>
  <si>
    <t>22374314-4</t>
  </si>
  <si>
    <t>22374314-2</t>
  </si>
  <si>
    <t>22374314-1</t>
  </si>
  <si>
    <t>22374314-3</t>
  </si>
  <si>
    <t>22374314-5</t>
  </si>
  <si>
    <t>22377867-1</t>
  </si>
  <si>
    <t>22377867-2</t>
  </si>
  <si>
    <t>22377867-3</t>
  </si>
  <si>
    <t>22378889-2</t>
  </si>
  <si>
    <t>22378889-4</t>
  </si>
  <si>
    <t>22378889-3</t>
  </si>
  <si>
    <t>22378889-1</t>
  </si>
  <si>
    <t>22383297-3</t>
  </si>
  <si>
    <t>22383297-1</t>
  </si>
  <si>
    <t>22383297-2</t>
  </si>
  <si>
    <t>22385229-4</t>
  </si>
  <si>
    <t>22385229-3</t>
  </si>
  <si>
    <t>22385229-2</t>
  </si>
  <si>
    <t>22385229-1</t>
  </si>
  <si>
    <t>22393271-1</t>
  </si>
  <si>
    <t>22410576-2</t>
  </si>
  <si>
    <t>22410576-4</t>
  </si>
  <si>
    <t>22410576-3</t>
  </si>
  <si>
    <t>22410576-1</t>
  </si>
  <si>
    <t>22414731-2</t>
  </si>
  <si>
    <t>22414731-3</t>
  </si>
  <si>
    <t>22414731-1</t>
  </si>
  <si>
    <t>22414805-6</t>
  </si>
  <si>
    <t>22414805-3</t>
  </si>
  <si>
    <t>22414805-1</t>
  </si>
  <si>
    <t>22414805-2</t>
  </si>
  <si>
    <t>22414805-5</t>
  </si>
  <si>
    <t>22414805-4</t>
  </si>
  <si>
    <t>22415762-2</t>
  </si>
  <si>
    <t>22415762-1</t>
  </si>
  <si>
    <t>22420818-3</t>
  </si>
  <si>
    <t>22420818-5</t>
  </si>
  <si>
    <t>22420818-2</t>
  </si>
  <si>
    <t>22420818-6</t>
  </si>
  <si>
    <t>22420818-1</t>
  </si>
  <si>
    <t>22420818-4</t>
  </si>
  <si>
    <t>22420818-7</t>
  </si>
  <si>
    <t>22421041-5</t>
  </si>
  <si>
    <t>22421041-2</t>
  </si>
  <si>
    <t>22421041-4</t>
  </si>
  <si>
    <t>22421041-1</t>
  </si>
  <si>
    <t>22421041-3</t>
  </si>
  <si>
    <t>22421549-1</t>
  </si>
  <si>
    <t>22421549-5</t>
  </si>
  <si>
    <t>22421549-3</t>
  </si>
  <si>
    <t>22421549-2</t>
  </si>
  <si>
    <t>22421549-10</t>
  </si>
  <si>
    <t>22421549-9</t>
  </si>
  <si>
    <t>22421549-7</t>
  </si>
  <si>
    <t>22421549-6</t>
  </si>
  <si>
    <t>22421549-8</t>
  </si>
  <si>
    <t>22421549-4</t>
  </si>
  <si>
    <t>22436611-2</t>
  </si>
  <si>
    <t>22436611-1</t>
  </si>
  <si>
    <t>22440120-2</t>
  </si>
  <si>
    <t>22440120-5</t>
  </si>
  <si>
    <t>22440120-4</t>
  </si>
  <si>
    <t>22440120-3</t>
  </si>
  <si>
    <t>22440120-1</t>
  </si>
  <si>
    <t>22442480-3</t>
  </si>
  <si>
    <t>22442480-2</t>
  </si>
  <si>
    <t>22442480-1</t>
  </si>
  <si>
    <t>22442480-4</t>
  </si>
  <si>
    <t>22445534-2</t>
  </si>
  <si>
    <t>22445534-1</t>
  </si>
  <si>
    <t>22446557-1</t>
  </si>
  <si>
    <t>22446587-5</t>
  </si>
  <si>
    <t>22446587-2</t>
  </si>
  <si>
    <t>22446587-6</t>
  </si>
  <si>
    <t>22446587-3</t>
  </si>
  <si>
    <t>22446587-4</t>
  </si>
  <si>
    <t>22446587-1</t>
  </si>
  <si>
    <t>22446902-1</t>
  </si>
  <si>
    <t>22446902-2</t>
  </si>
  <si>
    <t>22466720-2</t>
  </si>
  <si>
    <t>22466720-1</t>
  </si>
  <si>
    <t>22466720-4</t>
  </si>
  <si>
    <t>22466720-3</t>
  </si>
  <si>
    <t>22467946-1</t>
  </si>
  <si>
    <t>22467946-2</t>
  </si>
  <si>
    <t>22467946-3</t>
  </si>
  <si>
    <t>22468227-1</t>
  </si>
  <si>
    <t>22474518-2</t>
  </si>
  <si>
    <t>22474518-1</t>
  </si>
  <si>
    <t>22478356-2</t>
  </si>
  <si>
    <t>22478356-4</t>
  </si>
  <si>
    <t>22478356-1</t>
  </si>
  <si>
    <t>22478356-3</t>
  </si>
  <si>
    <t>22502121-2</t>
  </si>
  <si>
    <t>22502121-1</t>
  </si>
  <si>
    <t>22502121-3</t>
  </si>
  <si>
    <t>22502121-4</t>
  </si>
  <si>
    <t>22502647-1</t>
  </si>
  <si>
    <t>22502647-2</t>
  </si>
  <si>
    <t>22503243-7</t>
  </si>
  <si>
    <t>22503243-5</t>
  </si>
  <si>
    <t>22503243-2</t>
  </si>
  <si>
    <t>22503243-3</t>
  </si>
  <si>
    <t>22503243-1</t>
  </si>
  <si>
    <t>22503243-6</t>
  </si>
  <si>
    <t>22503243-4</t>
  </si>
  <si>
    <t>22505364-3</t>
  </si>
  <si>
    <t>22505364-1</t>
  </si>
  <si>
    <t>22505364-2</t>
  </si>
  <si>
    <t>22506208-1</t>
  </si>
  <si>
    <t>22506208-3</t>
  </si>
  <si>
    <t>22506208-5</t>
  </si>
  <si>
    <t>22506208-4</t>
  </si>
  <si>
    <t>22506208-2</t>
  </si>
  <si>
    <t>22506208-6</t>
  </si>
  <si>
    <t>22506504-1</t>
  </si>
  <si>
    <t>22518128-3</t>
  </si>
  <si>
    <t>22518128-2</t>
  </si>
  <si>
    <t>22518128-1</t>
  </si>
  <si>
    <t>22518128-4</t>
  </si>
  <si>
    <t>22527893-1</t>
  </si>
  <si>
    <t>22532457-4</t>
  </si>
  <si>
    <t>22532457-2</t>
  </si>
  <si>
    <t>22532457-3</t>
  </si>
  <si>
    <t>22532457-1</t>
  </si>
  <si>
    <t>22532796-2</t>
  </si>
  <si>
    <t>22532796-1</t>
  </si>
  <si>
    <t>22548648-1</t>
  </si>
  <si>
    <t>22548648-3</t>
  </si>
  <si>
    <t>22548648-2</t>
  </si>
  <si>
    <t>22563805-1</t>
  </si>
  <si>
    <t>22564910-1</t>
  </si>
  <si>
    <t>22567435-2</t>
  </si>
  <si>
    <t>22567435-3</t>
  </si>
  <si>
    <t>22567435-1</t>
  </si>
  <si>
    <t>22590461-1</t>
  </si>
  <si>
    <t>22590461-3</t>
  </si>
  <si>
    <t>22590461-2</t>
  </si>
  <si>
    <t>22599446-3</t>
  </si>
  <si>
    <t>22599446-1</t>
  </si>
  <si>
    <t>22599446-2</t>
  </si>
  <si>
    <t>22599446-4</t>
  </si>
  <si>
    <t>22645705-1</t>
  </si>
  <si>
    <t>22645705-3</t>
  </si>
  <si>
    <t>22645705-2</t>
  </si>
  <si>
    <t>22645794-3</t>
  </si>
  <si>
    <t>22645794-1</t>
  </si>
  <si>
    <t>22645794-2</t>
  </si>
  <si>
    <t>22645794-4</t>
  </si>
  <si>
    <t>22645794-5</t>
  </si>
  <si>
    <t>22646716-4</t>
  </si>
  <si>
    <t>22646716-1</t>
  </si>
  <si>
    <t>22646716-2</t>
  </si>
  <si>
    <t>22646716-3</t>
  </si>
  <si>
    <t>22648878-1</t>
  </si>
  <si>
    <t>22648878-2</t>
  </si>
  <si>
    <t>22650279-3</t>
  </si>
  <si>
    <t>22650279-2</t>
  </si>
  <si>
    <t>22650279-1</t>
  </si>
  <si>
    <t>22650279-4</t>
  </si>
  <si>
    <t>22650279-5</t>
  </si>
  <si>
    <t>22650279-6</t>
  </si>
  <si>
    <t>22655403-5</t>
  </si>
  <si>
    <t>22655403-2</t>
  </si>
  <si>
    <t>22655403-3</t>
  </si>
  <si>
    <t>22655403-4</t>
  </si>
  <si>
    <t>22655403-1</t>
  </si>
  <si>
    <t>22703396-1</t>
  </si>
  <si>
    <t>22703396-4</t>
  </si>
  <si>
    <t>22703396-2</t>
  </si>
  <si>
    <t>22703396-5</t>
  </si>
  <si>
    <t>22703396-3</t>
  </si>
  <si>
    <t>22712132-3</t>
  </si>
  <si>
    <t>22712132-2</t>
  </si>
  <si>
    <t>22712132-5</t>
  </si>
  <si>
    <t>22712132-1</t>
  </si>
  <si>
    <t>22712132-4</t>
  </si>
  <si>
    <t>2272778-1</t>
  </si>
  <si>
    <t>2272778-2</t>
  </si>
  <si>
    <t>22732410-3</t>
  </si>
  <si>
    <t>22732410-5</t>
  </si>
  <si>
    <t>22732410-2</t>
  </si>
  <si>
    <t>22732410-4</t>
  </si>
  <si>
    <t>22732410-1</t>
  </si>
  <si>
    <t>22733884-2</t>
  </si>
  <si>
    <t>22733884-6</t>
  </si>
  <si>
    <t>22733884-5</t>
  </si>
  <si>
    <t>22733884-4</t>
  </si>
  <si>
    <t>22733884-3</t>
  </si>
  <si>
    <t>22733884-1</t>
  </si>
  <si>
    <t>22736024-3</t>
  </si>
  <si>
    <t>22736024-6</t>
  </si>
  <si>
    <t>22736024-1</t>
  </si>
  <si>
    <t>22736024-4</t>
  </si>
  <si>
    <t>22736024-5</t>
  </si>
  <si>
    <t>22736024-2</t>
  </si>
  <si>
    <t>22738294-4</t>
  </si>
  <si>
    <t>22738294-1</t>
  </si>
  <si>
    <t>22738294-3</t>
  </si>
  <si>
    <t>22738294-2</t>
  </si>
  <si>
    <t>22739665-1</t>
  </si>
  <si>
    <t>22744065-2</t>
  </si>
  <si>
    <t>22744065-1</t>
  </si>
  <si>
    <t>22744065-3</t>
  </si>
  <si>
    <t>22744065-4</t>
  </si>
  <si>
    <t>22744065-6</t>
  </si>
  <si>
    <t>22744065-5</t>
  </si>
  <si>
    <t>22744721-1</t>
  </si>
  <si>
    <t>22845935-1</t>
  </si>
  <si>
    <t>22845935-2</t>
  </si>
  <si>
    <t>22845935-3</t>
  </si>
  <si>
    <t>22858815-1</t>
  </si>
  <si>
    <t>22858815-2</t>
  </si>
  <si>
    <t>22954309-7</t>
  </si>
  <si>
    <t>22954309-2</t>
  </si>
  <si>
    <t>22954309-5</t>
  </si>
  <si>
    <t>22954309-3</t>
  </si>
  <si>
    <t>22954309-1</t>
  </si>
  <si>
    <t>22954309-6</t>
  </si>
  <si>
    <t>22954309-4</t>
  </si>
  <si>
    <t>23070779-1</t>
  </si>
  <si>
    <t>23070779-3</t>
  </si>
  <si>
    <t>23070779-2</t>
  </si>
  <si>
    <t>23142186-1</t>
  </si>
  <si>
    <t>23142186-3</t>
  </si>
  <si>
    <t>23142186-2</t>
  </si>
  <si>
    <t>23242735-3</t>
  </si>
  <si>
    <t>23242735-2</t>
  </si>
  <si>
    <t>23242735-1</t>
  </si>
  <si>
    <t>24117503-2</t>
  </si>
  <si>
    <t>24117503-3</t>
  </si>
  <si>
    <t>24117503-1</t>
  </si>
  <si>
    <t>24529522-3</t>
  </si>
  <si>
    <t>24529522-5</t>
  </si>
  <si>
    <t>24529522-2</t>
  </si>
  <si>
    <t>24529522-1</t>
  </si>
  <si>
    <t>24529522-4</t>
  </si>
  <si>
    <t>24552101-2</t>
  </si>
  <si>
    <t>24552101-1</t>
  </si>
  <si>
    <t>2484445-2</t>
  </si>
  <si>
    <t>2484445-4</t>
  </si>
  <si>
    <t>2484445-1</t>
  </si>
  <si>
    <t>2484445-3</t>
  </si>
  <si>
    <t>24923028-2</t>
  </si>
  <si>
    <t>24923028-1</t>
  </si>
  <si>
    <t>24923028-3</t>
  </si>
  <si>
    <t>24999258-1</t>
  </si>
  <si>
    <t>24999258-2</t>
  </si>
  <si>
    <t>24999258-3</t>
  </si>
  <si>
    <t>25036381-1</t>
  </si>
  <si>
    <t>25036381-2</t>
  </si>
  <si>
    <t>25097620-1</t>
  </si>
  <si>
    <t>25097620-2</t>
  </si>
  <si>
    <t>25265831-1</t>
  </si>
  <si>
    <t>25265831-2</t>
  </si>
  <si>
    <t>25340411-2</t>
  </si>
  <si>
    <t>25340411-3</t>
  </si>
  <si>
    <t>25340411-4</t>
  </si>
  <si>
    <t>25340411-1</t>
  </si>
  <si>
    <t>25340770-1</t>
  </si>
  <si>
    <t>25351368-2</t>
  </si>
  <si>
    <t>25351368-3</t>
  </si>
  <si>
    <t>25351368-4</t>
  </si>
  <si>
    <t>25351368-1</t>
  </si>
  <si>
    <t>25413263-2</t>
  </si>
  <si>
    <t>25413263-1</t>
  </si>
  <si>
    <t>25485764-1</t>
  </si>
  <si>
    <t>25485764-2</t>
  </si>
  <si>
    <t>25487137-1</t>
  </si>
  <si>
    <t>25489365-3</t>
  </si>
  <si>
    <t>25489365-2</t>
  </si>
  <si>
    <t>25489365-1</t>
  </si>
  <si>
    <t>25490780-4</t>
  </si>
  <si>
    <t>25490780-3</t>
  </si>
  <si>
    <t>25490780-2</t>
  </si>
  <si>
    <t>25490780-1</t>
  </si>
  <si>
    <t>25492271-1</t>
  </si>
  <si>
    <t>25619493-1</t>
  </si>
  <si>
    <t>25638302-1</t>
  </si>
  <si>
    <t>25638302-2</t>
  </si>
  <si>
    <t>25683891-1</t>
  </si>
  <si>
    <t>25683891-4</t>
  </si>
  <si>
    <t>25683891-5</t>
  </si>
  <si>
    <t>25683891-6</t>
  </si>
  <si>
    <t>25683891-3</t>
  </si>
  <si>
    <t>25683891-2</t>
  </si>
  <si>
    <t>25954420-1</t>
  </si>
  <si>
    <t>25954420-2</t>
  </si>
  <si>
    <t>25954420-3</t>
  </si>
  <si>
    <t>26256330-2</t>
  </si>
  <si>
    <t>26256330-1</t>
  </si>
  <si>
    <t>26256330-3</t>
  </si>
  <si>
    <t>26256767-1</t>
  </si>
  <si>
    <t>26393898-2</t>
  </si>
  <si>
    <t>26393898-3</t>
  </si>
  <si>
    <t>26393898-1</t>
  </si>
  <si>
    <t>26718435-1</t>
  </si>
  <si>
    <t>26718435-2</t>
  </si>
  <si>
    <t>26757628-1</t>
  </si>
  <si>
    <t>26757628-2</t>
  </si>
  <si>
    <t>26757731-1</t>
  </si>
  <si>
    <t>26757731-2</t>
  </si>
  <si>
    <t>2680456-1</t>
  </si>
  <si>
    <t>2699661-3</t>
  </si>
  <si>
    <t>2699661-5</t>
  </si>
  <si>
    <t>2699661-1</t>
  </si>
  <si>
    <t>2699661-6</t>
  </si>
  <si>
    <t>2699661-4</t>
  </si>
  <si>
    <t>2699661-2</t>
  </si>
  <si>
    <t>27104551-1</t>
  </si>
  <si>
    <t>27104551-2</t>
  </si>
  <si>
    <t>27123795-2</t>
  </si>
  <si>
    <t>27123795-1</t>
  </si>
  <si>
    <t>2775711-1</t>
  </si>
  <si>
    <t>2775711-2</t>
  </si>
  <si>
    <t>28588708-2</t>
  </si>
  <si>
    <t>28588708-3</t>
  </si>
  <si>
    <t>28588708-1</t>
  </si>
  <si>
    <t>29105566-3</t>
  </si>
  <si>
    <t>29105566-5</t>
  </si>
  <si>
    <t>29105566-2</t>
  </si>
  <si>
    <t>29105566-4</t>
  </si>
  <si>
    <t>29105566-1</t>
  </si>
  <si>
    <t>29119222-1</t>
  </si>
  <si>
    <t>29119222-6</t>
  </si>
  <si>
    <t>29119222-3</t>
  </si>
  <si>
    <t>29119222-5</t>
  </si>
  <si>
    <t>29119222-4</t>
  </si>
  <si>
    <t>29119222-2</t>
  </si>
  <si>
    <t>29120687-1</t>
  </si>
  <si>
    <t>29120687-3</t>
  </si>
  <si>
    <t>29120687-2</t>
  </si>
  <si>
    <t>29177698-2</t>
  </si>
  <si>
    <t>29177698-4</t>
  </si>
  <si>
    <t>29177698-3</t>
  </si>
  <si>
    <t>29177698-1</t>
  </si>
  <si>
    <t>29178636-1</t>
  </si>
  <si>
    <t>29179765-1</t>
  </si>
  <si>
    <t>29179765-2</t>
  </si>
  <si>
    <t>29179902-2</t>
  </si>
  <si>
    <t>29179902-1</t>
  </si>
  <si>
    <t>29179902-3</t>
  </si>
  <si>
    <t>29346502-2</t>
  </si>
  <si>
    <t>29346502-3</t>
  </si>
  <si>
    <t>29346502-4</t>
  </si>
  <si>
    <t>29346502-1</t>
  </si>
  <si>
    <t>29377098-1</t>
  </si>
  <si>
    <t>29377098-2</t>
  </si>
  <si>
    <t>29398776-4</t>
  </si>
  <si>
    <t>29398776-2</t>
  </si>
  <si>
    <t>29398776-3</t>
  </si>
  <si>
    <t>29398776-1</t>
  </si>
  <si>
    <t>29534923-1</t>
  </si>
  <si>
    <t>29534923-4</t>
  </si>
  <si>
    <t>29534923-3</t>
  </si>
  <si>
    <t>29534923-2</t>
  </si>
  <si>
    <t>29555202-1</t>
  </si>
  <si>
    <t>29563232-1</t>
  </si>
  <si>
    <t>29563360-1</t>
  </si>
  <si>
    <t>29563360-2</t>
  </si>
  <si>
    <t>29563360-3</t>
  </si>
  <si>
    <t>29568155-1</t>
  </si>
  <si>
    <t>29686407-1</t>
  </si>
  <si>
    <t>29686407-2</t>
  </si>
  <si>
    <t>29703356-1</t>
  </si>
  <si>
    <t>29703356-2</t>
  </si>
  <si>
    <t>29703356-3</t>
  </si>
  <si>
    <t>30402150-6</t>
  </si>
  <si>
    <t>30402150-2</t>
  </si>
  <si>
    <t>30402150-3</t>
  </si>
  <si>
    <t>30402150-4</t>
  </si>
  <si>
    <t>30402150-5</t>
  </si>
  <si>
    <t>30402150-1</t>
  </si>
  <si>
    <t>30579593-2</t>
  </si>
  <si>
    <t>30579593-1</t>
  </si>
  <si>
    <t>30855437-1</t>
  </si>
  <si>
    <t>30855437-2</t>
  </si>
  <si>
    <t>31162284-1</t>
  </si>
  <si>
    <t>31162284-2</t>
  </si>
  <si>
    <t>31214997-1</t>
  </si>
  <si>
    <t>31219519-5</t>
  </si>
  <si>
    <t>31219519-3</t>
  </si>
  <si>
    <t>31219519-4</t>
  </si>
  <si>
    <t>31219519-1</t>
  </si>
  <si>
    <t>31219519-2</t>
  </si>
  <si>
    <t>31223132-1</t>
  </si>
  <si>
    <t>31223132-2</t>
  </si>
  <si>
    <t>31231329-3</t>
  </si>
  <si>
    <t>31231329-2</t>
  </si>
  <si>
    <t>31231329-1</t>
  </si>
  <si>
    <t>31244762-1</t>
  </si>
  <si>
    <t>31248209-2</t>
  </si>
  <si>
    <t>31248209-1</t>
  </si>
  <si>
    <t>31249710-4</t>
  </si>
  <si>
    <t>31249710-3</t>
  </si>
  <si>
    <t>31249710-6</t>
  </si>
  <si>
    <t>31249710-5</t>
  </si>
  <si>
    <t>31249710-2</t>
  </si>
  <si>
    <t>31249710-1</t>
  </si>
  <si>
    <t>31255887-2</t>
  </si>
  <si>
    <t>31255887-4</t>
  </si>
  <si>
    <t>31255887-3</t>
  </si>
  <si>
    <t>31255887-1</t>
  </si>
  <si>
    <t>31264863-2</t>
  </si>
  <si>
    <t>31264863-1</t>
  </si>
  <si>
    <t>31264863-3</t>
  </si>
  <si>
    <t>31264907-2</t>
  </si>
  <si>
    <t>31264907-1</t>
  </si>
  <si>
    <t>31272555-1</t>
  </si>
  <si>
    <t>31282345-1</t>
  </si>
  <si>
    <t>31282655-2</t>
  </si>
  <si>
    <t>31282655-1</t>
  </si>
  <si>
    <t>31282655-3</t>
  </si>
  <si>
    <t>31288307-1</t>
  </si>
  <si>
    <t>31288307-2</t>
  </si>
  <si>
    <t>31288307-3</t>
  </si>
  <si>
    <t>31289498-2</t>
  </si>
  <si>
    <t>31289498-1</t>
  </si>
  <si>
    <t>31295696-2</t>
  </si>
  <si>
    <t>31295696-1</t>
  </si>
  <si>
    <t>31298525-2</t>
  </si>
  <si>
    <t>31298525-3</t>
  </si>
  <si>
    <t>31298525-1</t>
  </si>
  <si>
    <t>31299759-1</t>
  </si>
  <si>
    <t>31299759-2</t>
  </si>
  <si>
    <t>31304801-1</t>
  </si>
  <si>
    <t>31304801-3</t>
  </si>
  <si>
    <t>31304801-2</t>
  </si>
  <si>
    <t>31304971-3</t>
  </si>
  <si>
    <t>31304971-2</t>
  </si>
  <si>
    <t>31304971-4</t>
  </si>
  <si>
    <t>31304971-1</t>
  </si>
  <si>
    <t>31304999-1</t>
  </si>
  <si>
    <t>31304999-2</t>
  </si>
  <si>
    <t>31304999-3</t>
  </si>
  <si>
    <t>31400886-3</t>
  </si>
  <si>
    <t>31400886-2</t>
  </si>
  <si>
    <t>31400886-1</t>
  </si>
  <si>
    <t>31445562-2</t>
  </si>
  <si>
    <t>31445562-4</t>
  </si>
  <si>
    <t>31445562-3</t>
  </si>
  <si>
    <t>31445562-1</t>
  </si>
  <si>
    <t>31445562-5</t>
  </si>
  <si>
    <t>31445743-2</t>
  </si>
  <si>
    <t>31445743-3</t>
  </si>
  <si>
    <t>31445743-1</t>
  </si>
  <si>
    <t>31446617-1</t>
  </si>
  <si>
    <t>31446617-3</t>
  </si>
  <si>
    <t>31446617-2</t>
  </si>
  <si>
    <t>31449382-4</t>
  </si>
  <si>
    <t>31449382-6</t>
  </si>
  <si>
    <t>31449382-2</t>
  </si>
  <si>
    <t>31449382-3</t>
  </si>
  <si>
    <t>31449382-5</t>
  </si>
  <si>
    <t>31449382-1</t>
  </si>
  <si>
    <t>31474654-2</t>
  </si>
  <si>
    <t>31474654-1</t>
  </si>
  <si>
    <t>31524379-2</t>
  </si>
  <si>
    <t>31524379-1</t>
  </si>
  <si>
    <t>31524379-3</t>
  </si>
  <si>
    <t>31525011-3</t>
  </si>
  <si>
    <t>31525011-2</t>
  </si>
  <si>
    <t>31525011-1</t>
  </si>
  <si>
    <t>31525413-3</t>
  </si>
  <si>
    <t>31525413-2</t>
  </si>
  <si>
    <t>31525413-1</t>
  </si>
  <si>
    <t>31534174-1</t>
  </si>
  <si>
    <t>31534174-3</t>
  </si>
  <si>
    <t>31534174-6</t>
  </si>
  <si>
    <t>31534174-7</t>
  </si>
  <si>
    <t>31534174-4</t>
  </si>
  <si>
    <t>31534174-5</t>
  </si>
  <si>
    <t>31534174-2</t>
  </si>
  <si>
    <t>31535355-2</t>
  </si>
  <si>
    <t>31535355-5</t>
  </si>
  <si>
    <t>31535355-1</t>
  </si>
  <si>
    <t>31535355-4</t>
  </si>
  <si>
    <t>31535355-3</t>
  </si>
  <si>
    <t>31537995-2</t>
  </si>
  <si>
    <t>31537995-4</t>
  </si>
  <si>
    <t>31537995-3</t>
  </si>
  <si>
    <t>31537995-1</t>
  </si>
  <si>
    <t>31574328-3</t>
  </si>
  <si>
    <t>31574328-2</t>
  </si>
  <si>
    <t>31574328-1</t>
  </si>
  <si>
    <t>31577413-2</t>
  </si>
  <si>
    <t>31577413-1</t>
  </si>
  <si>
    <t>31578203-1</t>
  </si>
  <si>
    <t>31578203-3</t>
  </si>
  <si>
    <t>31578203-4</t>
  </si>
  <si>
    <t>31578203-2</t>
  </si>
  <si>
    <t>31579325-3</t>
  </si>
  <si>
    <t>31579325-2</t>
  </si>
  <si>
    <t>31579325-1</t>
  </si>
  <si>
    <t>31830427-1</t>
  </si>
  <si>
    <t>31838102-2</t>
  </si>
  <si>
    <t>31838102-1</t>
  </si>
  <si>
    <t>31844574-2</t>
  </si>
  <si>
    <t>31844574-1</t>
  </si>
  <si>
    <t>31844574-3</t>
  </si>
  <si>
    <t>31849780-3</t>
  </si>
  <si>
    <t>31849780-4</t>
  </si>
  <si>
    <t>31849780-2</t>
  </si>
  <si>
    <t>31849780-1</t>
  </si>
  <si>
    <t>31853274-3</t>
  </si>
  <si>
    <t>31853274-2</t>
  </si>
  <si>
    <t>31853274-1</t>
  </si>
  <si>
    <t>31855498-1</t>
  </si>
  <si>
    <t>31855498-2</t>
  </si>
  <si>
    <t>31855556-1</t>
  </si>
  <si>
    <t>31857033-1</t>
  </si>
  <si>
    <t>31857560-1</t>
  </si>
  <si>
    <t>31858321-1</t>
  </si>
  <si>
    <t>31870926-1</t>
  </si>
  <si>
    <t>31870926-2</t>
  </si>
  <si>
    <t>31871549-1</t>
  </si>
  <si>
    <t>31871549-2</t>
  </si>
  <si>
    <t>31873574-2</t>
  </si>
  <si>
    <t>31873574-1</t>
  </si>
  <si>
    <t>31876572-1</t>
  </si>
  <si>
    <t>31876572-3</t>
  </si>
  <si>
    <t>31876572-2</t>
  </si>
  <si>
    <t>31884956-1</t>
  </si>
  <si>
    <t>31884956-3</t>
  </si>
  <si>
    <t>31884956-2</t>
  </si>
  <si>
    <t>31887694-1</t>
  </si>
  <si>
    <t>31887694-2</t>
  </si>
  <si>
    <t>31895484-1</t>
  </si>
  <si>
    <t>31895484-3</t>
  </si>
  <si>
    <t>31895484-2</t>
  </si>
  <si>
    <t>31902498-1</t>
  </si>
  <si>
    <t>31902498-2</t>
  </si>
  <si>
    <t>31905712-1</t>
  </si>
  <si>
    <t>31909149-1</t>
  </si>
  <si>
    <t>31909838-2</t>
  </si>
  <si>
    <t>31909838-1</t>
  </si>
  <si>
    <t>31914369-5</t>
  </si>
  <si>
    <t>31914369-7</t>
  </si>
  <si>
    <t>31914369-6</t>
  </si>
  <si>
    <t>31914369-2</t>
  </si>
  <si>
    <t>31914369-4</t>
  </si>
  <si>
    <t>31914369-3</t>
  </si>
  <si>
    <t>31914369-1</t>
  </si>
  <si>
    <t>31916260-2</t>
  </si>
  <si>
    <t>31916260-3</t>
  </si>
  <si>
    <t>31916260-1</t>
  </si>
  <si>
    <t>31923598-1</t>
  </si>
  <si>
    <t>31923598-4</t>
  </si>
  <si>
    <t>31923598-3</t>
  </si>
  <si>
    <t>31923598-6</t>
  </si>
  <si>
    <t>31923598-2</t>
  </si>
  <si>
    <t>31923598-5</t>
  </si>
  <si>
    <t>31923606-3</t>
  </si>
  <si>
    <t>31923606-1</t>
  </si>
  <si>
    <t>31923606-2</t>
  </si>
  <si>
    <t>31923606-4</t>
  </si>
  <si>
    <t>31924208-2</t>
  </si>
  <si>
    <t>31924208-1</t>
  </si>
  <si>
    <t>31925580-3</t>
  </si>
  <si>
    <t>31925580-2</t>
  </si>
  <si>
    <t>31925580-1</t>
  </si>
  <si>
    <t>31929380-3</t>
  </si>
  <si>
    <t>31929380-1</t>
  </si>
  <si>
    <t>31929380-5</t>
  </si>
  <si>
    <t>31929380-4</t>
  </si>
  <si>
    <t>31929380-6</t>
  </si>
  <si>
    <t>31929380-2</t>
  </si>
  <si>
    <t>31931128-3</t>
  </si>
  <si>
    <t>31931128-2</t>
  </si>
  <si>
    <t>31931128-1</t>
  </si>
  <si>
    <t>31931128-4</t>
  </si>
  <si>
    <t>31948620-1</t>
  </si>
  <si>
    <t>31948620-2</t>
  </si>
  <si>
    <t>31959597-5</t>
  </si>
  <si>
    <t>31959597-1</t>
  </si>
  <si>
    <t>31959597-2</t>
  </si>
  <si>
    <t>31959597-7</t>
  </si>
  <si>
    <t>31959597-4</t>
  </si>
  <si>
    <t>31959597-6</t>
  </si>
  <si>
    <t>31959597-3</t>
  </si>
  <si>
    <t>31972147-5</t>
  </si>
  <si>
    <t>31972147-6</t>
  </si>
  <si>
    <t>31972147-2</t>
  </si>
  <si>
    <t>31972147-1</t>
  </si>
  <si>
    <t>31972147-3</t>
  </si>
  <si>
    <t>31972147-4</t>
  </si>
  <si>
    <t>31981946-2</t>
  </si>
  <si>
    <t>31981946-1</t>
  </si>
  <si>
    <t>31981946-3</t>
  </si>
  <si>
    <t>31983781-1</t>
  </si>
  <si>
    <t>31983781-3</t>
  </si>
  <si>
    <t>31983781-4</t>
  </si>
  <si>
    <t>31983781-2</t>
  </si>
  <si>
    <t>31992224-1</t>
  </si>
  <si>
    <t>31992224-2</t>
  </si>
  <si>
    <t>31992224-4</t>
  </si>
  <si>
    <t>31992224-3</t>
  </si>
  <si>
    <t>31992747-2</t>
  </si>
  <si>
    <t>31992747-3</t>
  </si>
  <si>
    <t>31992747-1</t>
  </si>
  <si>
    <t>32078660-1</t>
  </si>
  <si>
    <t>32102790-2</t>
  </si>
  <si>
    <t>32102790-1</t>
  </si>
  <si>
    <t>32102790-3</t>
  </si>
  <si>
    <t>32118138-3</t>
  </si>
  <si>
    <t>32118138-4</t>
  </si>
  <si>
    <t>32118138-2</t>
  </si>
  <si>
    <t>32118138-1</t>
  </si>
  <si>
    <t>32144313-2</t>
  </si>
  <si>
    <t>32144313-1</t>
  </si>
  <si>
    <t>32182047-1</t>
  </si>
  <si>
    <t>32182047-2</t>
  </si>
  <si>
    <t>32182047-3</t>
  </si>
  <si>
    <t>32208850-2</t>
  </si>
  <si>
    <t>32208850-3</t>
  </si>
  <si>
    <t>32208850-1</t>
  </si>
  <si>
    <t>32255078-2</t>
  </si>
  <si>
    <t>32255078-3</t>
  </si>
  <si>
    <t>32255078-1</t>
  </si>
  <si>
    <t>32255078-4</t>
  </si>
  <si>
    <t>32255448-3</t>
  </si>
  <si>
    <t>32255448-5</t>
  </si>
  <si>
    <t>32255448-1</t>
  </si>
  <si>
    <t>32255448-2</t>
  </si>
  <si>
    <t>32255448-4</t>
  </si>
  <si>
    <t>32258550-3</t>
  </si>
  <si>
    <t>32258550-2</t>
  </si>
  <si>
    <t>32258550-1</t>
  </si>
  <si>
    <t>32285101-1</t>
  </si>
  <si>
    <t>32285912-1</t>
  </si>
  <si>
    <t>32323288-2</t>
  </si>
  <si>
    <t>32323288-3</t>
  </si>
  <si>
    <t>32323288-4</t>
  </si>
  <si>
    <t>32323288-1</t>
  </si>
  <si>
    <t>32342765-1</t>
  </si>
  <si>
    <t>32342765-2</t>
  </si>
  <si>
    <t>32342765-3</t>
  </si>
  <si>
    <t>32358114-2</t>
  </si>
  <si>
    <t>32358114-5</t>
  </si>
  <si>
    <t>32358114-4</t>
  </si>
  <si>
    <t>32358114-3</t>
  </si>
  <si>
    <t>32358114-1</t>
  </si>
  <si>
    <t>32358159-3</t>
  </si>
  <si>
    <t>32358159-1</t>
  </si>
  <si>
    <t>32358159-4</t>
  </si>
  <si>
    <t>32358159-5</t>
  </si>
  <si>
    <t>32358159-2</t>
  </si>
  <si>
    <t>32393942-1</t>
  </si>
  <si>
    <t>32393942-5</t>
  </si>
  <si>
    <t>32393942-4</t>
  </si>
  <si>
    <t>32393942-3</t>
  </si>
  <si>
    <t>32393942-2</t>
  </si>
  <si>
    <t>32393942-6</t>
  </si>
  <si>
    <t>32409494-1</t>
  </si>
  <si>
    <t>32409494-3</t>
  </si>
  <si>
    <t>32409494-4</t>
  </si>
  <si>
    <t>32409494-2</t>
  </si>
  <si>
    <t>32422939-1</t>
  </si>
  <si>
    <t>32422939-2</t>
  </si>
  <si>
    <t>32422939-3</t>
  </si>
  <si>
    <t>32430020-1</t>
  </si>
  <si>
    <t>32452654-3</t>
  </si>
  <si>
    <t>32452654-6</t>
  </si>
  <si>
    <t>32452654-2</t>
  </si>
  <si>
    <t>32452654-4</t>
  </si>
  <si>
    <t>32452654-1</t>
  </si>
  <si>
    <t>32452654-5</t>
  </si>
  <si>
    <t>32455454-1</t>
  </si>
  <si>
    <t>32465235-4</t>
  </si>
  <si>
    <t>32465235-3</t>
  </si>
  <si>
    <t>32465235-1</t>
  </si>
  <si>
    <t>32465235-2</t>
  </si>
  <si>
    <t>32479953-2</t>
  </si>
  <si>
    <t>32479953-3</t>
  </si>
  <si>
    <t>32479953-1</t>
  </si>
  <si>
    <t>32487224-1</t>
  </si>
  <si>
    <t>32487224-2</t>
  </si>
  <si>
    <t>32487899-1</t>
  </si>
  <si>
    <t>32500559-1</t>
  </si>
  <si>
    <t>32500559-5</t>
  </si>
  <si>
    <t>32500559-4</t>
  </si>
  <si>
    <t>32500559-3</t>
  </si>
  <si>
    <t>32500559-2</t>
  </si>
  <si>
    <t>32500696-2</t>
  </si>
  <si>
    <t>32500696-4</t>
  </si>
  <si>
    <t>32500696-3</t>
  </si>
  <si>
    <t>32500696-1</t>
  </si>
  <si>
    <t>32501795-2</t>
  </si>
  <si>
    <t>32501795-5</t>
  </si>
  <si>
    <t>32501795-1</t>
  </si>
  <si>
    <t>32501795-3</t>
  </si>
  <si>
    <t>32501795-4</t>
  </si>
  <si>
    <t>32513453-1</t>
  </si>
  <si>
    <t>32513453-2</t>
  </si>
  <si>
    <t>32516837-2</t>
  </si>
  <si>
    <t>32516837-1</t>
  </si>
  <si>
    <t>32519087-1</t>
  </si>
  <si>
    <t>32519087-2</t>
  </si>
  <si>
    <t>32521000-1</t>
  </si>
  <si>
    <t>32521000-4</t>
  </si>
  <si>
    <t>32521000-2</t>
  </si>
  <si>
    <t>32521000-3</t>
  </si>
  <si>
    <t>32525563-1</t>
  </si>
  <si>
    <t>32526054-1</t>
  </si>
  <si>
    <t>32529962-1</t>
  </si>
  <si>
    <t>32531832-1</t>
  </si>
  <si>
    <t>32533675-2</t>
  </si>
  <si>
    <t>32533675-1</t>
  </si>
  <si>
    <t>32533675-3</t>
  </si>
  <si>
    <t>32535369-1</t>
  </si>
  <si>
    <t>32535369-6</t>
  </si>
  <si>
    <t>32535369-3</t>
  </si>
  <si>
    <t>32535369-2</t>
  </si>
  <si>
    <t>32535369-4</t>
  </si>
  <si>
    <t>32535369-5</t>
  </si>
  <si>
    <t>32538485-1</t>
  </si>
  <si>
    <t>325743367-3</t>
  </si>
  <si>
    <t>325743367-1</t>
  </si>
  <si>
    <t>325743367-2</t>
  </si>
  <si>
    <t>32580754-2</t>
  </si>
  <si>
    <t>32580754-3</t>
  </si>
  <si>
    <t>32580754-1</t>
  </si>
  <si>
    <t>32580754-4</t>
  </si>
  <si>
    <t>32609231-4</t>
  </si>
  <si>
    <t>32609231-6</t>
  </si>
  <si>
    <t>32609231-2</t>
  </si>
  <si>
    <t>32609231-5</t>
  </si>
  <si>
    <t>32609231-1</t>
  </si>
  <si>
    <t>32609231-3</t>
  </si>
  <si>
    <t>32612783-4</t>
  </si>
  <si>
    <t>32612783-2</t>
  </si>
  <si>
    <t>32612783-3</t>
  </si>
  <si>
    <t>32612783-5</t>
  </si>
  <si>
    <t>32612783-1</t>
  </si>
  <si>
    <t>32613935-3</t>
  </si>
  <si>
    <t>32613935-1</t>
  </si>
  <si>
    <t>32613935-4</t>
  </si>
  <si>
    <t>32613935-2</t>
  </si>
  <si>
    <t>32619848-1</t>
  </si>
  <si>
    <t>32619848-3</t>
  </si>
  <si>
    <t>32619848-2</t>
  </si>
  <si>
    <t>32620693-3</t>
  </si>
  <si>
    <t>32620693-1</t>
  </si>
  <si>
    <t>32620693-4</t>
  </si>
  <si>
    <t>32620693-2</t>
  </si>
  <si>
    <t>32620693-5</t>
  </si>
  <si>
    <t>32623209-1</t>
  </si>
  <si>
    <t>32627098-1</t>
  </si>
  <si>
    <t>32629512-3</t>
  </si>
  <si>
    <t>32629512-1</t>
  </si>
  <si>
    <t>32629512-2</t>
  </si>
  <si>
    <t>32632016-2</t>
  </si>
  <si>
    <t>32632016-4</t>
  </si>
  <si>
    <t>32632016-1</t>
  </si>
  <si>
    <t>32632016-3</t>
  </si>
  <si>
    <t>32634688-1</t>
  </si>
  <si>
    <t>32634688-5</t>
  </si>
  <si>
    <t>32634688-2</t>
  </si>
  <si>
    <t>32634688-4</t>
  </si>
  <si>
    <t>32634688-6</t>
  </si>
  <si>
    <t>32634688-3</t>
  </si>
  <si>
    <t>32635477-3</t>
  </si>
  <si>
    <t>32635477-2</t>
  </si>
  <si>
    <t>32635477-4</t>
  </si>
  <si>
    <t>32635477-1</t>
  </si>
  <si>
    <t>32636512-5</t>
  </si>
  <si>
    <t>32636512-3</t>
  </si>
  <si>
    <t>32636512-4</t>
  </si>
  <si>
    <t>32636512-2</t>
  </si>
  <si>
    <t>32636512-1</t>
  </si>
  <si>
    <t>32636575-5</t>
  </si>
  <si>
    <t>32636575-8</t>
  </si>
  <si>
    <t>32636575-1</t>
  </si>
  <si>
    <t>32636575-7</t>
  </si>
  <si>
    <t>32636575-4</t>
  </si>
  <si>
    <t>32636575-2</t>
  </si>
  <si>
    <t>32636575-6</t>
  </si>
  <si>
    <t>32636575-9</t>
  </si>
  <si>
    <t>32636575-3</t>
  </si>
  <si>
    <t>32639743-3</t>
  </si>
  <si>
    <t>32639743-2</t>
  </si>
  <si>
    <t>32639743-1</t>
  </si>
  <si>
    <t>32639848-2</t>
  </si>
  <si>
    <t>32639848-1</t>
  </si>
  <si>
    <t>32642312-2</t>
  </si>
  <si>
    <t>32642312-1</t>
  </si>
  <si>
    <t>32642312-3</t>
  </si>
  <si>
    <t>32648994-2</t>
  </si>
  <si>
    <t>32648994-1</t>
  </si>
  <si>
    <t>32648994-4</t>
  </si>
  <si>
    <t>32648994-3</t>
  </si>
  <si>
    <t>32649402-2</t>
  </si>
  <si>
    <t>32649402-1</t>
  </si>
  <si>
    <t>32649402-3</t>
  </si>
  <si>
    <t>32649402-5</t>
  </si>
  <si>
    <t>32649402-4</t>
  </si>
  <si>
    <t>32650703-3</t>
  </si>
  <si>
    <t>32650703-1</t>
  </si>
  <si>
    <t>32650703-2</t>
  </si>
  <si>
    <t>32652678-2</t>
  </si>
  <si>
    <t>32652678-5</t>
  </si>
  <si>
    <t>32652678-7</t>
  </si>
  <si>
    <t>32652678-4</t>
  </si>
  <si>
    <t>32652678-6</t>
  </si>
  <si>
    <t>32652678-3</t>
  </si>
  <si>
    <t>32652678-1</t>
  </si>
  <si>
    <t>32657122-1</t>
  </si>
  <si>
    <t>32657122-4</t>
  </si>
  <si>
    <t>32657122-2</t>
  </si>
  <si>
    <t>32657122-5</t>
  </si>
  <si>
    <t>32657122-3</t>
  </si>
  <si>
    <t>32661084-3</t>
  </si>
  <si>
    <t>32661084-2</t>
  </si>
  <si>
    <t>32661084-1</t>
  </si>
  <si>
    <t>32661700-1</t>
  </si>
  <si>
    <t>32665786-1</t>
  </si>
  <si>
    <t>32665786-6</t>
  </si>
  <si>
    <t>32665786-5</t>
  </si>
  <si>
    <t>32665786-2</t>
  </si>
  <si>
    <t>32665786-4</t>
  </si>
  <si>
    <t>32665786-3</t>
  </si>
  <si>
    <t>32673448-3</t>
  </si>
  <si>
    <t>32673448-2</t>
  </si>
  <si>
    <t>32673448-1</t>
  </si>
  <si>
    <t>32674359-1</t>
  </si>
  <si>
    <t>32674864-1</t>
  </si>
  <si>
    <t>32674864-3</t>
  </si>
  <si>
    <t>32674864-2</t>
  </si>
  <si>
    <t>32676566-3</t>
  </si>
  <si>
    <t>32676566-1</t>
  </si>
  <si>
    <t>32676566-2</t>
  </si>
  <si>
    <t>32678914-5</t>
  </si>
  <si>
    <t>32678914-1</t>
  </si>
  <si>
    <t>32678914-9</t>
  </si>
  <si>
    <t>32678914-10</t>
  </si>
  <si>
    <t>32678914-6</t>
  </si>
  <si>
    <t>32678914-2</t>
  </si>
  <si>
    <t>32678914-3</t>
  </si>
  <si>
    <t>32678914-7</t>
  </si>
  <si>
    <t>32678914-4</t>
  </si>
  <si>
    <t>32678914-8</t>
  </si>
  <si>
    <t>32681585-1</t>
  </si>
  <si>
    <t>32681585-3</t>
  </si>
  <si>
    <t>32681585-2</t>
  </si>
  <si>
    <t>32682939-4</t>
  </si>
  <si>
    <t>32682939-3</t>
  </si>
  <si>
    <t>32682939-5</t>
  </si>
  <si>
    <t>32682939-1</t>
  </si>
  <si>
    <t>32682939-6</t>
  </si>
  <si>
    <t>32682939-2</t>
  </si>
  <si>
    <t>32682939-7</t>
  </si>
  <si>
    <t>32684085-1</t>
  </si>
  <si>
    <t>32684827-1</t>
  </si>
  <si>
    <t>32684827-2</t>
  </si>
  <si>
    <t>32688218-2</t>
  </si>
  <si>
    <t>32688218-1</t>
  </si>
  <si>
    <t>32688521-2</t>
  </si>
  <si>
    <t>32688521-3</t>
  </si>
  <si>
    <t>32688521-4</t>
  </si>
  <si>
    <t>32688521-7</t>
  </si>
  <si>
    <t>32688521-6</t>
  </si>
  <si>
    <t>32688521-5</t>
  </si>
  <si>
    <t>32688521-1</t>
  </si>
  <si>
    <t>32689210-1</t>
  </si>
  <si>
    <t>32689210-2</t>
  </si>
  <si>
    <t>32689210-3</t>
  </si>
  <si>
    <t>32690815-2</t>
  </si>
  <si>
    <t>32690815-3</t>
  </si>
  <si>
    <t>32690815-1</t>
  </si>
  <si>
    <t>32693059-1</t>
  </si>
  <si>
    <t>32694200-2</t>
  </si>
  <si>
    <t>32694200-4</t>
  </si>
  <si>
    <t>32694200-1</t>
  </si>
  <si>
    <t>32694200-3</t>
  </si>
  <si>
    <t>32694457-3</t>
  </si>
  <si>
    <t>32694457-2</t>
  </si>
  <si>
    <t>32694457-4</t>
  </si>
  <si>
    <t>32694457-1</t>
  </si>
  <si>
    <t>32694900-2</t>
  </si>
  <si>
    <t>32694900-3</t>
  </si>
  <si>
    <t>32694900-1</t>
  </si>
  <si>
    <t>32697995-1</t>
  </si>
  <si>
    <t>32697995-2</t>
  </si>
  <si>
    <t>32703275-1</t>
  </si>
  <si>
    <t>32705837-6</t>
  </si>
  <si>
    <t>32705837-3</t>
  </si>
  <si>
    <t>32705837-2</t>
  </si>
  <si>
    <t>32705837-4</t>
  </si>
  <si>
    <t>32705837-7</t>
  </si>
  <si>
    <t>32705837-1</t>
  </si>
  <si>
    <t>32705837-5</t>
  </si>
  <si>
    <t>32707038-1</t>
  </si>
  <si>
    <t>32707038-2</t>
  </si>
  <si>
    <t>32708738-2</t>
  </si>
  <si>
    <t>32708738-5</t>
  </si>
  <si>
    <t>32708738-3</t>
  </si>
  <si>
    <t>32708738-4</t>
  </si>
  <si>
    <t>32708738-1</t>
  </si>
  <si>
    <t>32709507-4</t>
  </si>
  <si>
    <t>32709507-2</t>
  </si>
  <si>
    <t>32709507-1</t>
  </si>
  <si>
    <t>32709507-5</t>
  </si>
  <si>
    <t>32709507-3</t>
  </si>
  <si>
    <t>32709662-2</t>
  </si>
  <si>
    <t>32709662-1</t>
  </si>
  <si>
    <t>32710701-1</t>
  </si>
  <si>
    <t>32710701-3</t>
  </si>
  <si>
    <t>32710701-2</t>
  </si>
  <si>
    <t>32712481-1</t>
  </si>
  <si>
    <t>32716378-1</t>
  </si>
  <si>
    <t>32716378-3</t>
  </si>
  <si>
    <t>32716378-5</t>
  </si>
  <si>
    <t>32716378-4</t>
  </si>
  <si>
    <t>32716378-2</t>
  </si>
  <si>
    <t>32717266-1</t>
  </si>
  <si>
    <t>32717266-3</t>
  </si>
  <si>
    <t>32717266-2</t>
  </si>
  <si>
    <t>32719297-3</t>
  </si>
  <si>
    <t>32719297-2</t>
  </si>
  <si>
    <t>32719297-1</t>
  </si>
  <si>
    <t>32727855-5</t>
  </si>
  <si>
    <t>32727855-4</t>
  </si>
  <si>
    <t>32727855-3</t>
  </si>
  <si>
    <t>32727855-6</t>
  </si>
  <si>
    <t>32727855-2</t>
  </si>
  <si>
    <t>32727855-1</t>
  </si>
  <si>
    <t>32729377-3</t>
  </si>
  <si>
    <t>32729377-1</t>
  </si>
  <si>
    <t>32729377-2</t>
  </si>
  <si>
    <t>32729377-4</t>
  </si>
  <si>
    <t>32730886-1</t>
  </si>
  <si>
    <t>32732227-2</t>
  </si>
  <si>
    <t>32732227-1</t>
  </si>
  <si>
    <t>32732227-3</t>
  </si>
  <si>
    <t>32733938-3</t>
  </si>
  <si>
    <t>32733938-4</t>
  </si>
  <si>
    <t>32733938-1</t>
  </si>
  <si>
    <t>32733938-2</t>
  </si>
  <si>
    <t>32733938-5</t>
  </si>
  <si>
    <t>32734044-1</t>
  </si>
  <si>
    <t>32734044-2</t>
  </si>
  <si>
    <t>32734044-3</t>
  </si>
  <si>
    <t>32736975-2</t>
  </si>
  <si>
    <t>32736975-3</t>
  </si>
  <si>
    <t>32736975-4</t>
  </si>
  <si>
    <t>32736975-1</t>
  </si>
  <si>
    <t>32736975-5</t>
  </si>
  <si>
    <t>32740221-3</t>
  </si>
  <si>
    <t>32740221-2</t>
  </si>
  <si>
    <t>32740221-1</t>
  </si>
  <si>
    <t>32740279-1</t>
  </si>
  <si>
    <t>32740999-4</t>
  </si>
  <si>
    <t>32740999-5</t>
  </si>
  <si>
    <t>32740999-2</t>
  </si>
  <si>
    <t>32740999-6</t>
  </si>
  <si>
    <t>32740999-1</t>
  </si>
  <si>
    <t>32740999-3</t>
  </si>
  <si>
    <t>32741994-7</t>
  </si>
  <si>
    <t>32741994-6</t>
  </si>
  <si>
    <t>32741994-2</t>
  </si>
  <si>
    <t>32741994-4</t>
  </si>
  <si>
    <t>32741994-5</t>
  </si>
  <si>
    <t>32741994-3</t>
  </si>
  <si>
    <t>32741994-1</t>
  </si>
  <si>
    <t>32744428-3</t>
  </si>
  <si>
    <t>32744428-1</t>
  </si>
  <si>
    <t>32744428-2</t>
  </si>
  <si>
    <t>32745229-4</t>
  </si>
  <si>
    <t>32745229-5</t>
  </si>
  <si>
    <t>32745229-6</t>
  </si>
  <si>
    <t>32745229-2</t>
  </si>
  <si>
    <t>32745229-3</t>
  </si>
  <si>
    <t>32745229-1</t>
  </si>
  <si>
    <t>32749067-4</t>
  </si>
  <si>
    <t>32749067-3</t>
  </si>
  <si>
    <t>32749067-2</t>
  </si>
  <si>
    <t>32749067-1</t>
  </si>
  <si>
    <t>32750464-4</t>
  </si>
  <si>
    <t>32750464-5</t>
  </si>
  <si>
    <t>32750464-1</t>
  </si>
  <si>
    <t>32750464-2</t>
  </si>
  <si>
    <t>32750464-3</t>
  </si>
  <si>
    <t>32752555-2</t>
  </si>
  <si>
    <t>32752555-3</t>
  </si>
  <si>
    <t>32752555-4</t>
  </si>
  <si>
    <t>32752555-1</t>
  </si>
  <si>
    <t>32754634-1</t>
  </si>
  <si>
    <t>32754634-2</t>
  </si>
  <si>
    <t>32761116-7</t>
  </si>
  <si>
    <t>32761116-5</t>
  </si>
  <si>
    <t>32761116-6</t>
  </si>
  <si>
    <t>32761116-1</t>
  </si>
  <si>
    <t>32761116-3</t>
  </si>
  <si>
    <t>32761116-4</t>
  </si>
  <si>
    <t>32761116-2</t>
  </si>
  <si>
    <t>32764598-2</t>
  </si>
  <si>
    <t>32764598-1</t>
  </si>
  <si>
    <t>32764598-5</t>
  </si>
  <si>
    <t>32764598-4</t>
  </si>
  <si>
    <t>32764598-3</t>
  </si>
  <si>
    <t>32766298-6</t>
  </si>
  <si>
    <t>32766298-3</t>
  </si>
  <si>
    <t>32766298-4</t>
  </si>
  <si>
    <t>32766298-5</t>
  </si>
  <si>
    <t>32766298-2</t>
  </si>
  <si>
    <t>32766298-1</t>
  </si>
  <si>
    <t>32766298-7</t>
  </si>
  <si>
    <t>32766429-1</t>
  </si>
  <si>
    <t>32766429-2</t>
  </si>
  <si>
    <t>32766429-3</t>
  </si>
  <si>
    <t>32771620-3</t>
  </si>
  <si>
    <t>32771620-2</t>
  </si>
  <si>
    <t>32771620-1</t>
  </si>
  <si>
    <t>32772911-3</t>
  </si>
  <si>
    <t>32772911-2</t>
  </si>
  <si>
    <t>32772911-1</t>
  </si>
  <si>
    <t>32776426-1</t>
  </si>
  <si>
    <t>32776499-2</t>
  </si>
  <si>
    <t>32776499-1</t>
  </si>
  <si>
    <t>32776499-3</t>
  </si>
  <si>
    <t>32778590-4</t>
  </si>
  <si>
    <t>32778590-3</t>
  </si>
  <si>
    <t>32778590-1</t>
  </si>
  <si>
    <t>32778590-5</t>
  </si>
  <si>
    <t>32778590-2</t>
  </si>
  <si>
    <t>32779874-1</t>
  </si>
  <si>
    <t>32779874-2</t>
  </si>
  <si>
    <t>32779874-3</t>
  </si>
  <si>
    <t>32783129-7</t>
  </si>
  <si>
    <t>32783129-1</t>
  </si>
  <si>
    <t>32783129-6</t>
  </si>
  <si>
    <t>32783129-2</t>
  </si>
  <si>
    <t>32783129-4</t>
  </si>
  <si>
    <t>32783129-5</t>
  </si>
  <si>
    <t>32783129-3</t>
  </si>
  <si>
    <t>32783639-13</t>
  </si>
  <si>
    <t>32783639-2</t>
  </si>
  <si>
    <t>32783639-12</t>
  </si>
  <si>
    <t>32783639-9</t>
  </si>
  <si>
    <t>32783639-8</t>
  </si>
  <si>
    <t>32783639-3</t>
  </si>
  <si>
    <t>32783639-11</t>
  </si>
  <si>
    <t>32783639-5</t>
  </si>
  <si>
    <t>32783639-4</t>
  </si>
  <si>
    <t>32783639-1</t>
  </si>
  <si>
    <t>32783639-10</t>
  </si>
  <si>
    <t>32783639-6</t>
  </si>
  <si>
    <t>32783639-7</t>
  </si>
  <si>
    <t>32783797-2</t>
  </si>
  <si>
    <t>32783797-1</t>
  </si>
  <si>
    <t>32783861-1</t>
  </si>
  <si>
    <t>32783861-4</t>
  </si>
  <si>
    <t>32783861-8</t>
  </si>
  <si>
    <t>32783861-5</t>
  </si>
  <si>
    <t>32783861-2</t>
  </si>
  <si>
    <t>32783861-6</t>
  </si>
  <si>
    <t>32783861-7</t>
  </si>
  <si>
    <t>32783861-3</t>
  </si>
  <si>
    <t>32785097-3</t>
  </si>
  <si>
    <t>32785097-2</t>
  </si>
  <si>
    <t>32785097-1</t>
  </si>
  <si>
    <t>32785097-4</t>
  </si>
  <si>
    <t>32786242-2</t>
  </si>
  <si>
    <t>32786242-1</t>
  </si>
  <si>
    <t>32790051-3</t>
  </si>
  <si>
    <t>32790051-5</t>
  </si>
  <si>
    <t>32790051-1</t>
  </si>
  <si>
    <t>32790051-2</t>
  </si>
  <si>
    <t>32790051-4</t>
  </si>
  <si>
    <t>32790051-6</t>
  </si>
  <si>
    <t>32792195-2</t>
  </si>
  <si>
    <t>32792195-3</t>
  </si>
  <si>
    <t>32792195-1</t>
  </si>
  <si>
    <t>32796944-1</t>
  </si>
  <si>
    <t>32796944-2</t>
  </si>
  <si>
    <t>32796944-4</t>
  </si>
  <si>
    <t>32796944-3</t>
  </si>
  <si>
    <t>32797627-1</t>
  </si>
  <si>
    <t>32797627-3</t>
  </si>
  <si>
    <t>32797627-7</t>
  </si>
  <si>
    <t>32797627-6</t>
  </si>
  <si>
    <t>32797627-5</t>
  </si>
  <si>
    <t>32797627-10</t>
  </si>
  <si>
    <t>32797627-9</t>
  </si>
  <si>
    <t>32797627-11</t>
  </si>
  <si>
    <t>32797627-2</t>
  </si>
  <si>
    <t>32797627-4</t>
  </si>
  <si>
    <t>32797627-8</t>
  </si>
  <si>
    <t>32800662-2</t>
  </si>
  <si>
    <t>32800662-3</t>
  </si>
  <si>
    <t>32800662-1</t>
  </si>
  <si>
    <t>32800662-4</t>
  </si>
  <si>
    <t>32802610-1</t>
  </si>
  <si>
    <t>32802610-3</t>
  </si>
  <si>
    <t>32802610-2</t>
  </si>
  <si>
    <t>32803448-1</t>
  </si>
  <si>
    <t>32803448-3</t>
  </si>
  <si>
    <t>32803448-4</t>
  </si>
  <si>
    <t>32803448-5</t>
  </si>
  <si>
    <t>32803448-2</t>
  </si>
  <si>
    <t>32803484-2</t>
  </si>
  <si>
    <t>32803484-4</t>
  </si>
  <si>
    <t>32803484-3</t>
  </si>
  <si>
    <t>32803484-1</t>
  </si>
  <si>
    <t>32810131-3</t>
  </si>
  <si>
    <t>32810131-2</t>
  </si>
  <si>
    <t>32810131-4</t>
  </si>
  <si>
    <t>32810131-1</t>
  </si>
  <si>
    <t>32810131-5</t>
  </si>
  <si>
    <t>32811740-2</t>
  </si>
  <si>
    <t>32811740-1</t>
  </si>
  <si>
    <t>32811740-4</t>
  </si>
  <si>
    <t>32811740-3</t>
  </si>
  <si>
    <t>32812129-2</t>
  </si>
  <si>
    <t>32812129-3</t>
  </si>
  <si>
    <t>32812129-5</t>
  </si>
  <si>
    <t>32812129-4</t>
  </si>
  <si>
    <t>32812129-1</t>
  </si>
  <si>
    <t>32812890-2</t>
  </si>
  <si>
    <t>32812890-3</t>
  </si>
  <si>
    <t>32812890-1</t>
  </si>
  <si>
    <t>32817186-3</t>
  </si>
  <si>
    <t>32817186-1</t>
  </si>
  <si>
    <t>32817186-2</t>
  </si>
  <si>
    <t>32820161-1</t>
  </si>
  <si>
    <t>32821469-3</t>
  </si>
  <si>
    <t>32821469-2</t>
  </si>
  <si>
    <t>32821469-4</t>
  </si>
  <si>
    <t>32821469-5</t>
  </si>
  <si>
    <t>32821469-1</t>
  </si>
  <si>
    <t>32840396-3</t>
  </si>
  <si>
    <t>32840396-2</t>
  </si>
  <si>
    <t>32840396-1</t>
  </si>
  <si>
    <t>32840396-4</t>
  </si>
  <si>
    <t>32842694-1</t>
  </si>
  <si>
    <t>32843461-1</t>
  </si>
  <si>
    <t>32843461-2</t>
  </si>
  <si>
    <t>32843467-2</t>
  </si>
  <si>
    <t>32843467-1</t>
  </si>
  <si>
    <t>32843980-1</t>
  </si>
  <si>
    <t>32844160-2</t>
  </si>
  <si>
    <t>32844160-1</t>
  </si>
  <si>
    <t>32844160-4</t>
  </si>
  <si>
    <t>32844160-3</t>
  </si>
  <si>
    <t>32850495-1</t>
  </si>
  <si>
    <t>32850495-2</t>
  </si>
  <si>
    <t>32850495-4</t>
  </si>
  <si>
    <t>32850495-3</t>
  </si>
  <si>
    <t>32867107-1</t>
  </si>
  <si>
    <t>32867107-6</t>
  </si>
  <si>
    <t>32867107-2</t>
  </si>
  <si>
    <t>32867107-5</t>
  </si>
  <si>
    <t>32867107-3</t>
  </si>
  <si>
    <t>32867107-4</t>
  </si>
  <si>
    <t>32873927-2</t>
  </si>
  <si>
    <t>32873927-1</t>
  </si>
  <si>
    <t>32873927-4</t>
  </si>
  <si>
    <t>32873927-3</t>
  </si>
  <si>
    <t>32876516-1</t>
  </si>
  <si>
    <t>32876516-4</t>
  </si>
  <si>
    <t>32876516-3</t>
  </si>
  <si>
    <t>32876516-2</t>
  </si>
  <si>
    <t>32884029-4</t>
  </si>
  <si>
    <t>32884029-2</t>
  </si>
  <si>
    <t>32884029-1</t>
  </si>
  <si>
    <t>32884029-3</t>
  </si>
  <si>
    <t>32884556-3</t>
  </si>
  <si>
    <t>32884556-1</t>
  </si>
  <si>
    <t>32884556-2</t>
  </si>
  <si>
    <t>32884556-4</t>
  </si>
  <si>
    <t>32884723-1</t>
  </si>
  <si>
    <t>32884723-3</t>
  </si>
  <si>
    <t>32884723-2</t>
  </si>
  <si>
    <t>32893688-1</t>
  </si>
  <si>
    <t>32893688-6</t>
  </si>
  <si>
    <t>32893688-3</t>
  </si>
  <si>
    <t>32893688-5</t>
  </si>
  <si>
    <t>32893688-2</t>
  </si>
  <si>
    <t>32893688-4</t>
  </si>
  <si>
    <t>32894006-1</t>
  </si>
  <si>
    <t>32894006-4</t>
  </si>
  <si>
    <t>32894006-2</t>
  </si>
  <si>
    <t>32894006-3</t>
  </si>
  <si>
    <t>33107491-2</t>
  </si>
  <si>
    <t>33107491-3</t>
  </si>
  <si>
    <t>33107491-4</t>
  </si>
  <si>
    <t>33107491-6</t>
  </si>
  <si>
    <t>33107491-5</t>
  </si>
  <si>
    <t>33107491-1</t>
  </si>
  <si>
    <t>33172386-2</t>
  </si>
  <si>
    <t>33172386-3</t>
  </si>
  <si>
    <t>33172386-1</t>
  </si>
  <si>
    <t>33255246-4</t>
  </si>
  <si>
    <t>33255246-1</t>
  </si>
  <si>
    <t>33255246-3</t>
  </si>
  <si>
    <t>33255246-2</t>
  </si>
  <si>
    <t>33428029-6</t>
  </si>
  <si>
    <t>33428029-8</t>
  </si>
  <si>
    <t>33428029-2</t>
  </si>
  <si>
    <t>33428029-5</t>
  </si>
  <si>
    <t>33428029-4</t>
  </si>
  <si>
    <t>33428029-1</t>
  </si>
  <si>
    <t>33428029-7</t>
  </si>
  <si>
    <t>33428029-3</t>
  </si>
  <si>
    <t>3430889-1</t>
  </si>
  <si>
    <t>3430889-4</t>
  </si>
  <si>
    <t>3430889-2</t>
  </si>
  <si>
    <t>3430889-3</t>
  </si>
  <si>
    <t>34400184-2</t>
  </si>
  <si>
    <t>34400184-4</t>
  </si>
  <si>
    <t>34400184-1</t>
  </si>
  <si>
    <t>34400184-3</t>
  </si>
  <si>
    <t>3445785-2</t>
  </si>
  <si>
    <t>3445785-1</t>
  </si>
  <si>
    <t>34503573-1</t>
  </si>
  <si>
    <t>34503573-4</t>
  </si>
  <si>
    <t>34503573-3</t>
  </si>
  <si>
    <t>34503573-5</t>
  </si>
  <si>
    <t>34503573-2</t>
  </si>
  <si>
    <t>34515416-3</t>
  </si>
  <si>
    <t>34515416-4</t>
  </si>
  <si>
    <t>34515416-2</t>
  </si>
  <si>
    <t>34515416-1</t>
  </si>
  <si>
    <t>34572562-1</t>
  </si>
  <si>
    <t>34572562-2</t>
  </si>
  <si>
    <t>34572562-3</t>
  </si>
  <si>
    <t>34573715-3</t>
  </si>
  <si>
    <t>34573715-2</t>
  </si>
  <si>
    <t>34573715-1</t>
  </si>
  <si>
    <t>34573715-4</t>
  </si>
  <si>
    <t>34690139-1</t>
  </si>
  <si>
    <t>34690139-7</t>
  </si>
  <si>
    <t>34690139-5</t>
  </si>
  <si>
    <t>34690139-6</t>
  </si>
  <si>
    <t>34690139-3</t>
  </si>
  <si>
    <t>34690139-4</t>
  </si>
  <si>
    <t>34690139-2</t>
  </si>
  <si>
    <t>34977363-2</t>
  </si>
  <si>
    <t>34977363-5</t>
  </si>
  <si>
    <t>34977363-1</t>
  </si>
  <si>
    <t>34977363-3</t>
  </si>
  <si>
    <t>34977363-4</t>
  </si>
  <si>
    <t>35546366-4</t>
  </si>
  <si>
    <t>35546366-2</t>
  </si>
  <si>
    <t>35546366-1</t>
  </si>
  <si>
    <t>35546366-3</t>
  </si>
  <si>
    <t>3569578-1</t>
  </si>
  <si>
    <t>3569578-2</t>
  </si>
  <si>
    <t>3575338-3</t>
  </si>
  <si>
    <t>3575338-1</t>
  </si>
  <si>
    <t>3575338-2</t>
  </si>
  <si>
    <t>35990267-4</t>
  </si>
  <si>
    <t>35990267-2</t>
  </si>
  <si>
    <t>35990267-1</t>
  </si>
  <si>
    <t>35990267-3</t>
  </si>
  <si>
    <t>35990267-5</t>
  </si>
  <si>
    <t>36489408-1</t>
  </si>
  <si>
    <t>36594665-1</t>
  </si>
  <si>
    <t>37075013-5</t>
  </si>
  <si>
    <t>37075013-2</t>
  </si>
  <si>
    <t>37075013-3</t>
  </si>
  <si>
    <t>37075013-4</t>
  </si>
  <si>
    <t>37075013-1</t>
  </si>
  <si>
    <t>37236302-1</t>
  </si>
  <si>
    <t>37253427-1</t>
  </si>
  <si>
    <t>3774099-1</t>
  </si>
  <si>
    <t>3774099-3</t>
  </si>
  <si>
    <t>3774099-2</t>
  </si>
  <si>
    <t>37926108-4</t>
  </si>
  <si>
    <t>37926108-8</t>
  </si>
  <si>
    <t>37926108-6</t>
  </si>
  <si>
    <t>37926108-7</t>
  </si>
  <si>
    <t>37926108-1</t>
  </si>
  <si>
    <t>37926108-3</t>
  </si>
  <si>
    <t>37926108-5</t>
  </si>
  <si>
    <t>37926108-2</t>
  </si>
  <si>
    <t>38551583-2</t>
  </si>
  <si>
    <t>38551583-1</t>
  </si>
  <si>
    <t>38551583-3</t>
  </si>
  <si>
    <t>38558662-4</t>
  </si>
  <si>
    <t>38558662-2</t>
  </si>
  <si>
    <t>38558662-1</t>
  </si>
  <si>
    <t>38558662-3</t>
  </si>
  <si>
    <t>38561325-2</t>
  </si>
  <si>
    <t>38561325-1</t>
  </si>
  <si>
    <t>38561325-3</t>
  </si>
  <si>
    <t>38567213-2</t>
  </si>
  <si>
    <t>38567213-1</t>
  </si>
  <si>
    <t>38601290-2</t>
  </si>
  <si>
    <t>38601290-1</t>
  </si>
  <si>
    <t>38604490-2</t>
  </si>
  <si>
    <t>38604490-1</t>
  </si>
  <si>
    <t>38641010-3</t>
  </si>
  <si>
    <t>38641010-1</t>
  </si>
  <si>
    <t>38641010-2</t>
  </si>
  <si>
    <t>38642608-1</t>
  </si>
  <si>
    <t>38642608-4</t>
  </si>
  <si>
    <t>38642608-3</t>
  </si>
  <si>
    <t>38642608-2</t>
  </si>
  <si>
    <t>38642608-5</t>
  </si>
  <si>
    <t>38665695-4</t>
  </si>
  <si>
    <t>38665695-3</t>
  </si>
  <si>
    <t>38665695-2</t>
  </si>
  <si>
    <t>38665695-1</t>
  </si>
  <si>
    <t>38667116-1</t>
  </si>
  <si>
    <t>38667116-2</t>
  </si>
  <si>
    <t>38667116-3</t>
  </si>
  <si>
    <t>38667243-2</t>
  </si>
  <si>
    <t>38667243-4</t>
  </si>
  <si>
    <t>38667243-1</t>
  </si>
  <si>
    <t>38667243-3</t>
  </si>
  <si>
    <t>38668909-4</t>
  </si>
  <si>
    <t>38668909-2</t>
  </si>
  <si>
    <t>38668909-1</t>
  </si>
  <si>
    <t>38668909-3</t>
  </si>
  <si>
    <t>38669358-3</t>
  </si>
  <si>
    <t>38669358-1</t>
  </si>
  <si>
    <t>38669358-2</t>
  </si>
  <si>
    <t>38671487-2</t>
  </si>
  <si>
    <t>38671487-4</t>
  </si>
  <si>
    <t>38671487-3</t>
  </si>
  <si>
    <t>38671487-1</t>
  </si>
  <si>
    <t>38892442-3</t>
  </si>
  <si>
    <t>38892442-2</t>
  </si>
  <si>
    <t>38892442-4</t>
  </si>
  <si>
    <t>38892442-1</t>
  </si>
  <si>
    <t>38941394-1</t>
  </si>
  <si>
    <t>38941394-2</t>
  </si>
  <si>
    <t>38942002-3</t>
  </si>
  <si>
    <t>38942002-2</t>
  </si>
  <si>
    <t>38942002-1</t>
  </si>
  <si>
    <t>38942002-4</t>
  </si>
  <si>
    <t>38942002-5</t>
  </si>
  <si>
    <t>38973256-1</t>
  </si>
  <si>
    <t>38973256-2</t>
  </si>
  <si>
    <t>38980483-4</t>
  </si>
  <si>
    <t>38980483-3</t>
  </si>
  <si>
    <t>38980483-2</t>
  </si>
  <si>
    <t>38980483-1</t>
  </si>
  <si>
    <t>38992016-1</t>
  </si>
  <si>
    <t>39177963-7</t>
  </si>
  <si>
    <t>39177963-2</t>
  </si>
  <si>
    <t>39177963-3</t>
  </si>
  <si>
    <t>39177963-4</t>
  </si>
  <si>
    <t>39177963-5</t>
  </si>
  <si>
    <t>39177963-1</t>
  </si>
  <si>
    <t>39177963-6</t>
  </si>
  <si>
    <t>39179753-2</t>
  </si>
  <si>
    <t>39179753-4</t>
  </si>
  <si>
    <t>39179753-6</t>
  </si>
  <si>
    <t>39179753-5</t>
  </si>
  <si>
    <t>39179753-3</t>
  </si>
  <si>
    <t>39179753-1</t>
  </si>
  <si>
    <t>39268214-2</t>
  </si>
  <si>
    <t>39268214-1</t>
  </si>
  <si>
    <t>39384513-2</t>
  </si>
  <si>
    <t>39384513-1</t>
  </si>
  <si>
    <t>39384513-3</t>
  </si>
  <si>
    <t>39387899-1</t>
  </si>
  <si>
    <t>39387899-2</t>
  </si>
  <si>
    <t>39387899-3</t>
  </si>
  <si>
    <t>39387899-4</t>
  </si>
  <si>
    <t>39435019-1</t>
  </si>
  <si>
    <t>40765438-2</t>
  </si>
  <si>
    <t>40765438-1</t>
  </si>
  <si>
    <t>41631902-5</t>
  </si>
  <si>
    <t>41631902-3</t>
  </si>
  <si>
    <t>41631902-2</t>
  </si>
  <si>
    <t>41631902-1</t>
  </si>
  <si>
    <t>41631902-4</t>
  </si>
  <si>
    <t>41632550-2</t>
  </si>
  <si>
    <t>41632550-1</t>
  </si>
  <si>
    <t>42008677-1</t>
  </si>
  <si>
    <t>42008677-3</t>
  </si>
  <si>
    <t>42008677-2</t>
  </si>
  <si>
    <t>42061051-3</t>
  </si>
  <si>
    <t>42061051-4</t>
  </si>
  <si>
    <t>42061051-2</t>
  </si>
  <si>
    <t>42061051-1</t>
  </si>
  <si>
    <t>42128788-3</t>
  </si>
  <si>
    <t>42128788-2</t>
  </si>
  <si>
    <t>42128788-1</t>
  </si>
  <si>
    <t>42271248-3</t>
  </si>
  <si>
    <t>42271248-2</t>
  </si>
  <si>
    <t>42271248-1</t>
  </si>
  <si>
    <t>42701708-1</t>
  </si>
  <si>
    <t>42701708-4</t>
  </si>
  <si>
    <t>42701708-5</t>
  </si>
  <si>
    <t>42701708-2</t>
  </si>
  <si>
    <t>42701708-3</t>
  </si>
  <si>
    <t>42762856-2</t>
  </si>
  <si>
    <t>42762856-1</t>
  </si>
  <si>
    <t>42762856-3</t>
  </si>
  <si>
    <t>42767896-3</t>
  </si>
  <si>
    <t>42767896-2</t>
  </si>
  <si>
    <t>42767896-1</t>
  </si>
  <si>
    <t>42767896-4</t>
  </si>
  <si>
    <t>42772039-2</t>
  </si>
  <si>
    <t>42772039-6</t>
  </si>
  <si>
    <t>42772039-1</t>
  </si>
  <si>
    <t>42772039-3</t>
  </si>
  <si>
    <t>42772039-4</t>
  </si>
  <si>
    <t>42772039-5</t>
  </si>
  <si>
    <t>42792571-1</t>
  </si>
  <si>
    <t>42792823-1</t>
  </si>
  <si>
    <t>42820074-3</t>
  </si>
  <si>
    <t>42820074-2</t>
  </si>
  <si>
    <t>42820074-4</t>
  </si>
  <si>
    <t>42820074-1</t>
  </si>
  <si>
    <t>42884497-1</t>
  </si>
  <si>
    <t>42884497-2</t>
  </si>
  <si>
    <t>42884497-3</t>
  </si>
  <si>
    <t>42892754-5</t>
  </si>
  <si>
    <t>42892754-4</t>
  </si>
  <si>
    <t>42892754-3</t>
  </si>
  <si>
    <t>42892754-2</t>
  </si>
  <si>
    <t>42892754-1</t>
  </si>
  <si>
    <t>42973581-2</t>
  </si>
  <si>
    <t>42973581-1</t>
  </si>
  <si>
    <t>42977679-1</t>
  </si>
  <si>
    <t>42977679-2</t>
  </si>
  <si>
    <t>42979655-5</t>
  </si>
  <si>
    <t>42979655-4</t>
  </si>
  <si>
    <t>42979655-3</t>
  </si>
  <si>
    <t>42979655-2</t>
  </si>
  <si>
    <t>42979655-1</t>
  </si>
  <si>
    <t>42981495-2</t>
  </si>
  <si>
    <t>42981495-1</t>
  </si>
  <si>
    <t>42987727-1</t>
  </si>
  <si>
    <t>42987727-2</t>
  </si>
  <si>
    <t>42991676-1</t>
  </si>
  <si>
    <t>42991676-6</t>
  </si>
  <si>
    <t>42991676-3</t>
  </si>
  <si>
    <t>42991676-2</t>
  </si>
  <si>
    <t>42991676-5</t>
  </si>
  <si>
    <t>42991676-4</t>
  </si>
  <si>
    <t>42995862-2</t>
  </si>
  <si>
    <t>42995862-1</t>
  </si>
  <si>
    <t>42995862-3</t>
  </si>
  <si>
    <t>42995862-4</t>
  </si>
  <si>
    <t>43000384-1</t>
  </si>
  <si>
    <t>43011082-1</t>
  </si>
  <si>
    <t>43011082-2</t>
  </si>
  <si>
    <t>43025963-1</t>
  </si>
  <si>
    <t>43025963-2</t>
  </si>
  <si>
    <t>43030246-2</t>
  </si>
  <si>
    <t>43030246-4</t>
  </si>
  <si>
    <t>43030246-1</t>
  </si>
  <si>
    <t>43030246-3</t>
  </si>
  <si>
    <t>43033841-3</t>
  </si>
  <si>
    <t>43033841-1</t>
  </si>
  <si>
    <t>43033841-2</t>
  </si>
  <si>
    <t>43034542-1</t>
  </si>
  <si>
    <t>43034542-2</t>
  </si>
  <si>
    <t>43036224-2</t>
  </si>
  <si>
    <t>43036224-1</t>
  </si>
  <si>
    <t>43044407-3</t>
  </si>
  <si>
    <t>43044407-2</t>
  </si>
  <si>
    <t>43044407-1</t>
  </si>
  <si>
    <t>43057779-5</t>
  </si>
  <si>
    <t>43057779-6</t>
  </si>
  <si>
    <t>43057779-3</t>
  </si>
  <si>
    <t>43057779-2</t>
  </si>
  <si>
    <t>43057779-4</t>
  </si>
  <si>
    <t>43057779-7</t>
  </si>
  <si>
    <t>43057779-1</t>
  </si>
  <si>
    <t>43062092-1</t>
  </si>
  <si>
    <t>43062092-2</t>
  </si>
  <si>
    <t>43065696-2</t>
  </si>
  <si>
    <t>43065696-1</t>
  </si>
  <si>
    <t>43066439-1</t>
  </si>
  <si>
    <t>43066481-1</t>
  </si>
  <si>
    <t>43066859-2</t>
  </si>
  <si>
    <t>43066859-3</t>
  </si>
  <si>
    <t>43066859-5</t>
  </si>
  <si>
    <t>43066859-7</t>
  </si>
  <si>
    <t>43066859-4</t>
  </si>
  <si>
    <t>43066859-1</t>
  </si>
  <si>
    <t>43066859-6</t>
  </si>
  <si>
    <t>43069093-2</t>
  </si>
  <si>
    <t>43069093-1</t>
  </si>
  <si>
    <t>43070425-1</t>
  </si>
  <si>
    <t>43070884-1</t>
  </si>
  <si>
    <t>43073733-2</t>
  </si>
  <si>
    <t>43073733-1</t>
  </si>
  <si>
    <t>43073733-3</t>
  </si>
  <si>
    <t>43075851-2</t>
  </si>
  <si>
    <t>43075851-1</t>
  </si>
  <si>
    <t>43078979-1</t>
  </si>
  <si>
    <t>43083979-1</t>
  </si>
  <si>
    <t>43085567-2</t>
  </si>
  <si>
    <t>43085567-1</t>
  </si>
  <si>
    <t>43085567-5</t>
  </si>
  <si>
    <t>43085567-6</t>
  </si>
  <si>
    <t>43085567-3</t>
  </si>
  <si>
    <t>43085567-7</t>
  </si>
  <si>
    <t>43085567-4</t>
  </si>
  <si>
    <t>43085637-2</t>
  </si>
  <si>
    <t>43085637-3</t>
  </si>
  <si>
    <t>43085637-1</t>
  </si>
  <si>
    <t>43097896-2</t>
  </si>
  <si>
    <t>43097896-1</t>
  </si>
  <si>
    <t>43100548-1</t>
  </si>
  <si>
    <t>43100548-2</t>
  </si>
  <si>
    <t>43100739-3</t>
  </si>
  <si>
    <t>43100739-1</t>
  </si>
  <si>
    <t>43100739-6</t>
  </si>
  <si>
    <t>43100739-5</t>
  </si>
  <si>
    <t>43100739-2</t>
  </si>
  <si>
    <t>43100739-4</t>
  </si>
  <si>
    <t>43101586-1</t>
  </si>
  <si>
    <t>43101586-2</t>
  </si>
  <si>
    <t>43101586-4</t>
  </si>
  <si>
    <t>43101586-3</t>
  </si>
  <si>
    <t>43117917-2</t>
  </si>
  <si>
    <t>43117917-1</t>
  </si>
  <si>
    <t>43117917-3</t>
  </si>
  <si>
    <t>43141643-1</t>
  </si>
  <si>
    <t>43150064-2</t>
  </si>
  <si>
    <t>43150064-3</t>
  </si>
  <si>
    <t>43150064-1</t>
  </si>
  <si>
    <t>43150064-4</t>
  </si>
  <si>
    <t>43150064-5</t>
  </si>
  <si>
    <t>43152836-2</t>
  </si>
  <si>
    <t>43152836-1</t>
  </si>
  <si>
    <t>43159959-3</t>
  </si>
  <si>
    <t>43159959-1</t>
  </si>
  <si>
    <t>43159959-2</t>
  </si>
  <si>
    <t>43164479-1</t>
  </si>
  <si>
    <t>43164479-2</t>
  </si>
  <si>
    <t>43164479-3</t>
  </si>
  <si>
    <t>43164479-4</t>
  </si>
  <si>
    <t>43164479-5</t>
  </si>
  <si>
    <t>43203228-6</t>
  </si>
  <si>
    <t>43203228-3</t>
  </si>
  <si>
    <t>43203228-5</t>
  </si>
  <si>
    <t>43203228-1</t>
  </si>
  <si>
    <t>43203228-2</t>
  </si>
  <si>
    <t>43203228-4</t>
  </si>
  <si>
    <t>43205365-1</t>
  </si>
  <si>
    <t>43205365-4</t>
  </si>
  <si>
    <t>43205365-3</t>
  </si>
  <si>
    <t>43205365-2</t>
  </si>
  <si>
    <t>43221546-2</t>
  </si>
  <si>
    <t>43221546-1</t>
  </si>
  <si>
    <t>43221546-3</t>
  </si>
  <si>
    <t>43251278-4</t>
  </si>
  <si>
    <t>43251278-3</t>
  </si>
  <si>
    <t>43251278-1</t>
  </si>
  <si>
    <t>43251278-2</t>
  </si>
  <si>
    <t>43259030-3</t>
  </si>
  <si>
    <t>43259030-4</t>
  </si>
  <si>
    <t>43259030-9</t>
  </si>
  <si>
    <t>43259030-5</t>
  </si>
  <si>
    <t>43259030-6</t>
  </si>
  <si>
    <t>43259030-2</t>
  </si>
  <si>
    <t>43259030-1</t>
  </si>
  <si>
    <t>43259030-7</t>
  </si>
  <si>
    <t>43259030-8</t>
  </si>
  <si>
    <t>43262338-1</t>
  </si>
  <si>
    <t>43262338-2</t>
  </si>
  <si>
    <t>43262338-3</t>
  </si>
  <si>
    <t>43265078-2</t>
  </si>
  <si>
    <t>43265078-1</t>
  </si>
  <si>
    <t>43268570-3</t>
  </si>
  <si>
    <t>43268570-2</t>
  </si>
  <si>
    <t>43268570-1</t>
  </si>
  <si>
    <t>43268570-4</t>
  </si>
  <si>
    <t>43269156-5</t>
  </si>
  <si>
    <t>43269156-4</t>
  </si>
  <si>
    <t>43269156-1</t>
  </si>
  <si>
    <t>43269156-7</t>
  </si>
  <si>
    <t>43269156-6</t>
  </si>
  <si>
    <t>43269156-2</t>
  </si>
  <si>
    <t>43269156-3</t>
  </si>
  <si>
    <t>43275340-2</t>
  </si>
  <si>
    <t>43275340-1</t>
  </si>
  <si>
    <t>43275340-3</t>
  </si>
  <si>
    <t>43279706-1</t>
  </si>
  <si>
    <t>43279706-3</t>
  </si>
  <si>
    <t>43279706-2</t>
  </si>
  <si>
    <t>43279706-4</t>
  </si>
  <si>
    <t>43285019-1</t>
  </si>
  <si>
    <t>43286202-1</t>
  </si>
  <si>
    <t>43286202-2</t>
  </si>
  <si>
    <t>43286202-3</t>
  </si>
  <si>
    <t>43347982-3</t>
  </si>
  <si>
    <t>43347982-2</t>
  </si>
  <si>
    <t>43347982-1</t>
  </si>
  <si>
    <t>43347982-4</t>
  </si>
  <si>
    <t>4335238-2</t>
  </si>
  <si>
    <t>4335238-1</t>
  </si>
  <si>
    <t>43380042-1</t>
  </si>
  <si>
    <t>43380718-1</t>
  </si>
  <si>
    <t>43381458-1</t>
  </si>
  <si>
    <t>43381458-2</t>
  </si>
  <si>
    <t>43381830-2</t>
  </si>
  <si>
    <t>43381830-1</t>
  </si>
  <si>
    <t>43382433-3</t>
  </si>
  <si>
    <t>43382433-2</t>
  </si>
  <si>
    <t>43382433-1</t>
  </si>
  <si>
    <t>43436157-1</t>
  </si>
  <si>
    <t>43436157-2</t>
  </si>
  <si>
    <t>43436157-3</t>
  </si>
  <si>
    <t>43441449-3</t>
  </si>
  <si>
    <t>43441449-1</t>
  </si>
  <si>
    <t>43441449-2</t>
  </si>
  <si>
    <t>43447606-1</t>
  </si>
  <si>
    <t>43447606-2</t>
  </si>
  <si>
    <t>43455918-3</t>
  </si>
  <si>
    <t>43455918-2</t>
  </si>
  <si>
    <t>43455918-4</t>
  </si>
  <si>
    <t>43455918-1</t>
  </si>
  <si>
    <t>43485410-2</t>
  </si>
  <si>
    <t>43485410-3</t>
  </si>
  <si>
    <t>43485410-1</t>
  </si>
  <si>
    <t>43489779-1</t>
  </si>
  <si>
    <t>43489779-3</t>
  </si>
  <si>
    <t>43489779-2</t>
  </si>
  <si>
    <t>43489779-5</t>
  </si>
  <si>
    <t>43489779-4</t>
  </si>
  <si>
    <t>43500072-1</t>
  </si>
  <si>
    <t>43510710-3</t>
  </si>
  <si>
    <t>43510710-2</t>
  </si>
  <si>
    <t>43510710-1</t>
  </si>
  <si>
    <t>43516112-2</t>
  </si>
  <si>
    <t>43516112-5</t>
  </si>
  <si>
    <t>43516112-4</t>
  </si>
  <si>
    <t>43516112-1</t>
  </si>
  <si>
    <t>43516112-3</t>
  </si>
  <si>
    <t>43524391-1</t>
  </si>
  <si>
    <t>43524391-2</t>
  </si>
  <si>
    <t>43533488-6</t>
  </si>
  <si>
    <t>43533488-3</t>
  </si>
  <si>
    <t>43533488-4</t>
  </si>
  <si>
    <t>43533488-1</t>
  </si>
  <si>
    <t>43533488-5</t>
  </si>
  <si>
    <t>43533488-2</t>
  </si>
  <si>
    <t>43533978-1</t>
  </si>
  <si>
    <t>43534027-1</t>
  </si>
  <si>
    <t>43534342-3</t>
  </si>
  <si>
    <t>43534342-1</t>
  </si>
  <si>
    <t>43534342-4</t>
  </si>
  <si>
    <t>43534342-2</t>
  </si>
  <si>
    <t>43535348-1</t>
  </si>
  <si>
    <t>43535348-2</t>
  </si>
  <si>
    <t>43536319-2</t>
  </si>
  <si>
    <t>43536319-1</t>
  </si>
  <si>
    <t>43536319-3</t>
  </si>
  <si>
    <t>43536648-2</t>
  </si>
  <si>
    <t>43536648-1</t>
  </si>
  <si>
    <t>43536648-3</t>
  </si>
  <si>
    <t>43536648-4</t>
  </si>
  <si>
    <t>43542284-1</t>
  </si>
  <si>
    <t>43542284-3</t>
  </si>
  <si>
    <t>43542284-2</t>
  </si>
  <si>
    <t>43542284-4</t>
  </si>
  <si>
    <t>43558865-1</t>
  </si>
  <si>
    <t>43558865-2</t>
  </si>
  <si>
    <t>43558878-3</t>
  </si>
  <si>
    <t>43558878-5</t>
  </si>
  <si>
    <t>43558878-2</t>
  </si>
  <si>
    <t>43558878-6</t>
  </si>
  <si>
    <t>43558878-4</t>
  </si>
  <si>
    <t>43558878-7</t>
  </si>
  <si>
    <t>43558878-1</t>
  </si>
  <si>
    <t>43558878-8</t>
  </si>
  <si>
    <t>43563684-1</t>
  </si>
  <si>
    <t>43563684-2</t>
  </si>
  <si>
    <t>43565062-3</t>
  </si>
  <si>
    <t>43565062-4</t>
  </si>
  <si>
    <t>43565062-1</t>
  </si>
  <si>
    <t>43565062-2</t>
  </si>
  <si>
    <t>43565594-1</t>
  </si>
  <si>
    <t>43566435-4</t>
  </si>
  <si>
    <t>43566435-1</t>
  </si>
  <si>
    <t>43566435-3</t>
  </si>
  <si>
    <t>43566435-2</t>
  </si>
  <si>
    <t>43567075-5</t>
  </si>
  <si>
    <t>43567075-3</t>
  </si>
  <si>
    <t>43567075-1</t>
  </si>
  <si>
    <t>43567075-4</t>
  </si>
  <si>
    <t>43567075-2</t>
  </si>
  <si>
    <t>43570005-5</t>
  </si>
  <si>
    <t>43570005-2</t>
  </si>
  <si>
    <t>43570005-10</t>
  </si>
  <si>
    <t>43570005-3</t>
  </si>
  <si>
    <t>43570005-11</t>
  </si>
  <si>
    <t>43570005-8</t>
  </si>
  <si>
    <t>43570005-1</t>
  </si>
  <si>
    <t>43570005-4</t>
  </si>
  <si>
    <t>43570005-9</t>
  </si>
  <si>
    <t>43570005-6</t>
  </si>
  <si>
    <t>43570005-7</t>
  </si>
  <si>
    <t>43582831-5</t>
  </si>
  <si>
    <t>43582831-2</t>
  </si>
  <si>
    <t>43582831-1</t>
  </si>
  <si>
    <t>43582831-4</t>
  </si>
  <si>
    <t>43582831-3</t>
  </si>
  <si>
    <t>43589509-4</t>
  </si>
  <si>
    <t>43589509-2</t>
  </si>
  <si>
    <t>43589509-6</t>
  </si>
  <si>
    <t>43589509-5</t>
  </si>
  <si>
    <t>43589509-1</t>
  </si>
  <si>
    <t>43589509-3</t>
  </si>
  <si>
    <t>43590647-2</t>
  </si>
  <si>
    <t>43590647-3</t>
  </si>
  <si>
    <t>43590647-1</t>
  </si>
  <si>
    <t>43590647-4</t>
  </si>
  <si>
    <t>43594778-2</t>
  </si>
  <si>
    <t>43594778-1</t>
  </si>
  <si>
    <t>43595028-3</t>
  </si>
  <si>
    <t>43595028-1</t>
  </si>
  <si>
    <t>43595028-2</t>
  </si>
  <si>
    <t>43595028-4</t>
  </si>
  <si>
    <t>43597042-1</t>
  </si>
  <si>
    <t>43597042-5</t>
  </si>
  <si>
    <t>43597042-2</t>
  </si>
  <si>
    <t>43597042-4</t>
  </si>
  <si>
    <t>43597042-3</t>
  </si>
  <si>
    <t>43598403-2</t>
  </si>
  <si>
    <t>43598403-3</t>
  </si>
  <si>
    <t>43598403-1</t>
  </si>
  <si>
    <t>43600211-4</t>
  </si>
  <si>
    <t>43600211-3</t>
  </si>
  <si>
    <t>43600211-2</t>
  </si>
  <si>
    <t>43600211-1</t>
  </si>
  <si>
    <t>43600567-4</t>
  </si>
  <si>
    <t>43600567-2</t>
  </si>
  <si>
    <t>43600567-3</t>
  </si>
  <si>
    <t>43600567-1</t>
  </si>
  <si>
    <t>43605902-1</t>
  </si>
  <si>
    <t>43605902-2</t>
  </si>
  <si>
    <t>43605902-3</t>
  </si>
  <si>
    <t>43607068-1</t>
  </si>
  <si>
    <t>43610680-1</t>
  </si>
  <si>
    <t>43610680-3</t>
  </si>
  <si>
    <t>43610680-2</t>
  </si>
  <si>
    <t>43611767-1</t>
  </si>
  <si>
    <t>43611767-3</t>
  </si>
  <si>
    <t>43611767-2</t>
  </si>
  <si>
    <t>43613777-2</t>
  </si>
  <si>
    <t>43613777-1</t>
  </si>
  <si>
    <t>43613777-6</t>
  </si>
  <si>
    <t>43613777-3</t>
  </si>
  <si>
    <t>43613777-4</t>
  </si>
  <si>
    <t>43613777-5</t>
  </si>
  <si>
    <t>43615569-2</t>
  </si>
  <si>
    <t>43615569-3</t>
  </si>
  <si>
    <t>43615569-4</t>
  </si>
  <si>
    <t>43615569-1</t>
  </si>
  <si>
    <t>43632097-2</t>
  </si>
  <si>
    <t>43632097-1</t>
  </si>
  <si>
    <t>43634284-1</t>
  </si>
  <si>
    <t>43634284-2</t>
  </si>
  <si>
    <t>43635359-4</t>
  </si>
  <si>
    <t>43635359-6</t>
  </si>
  <si>
    <t>43635359-2</t>
  </si>
  <si>
    <t>43635359-7</t>
  </si>
  <si>
    <t>43635359-3</t>
  </si>
  <si>
    <t>43635359-5</t>
  </si>
  <si>
    <t>43635359-1</t>
  </si>
  <si>
    <t>43639779-2</t>
  </si>
  <si>
    <t>43639779-1</t>
  </si>
  <si>
    <t>43640603-4</t>
  </si>
  <si>
    <t>43640603-6</t>
  </si>
  <si>
    <t>43640603-3</t>
  </si>
  <si>
    <t>43640603-1</t>
  </si>
  <si>
    <t>43640603-5</t>
  </si>
  <si>
    <t>43640603-2</t>
  </si>
  <si>
    <t>43643362-1</t>
  </si>
  <si>
    <t>43643362-3</t>
  </si>
  <si>
    <t>43643362-4</t>
  </si>
  <si>
    <t>43643362-2</t>
  </si>
  <si>
    <t>43661822-2</t>
  </si>
  <si>
    <t>43661822-1</t>
  </si>
  <si>
    <t>43662572-1</t>
  </si>
  <si>
    <t>43662572-2</t>
  </si>
  <si>
    <t>43672851-1</t>
  </si>
  <si>
    <t>43681503-2</t>
  </si>
  <si>
    <t>43681503-1</t>
  </si>
  <si>
    <t>43681503-3</t>
  </si>
  <si>
    <t>43700046-2</t>
  </si>
  <si>
    <t>43700046-1</t>
  </si>
  <si>
    <t>43700046-3</t>
  </si>
  <si>
    <t>43700046-5</t>
  </si>
  <si>
    <t>43700046-4</t>
  </si>
  <si>
    <t>43733194-1</t>
  </si>
  <si>
    <t>43733194-4</t>
  </si>
  <si>
    <t>43733194-2</t>
  </si>
  <si>
    <t>43733194-3</t>
  </si>
  <si>
    <t>43750015-1</t>
  </si>
  <si>
    <t>43750015-3</t>
  </si>
  <si>
    <t>43750015-2</t>
  </si>
  <si>
    <t>43752818-4</t>
  </si>
  <si>
    <t>43752818-2</t>
  </si>
  <si>
    <t>43752818-3</t>
  </si>
  <si>
    <t>43752818-1</t>
  </si>
  <si>
    <t>43754194-4</t>
  </si>
  <si>
    <t>43754194-1</t>
  </si>
  <si>
    <t>43754194-2</t>
  </si>
  <si>
    <t>43754194-3</t>
  </si>
  <si>
    <t>43755833-3</t>
  </si>
  <si>
    <t>43755833-2</t>
  </si>
  <si>
    <t>43755833-1</t>
  </si>
  <si>
    <t>43810860-1</t>
  </si>
  <si>
    <t>43810860-3</t>
  </si>
  <si>
    <t>43810860-4</t>
  </si>
  <si>
    <t>43810860-2</t>
  </si>
  <si>
    <t>43826103-1</t>
  </si>
  <si>
    <t>43826103-3</t>
  </si>
  <si>
    <t>43826103-2</t>
  </si>
  <si>
    <t>43836211-2</t>
  </si>
  <si>
    <t>43836211-1</t>
  </si>
  <si>
    <t>43905793-1</t>
  </si>
  <si>
    <t>43905793-5</t>
  </si>
  <si>
    <t>43905793-2</t>
  </si>
  <si>
    <t>43905793-6</t>
  </si>
  <si>
    <t>43905793-4</t>
  </si>
  <si>
    <t>43905793-3</t>
  </si>
  <si>
    <t>43907166-1</t>
  </si>
  <si>
    <t>43907166-2</t>
  </si>
  <si>
    <t>43907166-3</t>
  </si>
  <si>
    <t>43907166-4</t>
  </si>
  <si>
    <t>43907166-5</t>
  </si>
  <si>
    <t>43912061-4</t>
  </si>
  <si>
    <t>43912061-3</t>
  </si>
  <si>
    <t>43912061-2</t>
  </si>
  <si>
    <t>43912061-1</t>
  </si>
  <si>
    <t>43913057-1</t>
  </si>
  <si>
    <t>43913057-2</t>
  </si>
  <si>
    <t>43913057-4</t>
  </si>
  <si>
    <t>43913057-5</t>
  </si>
  <si>
    <t>43913057-3</t>
  </si>
  <si>
    <t>43915081-3</t>
  </si>
  <si>
    <t>43915081-5</t>
  </si>
  <si>
    <t>43915081-1</t>
  </si>
  <si>
    <t>43915081-2</t>
  </si>
  <si>
    <t>43915081-4</t>
  </si>
  <si>
    <t>43922866-2</t>
  </si>
  <si>
    <t>43922866-4</t>
  </si>
  <si>
    <t>43922866-3</t>
  </si>
  <si>
    <t>43922866-1</t>
  </si>
  <si>
    <t>43924916-1</t>
  </si>
  <si>
    <t>43924916-2</t>
  </si>
  <si>
    <t>43924916-4</t>
  </si>
  <si>
    <t>43924916-3</t>
  </si>
  <si>
    <t>43973029-3</t>
  </si>
  <si>
    <t>43973029-7</t>
  </si>
  <si>
    <t>43973029-6</t>
  </si>
  <si>
    <t>43973029-5</t>
  </si>
  <si>
    <t>43973029-1</t>
  </si>
  <si>
    <t>43973029-4</t>
  </si>
  <si>
    <t>43973029-2</t>
  </si>
  <si>
    <t>43991863-4</t>
  </si>
  <si>
    <t>43991863-2</t>
  </si>
  <si>
    <t>43991863-3</t>
  </si>
  <si>
    <t>43991863-5</t>
  </si>
  <si>
    <t>43991863-1</t>
  </si>
  <si>
    <t>43997530-3</t>
  </si>
  <si>
    <t>43997530-1</t>
  </si>
  <si>
    <t>43997530-2</t>
  </si>
  <si>
    <t>43997530-6</t>
  </si>
  <si>
    <t>43997530-7</t>
  </si>
  <si>
    <t>43997530-4</t>
  </si>
  <si>
    <t>43997530-5</t>
  </si>
  <si>
    <t>44002874-3</t>
  </si>
  <si>
    <t>44002874-1</t>
  </si>
  <si>
    <t>44002874-2</t>
  </si>
  <si>
    <t>44003061-3</t>
  </si>
  <si>
    <t>44003061-2</t>
  </si>
  <si>
    <t>44003061-4</t>
  </si>
  <si>
    <t>44003061-1</t>
  </si>
  <si>
    <t>44008242-4</t>
  </si>
  <si>
    <t>44008242-2</t>
  </si>
  <si>
    <t>44008242-1</t>
  </si>
  <si>
    <t>44008242-3</t>
  </si>
  <si>
    <t>44150186-1</t>
  </si>
  <si>
    <t>44158176-2</t>
  </si>
  <si>
    <t>44158176-5</t>
  </si>
  <si>
    <t>44158176-4</t>
  </si>
  <si>
    <t>44158176-1</t>
  </si>
  <si>
    <t>44158176-3</t>
  </si>
  <si>
    <t>45465247-2</t>
  </si>
  <si>
    <t>45465247-3</t>
  </si>
  <si>
    <t>45465247-1</t>
  </si>
  <si>
    <t>45509337-5</t>
  </si>
  <si>
    <t>45509337-6</t>
  </si>
  <si>
    <t>45509337-2</t>
  </si>
  <si>
    <t>45509337-1</t>
  </si>
  <si>
    <t>45509337-3</t>
  </si>
  <si>
    <t>45509337-4</t>
  </si>
  <si>
    <t>45578869-3</t>
  </si>
  <si>
    <t>45578869-1</t>
  </si>
  <si>
    <t>45578869-2</t>
  </si>
  <si>
    <t>45584758-2</t>
  </si>
  <si>
    <t>45584758-1</t>
  </si>
  <si>
    <t>45584758-3</t>
  </si>
  <si>
    <t>45584758-4</t>
  </si>
  <si>
    <t>4698774-1</t>
  </si>
  <si>
    <t>4698774-2</t>
  </si>
  <si>
    <t>4698828-2</t>
  </si>
  <si>
    <t>4698828-1</t>
  </si>
  <si>
    <t>4721794-1</t>
  </si>
  <si>
    <t>4721794-2</t>
  </si>
  <si>
    <t>4755752-1</t>
  </si>
  <si>
    <t>4755752-2</t>
  </si>
  <si>
    <t>48571448-2</t>
  </si>
  <si>
    <t>48571448-1</t>
  </si>
  <si>
    <t>48612619-1</t>
  </si>
  <si>
    <t>48614162-1</t>
  </si>
  <si>
    <t>48614162-3</t>
  </si>
  <si>
    <t>48614162-4</t>
  </si>
  <si>
    <t>48614162-6</t>
  </si>
  <si>
    <t>48614162-5</t>
  </si>
  <si>
    <t>48614162-2</t>
  </si>
  <si>
    <t>49670234-3</t>
  </si>
  <si>
    <t>49670234-4</t>
  </si>
  <si>
    <t>49670234-2</t>
  </si>
  <si>
    <t>49670234-1</t>
  </si>
  <si>
    <t>49691954-2</t>
  </si>
  <si>
    <t>49691954-3</t>
  </si>
  <si>
    <t>49691954-1</t>
  </si>
  <si>
    <t>4995718-1</t>
  </si>
  <si>
    <t>50947411-2</t>
  </si>
  <si>
    <t>50947411-1</t>
  </si>
  <si>
    <t>50947411-3</t>
  </si>
  <si>
    <t>50947411-4</t>
  </si>
  <si>
    <t>5122512-1</t>
  </si>
  <si>
    <t>5122512-2</t>
  </si>
  <si>
    <t>52136819-2</t>
  </si>
  <si>
    <t>52136819-3</t>
  </si>
  <si>
    <t>52136819-1</t>
  </si>
  <si>
    <t>5217736-3</t>
  </si>
  <si>
    <t>5217736-1</t>
  </si>
  <si>
    <t>5217736-2</t>
  </si>
  <si>
    <t>55221885-1</t>
  </si>
  <si>
    <t>55221885-2</t>
  </si>
  <si>
    <t>55221885-3</t>
  </si>
  <si>
    <t>55221885-7</t>
  </si>
  <si>
    <t>55221885-6</t>
  </si>
  <si>
    <t>55221885-5</t>
  </si>
  <si>
    <t>55221885-4</t>
  </si>
  <si>
    <t>55226186-1</t>
  </si>
  <si>
    <t>55226186-8</t>
  </si>
  <si>
    <t>55226186-6</t>
  </si>
  <si>
    <t>55226186-7</t>
  </si>
  <si>
    <t>55226186-4</t>
  </si>
  <si>
    <t>55226186-2</t>
  </si>
  <si>
    <t>55226186-3</t>
  </si>
  <si>
    <t>55226186-5</t>
  </si>
  <si>
    <t>55228378-2</t>
  </si>
  <si>
    <t>55228378-3</t>
  </si>
  <si>
    <t>55228378-1</t>
  </si>
  <si>
    <t>55231073-3</t>
  </si>
  <si>
    <t>55231073-2</t>
  </si>
  <si>
    <t>55231073-1</t>
  </si>
  <si>
    <t>55231073-4</t>
  </si>
  <si>
    <t>55232194-3</t>
  </si>
  <si>
    <t>55232194-5</t>
  </si>
  <si>
    <t>55232194-2</t>
  </si>
  <si>
    <t>55232194-4</t>
  </si>
  <si>
    <t>55232194-1</t>
  </si>
  <si>
    <t>55232316-5</t>
  </si>
  <si>
    <t>55232316-4</t>
  </si>
  <si>
    <t>55232316-1</t>
  </si>
  <si>
    <t>55232316-3</t>
  </si>
  <si>
    <t>55232316-2</t>
  </si>
  <si>
    <t>55240557-1</t>
  </si>
  <si>
    <t>55240557-2</t>
  </si>
  <si>
    <t>55240557-4</t>
  </si>
  <si>
    <t>55240557-3</t>
  </si>
  <si>
    <t>55300439-4</t>
  </si>
  <si>
    <t>55300439-1</t>
  </si>
  <si>
    <t>55300439-3</t>
  </si>
  <si>
    <t>55300439-2</t>
  </si>
  <si>
    <t>57304740-2</t>
  </si>
  <si>
    <t>57304740-6</t>
  </si>
  <si>
    <t>57304740-1</t>
  </si>
  <si>
    <t>57304740-4</t>
  </si>
  <si>
    <t>57304740-7</t>
  </si>
  <si>
    <t>57304740-3</t>
  </si>
  <si>
    <t>57304740-5</t>
  </si>
  <si>
    <t>6307220-2</t>
  </si>
  <si>
    <t>6307220-1</t>
  </si>
  <si>
    <t>6307220-3</t>
  </si>
  <si>
    <t>64479725-1</t>
  </si>
  <si>
    <t>64479725-4</t>
  </si>
  <si>
    <t>64479725-5</t>
  </si>
  <si>
    <t>64479725-2</t>
  </si>
  <si>
    <t>64479725-3</t>
  </si>
  <si>
    <t>64558825-2</t>
  </si>
  <si>
    <t>64558825-4</t>
  </si>
  <si>
    <t>64558825-3</t>
  </si>
  <si>
    <t>64558825-1</t>
  </si>
  <si>
    <t>64865431-1</t>
  </si>
  <si>
    <t>64865431-2</t>
  </si>
  <si>
    <t>64865431-6</t>
  </si>
  <si>
    <t>64865431-3</t>
  </si>
  <si>
    <t>64865431-5</t>
  </si>
  <si>
    <t>64865431-4</t>
  </si>
  <si>
    <t>65747539-2</t>
  </si>
  <si>
    <t>65747539-1</t>
  </si>
  <si>
    <t>65815427-1</t>
  </si>
  <si>
    <t>65815427-2</t>
  </si>
  <si>
    <t>66814958-3</t>
  </si>
  <si>
    <t>66814958-2</t>
  </si>
  <si>
    <t>66814958-1</t>
  </si>
  <si>
    <t>66815424-4</t>
  </si>
  <si>
    <t>66815424-2</t>
  </si>
  <si>
    <t>66815424-1</t>
  </si>
  <si>
    <t>66815424-3</t>
  </si>
  <si>
    <t>66819007-1</t>
  </si>
  <si>
    <t>66826171-4</t>
  </si>
  <si>
    <t>66826171-3</t>
  </si>
  <si>
    <t>66826171-1</t>
  </si>
  <si>
    <t>66826171-2</t>
  </si>
  <si>
    <t>66829892-1</t>
  </si>
  <si>
    <t>66829892-2</t>
  </si>
  <si>
    <t>66831349-2</t>
  </si>
  <si>
    <t>66831349-5</t>
  </si>
  <si>
    <t>66831349-4</t>
  </si>
  <si>
    <t>66831349-1</t>
  </si>
  <si>
    <t>66831349-3</t>
  </si>
  <si>
    <t>66834663-6</t>
  </si>
  <si>
    <t>66834663-1</t>
  </si>
  <si>
    <t>66834663-5</t>
  </si>
  <si>
    <t>66834663-2</t>
  </si>
  <si>
    <t>66834663-4</t>
  </si>
  <si>
    <t>66834663-3</t>
  </si>
  <si>
    <t>66850119-1</t>
  </si>
  <si>
    <t>66851995-2</t>
  </si>
  <si>
    <t>66851995-1</t>
  </si>
  <si>
    <t>66852181-1</t>
  </si>
  <si>
    <t>66865510-1</t>
  </si>
  <si>
    <t>66865510-2</t>
  </si>
  <si>
    <t>66865510-3</t>
  </si>
  <si>
    <t>66865510-4</t>
  </si>
  <si>
    <t>66865714-2</t>
  </si>
  <si>
    <t>66865714-1</t>
  </si>
  <si>
    <t>66866128-3</t>
  </si>
  <si>
    <t>66866128-1</t>
  </si>
  <si>
    <t>66866128-2</t>
  </si>
  <si>
    <t>66900125-1</t>
  </si>
  <si>
    <t>66900125-3</t>
  </si>
  <si>
    <t>66900125-4</t>
  </si>
  <si>
    <t>66900125-2</t>
  </si>
  <si>
    <t>66903981-1</t>
  </si>
  <si>
    <t>66903981-2</t>
  </si>
  <si>
    <t>66908388-3</t>
  </si>
  <si>
    <t>66908388-2</t>
  </si>
  <si>
    <t>66908388-1</t>
  </si>
  <si>
    <t>66908980-2</t>
  </si>
  <si>
    <t>66908980-1</t>
  </si>
  <si>
    <t>66914158-1</t>
  </si>
  <si>
    <t>66914158-2</t>
  </si>
  <si>
    <t>66914781-3</t>
  </si>
  <si>
    <t>66914781-1</t>
  </si>
  <si>
    <t>66914781-2</t>
  </si>
  <si>
    <t>66922979-1</t>
  </si>
  <si>
    <t>66924354-1</t>
  </si>
  <si>
    <t>66924354-2</t>
  </si>
  <si>
    <t>66924354-3</t>
  </si>
  <si>
    <t>66946161-3</t>
  </si>
  <si>
    <t>66946161-2</t>
  </si>
  <si>
    <t>66946161-1</t>
  </si>
  <si>
    <t>66946161-4</t>
  </si>
  <si>
    <t>66949232-3</t>
  </si>
  <si>
    <t>66949232-2</t>
  </si>
  <si>
    <t>66949232-5</t>
  </si>
  <si>
    <t>66949232-6</t>
  </si>
  <si>
    <t>66949232-4</t>
  </si>
  <si>
    <t>66949232-1</t>
  </si>
  <si>
    <t>66953260-4</t>
  </si>
  <si>
    <t>66953260-3</t>
  </si>
  <si>
    <t>66953260-2</t>
  </si>
  <si>
    <t>66953260-1</t>
  </si>
  <si>
    <t>66956904-1</t>
  </si>
  <si>
    <t>66956904-3</t>
  </si>
  <si>
    <t>66956904-2</t>
  </si>
  <si>
    <t>66972092-1</t>
  </si>
  <si>
    <t>66972092-2</t>
  </si>
  <si>
    <t>66973335-1</t>
  </si>
  <si>
    <t>66973335-3</t>
  </si>
  <si>
    <t>66973335-2</t>
  </si>
  <si>
    <t>66979672-1</t>
  </si>
  <si>
    <t>66979672-2</t>
  </si>
  <si>
    <t>66979672-3</t>
  </si>
  <si>
    <t>66981241-5</t>
  </si>
  <si>
    <t>66981241-1</t>
  </si>
  <si>
    <t>66981241-2</t>
  </si>
  <si>
    <t>66981241-3</t>
  </si>
  <si>
    <t>66981241-4</t>
  </si>
  <si>
    <t>66981593-1</t>
  </si>
  <si>
    <t>66981593-2</t>
  </si>
  <si>
    <t>66981593-3</t>
  </si>
  <si>
    <t>66981593-4</t>
  </si>
  <si>
    <t>66981593-5</t>
  </si>
  <si>
    <t>66983263-1</t>
  </si>
  <si>
    <t>66983263-4</t>
  </si>
  <si>
    <t>66983263-2</t>
  </si>
  <si>
    <t>66983263-3</t>
  </si>
  <si>
    <t>66983263-5</t>
  </si>
  <si>
    <t>66989106-1</t>
  </si>
  <si>
    <t>66989106-2</t>
  </si>
  <si>
    <t>66989106-3</t>
  </si>
  <si>
    <t>66993102-2</t>
  </si>
  <si>
    <t>66993102-3</t>
  </si>
  <si>
    <t>66993102-1</t>
  </si>
  <si>
    <t>66993102-4</t>
  </si>
  <si>
    <t>66993543-2</t>
  </si>
  <si>
    <t>66993543-1</t>
  </si>
  <si>
    <t>66993543-4</t>
  </si>
  <si>
    <t>66993543-3</t>
  </si>
  <si>
    <t>66996132-1</t>
  </si>
  <si>
    <t>67007953-2</t>
  </si>
  <si>
    <t>67007953-3</t>
  </si>
  <si>
    <t>67007953-1</t>
  </si>
  <si>
    <t>67009210-4</t>
  </si>
  <si>
    <t>67009210-2</t>
  </si>
  <si>
    <t>67009210-1</t>
  </si>
  <si>
    <t>67009210-5</t>
  </si>
  <si>
    <t>67009210-3</t>
  </si>
  <si>
    <t>67014248-1</t>
  </si>
  <si>
    <t>67014248-2</t>
  </si>
  <si>
    <t>67014248-3</t>
  </si>
  <si>
    <t>67014248-5</t>
  </si>
  <si>
    <t>67014248-4</t>
  </si>
  <si>
    <t>67014284-3</t>
  </si>
  <si>
    <t>67014284-2</t>
  </si>
  <si>
    <t>67014284-1</t>
  </si>
  <si>
    <t>67014284-4</t>
  </si>
  <si>
    <t>67016691-4</t>
  </si>
  <si>
    <t>67016691-3</t>
  </si>
  <si>
    <t>67016691-1</t>
  </si>
  <si>
    <t>67016691-2</t>
  </si>
  <si>
    <t>67019790-2</t>
  </si>
  <si>
    <t>67019790-3</t>
  </si>
  <si>
    <t>67019790-1</t>
  </si>
  <si>
    <t>67019790-4</t>
  </si>
  <si>
    <t>67021030-2</t>
  </si>
  <si>
    <t>67021030-4</t>
  </si>
  <si>
    <t>67021030-1</t>
  </si>
  <si>
    <t>67021030-5</t>
  </si>
  <si>
    <t>67021030-3</t>
  </si>
  <si>
    <t>670254-1</t>
  </si>
  <si>
    <t>670254-4</t>
  </si>
  <si>
    <t>670254-3</t>
  </si>
  <si>
    <t>670254-2</t>
  </si>
  <si>
    <t>67028018-4</t>
  </si>
  <si>
    <t>67028018-3</t>
  </si>
  <si>
    <t>67028018-2</t>
  </si>
  <si>
    <t>67028018-1</t>
  </si>
  <si>
    <t>67033667-2</t>
  </si>
  <si>
    <t>67033667-1</t>
  </si>
  <si>
    <t>70049056-4</t>
  </si>
  <si>
    <t>70049056-5</t>
  </si>
  <si>
    <t>70049056-7</t>
  </si>
  <si>
    <t>70049056-3</t>
  </si>
  <si>
    <t>70049056-1</t>
  </si>
  <si>
    <t>70049056-2</t>
  </si>
  <si>
    <t>70049056-8</t>
  </si>
  <si>
    <t>70049056-6</t>
  </si>
  <si>
    <t>70073044-1</t>
  </si>
  <si>
    <t>70108470-1</t>
  </si>
  <si>
    <t>70108470-2</t>
  </si>
  <si>
    <t>70127199-1</t>
  </si>
  <si>
    <t>70432281-3</t>
  </si>
  <si>
    <t>70432281-2</t>
  </si>
  <si>
    <t>70432281-4</t>
  </si>
  <si>
    <t>70432281-1</t>
  </si>
  <si>
    <t>70540124-3</t>
  </si>
  <si>
    <t>70540124-2</t>
  </si>
  <si>
    <t>70540124-1</t>
  </si>
  <si>
    <t>70663173-1</t>
  </si>
  <si>
    <t>70721342-1</t>
  </si>
  <si>
    <t>71216514-2</t>
  </si>
  <si>
    <t>71216514-1</t>
  </si>
  <si>
    <t>71218215-3</t>
  </si>
  <si>
    <t>71218215-1</t>
  </si>
  <si>
    <t>71218215-6</t>
  </si>
  <si>
    <t>71218215-2</t>
  </si>
  <si>
    <t>71218215-4</t>
  </si>
  <si>
    <t>71218215-5</t>
  </si>
  <si>
    <t>71260467-1</t>
  </si>
  <si>
    <t>71276975-1</t>
  </si>
  <si>
    <t>71314870-1</t>
  </si>
  <si>
    <t>71365608-1</t>
  </si>
  <si>
    <t>71376919-1</t>
  </si>
  <si>
    <t>71376919-2</t>
  </si>
  <si>
    <t>71387728-1</t>
  </si>
  <si>
    <t>71387728-3</t>
  </si>
  <si>
    <t>71387728-2</t>
  </si>
  <si>
    <t>71579896-1</t>
  </si>
  <si>
    <t>71591169-1</t>
  </si>
  <si>
    <t>71603638-3</t>
  </si>
  <si>
    <t>71603638-1</t>
  </si>
  <si>
    <t>71603638-2</t>
  </si>
  <si>
    <t>71645240-2</t>
  </si>
  <si>
    <t>71645240-1</t>
  </si>
  <si>
    <t>71645240-3</t>
  </si>
  <si>
    <t>71646374-2</t>
  </si>
  <si>
    <t>71646374-3</t>
  </si>
  <si>
    <t>71646374-1</t>
  </si>
  <si>
    <t>71653892-1</t>
  </si>
  <si>
    <t>71663203-3</t>
  </si>
  <si>
    <t>71663203-4</t>
  </si>
  <si>
    <t>71663203-1</t>
  </si>
  <si>
    <t>71663203-6</t>
  </si>
  <si>
    <t>71663203-5</t>
  </si>
  <si>
    <t>71663203-2</t>
  </si>
  <si>
    <t>71664592-5</t>
  </si>
  <si>
    <t>71664592-4</t>
  </si>
  <si>
    <t>71664592-1</t>
  </si>
  <si>
    <t>71664592-2</t>
  </si>
  <si>
    <t>71664592-3</t>
  </si>
  <si>
    <t>71671195-2</t>
  </si>
  <si>
    <t>71671195-1</t>
  </si>
  <si>
    <t>71681839-4</t>
  </si>
  <si>
    <t>71681839-5</t>
  </si>
  <si>
    <t>71681839-1</t>
  </si>
  <si>
    <t>71681839-2</t>
  </si>
  <si>
    <t>71681839-3</t>
  </si>
  <si>
    <t>71686558-1</t>
  </si>
  <si>
    <t>71686558-2</t>
  </si>
  <si>
    <t>71697945-1</t>
  </si>
  <si>
    <t>71697945-2</t>
  </si>
  <si>
    <t>71697945-3</t>
  </si>
  <si>
    <t>71717122-2</t>
  </si>
  <si>
    <t>71717122-4</t>
  </si>
  <si>
    <t>71717122-7</t>
  </si>
  <si>
    <t>71717122-5</t>
  </si>
  <si>
    <t>71717122-1</t>
  </si>
  <si>
    <t>71717122-3</t>
  </si>
  <si>
    <t>71717122-6</t>
  </si>
  <si>
    <t>71728862-1</t>
  </si>
  <si>
    <t>71728862-2</t>
  </si>
  <si>
    <t>71744033-1</t>
  </si>
  <si>
    <t>71763215-4</t>
  </si>
  <si>
    <t>71763215-5</t>
  </si>
  <si>
    <t>71763215-2</t>
  </si>
  <si>
    <t>71763215-3</t>
  </si>
  <si>
    <t>71763215-1</t>
  </si>
  <si>
    <t>71769872-1</t>
  </si>
  <si>
    <t>71769872-2</t>
  </si>
  <si>
    <t>71796175-2</t>
  </si>
  <si>
    <t>71796175-4</t>
  </si>
  <si>
    <t>71796175-1</t>
  </si>
  <si>
    <t>71796175-3</t>
  </si>
  <si>
    <t>71799939-1</t>
  </si>
  <si>
    <t>72042663-4</t>
  </si>
  <si>
    <t>72042663-2</t>
  </si>
  <si>
    <t>72042663-1</t>
  </si>
  <si>
    <t>72042663-3</t>
  </si>
  <si>
    <t>72127034-1</t>
  </si>
  <si>
    <t>72127034-2</t>
  </si>
  <si>
    <t>72127034-3</t>
  </si>
  <si>
    <t>72129785-2</t>
  </si>
  <si>
    <t>72129785-1</t>
  </si>
  <si>
    <t>72131105-2</t>
  </si>
  <si>
    <t>72131105-1</t>
  </si>
  <si>
    <t>72132483-5</t>
  </si>
  <si>
    <t>72132483-1</t>
  </si>
  <si>
    <t>72132483-2</t>
  </si>
  <si>
    <t>72132483-4</t>
  </si>
  <si>
    <t>72132483-3</t>
  </si>
  <si>
    <t>72144157-1</t>
  </si>
  <si>
    <t>72145817-2</t>
  </si>
  <si>
    <t>72145817-1</t>
  </si>
  <si>
    <t>72145817-3</t>
  </si>
  <si>
    <t>72146165-4</t>
  </si>
  <si>
    <t>72146165-1</t>
  </si>
  <si>
    <t>72146165-5</t>
  </si>
  <si>
    <t>72146165-3</t>
  </si>
  <si>
    <t>72146165-2</t>
  </si>
  <si>
    <t>72146737-1</t>
  </si>
  <si>
    <t>72146737-2</t>
  </si>
  <si>
    <t>72149109-2</t>
  </si>
  <si>
    <t>72149109-3</t>
  </si>
  <si>
    <t>72149109-1</t>
  </si>
  <si>
    <t>72149109-4</t>
  </si>
  <si>
    <t>72149109-5</t>
  </si>
  <si>
    <t>72167042-1</t>
  </si>
  <si>
    <t>72167042-3</t>
  </si>
  <si>
    <t>72167042-2</t>
  </si>
  <si>
    <t>72170241-3</t>
  </si>
  <si>
    <t>72170241-2</t>
  </si>
  <si>
    <t>72170241-4</t>
  </si>
  <si>
    <t>72170241-1</t>
  </si>
  <si>
    <t>72175816-3</t>
  </si>
  <si>
    <t>72175816-4</t>
  </si>
  <si>
    <t>72175816-1</t>
  </si>
  <si>
    <t>72175816-2</t>
  </si>
  <si>
    <t>72175816-5</t>
  </si>
  <si>
    <t>72178853-2</t>
  </si>
  <si>
    <t>72178853-1</t>
  </si>
  <si>
    <t>72180833-4</t>
  </si>
  <si>
    <t>72180833-3</t>
  </si>
  <si>
    <t>72180833-2</t>
  </si>
  <si>
    <t>72180833-1</t>
  </si>
  <si>
    <t>72180833-5</t>
  </si>
  <si>
    <t>72182204-1</t>
  </si>
  <si>
    <t>72182204-2</t>
  </si>
  <si>
    <t>72182204-4</t>
  </si>
  <si>
    <t>72182204-3</t>
  </si>
  <si>
    <t>72183434-3</t>
  </si>
  <si>
    <t>72183434-1</t>
  </si>
  <si>
    <t>72183434-2</t>
  </si>
  <si>
    <t>72183434-4</t>
  </si>
  <si>
    <t>72184735-5</t>
  </si>
  <si>
    <t>72184735-2</t>
  </si>
  <si>
    <t>72184735-3</t>
  </si>
  <si>
    <t>72184735-1</t>
  </si>
  <si>
    <t>72184735-6</t>
  </si>
  <si>
    <t>72184735-4</t>
  </si>
  <si>
    <t>72200209-1</t>
  </si>
  <si>
    <t>72210592-2</t>
  </si>
  <si>
    <t>72210592-1</t>
  </si>
  <si>
    <t>72212320-1</t>
  </si>
  <si>
    <t>72212320-6</t>
  </si>
  <si>
    <t>72212320-3</t>
  </si>
  <si>
    <t>72212320-8</t>
  </si>
  <si>
    <t>72212320-5</t>
  </si>
  <si>
    <t>72212320-2</t>
  </si>
  <si>
    <t>72212320-7</t>
  </si>
  <si>
    <t>72212320-4</t>
  </si>
  <si>
    <t>72213150-3</t>
  </si>
  <si>
    <t>72213150-1</t>
  </si>
  <si>
    <t>72213150-4</t>
  </si>
  <si>
    <t>72213150-2</t>
  </si>
  <si>
    <t>72214776-3</t>
  </si>
  <si>
    <t>72214776-1</t>
  </si>
  <si>
    <t>72214776-2</t>
  </si>
  <si>
    <t>72217502-6</t>
  </si>
  <si>
    <t>72217502-4</t>
  </si>
  <si>
    <t>72217502-2</t>
  </si>
  <si>
    <t>72217502-1</t>
  </si>
  <si>
    <t>72217502-3</t>
  </si>
  <si>
    <t>72217502-5</t>
  </si>
  <si>
    <t>72227073-1</t>
  </si>
  <si>
    <t>72227073-4</t>
  </si>
  <si>
    <t>72227073-2</t>
  </si>
  <si>
    <t>72227073-3</t>
  </si>
  <si>
    <t>72227073-5</t>
  </si>
  <si>
    <t>72227387-2</t>
  </si>
  <si>
    <t>72227387-3</t>
  </si>
  <si>
    <t>72227387-5</t>
  </si>
  <si>
    <t>72227387-4</t>
  </si>
  <si>
    <t>72227387-1</t>
  </si>
  <si>
    <t>72234487-1</t>
  </si>
  <si>
    <t>72239153-3</t>
  </si>
  <si>
    <t>72239153-2</t>
  </si>
  <si>
    <t>72239153-1</t>
  </si>
  <si>
    <t>72239164-1</t>
  </si>
  <si>
    <t>72239164-3</t>
  </si>
  <si>
    <t>72239164-2</t>
  </si>
  <si>
    <t>72256249-3</t>
  </si>
  <si>
    <t>72256249-1</t>
  </si>
  <si>
    <t>72256249-2</t>
  </si>
  <si>
    <t>72256249-4</t>
  </si>
  <si>
    <t>72259355-1</t>
  </si>
  <si>
    <t>72259355-2</t>
  </si>
  <si>
    <t>72259355-3</t>
  </si>
  <si>
    <t>72261103-1</t>
  </si>
  <si>
    <t>72261103-3</t>
  </si>
  <si>
    <t>72261103-2</t>
  </si>
  <si>
    <t>72261103-4</t>
  </si>
  <si>
    <t>72264710-7</t>
  </si>
  <si>
    <t>72264710-1</t>
  </si>
  <si>
    <t>72264710-5</t>
  </si>
  <si>
    <t>72264710-2</t>
  </si>
  <si>
    <t>72264710-8</t>
  </si>
  <si>
    <t>72264710-6</t>
  </si>
  <si>
    <t>72264710-4</t>
  </si>
  <si>
    <t>72264710-3</t>
  </si>
  <si>
    <t>72265227-2</t>
  </si>
  <si>
    <t>72265227-3</t>
  </si>
  <si>
    <t>72265227-4</t>
  </si>
  <si>
    <t>72265227-1</t>
  </si>
  <si>
    <t>72298484-3</t>
  </si>
  <si>
    <t>72298484-2</t>
  </si>
  <si>
    <t>72298484-5</t>
  </si>
  <si>
    <t>72298484-1</t>
  </si>
  <si>
    <t>72298484-4</t>
  </si>
  <si>
    <t>72428031-1</t>
  </si>
  <si>
    <t>72428031-3</t>
  </si>
  <si>
    <t>72428031-2</t>
  </si>
  <si>
    <t>73153652-2</t>
  </si>
  <si>
    <t>73153652-3</t>
  </si>
  <si>
    <t>73153652-1</t>
  </si>
  <si>
    <t>73226383-2</t>
  </si>
  <si>
    <t>73226383-1</t>
  </si>
  <si>
    <t>7411480-1</t>
  </si>
  <si>
    <t>7411480-3</t>
  </si>
  <si>
    <t>7411480-2</t>
  </si>
  <si>
    <t>7420358-2</t>
  </si>
  <si>
    <t>7420358-1</t>
  </si>
  <si>
    <t>7420358-3</t>
  </si>
  <si>
    <t>7420358-4</t>
  </si>
  <si>
    <t>7435553-2</t>
  </si>
  <si>
    <t>7435553-3</t>
  </si>
  <si>
    <t>7435553-4</t>
  </si>
  <si>
    <t>7435553-1</t>
  </si>
  <si>
    <t>7435553-6</t>
  </si>
  <si>
    <t>7435553-5</t>
  </si>
  <si>
    <t>7438297-3</t>
  </si>
  <si>
    <t>7438297-2</t>
  </si>
  <si>
    <t>7438297-1</t>
  </si>
  <si>
    <t>7444585-1</t>
  </si>
  <si>
    <t>7444585-2</t>
  </si>
  <si>
    <t>7447628-1</t>
  </si>
  <si>
    <t>7454371-1</t>
  </si>
  <si>
    <t>7459447-1</t>
  </si>
  <si>
    <t>7459447-4</t>
  </si>
  <si>
    <t>7459447-2</t>
  </si>
  <si>
    <t>7459447-3</t>
  </si>
  <si>
    <t>7459447-5</t>
  </si>
  <si>
    <t>7460942-4</t>
  </si>
  <si>
    <t>7460942-1</t>
  </si>
  <si>
    <t>7460942-3</t>
  </si>
  <si>
    <t>7460942-2</t>
  </si>
  <si>
    <t>7460942-5</t>
  </si>
  <si>
    <t>7471998-5</t>
  </si>
  <si>
    <t>7471998-4</t>
  </si>
  <si>
    <t>7471998-1</t>
  </si>
  <si>
    <t>7471998-2</t>
  </si>
  <si>
    <t>7471998-3</t>
  </si>
  <si>
    <t>7473926-2</t>
  </si>
  <si>
    <t>7473926-1</t>
  </si>
  <si>
    <t>7473926-5</t>
  </si>
  <si>
    <t>7473926-6</t>
  </si>
  <si>
    <t>7473926-4</t>
  </si>
  <si>
    <t>7473926-3</t>
  </si>
  <si>
    <t>7474428-2</t>
  </si>
  <si>
    <t>7474428-1</t>
  </si>
  <si>
    <t>7476537-1</t>
  </si>
  <si>
    <t>7476537-2</t>
  </si>
  <si>
    <t>7476784-1</t>
  </si>
  <si>
    <t>76047511-4</t>
  </si>
  <si>
    <t>76047511-5</t>
  </si>
  <si>
    <t>76047511-1</t>
  </si>
  <si>
    <t>76047511-2</t>
  </si>
  <si>
    <t>76047511-3</t>
  </si>
  <si>
    <t>761321-1</t>
  </si>
  <si>
    <t>76268499-1</t>
  </si>
  <si>
    <t>76268499-5</t>
  </si>
  <si>
    <t>76268499-2</t>
  </si>
  <si>
    <t>76268499-4</t>
  </si>
  <si>
    <t>76268499-3</t>
  </si>
  <si>
    <t>76290401-2</t>
  </si>
  <si>
    <t>76290401-1</t>
  </si>
  <si>
    <t>76324402-2</t>
  </si>
  <si>
    <t>76324402-1</t>
  </si>
  <si>
    <t>76324402-4</t>
  </si>
  <si>
    <t>76324402-3</t>
  </si>
  <si>
    <t>76336138-2</t>
  </si>
  <si>
    <t>76336138-4</t>
  </si>
  <si>
    <t>76336138-1</t>
  </si>
  <si>
    <t>76336138-3</t>
  </si>
  <si>
    <t>76337278-1</t>
  </si>
  <si>
    <t>77020562-5</t>
  </si>
  <si>
    <t>77020562-1</t>
  </si>
  <si>
    <t>77020562-4</t>
  </si>
  <si>
    <t>77020562-2</t>
  </si>
  <si>
    <t>77020562-3</t>
  </si>
  <si>
    <t>7884262-3</t>
  </si>
  <si>
    <t>7884262-4</t>
  </si>
  <si>
    <t>7884262-5</t>
  </si>
  <si>
    <t>7884262-1</t>
  </si>
  <si>
    <t>7884262-2</t>
  </si>
  <si>
    <t>8279530-1</t>
  </si>
  <si>
    <t>8299054-1</t>
  </si>
  <si>
    <t>8306303-1</t>
  </si>
  <si>
    <t>8316734-1</t>
  </si>
  <si>
    <t>8316734-2</t>
  </si>
  <si>
    <t>8316734-3</t>
  </si>
  <si>
    <t>832608-3</t>
  </si>
  <si>
    <t>832608-2</t>
  </si>
  <si>
    <t>832608-4</t>
  </si>
  <si>
    <t>832608-1</t>
  </si>
  <si>
    <t>8371433-2</t>
  </si>
  <si>
    <t>8371433-1</t>
  </si>
  <si>
    <t>8538228-1</t>
  </si>
  <si>
    <t>8661897-3</t>
  </si>
  <si>
    <t>8661897-1</t>
  </si>
  <si>
    <t>8661897-2</t>
  </si>
  <si>
    <t>8663792-2</t>
  </si>
  <si>
    <t>8663792-1</t>
  </si>
  <si>
    <t>8663792-3</t>
  </si>
  <si>
    <t>8664032-1</t>
  </si>
  <si>
    <t>8668925-5</t>
  </si>
  <si>
    <t>8668925-3</t>
  </si>
  <si>
    <t>8668925-4</t>
  </si>
  <si>
    <t>8668925-2</t>
  </si>
  <si>
    <t>8668925-1</t>
  </si>
  <si>
    <t>8672765-1</t>
  </si>
  <si>
    <t>8672765-4</t>
  </si>
  <si>
    <t>8672765-3</t>
  </si>
  <si>
    <t>8672765-2</t>
  </si>
  <si>
    <t>8675682-2</t>
  </si>
  <si>
    <t>8675682-1</t>
  </si>
  <si>
    <t>8675682-3</t>
  </si>
  <si>
    <t>8681506-2</t>
  </si>
  <si>
    <t>8681506-3</t>
  </si>
  <si>
    <t>8681506-1</t>
  </si>
  <si>
    <t>8681506-4</t>
  </si>
  <si>
    <t>8681506-5</t>
  </si>
  <si>
    <t>8686374-1</t>
  </si>
  <si>
    <t>8686374-2</t>
  </si>
  <si>
    <t>8686374-3</t>
  </si>
  <si>
    <t>8686397-1</t>
  </si>
  <si>
    <t>8688105-6</t>
  </si>
  <si>
    <t>8688105-2</t>
  </si>
  <si>
    <t>8688105-4</t>
  </si>
  <si>
    <t>8688105-3</t>
  </si>
  <si>
    <t>8688105-1</t>
  </si>
  <si>
    <t>8688105-5</t>
  </si>
  <si>
    <t>8695283-3</t>
  </si>
  <si>
    <t>8695283-1</t>
  </si>
  <si>
    <t>8695283-2</t>
  </si>
  <si>
    <t>8696703-3</t>
  </si>
  <si>
    <t>8696703-5</t>
  </si>
  <si>
    <t>8696703-7</t>
  </si>
  <si>
    <t>8696703-2</t>
  </si>
  <si>
    <t>8696703-6</t>
  </si>
  <si>
    <t>8696703-4</t>
  </si>
  <si>
    <t>8696703-1</t>
  </si>
  <si>
    <t>8704553-1</t>
  </si>
  <si>
    <t>8706854-2</t>
  </si>
  <si>
    <t>8706854-1</t>
  </si>
  <si>
    <t>8706854-3</t>
  </si>
  <si>
    <t>87085002-3</t>
  </si>
  <si>
    <t>87085002-1</t>
  </si>
  <si>
    <t>87085002-2</t>
  </si>
  <si>
    <t>8719594-1</t>
  </si>
  <si>
    <t>8722562-1</t>
  </si>
  <si>
    <t>8724214-1</t>
  </si>
  <si>
    <t>8732595-2</t>
  </si>
  <si>
    <t>8732595-1</t>
  </si>
  <si>
    <t>8734568-2</t>
  </si>
  <si>
    <t>8734568-1</t>
  </si>
  <si>
    <t>8734568-3</t>
  </si>
  <si>
    <t>8737489-1</t>
  </si>
  <si>
    <t>8739487-1</t>
  </si>
  <si>
    <t>8739487-2</t>
  </si>
  <si>
    <t>87430106-1</t>
  </si>
  <si>
    <t>8754897-1</t>
  </si>
  <si>
    <t>8754897-2</t>
  </si>
  <si>
    <t>87571430-1</t>
  </si>
  <si>
    <t>8758157-5</t>
  </si>
  <si>
    <t>8758157-3</t>
  </si>
  <si>
    <t>8758157-4</t>
  </si>
  <si>
    <t>8758157-2</t>
  </si>
  <si>
    <t>8758157-1</t>
  </si>
  <si>
    <t>8775124-2</t>
  </si>
  <si>
    <t>8775124-3</t>
  </si>
  <si>
    <t>8775124-1</t>
  </si>
  <si>
    <t>8779085-1</t>
  </si>
  <si>
    <t>8793580-5</t>
  </si>
  <si>
    <t>8793580-1</t>
  </si>
  <si>
    <t>8793580-2</t>
  </si>
  <si>
    <t>8793580-3</t>
  </si>
  <si>
    <t>8793580-4</t>
  </si>
  <si>
    <t>8799243-3</t>
  </si>
  <si>
    <t>8799243-2</t>
  </si>
  <si>
    <t>8799243-1</t>
  </si>
  <si>
    <t>8799243-4</t>
  </si>
  <si>
    <t>9110860-1</t>
  </si>
  <si>
    <t>9142652-3</t>
  </si>
  <si>
    <t>9142652-1</t>
  </si>
  <si>
    <t>9142652-2</t>
  </si>
  <si>
    <t>94061999-2</t>
  </si>
  <si>
    <t>94061999-1</t>
  </si>
  <si>
    <t>94063123-1</t>
  </si>
  <si>
    <t>94191300-3</t>
  </si>
  <si>
    <t>94191300-1</t>
  </si>
  <si>
    <t>94191300-2</t>
  </si>
  <si>
    <t>94225090-3</t>
  </si>
  <si>
    <t>94225090-1</t>
  </si>
  <si>
    <t>94225090-2</t>
  </si>
  <si>
    <t>94374533-1</t>
  </si>
  <si>
    <t>94402421-1</t>
  </si>
  <si>
    <t>94403143-1</t>
  </si>
  <si>
    <t>94403143-2</t>
  </si>
  <si>
    <t>94427227-5</t>
  </si>
  <si>
    <t>94427227-4</t>
  </si>
  <si>
    <t>94427227-2</t>
  </si>
  <si>
    <t>94427227-1</t>
  </si>
  <si>
    <t>94427227-3</t>
  </si>
  <si>
    <t>94459917-4</t>
  </si>
  <si>
    <t>94459917-2</t>
  </si>
  <si>
    <t>94459917-3</t>
  </si>
  <si>
    <t>94459917-1</t>
  </si>
  <si>
    <t>94494784-1</t>
  </si>
  <si>
    <t>94501681-1</t>
  </si>
  <si>
    <t>94503264-2</t>
  </si>
  <si>
    <t>94503264-1</t>
  </si>
  <si>
    <t>94513261-1</t>
  </si>
  <si>
    <t>94528503-1</t>
  </si>
  <si>
    <t>94528503-3</t>
  </si>
  <si>
    <t>94528503-2</t>
  </si>
  <si>
    <t>94534343-1</t>
  </si>
  <si>
    <t>94534343-2</t>
  </si>
  <si>
    <t>94537823-4</t>
  </si>
  <si>
    <t>94537823-1</t>
  </si>
  <si>
    <t>94537823-2</t>
  </si>
  <si>
    <t>94537823-5</t>
  </si>
  <si>
    <t>94537823-3</t>
  </si>
  <si>
    <t>94540935-1</t>
  </si>
  <si>
    <t>94540935-2</t>
  </si>
  <si>
    <t>94550202-3</t>
  </si>
  <si>
    <t>94550202-1</t>
  </si>
  <si>
    <t>94550202-2</t>
  </si>
  <si>
    <t>9825002-1</t>
  </si>
  <si>
    <t>9825002-2</t>
  </si>
  <si>
    <t>98638636-2</t>
  </si>
  <si>
    <t>98638636-3</t>
  </si>
  <si>
    <t>98638636-1</t>
  </si>
  <si>
    <t>98657538-1</t>
  </si>
  <si>
    <t>house_id</t>
  </si>
  <si>
    <t>cod</t>
  </si>
  <si>
    <t>Nombres</t>
  </si>
  <si>
    <t>Municipio</t>
  </si>
  <si>
    <t>ETAPA</t>
  </si>
  <si>
    <t>identificador de etapa</t>
  </si>
  <si>
    <t>identificador de ciudad</t>
  </si>
  <si>
    <t>identificador de hogar</t>
  </si>
  <si>
    <t>#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</si>
  <si>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</si>
  <si>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</si>
  <si>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</si>
  <si>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</si>
  <si>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</si>
  <si>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</si>
  <si>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</si>
  <si>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</si>
  <si>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</si>
  <si>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</si>
  <si>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</si>
  <si>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</si>
  <si>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</si>
  <si>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</si>
  <si>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</si>
  <si>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</si>
  <si>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</si>
  <si>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</si>
  <si>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</si>
  <si>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</si>
  <si>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</si>
  <si>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</si>
  <si>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</si>
  <si>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</si>
  <si>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</si>
  <si>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</si>
  <si>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</si>
  <si>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</si>
  <si>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</si>
  <si>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</si>
  <si>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</si>
  <si>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</si>
  <si>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</si>
  <si>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</si>
  <si>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</si>
  <si>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</si>
  <si>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</si>
  <si>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</si>
  <si>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</si>
  <si>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</si>
  <si>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</si>
  <si>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</si>
  <si>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</si>
  <si>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</si>
  <si>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</si>
  <si>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</si>
  <si>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</si>
  <si>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</si>
  <si>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</si>
  <si>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</si>
  <si>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</si>
  <si>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</si>
  <si>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</si>
  <si>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</si>
  <si>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</si>
  <si>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</si>
  <si>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</si>
  <si>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</si>
  <si>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</si>
  <si>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</si>
  <si>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</si>
  <si>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</si>
  <si>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</si>
  <si>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</si>
  <si>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</si>
  <si>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</si>
  <si>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</si>
  <si>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</si>
  <si>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</si>
  <si>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</si>
  <si>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</si>
  <si>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</si>
  <si>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</si>
  <si>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</si>
  <si>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</si>
  <si>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</si>
  <si>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</si>
  <si>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</si>
  <si>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</si>
  <si>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</si>
  <si>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</si>
  <si>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</si>
  <si>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</si>
  <si>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</si>
  <si>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</si>
  <si>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</si>
  <si>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</si>
  <si>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</si>
  <si>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</si>
  <si>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</si>
  <si>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</si>
  <si>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</si>
  <si>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</si>
  <si>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</si>
  <si>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</si>
  <si>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</si>
  <si>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</si>
  <si>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</si>
  <si>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</si>
  <si>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</si>
  <si>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</si>
  <si>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</si>
  <si>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</si>
  <si>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</si>
  <si>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</si>
  <si>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</si>
  <si>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</si>
  <si>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</si>
  <si>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</si>
  <si>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</si>
  <si>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</si>
  <si>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</si>
  <si>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</si>
  <si>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</si>
  <si>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</si>
  <si>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</si>
  <si>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</si>
  <si>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</si>
  <si>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</si>
  <si>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</si>
  <si>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</si>
  <si>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</si>
  <si>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</si>
  <si>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</si>
  <si>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</si>
  <si>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</si>
  <si>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</si>
  <si>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</si>
  <si>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</si>
  <si>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</si>
  <si>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</si>
  <si>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</si>
  <si>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</si>
  <si>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</si>
  <si>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</si>
  <si>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</si>
  <si>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</si>
  <si>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</si>
  <si>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</si>
  <si>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</si>
  <si>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</si>
  <si>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</si>
  <si>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</si>
  <si>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</si>
  <si>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</si>
  <si>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</si>
  <si>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</si>
  <si>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</si>
  <si>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</si>
  <si>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</si>
  <si>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</si>
  <si>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</si>
  <si>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</si>
  <si>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</si>
  <si>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</si>
  <si>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</si>
  <si>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</si>
  <si>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</si>
  <si>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</si>
  <si>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</si>
  <si>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</si>
  <si>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</si>
  <si>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</si>
  <si>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</si>
  <si>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</si>
  <si>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</si>
  <si>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</si>
  <si>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</si>
  <si>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</si>
  <si>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</si>
  <si>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</si>
  <si>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</si>
  <si>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</si>
  <si>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</si>
  <si>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</si>
  <si>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</si>
  <si>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</si>
  <si>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</si>
  <si>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</si>
  <si>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</si>
  <si>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</si>
  <si>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</si>
  <si>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</si>
  <si>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</si>
  <si>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</si>
  <si>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</si>
  <si>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</si>
  <si>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</si>
  <si>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</si>
  <si>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</si>
  <si>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</si>
  <si>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</si>
  <si>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</si>
  <si>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</si>
  <si>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</si>
  <si>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</si>
  <si>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</si>
  <si>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</si>
  <si>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</si>
  <si>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</si>
  <si>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</si>
  <si>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</si>
  <si>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</si>
  <si>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</si>
  <si>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</si>
  <si>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</si>
  <si>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</si>
  <si>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</si>
  <si>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</si>
  <si>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</si>
  <si>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</si>
  <si>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</si>
  <si>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</si>
  <si>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</si>
  <si>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</si>
  <si>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</si>
  <si>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</si>
  <si>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</si>
  <si>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</si>
  <si>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</si>
  <si>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</si>
  <si>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</si>
  <si>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</si>
  <si>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</si>
  <si>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</si>
  <si>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</si>
  <si>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</si>
  <si>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</si>
  <si>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</si>
  <si>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</si>
  <si>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</si>
  <si>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</si>
  <si>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</si>
  <si>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</si>
  <si>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</si>
  <si>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</si>
  <si>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</si>
  <si>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</si>
  <si>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</si>
  <si>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</si>
  <si>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</si>
  <si>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</si>
  <si>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</si>
  <si>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</si>
  <si>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</si>
  <si>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</si>
  <si>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</si>
  <si>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</si>
  <si>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</si>
  <si>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</si>
  <si>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</si>
  <si>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</si>
  <si>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</si>
  <si>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</si>
  <si>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</si>
  <si>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</si>
  <si>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</si>
  <si>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</si>
  <si>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</si>
  <si>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</si>
  <si>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</si>
  <si>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</si>
  <si>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</si>
  <si>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</si>
  <si>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</si>
  <si>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</si>
  <si>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</si>
  <si>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</si>
  <si>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</si>
  <si>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</si>
  <si>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</si>
  <si>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</si>
  <si>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</si>
  <si>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</si>
  <si>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</si>
  <si>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</si>
  <si>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</si>
  <si>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</si>
  <si>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</si>
  <si>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</si>
  <si>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</si>
  <si>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</si>
  <si>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</si>
  <si>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</si>
  <si>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</si>
  <si>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</si>
  <si>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</si>
  <si>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</si>
  <si>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</si>
  <si>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</si>
  <si>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</si>
  <si>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</si>
  <si>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</si>
  <si>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</si>
  <si>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</si>
  <si>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</si>
  <si>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</si>
  <si>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</si>
  <si>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</si>
  <si>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</si>
  <si>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</si>
  <si>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</si>
  <si>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</si>
  <si>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</si>
  <si>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</si>
  <si>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</si>
  <si>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</si>
  <si>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</si>
  <si>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</si>
  <si>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</si>
  <si>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</si>
  <si>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</si>
  <si>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</si>
  <si>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</si>
  <si>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</si>
  <si>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</si>
  <si>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</si>
  <si>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</si>
  <si>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</si>
  <si>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</si>
  <si>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</si>
  <si>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</si>
  <si>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</si>
  <si>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</si>
  <si>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</si>
  <si>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</si>
  <si>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</si>
  <si>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</si>
  <si>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</si>
  <si>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</si>
  <si>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</si>
  <si>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</si>
  <si>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</si>
  <si>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</si>
  <si>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</si>
  <si>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</si>
  <si>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</si>
  <si>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</si>
  <si>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</si>
  <si>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</si>
  <si>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</si>
  <si>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</si>
  <si>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</si>
  <si>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</si>
  <si>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</si>
  <si>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</si>
  <si>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</si>
  <si>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</si>
  <si>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</si>
  <si>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</si>
  <si>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</si>
  <si>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</si>
  <si>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</si>
  <si>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</si>
  <si>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</si>
  <si>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</si>
  <si>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</si>
  <si>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</si>
  <si>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</si>
  <si>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</si>
  <si>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</si>
  <si>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</si>
  <si>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</si>
  <si>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</si>
  <si>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</si>
  <si>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</si>
  <si>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</si>
  <si>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</si>
  <si>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</si>
  <si>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</si>
  <si>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</si>
  <si>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</si>
  <si>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</si>
  <si>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</si>
  <si>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</si>
  <si>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</si>
  <si>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</si>
  <si>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</si>
  <si>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</si>
  <si>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</si>
  <si>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</si>
  <si>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</si>
  <si>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</si>
  <si>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</si>
  <si>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</si>
  <si>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</si>
  <si>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</si>
  <si>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</si>
  <si>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</si>
  <si>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</si>
  <si>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</si>
  <si>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</si>
  <si>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</si>
  <si>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</si>
  <si>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</si>
  <si>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</si>
  <si>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</si>
  <si>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</si>
  <si>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</si>
  <si>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</si>
  <si>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</si>
  <si>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</si>
  <si>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</si>
  <si>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</si>
  <si>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</si>
  <si>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</si>
  <si>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</si>
  <si>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</si>
  <si>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</si>
  <si>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</si>
  <si>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</si>
  <si>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</si>
  <si>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</si>
  <si>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</si>
  <si>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</si>
  <si>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</si>
  <si>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</si>
  <si>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</si>
  <si>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</si>
  <si>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</si>
  <si>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</si>
  <si>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</si>
  <si>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</si>
  <si>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</si>
  <si>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</si>
  <si>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</si>
  <si>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</si>
  <si>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</si>
  <si>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</si>
  <si>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</si>
  <si>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</si>
  <si>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</si>
  <si>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</si>
  <si>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</si>
  <si>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</si>
  <si>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</si>
  <si>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</si>
  <si>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</si>
  <si>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</si>
  <si>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</si>
  <si>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</si>
  <si>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</si>
  <si>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</si>
  <si>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</si>
  <si>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</si>
  <si>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</si>
  <si>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</si>
  <si>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</si>
  <si>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</si>
  <si>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</si>
  <si>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</si>
  <si>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</si>
  <si>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</si>
  <si>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</si>
  <si>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</si>
  <si>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</si>
  <si>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</si>
  <si>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</si>
  <si>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</si>
  <si>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</si>
  <si>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</si>
  <si>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</si>
  <si>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</si>
  <si>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</si>
  <si>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</si>
  <si>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</si>
  <si>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</si>
  <si>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</si>
  <si>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</si>
  <si>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</si>
  <si>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</si>
  <si>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</si>
  <si>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</si>
  <si>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</si>
  <si>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</si>
  <si>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</si>
  <si>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</si>
  <si>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</si>
  <si>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</si>
  <si>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</si>
  <si>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</si>
  <si>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</si>
  <si>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</si>
  <si>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</si>
  <si>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</si>
  <si>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</si>
  <si>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</si>
  <si>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</si>
  <si>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</si>
  <si>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</si>
  <si>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</si>
  <si>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</si>
  <si>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</si>
  <si>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</si>
  <si>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</si>
  <si>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</si>
  <si>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</si>
  <si>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</si>
  <si>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</si>
  <si>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</si>
  <si>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</si>
  <si>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</si>
  <si>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</si>
  <si>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</si>
  <si>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</si>
  <si>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</si>
  <si>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</si>
  <si>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</si>
  <si>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</si>
  <si>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</si>
  <si>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</si>
  <si>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</si>
  <si>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</si>
  <si>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</si>
  <si>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</si>
  <si>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</si>
  <si>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</si>
  <si>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</si>
  <si>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</si>
  <si>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</si>
  <si>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</si>
  <si>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</si>
  <si>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</si>
  <si>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</si>
  <si>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</si>
  <si>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</si>
  <si>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</si>
  <si>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</si>
  <si>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</si>
  <si>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</si>
  <si>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</si>
  <si>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</si>
  <si>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</si>
  <si>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</si>
  <si>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</si>
  <si>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</si>
  <si>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</si>
  <si>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</si>
  <si>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</si>
  <si>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</si>
  <si>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</si>
  <si>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</si>
  <si>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</si>
  <si>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</si>
  <si>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</si>
  <si>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</si>
  <si>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</si>
  <si>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</si>
  <si>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</si>
  <si>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</si>
  <si>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</si>
  <si>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</si>
  <si>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</si>
  <si>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</si>
  <si>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</si>
  <si>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</si>
  <si>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</si>
  <si>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</si>
  <si>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</si>
  <si>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</si>
  <si>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</si>
  <si>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</si>
  <si>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</si>
  <si>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</si>
  <si>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</si>
  <si>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</si>
  <si>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</si>
  <si>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</si>
  <si>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</si>
  <si>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</si>
  <si>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</si>
  <si>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</si>
  <si>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</si>
  <si>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</si>
  <si>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</si>
  <si>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</si>
  <si>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</si>
  <si>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</si>
  <si>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</si>
  <si>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</si>
  <si>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</si>
  <si>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</si>
  <si>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</si>
  <si>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</si>
  <si>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</si>
  <si>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</si>
  <si>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</si>
  <si>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</si>
  <si>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</si>
  <si>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</si>
  <si>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</si>
  <si>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</si>
  <si>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</si>
  <si>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</si>
  <si>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</si>
  <si>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</si>
  <si>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</si>
  <si>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</si>
  <si>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</si>
  <si>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</si>
  <si>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</si>
  <si>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</si>
  <si>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</si>
  <si>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</si>
  <si>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</si>
  <si>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</si>
  <si>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</si>
  <si>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</si>
  <si>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</si>
  <si>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</si>
  <si>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</si>
  <si>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</si>
  <si>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</si>
  <si>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</si>
  <si>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</si>
  <si>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</si>
  <si>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</si>
  <si>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</si>
  <si>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</si>
  <si>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</si>
  <si>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</si>
  <si>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</si>
  <si>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</si>
  <si>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</si>
  <si>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</si>
  <si>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</si>
  <si>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</si>
  <si>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</si>
  <si>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</si>
  <si>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</si>
  <si>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</si>
  <si>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</si>
  <si>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</si>
  <si>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</si>
  <si>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</si>
  <si>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</si>
  <si>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</si>
  <si>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</si>
  <si>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</si>
  <si>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</si>
  <si>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</si>
  <si>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</si>
  <si>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</si>
  <si>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</si>
  <si>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</si>
  <si>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</si>
  <si>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</si>
  <si>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</si>
  <si>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</si>
  <si>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</si>
  <si>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</si>
  <si>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</si>
  <si>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</si>
  <si>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</si>
  <si>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</si>
  <si>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</si>
  <si>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</si>
  <si>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</si>
  <si>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</si>
  <si>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</si>
  <si>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</si>
  <si>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</si>
  <si>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</si>
  <si>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</si>
  <si>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</si>
  <si>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</si>
  <si>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</si>
  <si>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</si>
  <si>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</si>
  <si>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</si>
  <si>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</si>
  <si>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</si>
  <si>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</si>
  <si>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</si>
  <si>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</si>
  <si>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</si>
  <si>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</si>
  <si>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</si>
  <si>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</si>
  <si>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</si>
  <si>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</si>
  <si>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</si>
  <si>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</si>
  <si>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</si>
  <si>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</si>
  <si>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</si>
  <si>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</si>
  <si>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</si>
  <si>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</si>
  <si>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</si>
  <si>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</si>
  <si>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</si>
  <si>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</si>
  <si>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</si>
  <si>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</si>
  <si>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</si>
  <si>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</si>
  <si>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</si>
  <si>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</si>
  <si>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</si>
  <si>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</si>
  <si>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</si>
  <si>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</si>
  <si>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</si>
  <si>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</si>
  <si>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</si>
  <si>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</si>
  <si>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</si>
  <si>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</si>
  <si>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</si>
  <si>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</si>
  <si>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</si>
  <si>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</si>
  <si>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</si>
  <si>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</si>
  <si>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</si>
  <si>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</si>
  <si>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</si>
  <si>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</si>
  <si>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</si>
  <si>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</si>
  <si>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</si>
  <si>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</si>
  <si>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</si>
  <si>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</si>
  <si>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</si>
  <si>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</si>
  <si>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</si>
  <si>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</si>
  <si>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</si>
  <si>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</si>
  <si>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</si>
  <si>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</si>
  <si>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</si>
  <si>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</si>
  <si>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</si>
  <si>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</si>
  <si>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</si>
  <si>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</si>
  <si>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</si>
  <si>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</si>
  <si>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</si>
  <si>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</si>
  <si>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</si>
  <si>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</si>
  <si>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</si>
  <si>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</si>
  <si>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</si>
  <si>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</si>
  <si>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</si>
  <si>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</si>
  <si>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</si>
  <si>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</si>
  <si>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</si>
  <si>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</si>
  <si>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</si>
  <si>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</si>
  <si>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</si>
  <si>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</si>
  <si>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</si>
  <si>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</si>
  <si>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</si>
  <si>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</si>
  <si>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</si>
  <si>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</si>
  <si>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</si>
  <si>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</si>
  <si>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</si>
  <si>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</si>
  <si>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</si>
  <si>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</si>
  <si>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</si>
  <si>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</si>
  <si>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</si>
  <si>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</si>
  <si>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</si>
  <si>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</si>
  <si>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</si>
  <si>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</si>
  <si>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</si>
  <si>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</si>
  <si>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</si>
  <si>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</si>
  <si>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</si>
  <si>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</si>
  <si>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</si>
  <si>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</si>
  <si>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</si>
  <si>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</si>
  <si>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</si>
  <si>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</si>
  <si>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</si>
  <si>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</si>
  <si>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</si>
  <si>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</si>
  <si>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</si>
  <si>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</si>
  <si>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</si>
  <si>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</si>
  <si>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</si>
  <si>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</si>
  <si>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</si>
  <si>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</si>
  <si>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</si>
  <si>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</si>
  <si>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</si>
  <si>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</si>
  <si>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</si>
  <si>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</si>
  <si>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</si>
  <si>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</si>
  <si>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</si>
  <si>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</si>
  <si>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</si>
  <si>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</si>
  <si>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</si>
  <si>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</si>
  <si>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</si>
  <si>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</si>
  <si>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</si>
  <si>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</si>
  <si>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</si>
  <si>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</si>
  <si>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</si>
  <si>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</si>
  <si>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</si>
  <si>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</si>
  <si>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</si>
  <si>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</si>
  <si>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</si>
  <si>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</si>
  <si>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</si>
  <si>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</si>
  <si>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</si>
  <si>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</si>
  <si>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</si>
  <si>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</si>
  <si>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</si>
  <si>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</si>
  <si>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</si>
  <si>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</si>
  <si>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</si>
  <si>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</si>
  <si>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</si>
  <si>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</si>
  <si>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</si>
  <si>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</si>
  <si>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</si>
  <si>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</si>
  <si>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</si>
  <si>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</si>
  <si>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</si>
  <si>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</si>
  <si>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</si>
  <si>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</si>
  <si>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</si>
  <si>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</si>
  <si>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</si>
  <si>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</si>
  <si>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</si>
  <si>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</si>
  <si>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</si>
  <si>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</si>
  <si>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</si>
  <si>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</si>
  <si>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</si>
  <si>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</si>
  <si>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</si>
  <si>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</si>
  <si>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</si>
  <si>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</si>
  <si>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</si>
  <si>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</si>
  <si>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</si>
  <si>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</si>
  <si>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</si>
  <si>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</si>
  <si>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</si>
  <si>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</si>
  <si>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</si>
  <si>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</si>
  <si>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</si>
  <si>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</si>
  <si>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</si>
  <si>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</si>
  <si>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</si>
  <si>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</si>
  <si>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</si>
  <si>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</si>
  <si>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</si>
  <si>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</si>
  <si>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</si>
  <si>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</si>
  <si>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</si>
  <si>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</si>
  <si>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</si>
  <si>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</si>
  <si>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</si>
  <si>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</si>
  <si>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</si>
  <si>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</si>
  <si>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</si>
  <si>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</si>
  <si>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</si>
  <si>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</si>
  <si>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</si>
  <si>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</si>
  <si>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</si>
  <si>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</si>
  <si>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</si>
  <si>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</si>
  <si>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</si>
  <si>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</si>
  <si>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</si>
  <si>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</si>
  <si>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</si>
  <si>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</si>
  <si>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</si>
  <si>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</si>
  <si>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</si>
  <si>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</si>
  <si>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</si>
  <si>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</si>
  <si>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</si>
  <si>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</si>
  <si>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</si>
  <si>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</si>
  <si>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</si>
  <si>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</si>
  <si>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</si>
  <si>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</si>
  <si>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</si>
  <si>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</si>
  <si>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</si>
  <si>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</si>
  <si>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</si>
  <si>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</si>
  <si>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</si>
  <si>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</si>
  <si>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</si>
  <si>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</si>
  <si>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</si>
  <si>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</si>
  <si>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</si>
  <si>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</si>
  <si>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</si>
  <si>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</si>
  <si>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</si>
  <si>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</si>
  <si>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</si>
  <si>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</si>
  <si>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</si>
  <si>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</si>
  <si>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</si>
  <si>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</si>
  <si>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</si>
  <si>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</si>
  <si>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</si>
  <si>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</si>
  <si>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</si>
  <si>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</si>
  <si>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</si>
  <si>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</si>
  <si>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</si>
  <si>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</si>
  <si>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</si>
  <si>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</si>
  <si>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</si>
  <si>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</si>
  <si>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</si>
  <si>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</si>
  <si>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</si>
  <si>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</si>
  <si>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</si>
  <si>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</si>
  <si>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</si>
  <si>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</si>
  <si>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</si>
  <si>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</si>
  <si>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</si>
  <si>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</si>
  <si>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</si>
  <si>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</si>
  <si>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</si>
  <si>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</si>
  <si>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</si>
  <si>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</si>
  <si>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</si>
  <si>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</si>
  <si>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</si>
  <si>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</si>
  <si>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</si>
  <si>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</si>
  <si>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</si>
  <si>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</si>
  <si>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</si>
  <si>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</si>
  <si>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</si>
  <si>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</si>
  <si>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</si>
  <si>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</si>
  <si>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</si>
  <si>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</si>
  <si>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</si>
  <si>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</si>
  <si>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</si>
  <si>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</si>
  <si>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</si>
  <si>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</si>
  <si>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</si>
  <si>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</si>
  <si>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</si>
  <si>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</si>
  <si>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</si>
  <si>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</si>
  <si>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</si>
  <si>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</si>
  <si>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</si>
  <si>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</si>
  <si>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</si>
  <si>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</si>
  <si>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</si>
  <si>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</si>
  <si>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</si>
  <si>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</si>
  <si>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</si>
  <si>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</si>
  <si>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</si>
  <si>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</si>
  <si>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</si>
  <si>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</si>
  <si>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</si>
  <si>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</si>
  <si>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</si>
  <si>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</si>
  <si>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</si>
  <si>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</si>
  <si>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</si>
  <si>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</si>
  <si>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</si>
  <si>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</si>
  <si>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</si>
  <si>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</si>
  <si>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</si>
  <si>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</si>
  <si>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</si>
  <si>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</si>
  <si>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</si>
  <si>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</si>
  <si>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</si>
  <si>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</si>
  <si>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</si>
  <si>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</si>
  <si>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</si>
  <si>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</si>
  <si>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</si>
  <si>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</si>
  <si>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</si>
  <si>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</si>
  <si>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</si>
  <si>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</si>
  <si>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</si>
  <si>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</si>
  <si>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</si>
  <si>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</si>
  <si>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</si>
  <si>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</si>
  <si>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</si>
  <si>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</si>
  <si>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</si>
  <si>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</si>
  <si>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</si>
  <si>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</si>
  <si>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</si>
  <si>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</si>
  <si>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</si>
  <si>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</si>
  <si>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</si>
  <si>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</si>
  <si>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</si>
  <si>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</si>
  <si>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</si>
  <si>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</si>
  <si>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</si>
  <si>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</si>
  <si>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</si>
  <si>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</si>
  <si>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</si>
  <si>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</si>
  <si>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</si>
  <si>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</si>
  <si>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</si>
  <si>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</si>
  <si>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</si>
  <si>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</si>
  <si>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</si>
  <si>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</si>
  <si>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</si>
  <si>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</si>
  <si>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</si>
  <si>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</si>
  <si>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</si>
  <si>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</si>
  <si>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</si>
  <si>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</si>
  <si>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</si>
  <si>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</si>
  <si>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</si>
  <si>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</si>
  <si>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</si>
  <si>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</si>
  <si>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</si>
  <si>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</si>
  <si>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</si>
  <si>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</si>
  <si>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</si>
  <si>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</si>
  <si>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</si>
  <si>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</si>
  <si>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</si>
  <si>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</si>
  <si>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</si>
  <si>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</si>
  <si>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</si>
  <si>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</si>
  <si>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</si>
  <si>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</si>
  <si>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</si>
  <si>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</si>
  <si>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</si>
  <si>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</si>
  <si>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</si>
  <si>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</si>
  <si>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</si>
  <si>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</si>
  <si>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</si>
  <si>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</si>
  <si>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</si>
  <si>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</si>
  <si>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</si>
  <si>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</si>
  <si>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</si>
  <si>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</si>
  <si>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</si>
  <si>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</si>
  <si>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</si>
  <si>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</si>
  <si>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</si>
  <si>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</si>
  <si>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</si>
  <si>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</si>
  <si>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</si>
  <si>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</si>
  <si>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</si>
  <si>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</si>
  <si>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</si>
  <si>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</si>
  <si>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</si>
  <si>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</si>
  <si>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</si>
  <si>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</si>
  <si>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</si>
  <si>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</si>
  <si>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Numero de persona</t>
  </si>
  <si>
    <t>codigo de persona</t>
  </si>
  <si>
    <t>7411480-11</t>
  </si>
  <si>
    <t>7411480-4</t>
  </si>
  <si>
    <t>7411480-8</t>
  </si>
  <si>
    <t>7411480-13</t>
  </si>
  <si>
    <t>7411480-10</t>
  </si>
  <si>
    <t>7411480-6</t>
  </si>
  <si>
    <t>7411480-12</t>
  </si>
  <si>
    <t>7411480-9</t>
  </si>
  <si>
    <t>7411480-7</t>
  </si>
  <si>
    <t>7411480-5</t>
  </si>
  <si>
    <t>7454371-2</t>
  </si>
  <si>
    <t>7454371-3</t>
  </si>
  <si>
    <t>9825002-3</t>
  </si>
  <si>
    <t>12207323-2</t>
  </si>
  <si>
    <t>14469075-2</t>
  </si>
  <si>
    <t>21508452-2</t>
  </si>
  <si>
    <t>21521912-6</t>
  </si>
  <si>
    <t>21521912-5</t>
  </si>
  <si>
    <t>22187123-3</t>
  </si>
  <si>
    <t>22187123-2</t>
  </si>
  <si>
    <t>22304817-6</t>
  </si>
  <si>
    <t>22304817-9</t>
  </si>
  <si>
    <t>22304817-7</t>
  </si>
  <si>
    <t>22304817-8</t>
  </si>
  <si>
    <t>22377867-6</t>
  </si>
  <si>
    <t>22377867-5</t>
  </si>
  <si>
    <t>22377867-4</t>
  </si>
  <si>
    <t>22378889-5</t>
  </si>
  <si>
    <t>22478356-7</t>
  </si>
  <si>
    <t>22478356-6</t>
  </si>
  <si>
    <t>22478356-5</t>
  </si>
  <si>
    <t>22502121-6</t>
  </si>
  <si>
    <t>22502121-5</t>
  </si>
  <si>
    <t>22502121-9</t>
  </si>
  <si>
    <t>22502121-7</t>
  </si>
  <si>
    <t>22502121-8</t>
  </si>
  <si>
    <t>22505364-4</t>
  </si>
  <si>
    <t>22505364-5</t>
  </si>
  <si>
    <t>22518128-8</t>
  </si>
  <si>
    <t>22518128-9</t>
  </si>
  <si>
    <t>22518128-7</t>
  </si>
  <si>
    <t>22518128-5</t>
  </si>
  <si>
    <t>22518128-6</t>
  </si>
  <si>
    <t>22645794-6</t>
  </si>
  <si>
    <t>22646716-5</t>
  </si>
  <si>
    <t>22646716-6</t>
  </si>
  <si>
    <t>22646716-7</t>
  </si>
  <si>
    <t>30402150-8</t>
  </si>
  <si>
    <t>30402150-7</t>
  </si>
  <si>
    <t>32455454-2</t>
  </si>
  <si>
    <t>32623209-2</t>
  </si>
  <si>
    <t>32636512-6</t>
  </si>
  <si>
    <t>32636512-7</t>
  </si>
  <si>
    <t>32694900-4</t>
  </si>
  <si>
    <t>32750464-6</t>
  </si>
  <si>
    <t>32766429-4</t>
  </si>
  <si>
    <t>32766429-5</t>
  </si>
  <si>
    <t>32821469-7</t>
  </si>
  <si>
    <t>32821469-14</t>
  </si>
  <si>
    <t>32821469-12</t>
  </si>
  <si>
    <t>32821469-6</t>
  </si>
  <si>
    <t>32821469-10</t>
  </si>
  <si>
    <t>32821469-11</t>
  </si>
  <si>
    <t>32821469-8</t>
  </si>
  <si>
    <t>32821469-13</t>
  </si>
  <si>
    <t>32821469-9</t>
  </si>
  <si>
    <t>32873927-5</t>
  </si>
  <si>
    <t>39177963-9</t>
  </si>
  <si>
    <t>39177963-8</t>
  </si>
  <si>
    <t>43065696-4</t>
  </si>
  <si>
    <t>43065696-3</t>
  </si>
  <si>
    <t>43159959-4</t>
  </si>
  <si>
    <t>43485410-4</t>
  </si>
  <si>
    <t>43533978-2</t>
  </si>
  <si>
    <t>43566435-5</t>
  </si>
  <si>
    <t>43632097-3</t>
  </si>
  <si>
    <t>43643362-5</t>
  </si>
  <si>
    <t>43826103-4</t>
  </si>
  <si>
    <t>72129785-3</t>
  </si>
  <si>
    <t>100306195-5</t>
  </si>
  <si>
    <t>1006233749-3</t>
  </si>
  <si>
    <t>1010119253-5</t>
  </si>
  <si>
    <t>1036934154-2</t>
  </si>
  <si>
    <t>1047048484-6</t>
  </si>
  <si>
    <t>1047048484-4</t>
  </si>
  <si>
    <t>1047048484-5</t>
  </si>
  <si>
    <t>1047048484-7</t>
  </si>
  <si>
    <t>1067461300-4</t>
  </si>
  <si>
    <t>1129487310-3</t>
  </si>
  <si>
    <t>1129487310-4</t>
  </si>
  <si>
    <t>1129520081-7</t>
  </si>
  <si>
    <t>1129520081-6</t>
  </si>
  <si>
    <t>1129520081-8</t>
  </si>
  <si>
    <t>1129520081-5</t>
  </si>
  <si>
    <t>1129566300-4</t>
  </si>
  <si>
    <t>1129566300-5</t>
  </si>
  <si>
    <t>1130591575-5</t>
  </si>
  <si>
    <t>1130591575-6</t>
  </si>
  <si>
    <t>1130591575-4</t>
  </si>
  <si>
    <t>1130668655-4</t>
  </si>
  <si>
    <t>1143243433-9</t>
  </si>
  <si>
    <t>1144043798-6</t>
  </si>
  <si>
    <t>1144043798-5</t>
  </si>
  <si>
    <t>1144046952-4</t>
  </si>
  <si>
    <t>1149440235-9</t>
  </si>
  <si>
    <t>1149440235-10</t>
  </si>
  <si>
    <t>1149440235-8</t>
  </si>
  <si>
    <t>1149440235-5</t>
  </si>
  <si>
    <t>1149440235-6</t>
  </si>
  <si>
    <t>1149440235-7</t>
  </si>
  <si>
    <t>1149440235-4</t>
  </si>
  <si>
    <t>1192898936-3</t>
  </si>
  <si>
    <t>1193327320-9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</si>
</sst>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wrapText="1"/>
    </xf>
    <xf numFmtId="1" fontId="0" fillId="0" borderId="0" xfId="0" applyNumberFormat="1"/>
    <xf numFmtId="49" fontId="0" fillId="0" borderId="0" xfId="0" applyNumberFormat="1"/>
    <xf numFmtId="49" fontId="2" fillId="2" borderId="0" xfId="0" applyNumberFormat="1" applyFont="1" applyFill="1" applyAlignment="1">
      <alignment wrapText="1"/>
    </xf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396240</xdr:colOff>
      <xdr:row>3</xdr:row>
      <xdr:rowOff>106680</xdr:rowOff>
    </xdr:from>
    <xdr:to>
      <xdr:col>11</xdr:col>
      <xdr:colOff>153066</xdr:colOff>
      <xdr:row>18</xdr:row>
      <xdr:rowOff>152642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E0DC87-0D32-CD58-70ED-06AC0955D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" y="655320"/>
          <a:ext cx="7681626" cy="27891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15a3f633e589a78/Trabajo/EAFIT/INFO_FINAL-RECOLECCION.xlsx" TargetMode="External"/><Relationship Id="rId1" Type="http://schemas.openxmlformats.org/officeDocument/2006/relationships/externalLinkPath" Target="/415a3f633e589a78/Trabajo/EAFIT/INFO_FINAL-RECOLECC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_FINAL"/>
      <sheetName val="Hoja1"/>
      <sheetName val="MEDELLIN"/>
      <sheetName val="BARRANQUILLA"/>
      <sheetName val="CALI"/>
      <sheetName val="REALES"/>
    </sheetNames>
    <sheetDataSet>
      <sheetData sheetId="0">
        <row r="1">
          <cell r="A1" t="str">
            <v>start_p10</v>
          </cell>
          <cell r="B1" t="str">
            <v>Nombres</v>
          </cell>
          <cell r="C1" t="str">
            <v>Municipio</v>
          </cell>
          <cell r="D1" t="str">
            <v>DIRECCION</v>
          </cell>
          <cell r="E1" t="str">
            <v>Complemento dirección</v>
          </cell>
          <cell r="F1" t="str">
            <v>TELÉFONO_FIJO</v>
          </cell>
          <cell r="G1" t="str">
            <v>CELULAR</v>
          </cell>
          <cell r="H1" t="str">
            <v>ETAPA</v>
          </cell>
        </row>
        <row r="2">
          <cell r="A2">
            <v>1000193972</v>
          </cell>
          <cell r="B2" t="str">
            <v>Juan Pablo</v>
          </cell>
          <cell r="C2" t="str">
            <v>Medellin</v>
          </cell>
          <cell r="D2" t="str">
            <v>Cra 42B Calle 107E 38 11</v>
          </cell>
          <cell r="E2" t="str">
            <v>A dos cuadras de la estación subiendo mano derecha</v>
          </cell>
          <cell r="F2" t="str">
            <v>3017654626</v>
          </cell>
          <cell r="G2" t="str">
            <v>No</v>
          </cell>
          <cell r="H2" t="str">
            <v>Control</v>
          </cell>
        </row>
        <row r="3">
          <cell r="A3">
            <v>1000292440</v>
          </cell>
          <cell r="B3" t="str">
            <v xml:space="preserve">Yerson </v>
          </cell>
          <cell r="C3" t="str">
            <v>Medellin</v>
          </cell>
          <cell r="D3" t="str">
            <v>CRA 42C # 110B - 19</v>
          </cell>
          <cell r="E3" t="str">
            <v xml:space="preserve">Cuarta casa de la iglesia adventista séptimo día </v>
          </cell>
          <cell r="F3" t="str">
            <v>3015253347</v>
          </cell>
          <cell r="G3" t="str">
            <v>3208611603</v>
          </cell>
          <cell r="H3" t="str">
            <v>Control</v>
          </cell>
        </row>
        <row r="4">
          <cell r="A4">
            <v>1000438461</v>
          </cell>
          <cell r="B4" t="str">
            <v xml:space="preserve">Juana santa </v>
          </cell>
          <cell r="C4" t="str">
            <v>Medellin</v>
          </cell>
          <cell r="D4" t="str">
            <v>Carrera 43a 108a 9 int 302</v>
          </cell>
          <cell r="E4" t="str">
            <v xml:space="preserve">Media cuadra de la divina providencia </v>
          </cell>
          <cell r="F4" t="str">
            <v>3125478389</v>
          </cell>
          <cell r="G4" t="str">
            <v xml:space="preserve">No tiene </v>
          </cell>
          <cell r="H4" t="str">
            <v>Control</v>
          </cell>
        </row>
        <row r="5">
          <cell r="A5">
            <v>1001033236</v>
          </cell>
          <cell r="B5" t="str">
            <v>Cintia Carolina</v>
          </cell>
          <cell r="C5" t="str">
            <v>Medellin</v>
          </cell>
          <cell r="D5" t="str">
            <v>Cra 43B 107C 24</v>
          </cell>
          <cell r="E5" t="str">
            <v xml:space="preserve">A una cuadra de la divina providencia </v>
          </cell>
          <cell r="F5" t="str">
            <v>3136009069</v>
          </cell>
          <cell r="G5" t="str">
            <v>No</v>
          </cell>
          <cell r="H5" t="str">
            <v>Control</v>
          </cell>
        </row>
        <row r="6">
          <cell r="A6">
            <v>1001139233</v>
          </cell>
          <cell r="B6" t="str">
            <v xml:space="preserve">David Alexander
</v>
          </cell>
          <cell r="C6" t="str">
            <v>Medellin</v>
          </cell>
          <cell r="D6" t="str">
            <v xml:space="preserve">Cr45 99 23
</v>
          </cell>
          <cell r="E6" t="str">
            <v>Cerca al puente y colegio la graciela baja derecho hasta el último plan</v>
          </cell>
          <cell r="F6" t="str">
            <v>3239091387</v>
          </cell>
          <cell r="G6" t="str">
            <v>3239091387</v>
          </cell>
          <cell r="H6" t="str">
            <v>Control</v>
          </cell>
        </row>
        <row r="7">
          <cell r="A7">
            <v>1001235015</v>
          </cell>
          <cell r="B7" t="str">
            <v>Santiago</v>
          </cell>
          <cell r="C7" t="str">
            <v>Medellin</v>
          </cell>
          <cell r="D7" t="str">
            <v xml:space="preserve">Calle 99 45 54 al frente </v>
          </cell>
          <cell r="E7" t="str">
            <v xml:space="preserve">Una cuadra y media del colegio la graciela </v>
          </cell>
          <cell r="F7" t="str">
            <v>3226245723</v>
          </cell>
          <cell r="G7" t="str">
            <v>3008754455</v>
          </cell>
          <cell r="H7" t="str">
            <v>Control</v>
          </cell>
        </row>
        <row r="8">
          <cell r="A8">
            <v>1002022185</v>
          </cell>
          <cell r="B8" t="str">
            <v xml:space="preserve">María del Carmen </v>
          </cell>
          <cell r="C8" t="str">
            <v>Baranquilla</v>
          </cell>
          <cell r="D8" t="str">
            <v>Carrera 4a#50a-114</v>
          </cell>
          <cell r="E8" t="str">
            <v>Casa sin pintar número 114</v>
          </cell>
          <cell r="F8" t="str">
            <v/>
          </cell>
          <cell r="G8" t="str">
            <v/>
          </cell>
          <cell r="H8" t="str">
            <v>Control</v>
          </cell>
        </row>
        <row r="9">
          <cell r="A9">
            <v>1002026183</v>
          </cell>
          <cell r="B9" t="str">
            <v xml:space="preserve">Yoileth </v>
          </cell>
          <cell r="C9" t="str">
            <v>Baranquilla</v>
          </cell>
          <cell r="D9" t="str">
            <v>Carrera 10 Sur 73-14</v>
          </cell>
          <cell r="E9" t="str">
            <v xml:space="preserve">Por El Colegio Codafe </v>
          </cell>
          <cell r="F9" t="str">
            <v>3128838693</v>
          </cell>
          <cell r="G9" t="str">
            <v>3043983922</v>
          </cell>
          <cell r="H9" t="str">
            <v>Control</v>
          </cell>
        </row>
        <row r="10">
          <cell r="A10">
            <v>1002034065</v>
          </cell>
          <cell r="B10" t="str">
            <v xml:space="preserve">Nazly </v>
          </cell>
          <cell r="C10" t="str">
            <v>Baranquilla</v>
          </cell>
          <cell r="D10" t="str">
            <v>Calle 74 10 sur 50</v>
          </cell>
          <cell r="E10" t="str">
            <v>Bajando el colegio la comunal pasando la calle del arroyo</v>
          </cell>
          <cell r="F10" t="str">
            <v>3023677343</v>
          </cell>
          <cell r="G10" t="str">
            <v>3014057099</v>
          </cell>
          <cell r="H10" t="str">
            <v>Control</v>
          </cell>
        </row>
        <row r="11">
          <cell r="A11">
            <v>1002163129</v>
          </cell>
          <cell r="B11" t="str">
            <v xml:space="preserve">José Manuel </v>
          </cell>
          <cell r="C11" t="str">
            <v>Baranquilla</v>
          </cell>
          <cell r="D11" t="str">
            <v>Calle 74 3sur 12</v>
          </cell>
          <cell r="E11" t="str">
            <v>Diagonal a la tienda osi</v>
          </cell>
          <cell r="F11" t="str">
            <v>3148663024</v>
          </cell>
          <cell r="G11" t="str">
            <v/>
          </cell>
          <cell r="H11" t="str">
            <v>Control</v>
          </cell>
        </row>
        <row r="12">
          <cell r="A12">
            <v>100306195</v>
          </cell>
          <cell r="B12" t="str">
            <v>Freider Mario</v>
          </cell>
          <cell r="C12" t="str">
            <v>Medellin</v>
          </cell>
          <cell r="D12" t="str">
            <v>Cr 42 C 110B10 Int.201</v>
          </cell>
          <cell r="E12" t="str">
            <v>La uva  la iglesia del 7 dia</v>
          </cell>
          <cell r="F12" t="str">
            <v/>
          </cell>
          <cell r="G12" t="str">
            <v/>
          </cell>
          <cell r="H12" t="str">
            <v>Control</v>
          </cell>
        </row>
        <row r="13">
          <cell r="A13">
            <v>1005706694</v>
          </cell>
          <cell r="B13" t="str">
            <v xml:space="preserve">Mileydi </v>
          </cell>
          <cell r="C13" t="str">
            <v>Cali</v>
          </cell>
          <cell r="D13" t="str">
            <v>Cr 53 F 12C 04,</v>
          </cell>
          <cell r="E13" t="str">
            <v xml:space="preserve">
</v>
          </cell>
          <cell r="F13" t="str">
            <v>3206501391</v>
          </cell>
          <cell r="G13" t="str">
            <v>3137509430</v>
          </cell>
          <cell r="H13" t="str">
            <v>Control</v>
          </cell>
        </row>
        <row r="14">
          <cell r="A14">
            <v>1005934818</v>
          </cell>
          <cell r="B14" t="str">
            <v xml:space="preserve">DIANA MARCELA </v>
          </cell>
          <cell r="C14" t="str">
            <v>Cali</v>
          </cell>
          <cell r="D14" t="str">
            <v>CRA 53F BIS 12D 05 OESTE APTO 2 SECTOR BRISAS DE MAYO- LA CUCHARITA</v>
          </cell>
          <cell r="E14" t="str">
            <v>POR UN CALLEJON TIENE QUE DECIR POR LA CUCHARITA POR LA PARTE DE ABAJO ANTES DE LLEGAR A LA TIENDA DE TOCAYO</v>
          </cell>
          <cell r="F14" t="str">
            <v>3226110306</v>
          </cell>
          <cell r="G14" t="str">
            <v xml:space="preserve">No dan información </v>
          </cell>
          <cell r="H14" t="str">
            <v>Control</v>
          </cell>
        </row>
        <row r="15">
          <cell r="A15">
            <v>10068285</v>
          </cell>
          <cell r="B15" t="str">
            <v>ARISTIDES</v>
          </cell>
          <cell r="C15" t="str">
            <v>Cali</v>
          </cell>
          <cell r="D15" t="str">
            <v>CL 13 OESTE 46 03</v>
          </cell>
          <cell r="E15" t="str">
            <v>Enseguida del comedor Bombillo rojo</v>
          </cell>
          <cell r="F15" t="str">
            <v>3186393418</v>
          </cell>
          <cell r="G15" t="str">
            <v xml:space="preserve">No dan información </v>
          </cell>
          <cell r="H15" t="str">
            <v>Control</v>
          </cell>
        </row>
        <row r="16">
          <cell r="A16">
            <v>1007908804</v>
          </cell>
          <cell r="B16" t="str">
            <v xml:space="preserve">Nelson </v>
          </cell>
          <cell r="C16" t="str">
            <v>Baranquilla</v>
          </cell>
          <cell r="D16" t="str">
            <v>Carrera 4a Sur #68-51</v>
          </cell>
          <cell r="E16" t="str">
            <v xml:space="preserve">Tienda El Rejo por La Loma El Papi </v>
          </cell>
          <cell r="F16" t="str">
            <v>3023382832</v>
          </cell>
          <cell r="G16" t="str">
            <v>3005002032</v>
          </cell>
          <cell r="H16" t="str">
            <v>Control</v>
          </cell>
        </row>
        <row r="17">
          <cell r="A17">
            <v>1015193737</v>
          </cell>
          <cell r="B17" t="str">
            <v xml:space="preserve">Maria Carlina </v>
          </cell>
          <cell r="C17" t="str">
            <v>Medellin</v>
          </cell>
          <cell r="D17" t="str">
            <v>CRA 45 # 99 - 52</v>
          </cell>
          <cell r="E17" t="str">
            <v xml:space="preserve">Segundo puente del barrio Aranjuez </v>
          </cell>
          <cell r="F17" t="str">
            <v>3244312811</v>
          </cell>
          <cell r="G17" t="str">
            <v>3245521790</v>
          </cell>
          <cell r="H17" t="str">
            <v>Control</v>
          </cell>
        </row>
        <row r="18">
          <cell r="A18">
            <v>1017154497</v>
          </cell>
          <cell r="B18" t="str">
            <v>Olga Lucia</v>
          </cell>
          <cell r="C18" t="str">
            <v>Medellin</v>
          </cell>
          <cell r="D18" t="str">
            <v>Cra 46 98 47</v>
          </cell>
          <cell r="E18" t="str">
            <v>Cerca a la farmacia panacea</v>
          </cell>
          <cell r="F18" t="str">
            <v/>
          </cell>
          <cell r="G18" t="str">
            <v/>
          </cell>
          <cell r="H18" t="str">
            <v>Control</v>
          </cell>
        </row>
        <row r="19">
          <cell r="A19">
            <v>1020450299</v>
          </cell>
          <cell r="B19" t="str">
            <v>Rosalbina</v>
          </cell>
          <cell r="C19" t="str">
            <v>Medellin</v>
          </cell>
          <cell r="D19" t="str">
            <v>Calle 110c #43 2</v>
          </cell>
          <cell r="E19" t="str">
            <v xml:space="preserve">A don cuadras de una tienda que se llama 4 esquina </v>
          </cell>
          <cell r="F19" t="str">
            <v>3112602144</v>
          </cell>
          <cell r="G19" t="str">
            <v xml:space="preserve">No tiene </v>
          </cell>
          <cell r="H19" t="str">
            <v>Control</v>
          </cell>
        </row>
        <row r="20">
          <cell r="A20">
            <v>1022094431</v>
          </cell>
          <cell r="B20" t="str">
            <v>Edimer</v>
          </cell>
          <cell r="C20" t="str">
            <v>Medellin</v>
          </cell>
          <cell r="D20" t="str">
            <v>Calle 43A #110C 64</v>
          </cell>
          <cell r="E20" t="str">
            <v>Antes del parque la palomera</v>
          </cell>
          <cell r="F20" t="str">
            <v>3024107268</v>
          </cell>
          <cell r="G20" t="str">
            <v>No</v>
          </cell>
          <cell r="H20" t="str">
            <v>Control</v>
          </cell>
        </row>
        <row r="21">
          <cell r="A21">
            <v>1023626536</v>
          </cell>
          <cell r="B21" t="str">
            <v>Paola Alexandra</v>
          </cell>
          <cell r="C21" t="str">
            <v>Medellin</v>
          </cell>
          <cell r="D21" t="str">
            <v>Cl 107E N 43-05 Int 201</v>
          </cell>
          <cell r="E21" t="str">
            <v>Cerca a la iglesia la Divina Providencia</v>
          </cell>
          <cell r="F21" t="str">
            <v>3508180555</v>
          </cell>
          <cell r="G21" t="str">
            <v>No</v>
          </cell>
          <cell r="H21" t="str">
            <v>Control</v>
          </cell>
        </row>
        <row r="22">
          <cell r="A22">
            <v>10239436</v>
          </cell>
          <cell r="B22" t="str">
            <v>Nelson de Jesús Sánchez grisales</v>
          </cell>
          <cell r="C22" t="str">
            <v>Medellin</v>
          </cell>
          <cell r="D22" t="str">
            <v>CL 98.44A 46 int 123</v>
          </cell>
          <cell r="E22" t="str">
            <v>Cerca terminal Aranjuez anillo</v>
          </cell>
          <cell r="F22" t="str">
            <v>3024784777</v>
          </cell>
          <cell r="G22" t="str">
            <v>3024784777</v>
          </cell>
          <cell r="H22" t="str">
            <v>Control</v>
          </cell>
        </row>
        <row r="23">
          <cell r="A23">
            <v>1032421813</v>
          </cell>
          <cell r="B23" t="str">
            <v>Dioselina María</v>
          </cell>
          <cell r="C23" t="str">
            <v>Medellin</v>
          </cell>
          <cell r="D23" t="str">
            <v>Cl 108A # 46 - 33</v>
          </cell>
          <cell r="E23" t="str">
            <v xml:space="preserve">Cerca al meracomodo que queda cerca en la estación Andalucía del metro cable </v>
          </cell>
          <cell r="F23" t="str">
            <v>3145150569</v>
          </cell>
          <cell r="G23" t="str">
            <v>3106126776</v>
          </cell>
          <cell r="H23" t="str">
            <v>Control</v>
          </cell>
        </row>
        <row r="24">
          <cell r="A24">
            <v>1033176878</v>
          </cell>
          <cell r="B24" t="str">
            <v xml:space="preserve">Dora Ines </v>
          </cell>
          <cell r="C24" t="str">
            <v>Medellin</v>
          </cell>
          <cell r="D24" t="str">
            <v>Calle 99 44 4 apto 201</v>
          </cell>
          <cell r="E24" t="str">
            <v xml:space="preserve">A una cuadra de el colegio la graciela </v>
          </cell>
          <cell r="F24" t="str">
            <v>3172820337</v>
          </cell>
          <cell r="G24" t="str">
            <v/>
          </cell>
          <cell r="H24" t="str">
            <v>Control</v>
          </cell>
        </row>
        <row r="25">
          <cell r="A25">
            <v>1035228839</v>
          </cell>
          <cell r="B25" t="str">
            <v>Carlos Augusto</v>
          </cell>
          <cell r="C25" t="str">
            <v>Medellin</v>
          </cell>
          <cell r="D25" t="str">
            <v>Cra 46 98 47 Int 113</v>
          </cell>
          <cell r="E25" t="str">
            <v>2 puente de aranjuez</v>
          </cell>
          <cell r="F25" t="str">
            <v>3012907947</v>
          </cell>
          <cell r="G25" t="str">
            <v>No</v>
          </cell>
          <cell r="H25" t="str">
            <v>Control</v>
          </cell>
        </row>
        <row r="26">
          <cell r="A26">
            <v>1035921080</v>
          </cell>
          <cell r="B26" t="str">
            <v>María Rubiela</v>
          </cell>
          <cell r="C26" t="str">
            <v>Medellin</v>
          </cell>
          <cell r="D26" t="str">
            <v>CL 97.44 A 35</v>
          </cell>
          <cell r="E26" t="str">
            <v>Jardín buen comienzo aranjuez</v>
          </cell>
          <cell r="F26" t="str">
            <v>3207796109</v>
          </cell>
          <cell r="G26" t="str">
            <v>3207796109</v>
          </cell>
          <cell r="H26" t="str">
            <v>Control</v>
          </cell>
        </row>
        <row r="27">
          <cell r="A27">
            <v>1036615312</v>
          </cell>
          <cell r="B27" t="str">
            <v>Katerina Andrea</v>
          </cell>
          <cell r="C27" t="str">
            <v>Medellin</v>
          </cell>
          <cell r="D27" t="str">
            <v>Cr43A. 110C33</v>
          </cell>
          <cell r="E27" t="str">
            <v xml:space="preserve">Cerca a estación metro cable de Andalucía </v>
          </cell>
          <cell r="F27" t="str">
            <v>3015790779</v>
          </cell>
          <cell r="G27" t="str">
            <v>3015790779</v>
          </cell>
          <cell r="H27" t="str">
            <v>Control</v>
          </cell>
        </row>
        <row r="28">
          <cell r="A28">
            <v>1036617115</v>
          </cell>
          <cell r="B28" t="str">
            <v>Isabel Cristina</v>
          </cell>
          <cell r="C28" t="str">
            <v>Medellin</v>
          </cell>
          <cell r="D28" t="str">
            <v>Cl 107E 38A11 int.112</v>
          </cell>
          <cell r="E28" t="str">
            <v>Una cuadra del metro cable, llega a la farmacia euse por la principal  llega hasta donde venden los huevos y ubica la dirección</v>
          </cell>
          <cell r="F28" t="str">
            <v>3234832887</v>
          </cell>
          <cell r="G28" t="str">
            <v>3234832887</v>
          </cell>
          <cell r="H28" t="str">
            <v>Control</v>
          </cell>
        </row>
        <row r="29">
          <cell r="A29">
            <v>1036631758</v>
          </cell>
          <cell r="B29" t="str">
            <v>Leidy Tatiana</v>
          </cell>
          <cell r="C29" t="str">
            <v>Medellin</v>
          </cell>
          <cell r="D29" t="str">
            <v>Cra 46A 108A 02</v>
          </cell>
          <cell r="E29" t="str">
            <v>Mercacomodo a dos cuadras por barandas amarillas</v>
          </cell>
          <cell r="F29" t="str">
            <v/>
          </cell>
          <cell r="G29" t="str">
            <v/>
          </cell>
          <cell r="H29" t="str">
            <v>Control</v>
          </cell>
        </row>
        <row r="30">
          <cell r="A30">
            <v>1037584599</v>
          </cell>
          <cell r="B30" t="str">
            <v>Hamilton</v>
          </cell>
          <cell r="C30" t="str">
            <v>Medellin</v>
          </cell>
          <cell r="D30" t="str">
            <v>Cl 98 46A 28 Int 201</v>
          </cell>
          <cell r="E30" t="str">
            <v>2 cuadras de la terminal aranjuez anillo</v>
          </cell>
          <cell r="F30" t="str">
            <v>3122886310</v>
          </cell>
          <cell r="G30" t="str">
            <v>No</v>
          </cell>
          <cell r="H30" t="str">
            <v>Control</v>
          </cell>
        </row>
        <row r="31">
          <cell r="A31">
            <v>1037613164</v>
          </cell>
          <cell r="B31" t="str">
            <v>Anderson</v>
          </cell>
          <cell r="C31" t="str">
            <v>Medellin</v>
          </cell>
          <cell r="D31" t="str">
            <v>Cr 43b 107 28 in 103</v>
          </cell>
          <cell r="E31" t="str">
            <v xml:space="preserve">Arriba de la estación Andalucía del metro cable </v>
          </cell>
          <cell r="F31" t="str">
            <v>3104555165</v>
          </cell>
          <cell r="G31" t="str">
            <v>3104555165</v>
          </cell>
          <cell r="H31" t="str">
            <v>Control</v>
          </cell>
        </row>
        <row r="32">
          <cell r="A32">
            <v>1039460475</v>
          </cell>
          <cell r="B32" t="str">
            <v>Francisco luis</v>
          </cell>
          <cell r="C32" t="str">
            <v>Medellin</v>
          </cell>
          <cell r="D32" t="str">
            <v>Cl 99 44B 28</v>
          </cell>
          <cell r="E32" t="str">
            <v>Cerca al 2 puente de los balsos</v>
          </cell>
          <cell r="F32" t="str">
            <v>3243913740</v>
          </cell>
          <cell r="G32" t="str">
            <v>No</v>
          </cell>
          <cell r="H32" t="str">
            <v>Control</v>
          </cell>
        </row>
        <row r="33">
          <cell r="A33">
            <v>1043873936</v>
          </cell>
          <cell r="B33" t="str">
            <v xml:space="preserve">Yurleidys </v>
          </cell>
          <cell r="C33" t="str">
            <v>Baranquilla</v>
          </cell>
          <cell r="D33" t="str">
            <v>Calle 685sur-10</v>
          </cell>
          <cell r="E33" t="str">
            <v xml:space="preserve">Por La Loma Del Papi </v>
          </cell>
          <cell r="F33" t="str">
            <v>3022218978</v>
          </cell>
          <cell r="G33" t="str">
            <v>3046298880</v>
          </cell>
          <cell r="H33" t="str">
            <v>Control</v>
          </cell>
        </row>
        <row r="34">
          <cell r="A34">
            <v>1044618006</v>
          </cell>
          <cell r="B34" t="str">
            <v>Alana Patricia</v>
          </cell>
          <cell r="C34" t="str">
            <v>Baranquilla</v>
          </cell>
          <cell r="D34" t="str">
            <v>Cra 3E 49B 58</v>
          </cell>
          <cell r="E34" t="str">
            <v>Bajando la calle del arroyo</v>
          </cell>
          <cell r="F34" t="str">
            <v>3044668000</v>
          </cell>
          <cell r="G34" t="str">
            <v>3022356018</v>
          </cell>
          <cell r="H34" t="str">
            <v>Control</v>
          </cell>
        </row>
        <row r="35">
          <cell r="A35">
            <v>1045674075</v>
          </cell>
          <cell r="B35" t="str">
            <v>Isis de los angeles</v>
          </cell>
          <cell r="C35" t="str">
            <v>Baranquilla</v>
          </cell>
          <cell r="D35" t="str">
            <v>Cra 3 e 49e 29</v>
          </cell>
          <cell r="E35" t="str">
            <v>A la vuelta de la tienda la reforma</v>
          </cell>
          <cell r="F35" t="str">
            <v>3044027487</v>
          </cell>
          <cell r="G35" t="str">
            <v>3244491524</v>
          </cell>
          <cell r="H35" t="str">
            <v>Control</v>
          </cell>
        </row>
        <row r="36">
          <cell r="A36">
            <v>1045675162</v>
          </cell>
          <cell r="B36" t="str">
            <v>Yulibeth</v>
          </cell>
          <cell r="C36" t="str">
            <v>Baranquilla</v>
          </cell>
          <cell r="D36" t="str">
            <v>Carrera 4 #49E-44</v>
          </cell>
          <cell r="E36" t="str">
            <v>Casa rejas negra, polidombra</v>
          </cell>
          <cell r="F36" t="str">
            <v>3215183298</v>
          </cell>
          <cell r="G36" t="str">
            <v>3042045714</v>
          </cell>
          <cell r="H36" t="str">
            <v>Control</v>
          </cell>
        </row>
        <row r="37">
          <cell r="A37">
            <v>1046697166</v>
          </cell>
          <cell r="B37" t="str">
            <v xml:space="preserve">Humberto César </v>
          </cell>
          <cell r="C37" t="str">
            <v>Baranquilla</v>
          </cell>
          <cell r="D37" t="str">
            <v xml:space="preserve">Calle 73#4 Sur-13 </v>
          </cell>
          <cell r="E37" t="str">
            <v xml:space="preserve">Por Colegio La Comunal </v>
          </cell>
          <cell r="F37" t="str">
            <v>3005218145</v>
          </cell>
          <cell r="G37" t="str">
            <v>3012458606</v>
          </cell>
          <cell r="H37" t="str">
            <v>Control</v>
          </cell>
        </row>
        <row r="38">
          <cell r="A38">
            <v>1046702906</v>
          </cell>
          <cell r="B38" t="str">
            <v xml:space="preserve">Fredy de Jesus </v>
          </cell>
          <cell r="C38" t="str">
            <v>Baranquilla</v>
          </cell>
          <cell r="D38" t="str">
            <v>Calle 74 #1sur-10</v>
          </cell>
          <cell r="E38" t="str">
            <v xml:space="preserve">A cuatro casas de la tienda la misericordia </v>
          </cell>
          <cell r="F38" t="str">
            <v>3016297436</v>
          </cell>
          <cell r="G38" t="str">
            <v>3001970116</v>
          </cell>
          <cell r="H38" t="str">
            <v>Control</v>
          </cell>
        </row>
        <row r="39">
          <cell r="A39">
            <v>1047217469</v>
          </cell>
          <cell r="B39" t="str">
            <v xml:space="preserve">Deyanira </v>
          </cell>
          <cell r="C39" t="str">
            <v>Baranquilla</v>
          </cell>
          <cell r="D39" t="str">
            <v>Calle 68 1 sur -48</v>
          </cell>
          <cell r="E39" t="str">
            <v xml:space="preserve"> Por la Ferretería torre 15 </v>
          </cell>
          <cell r="F39" t="str">
            <v>3242055747</v>
          </cell>
          <cell r="G39" t="str">
            <v>3044071468</v>
          </cell>
          <cell r="H39" t="str">
            <v>Control</v>
          </cell>
        </row>
        <row r="40">
          <cell r="A40">
            <v>1047222969</v>
          </cell>
          <cell r="B40" t="str">
            <v>Caterine</v>
          </cell>
          <cell r="C40" t="str">
            <v>Baranquilla</v>
          </cell>
          <cell r="D40" t="str">
            <v>Calle 70#2 sur 56</v>
          </cell>
          <cell r="E40" t="str">
            <v xml:space="preserve">Por la calle 13 </v>
          </cell>
          <cell r="F40" t="str">
            <v>302220403</v>
          </cell>
          <cell r="G40" t="str">
            <v>302220403</v>
          </cell>
          <cell r="H40" t="str">
            <v>Control</v>
          </cell>
        </row>
        <row r="41">
          <cell r="A41">
            <v>1047223432</v>
          </cell>
          <cell r="B41" t="str">
            <v xml:space="preserve">Maria Patricia </v>
          </cell>
          <cell r="C41" t="str">
            <v>Baranquilla</v>
          </cell>
          <cell r="D41" t="str">
            <v>Carrera 4#50a-31 apartamento 2</v>
          </cell>
          <cell r="E41" t="str">
            <v xml:space="preserve">A 3 casas de la tienda la favorita </v>
          </cell>
          <cell r="F41" t="str">
            <v>3245180936</v>
          </cell>
          <cell r="G41" t="str">
            <v>3245834296</v>
          </cell>
          <cell r="H41" t="str">
            <v>Control</v>
          </cell>
        </row>
        <row r="42">
          <cell r="A42">
            <v>1051360142</v>
          </cell>
          <cell r="B42" t="str">
            <v xml:space="preserve">Yurleidys </v>
          </cell>
          <cell r="C42" t="str">
            <v>Baranquilla</v>
          </cell>
          <cell r="D42" t="str">
            <v>Calle 70#2Sur-22</v>
          </cell>
          <cell r="E42" t="str">
            <v xml:space="preserve">Por La Tienda La Puchy o La Torre Quince </v>
          </cell>
          <cell r="F42" t="str">
            <v>3206940144</v>
          </cell>
          <cell r="G42" t="str">
            <v>3017503352</v>
          </cell>
          <cell r="H42" t="str">
            <v>Control</v>
          </cell>
        </row>
        <row r="43">
          <cell r="A43">
            <v>1063282279</v>
          </cell>
          <cell r="B43" t="str">
            <v>Gloria lucia</v>
          </cell>
          <cell r="C43" t="str">
            <v>Baranquilla</v>
          </cell>
          <cell r="D43" t="str">
            <v>Calle 73 10 sur 79</v>
          </cell>
          <cell r="E43" t="str">
            <v xml:space="preserve">Por la tienda el lirio de Salomón </v>
          </cell>
          <cell r="F43" t="str">
            <v>3146373906</v>
          </cell>
          <cell r="G43" t="str">
            <v>3046718425</v>
          </cell>
          <cell r="H43" t="str">
            <v>Control</v>
          </cell>
        </row>
        <row r="44">
          <cell r="A44">
            <v>10885223</v>
          </cell>
          <cell r="B44" t="str">
            <v xml:space="preserve">Oscar </v>
          </cell>
          <cell r="C44" t="str">
            <v>Baranquilla</v>
          </cell>
          <cell r="D44" t="str">
            <v>Calle 72 #sur 08</v>
          </cell>
          <cell r="E44" t="str">
            <v xml:space="preserve">Por la cancha </v>
          </cell>
          <cell r="F44" t="str">
            <v>301220162</v>
          </cell>
          <cell r="G44" t="str">
            <v>301220162</v>
          </cell>
          <cell r="H44" t="str">
            <v>Control</v>
          </cell>
        </row>
        <row r="45">
          <cell r="A45">
            <v>1101200056</v>
          </cell>
          <cell r="B45" t="str">
            <v xml:space="preserve">Marisol </v>
          </cell>
          <cell r="C45" t="str">
            <v>Baranquilla</v>
          </cell>
          <cell r="D45" t="str">
            <v>Calle 68 4A sur 37</v>
          </cell>
          <cell r="E45" t="str">
            <v>Diagonal a la tienda la 68</v>
          </cell>
          <cell r="F45" t="str">
            <v>3209626555</v>
          </cell>
          <cell r="G45" t="str">
            <v>3042935322</v>
          </cell>
          <cell r="H45" t="str">
            <v>Control</v>
          </cell>
        </row>
        <row r="46">
          <cell r="A46">
            <v>1107077651</v>
          </cell>
          <cell r="B46" t="str">
            <v>YULI FERNANDA</v>
          </cell>
          <cell r="C46" t="str">
            <v>Cali</v>
          </cell>
          <cell r="D46" t="str">
            <v>CRA 53 12B 03 APTO 202 SECTOR BRISAS DE MAYO</v>
          </cell>
          <cell r="E46" t="str">
            <v xml:space="preserve">ABAJO DE LA TIENDA DE DOÑA FLOR ENTRANDO POR EL PRIMER CALLEJON </v>
          </cell>
          <cell r="F46" t="str">
            <v>3028081456</v>
          </cell>
          <cell r="G46" t="str">
            <v>3148873661</v>
          </cell>
          <cell r="H46" t="str">
            <v>Control</v>
          </cell>
        </row>
        <row r="47">
          <cell r="A47">
            <v>1107090332</v>
          </cell>
          <cell r="B47" t="str">
            <v>Lina marcela</v>
          </cell>
          <cell r="C47" t="str">
            <v>Cali</v>
          </cell>
          <cell r="D47" t="str">
            <v>Cr 54 oeste 12 b 02</v>
          </cell>
          <cell r="E47" t="str">
            <v xml:space="preserve"> La 0latanera. Columna de colores</v>
          </cell>
          <cell r="F47" t="str">
            <v>3001225524</v>
          </cell>
          <cell r="G47" t="str">
            <v xml:space="preserve">No dan información </v>
          </cell>
          <cell r="H47" t="str">
            <v>Control</v>
          </cell>
        </row>
        <row r="48">
          <cell r="A48">
            <v>1107096112</v>
          </cell>
          <cell r="B48" t="str">
            <v xml:space="preserve">Jo
Jonathan </v>
          </cell>
          <cell r="C48" t="str">
            <v>Cali</v>
          </cell>
          <cell r="D48" t="str">
            <v>CL 8 oeste 42B 28</v>
          </cell>
          <cell r="E48" t="str">
            <v/>
          </cell>
          <cell r="F48" t="str">
            <v>3187896028</v>
          </cell>
          <cell r="G48" t="str">
            <v>No tiene</v>
          </cell>
          <cell r="H48" t="str">
            <v>Control</v>
          </cell>
        </row>
        <row r="49">
          <cell r="A49">
            <v>1107511494</v>
          </cell>
          <cell r="B49" t="str">
            <v>Luis Fernando</v>
          </cell>
          <cell r="C49" t="str">
            <v>Cali</v>
          </cell>
          <cell r="D49" t="str">
            <v>Kr 54 12 A 12</v>
          </cell>
          <cell r="E49" t="str">
            <v>Cerca al mío cable estación amarilla brisas de mayo</v>
          </cell>
          <cell r="F49" t="str">
            <v>3164158092</v>
          </cell>
          <cell r="G49" t="str">
            <v xml:space="preserve">No dan información </v>
          </cell>
          <cell r="H49" t="str">
            <v>Control</v>
          </cell>
        </row>
        <row r="50">
          <cell r="A50">
            <v>1107511973</v>
          </cell>
          <cell r="B50" t="str">
            <v>Mery maritza</v>
          </cell>
          <cell r="C50" t="str">
            <v>Cali</v>
          </cell>
          <cell r="D50" t="str">
            <v>Cr 53D oeste 12 b19 brisas de mayo</v>
          </cell>
          <cell r="E50" t="str">
            <v/>
          </cell>
          <cell r="F50" t="str">
            <v>3172919508</v>
          </cell>
          <cell r="G50" t="str">
            <v xml:space="preserve">No dan información </v>
          </cell>
          <cell r="H50" t="str">
            <v>Control</v>
          </cell>
        </row>
        <row r="51">
          <cell r="A51">
            <v>1108641125</v>
          </cell>
          <cell r="B51" t="str">
            <v xml:space="preserve">Juan Sebastián </v>
          </cell>
          <cell r="C51" t="str">
            <v>Cali</v>
          </cell>
          <cell r="D51" t="str">
            <v>CL 8 B Oeste 41 B 23</v>
          </cell>
          <cell r="E51" t="str">
            <v>En Tienda Pureza</v>
          </cell>
          <cell r="F51" t="str">
            <v>3122073402</v>
          </cell>
          <cell r="G51" t="str">
            <v>3105049052</v>
          </cell>
          <cell r="H51" t="str">
            <v>Control</v>
          </cell>
        </row>
        <row r="52">
          <cell r="A52">
            <v>1112473004</v>
          </cell>
          <cell r="B52" t="str">
            <v xml:space="preserve">María cielo </v>
          </cell>
          <cell r="C52" t="str">
            <v>Cali</v>
          </cell>
          <cell r="D52" t="str">
            <v>Cr 46 oeate  23 57</v>
          </cell>
          <cell r="E52" t="str">
            <v>Lleras Camargo sector altos.de la sultana</v>
          </cell>
          <cell r="F52" t="str">
            <v>3024577220</v>
          </cell>
          <cell r="G52" t="str">
            <v>3142496570</v>
          </cell>
          <cell r="H52" t="str">
            <v>Control</v>
          </cell>
        </row>
        <row r="53">
          <cell r="A53">
            <v>1114731315</v>
          </cell>
          <cell r="B53" t="str">
            <v>DIANA MILENA</v>
          </cell>
          <cell r="C53" t="str">
            <v>Cali</v>
          </cell>
          <cell r="D53" t="str">
            <v>CALLE 18 OESTE 47 16</v>
          </cell>
          <cell r="E53" t="str">
            <v>Pasadizo de la calle 18 oeste</v>
          </cell>
          <cell r="F53" t="str">
            <v>3178119624</v>
          </cell>
          <cell r="G53" t="str">
            <v>3152889514</v>
          </cell>
          <cell r="H53" t="str">
            <v>Control</v>
          </cell>
        </row>
        <row r="54">
          <cell r="A54">
            <v>1128165897</v>
          </cell>
          <cell r="B54" t="str">
            <v xml:space="preserve">Carmen </v>
          </cell>
          <cell r="C54" t="str">
            <v>Baranquilla</v>
          </cell>
          <cell r="D54" t="str">
            <v>Calle 51 #4 Sur-25</v>
          </cell>
          <cell r="E54" t="str">
            <v xml:space="preserve">Dónde venden sopa </v>
          </cell>
          <cell r="F54" t="str">
            <v>3143710702</v>
          </cell>
          <cell r="G54" t="str">
            <v>3143710702</v>
          </cell>
          <cell r="H54" t="str">
            <v>Control</v>
          </cell>
        </row>
        <row r="55">
          <cell r="A55">
            <v>1128407663</v>
          </cell>
          <cell r="B55" t="str">
            <v xml:space="preserve">Natalia </v>
          </cell>
          <cell r="C55" t="str">
            <v>Medellin</v>
          </cell>
          <cell r="D55" t="str">
            <v>Carrera 45A 97 36 int 107</v>
          </cell>
          <cell r="E55" t="str">
            <v xml:space="preserve">A 2 cuadras de la terminal de buses de aranjuez anillo </v>
          </cell>
          <cell r="F55" t="str">
            <v>3014637939</v>
          </cell>
          <cell r="G55" t="str">
            <v/>
          </cell>
          <cell r="H55" t="str">
            <v>Control</v>
          </cell>
        </row>
        <row r="56">
          <cell r="A56">
            <v>1128424631</v>
          </cell>
          <cell r="B56" t="str">
            <v>Yesica alexandra</v>
          </cell>
          <cell r="C56" t="str">
            <v>Medellin</v>
          </cell>
          <cell r="D56" t="str">
            <v>Carrera 46 98 050 int 137</v>
          </cell>
          <cell r="E56" t="str">
            <v xml:space="preserve">Punto de refencia la acción comunal santa cecilia </v>
          </cell>
          <cell r="F56" t="str">
            <v>3203981930</v>
          </cell>
          <cell r="G56" t="str">
            <v>3153659794</v>
          </cell>
          <cell r="H56" t="str">
            <v>Control</v>
          </cell>
        </row>
        <row r="57">
          <cell r="A57">
            <v>1128424714</v>
          </cell>
          <cell r="B57" t="str">
            <v xml:space="preserve">Haidy Tatiana </v>
          </cell>
          <cell r="C57" t="str">
            <v>Medellin</v>
          </cell>
          <cell r="D57" t="str">
            <v>Cra 42C 110B 10 Int 211</v>
          </cell>
          <cell r="E57" t="str">
            <v>Subir por los barrotes amarillos</v>
          </cell>
          <cell r="F57" t="str">
            <v>3114448151</v>
          </cell>
          <cell r="G57" t="str">
            <v>3008764024</v>
          </cell>
          <cell r="H57" t="str">
            <v>Control</v>
          </cell>
        </row>
        <row r="58">
          <cell r="A58">
            <v>1128427798</v>
          </cell>
          <cell r="B58" t="str">
            <v>Wilson Alexander</v>
          </cell>
          <cell r="C58" t="str">
            <v>Medellin</v>
          </cell>
          <cell r="D58" t="str">
            <v>Cl 107D # 42D - 10</v>
          </cell>
          <cell r="E58" t="str">
            <v>Una cuadra abajo de la estación metrocable el popular</v>
          </cell>
          <cell r="F58" t="str">
            <v>3135125497</v>
          </cell>
          <cell r="G58" t="str">
            <v>3015120037</v>
          </cell>
          <cell r="H58" t="str">
            <v>Control</v>
          </cell>
        </row>
        <row r="59">
          <cell r="A59">
            <v>1128437441</v>
          </cell>
          <cell r="B59" t="str">
            <v xml:space="preserve">Cristian Camilo </v>
          </cell>
          <cell r="C59" t="str">
            <v>Medellin</v>
          </cell>
          <cell r="D59" t="str">
            <v>Cl 107C # 43B - 19</v>
          </cell>
          <cell r="E59" t="str">
            <v xml:space="preserve">Cerca de la iglesia la divina providencia </v>
          </cell>
          <cell r="F59" t="str">
            <v>3014445400</v>
          </cell>
          <cell r="G59" t="str">
            <v>3146441792</v>
          </cell>
          <cell r="H59" t="str">
            <v>Control</v>
          </cell>
        </row>
        <row r="60">
          <cell r="A60">
            <v>1128437636</v>
          </cell>
          <cell r="B60" t="str">
            <v>Mishel Alejandra</v>
          </cell>
          <cell r="C60" t="str">
            <v>Medellin</v>
          </cell>
          <cell r="D60" t="str">
            <v>Cra 45A 98 26</v>
          </cell>
          <cell r="E60" t="str">
            <v>A una cuadra de la farmacia panacea</v>
          </cell>
          <cell r="F60" t="str">
            <v>3217530061</v>
          </cell>
          <cell r="G60" t="str">
            <v>No</v>
          </cell>
          <cell r="H60" t="str">
            <v>Control</v>
          </cell>
        </row>
        <row r="61">
          <cell r="A61">
            <v>1128481612</v>
          </cell>
          <cell r="B61" t="str">
            <v>Maribel llesid</v>
          </cell>
          <cell r="C61" t="str">
            <v>Medellin</v>
          </cell>
          <cell r="D61" t="str">
            <v>CL 107 D. 44.6.int109</v>
          </cell>
          <cell r="E61" t="str">
            <v>Cerca metro cable</v>
          </cell>
          <cell r="F61" t="str">
            <v>3022359328</v>
          </cell>
          <cell r="G61" t="str">
            <v>3022359328</v>
          </cell>
          <cell r="H61" t="str">
            <v>Control</v>
          </cell>
        </row>
        <row r="62">
          <cell r="A62">
            <v>1129504681</v>
          </cell>
          <cell r="B62" t="str">
            <v xml:space="preserve">Yanis Andrea </v>
          </cell>
          <cell r="C62" t="str">
            <v>Baranquilla</v>
          </cell>
          <cell r="D62" t="str">
            <v>Carrera 4a #50a-54</v>
          </cell>
          <cell r="E62" t="str">
            <v>Diagonal a la tienda lluvia de oro</v>
          </cell>
          <cell r="F62" t="str">
            <v>3042030806</v>
          </cell>
          <cell r="G62" t="str">
            <v>3002516992</v>
          </cell>
          <cell r="H62" t="str">
            <v>Control</v>
          </cell>
        </row>
        <row r="63">
          <cell r="A63">
            <v>1129510023</v>
          </cell>
          <cell r="B63" t="str">
            <v>Doris</v>
          </cell>
          <cell r="C63" t="str">
            <v>Baranquilla</v>
          </cell>
          <cell r="D63" t="str">
            <v>Carrera 3g#49e-47</v>
          </cell>
          <cell r="E63" t="str">
            <v>Piso alto color rojo</v>
          </cell>
          <cell r="F63" t="str">
            <v>3006753671</v>
          </cell>
          <cell r="G63" t="str">
            <v>3118728600</v>
          </cell>
          <cell r="H63" t="str">
            <v>Control</v>
          </cell>
        </row>
        <row r="64">
          <cell r="A64">
            <v>1129514883</v>
          </cell>
          <cell r="B64" t="str">
            <v>Osvaldo enrique</v>
          </cell>
          <cell r="C64" t="str">
            <v>Baranquilla</v>
          </cell>
          <cell r="D64" t="str">
            <v>Cra 4 49e 33</v>
          </cell>
          <cell r="E64" t="str">
            <v>Al lado del paso de carrizal</v>
          </cell>
          <cell r="F64" t="str">
            <v>3017167973</v>
          </cell>
          <cell r="G64" t="str">
            <v>3004488492</v>
          </cell>
          <cell r="H64" t="str">
            <v>Control</v>
          </cell>
        </row>
        <row r="65">
          <cell r="A65">
            <v>1129519478</v>
          </cell>
          <cell r="B65" t="str">
            <v xml:space="preserve">Griselda </v>
          </cell>
          <cell r="C65" t="str">
            <v>Baranquilla</v>
          </cell>
          <cell r="D65" t="str">
            <v>Calle 73 4 sur 29</v>
          </cell>
          <cell r="E65" t="str">
            <v>Cerca al colegio de la comunal</v>
          </cell>
          <cell r="F65" t="str">
            <v>30236665031</v>
          </cell>
          <cell r="G65" t="str">
            <v>3052256259</v>
          </cell>
          <cell r="H65" t="str">
            <v>Control</v>
          </cell>
        </row>
        <row r="66">
          <cell r="A66">
            <v>1129543553</v>
          </cell>
          <cell r="B66" t="str">
            <v xml:space="preserve">Ilder </v>
          </cell>
          <cell r="C66" t="str">
            <v>Baranquilla</v>
          </cell>
          <cell r="D66" t="str">
            <v>Carrera 4sur #68-38</v>
          </cell>
          <cell r="E66" t="str">
            <v xml:space="preserve">A tres casas de la tienda la chucureña </v>
          </cell>
          <cell r="F66" t="str">
            <v>3007530298</v>
          </cell>
          <cell r="G66" t="str">
            <v>3170714582</v>
          </cell>
          <cell r="H66" t="str">
            <v>Control</v>
          </cell>
        </row>
        <row r="67">
          <cell r="A67">
            <v>1129565229</v>
          </cell>
          <cell r="B67" t="str">
            <v>Lisbeth</v>
          </cell>
          <cell r="C67" t="str">
            <v>Baranquilla</v>
          </cell>
          <cell r="D67" t="str">
            <v>Calle 74 9Sur - 49</v>
          </cell>
          <cell r="E67" t="str">
            <v>Por El Colegio La Comunal</v>
          </cell>
          <cell r="F67" t="str">
            <v>3043266607</v>
          </cell>
          <cell r="G67" t="str">
            <v>3245758807</v>
          </cell>
          <cell r="H67" t="str">
            <v>Control</v>
          </cell>
        </row>
        <row r="68">
          <cell r="A68">
            <v>1129583301</v>
          </cell>
          <cell r="B68" t="str">
            <v xml:space="preserve">Yasmila Isabel </v>
          </cell>
          <cell r="C68" t="str">
            <v>Baranquilla</v>
          </cell>
          <cell r="D68" t="str">
            <v>Calle 68#1sur-131</v>
          </cell>
          <cell r="E68" t="str">
            <v>Diagonal al almacén y taller de repuestos de moto en dos ruedas</v>
          </cell>
          <cell r="F68" t="str">
            <v>3013129235</v>
          </cell>
          <cell r="G68" t="str">
            <v xml:space="preserve">No tiene </v>
          </cell>
          <cell r="H68" t="str">
            <v>Control</v>
          </cell>
        </row>
        <row r="69">
          <cell r="A69">
            <v>1130594662</v>
          </cell>
          <cell r="B69" t="str">
            <v>Julián</v>
          </cell>
          <cell r="C69" t="str">
            <v>Cali</v>
          </cell>
          <cell r="D69" t="str">
            <v>CL 23 oeste 46A 04</v>
          </cell>
          <cell r="E69" t="str">
            <v>Sector de la sultana</v>
          </cell>
          <cell r="F69" t="str">
            <v>3165860904</v>
          </cell>
          <cell r="G69" t="str">
            <v>3166722530</v>
          </cell>
          <cell r="H69" t="str">
            <v>Control</v>
          </cell>
        </row>
        <row r="70">
          <cell r="A70">
            <v>1130598844</v>
          </cell>
          <cell r="B70" t="str">
            <v>Jaime</v>
          </cell>
          <cell r="C70" t="str">
            <v>Cali</v>
          </cell>
          <cell r="D70" t="str">
            <v>Kr 54 12 A 32</v>
          </cell>
          <cell r="E70" t="str">
            <v xml:space="preserve">Cerca al cable mío Brisas </v>
          </cell>
          <cell r="F70" t="str">
            <v>3146347566</v>
          </cell>
          <cell r="G70" t="str">
            <v>3208715205</v>
          </cell>
          <cell r="H70" t="str">
            <v>Control</v>
          </cell>
        </row>
        <row r="71">
          <cell r="A71">
            <v>1130599678</v>
          </cell>
          <cell r="B71" t="str">
            <v>Nataly</v>
          </cell>
          <cell r="C71" t="str">
            <v>Cali</v>
          </cell>
          <cell r="D71" t="str">
            <v xml:space="preserve">Cl 12b  oeste 51 a 33 </v>
          </cell>
          <cell r="E71" t="str">
            <v>Lleras la escuela la sofia</v>
          </cell>
          <cell r="F71" t="str">
            <v>3014793100</v>
          </cell>
          <cell r="G71" t="str">
            <v xml:space="preserve">No dan información </v>
          </cell>
          <cell r="H71" t="str">
            <v>Control</v>
          </cell>
        </row>
        <row r="72">
          <cell r="A72">
            <v>1130602891</v>
          </cell>
          <cell r="B72" t="str">
            <v>HARRISON ANDRES</v>
          </cell>
          <cell r="C72" t="str">
            <v>Cali</v>
          </cell>
          <cell r="D72" t="str">
            <v xml:space="preserve"> CR 52 B 12A 58 OESTE BRISAS DE MAYO SECTOR JUAN FERNANDEZ</v>
          </cell>
          <cell r="E72" t="str">
            <v>Me bajo del cable mio brisas de mayo subo una cuadra derecho llegó al descanso me entró en una Y entro por la destapada a mano derecha al fondo por toda la cuadra de Juan Fernández la última casa</v>
          </cell>
          <cell r="F72" t="str">
            <v>3155465707</v>
          </cell>
          <cell r="G72" t="str">
            <v>3154651316</v>
          </cell>
          <cell r="H72" t="str">
            <v>Control</v>
          </cell>
        </row>
        <row r="73">
          <cell r="A73">
            <v>1130612532</v>
          </cell>
          <cell r="B73" t="str">
            <v>Exigencia Maria</v>
          </cell>
          <cell r="C73" t="str">
            <v>Cali</v>
          </cell>
          <cell r="D73" t="str">
            <v>Kr 54 E oeste 12 E bis 09</v>
          </cell>
          <cell r="E73" t="str">
            <v>En la tienda Mixta</v>
          </cell>
          <cell r="F73" t="str">
            <v>3186628795</v>
          </cell>
          <cell r="G73" t="str">
            <v xml:space="preserve">No dan información </v>
          </cell>
          <cell r="H73" t="str">
            <v>Control</v>
          </cell>
        </row>
        <row r="74">
          <cell r="A74">
            <v>1130614058</v>
          </cell>
          <cell r="B74" t="str">
            <v>Estrellita</v>
          </cell>
          <cell r="C74" t="str">
            <v>Cali</v>
          </cell>
          <cell r="D74" t="str">
            <v>Kr 47 6 G 18 AP 201</v>
          </cell>
          <cell r="E74" t="str">
            <v>A la mano izquierda subiendo en la y del tanque de tierra blanca</v>
          </cell>
          <cell r="F74" t="str">
            <v>3154512880</v>
          </cell>
          <cell r="G74" t="str">
            <v>3042401270</v>
          </cell>
          <cell r="H74" t="str">
            <v>Control</v>
          </cell>
        </row>
        <row r="75">
          <cell r="A75">
            <v>1143115892</v>
          </cell>
          <cell r="B75" t="str">
            <v xml:space="preserve">Ana </v>
          </cell>
          <cell r="C75" t="str">
            <v>Baranquilla</v>
          </cell>
          <cell r="D75" t="str">
            <v>Calle 64#5A sur 20</v>
          </cell>
          <cell r="E75" t="str">
            <v xml:space="preserve">Por la comunal </v>
          </cell>
          <cell r="F75" t="str">
            <v>3107158701</v>
          </cell>
          <cell r="G75" t="str">
            <v>3107158701</v>
          </cell>
          <cell r="H75" t="str">
            <v>Control</v>
          </cell>
        </row>
        <row r="76">
          <cell r="A76">
            <v>1143121744</v>
          </cell>
          <cell r="B76" t="str">
            <v xml:space="preserve">Kevin </v>
          </cell>
          <cell r="C76" t="str">
            <v>Baranquilla</v>
          </cell>
          <cell r="D76" t="str">
            <v>Cra 4 sur 71 31</v>
          </cell>
          <cell r="E76" t="str">
            <v>Por la tienda de record</v>
          </cell>
          <cell r="F76" t="str">
            <v>3145132040</v>
          </cell>
          <cell r="G76" t="str">
            <v>3001598495</v>
          </cell>
          <cell r="H76" t="str">
            <v>Control</v>
          </cell>
        </row>
        <row r="77">
          <cell r="A77">
            <v>1143122394</v>
          </cell>
          <cell r="B77" t="str">
            <v xml:space="preserve">Carolina </v>
          </cell>
          <cell r="C77" t="str">
            <v>Baranquilla</v>
          </cell>
          <cell r="D77" t="str">
            <v>Calle 48B 3E 170</v>
          </cell>
          <cell r="E77" t="str">
            <v xml:space="preserve">Por la tienda de julio </v>
          </cell>
          <cell r="F77" t="str">
            <v>3012536463</v>
          </cell>
          <cell r="G77" t="str">
            <v>3196744985</v>
          </cell>
          <cell r="H77" t="str">
            <v>Control</v>
          </cell>
        </row>
        <row r="78">
          <cell r="A78">
            <v>1143125383</v>
          </cell>
          <cell r="B78" t="str">
            <v>Alvert</v>
          </cell>
          <cell r="C78" t="str">
            <v>Baranquilla</v>
          </cell>
          <cell r="D78" t="str">
            <v>Calle 74 9sur 46</v>
          </cell>
          <cell r="E78" t="str">
            <v>Cerca al colegio comunal</v>
          </cell>
          <cell r="F78" t="str">
            <v>3004920754</v>
          </cell>
          <cell r="G78" t="str">
            <v>3146880897</v>
          </cell>
          <cell r="H78" t="str">
            <v>Control</v>
          </cell>
        </row>
        <row r="79">
          <cell r="A79">
            <v>1143138306</v>
          </cell>
          <cell r="B79" t="str">
            <v xml:space="preserve">Eduardo Luis </v>
          </cell>
          <cell r="C79" t="str">
            <v>Baranquilla</v>
          </cell>
          <cell r="D79" t="str">
            <v>Carrera 3g #49e-116</v>
          </cell>
          <cell r="E79" t="str">
            <v xml:space="preserve">A cuatro casas de la tienda la bananera </v>
          </cell>
          <cell r="F79" t="str">
            <v>3058134871</v>
          </cell>
          <cell r="G79" t="str">
            <v>3182464931</v>
          </cell>
          <cell r="H79" t="str">
            <v>Control</v>
          </cell>
        </row>
        <row r="80">
          <cell r="A80">
            <v>1143429421</v>
          </cell>
          <cell r="B80" t="str">
            <v xml:space="preserve">Evelin </v>
          </cell>
          <cell r="C80" t="str">
            <v>Baranquilla</v>
          </cell>
          <cell r="D80" t="str">
            <v>Cra 5a sur 68 04</v>
          </cell>
          <cell r="E80" t="str">
            <v>Al frente de tienda el papi</v>
          </cell>
          <cell r="F80" t="str">
            <v>3023514882</v>
          </cell>
          <cell r="G80" t="str">
            <v>3243475729</v>
          </cell>
          <cell r="H80" t="str">
            <v>Control</v>
          </cell>
        </row>
        <row r="81">
          <cell r="A81">
            <v>1143831802</v>
          </cell>
          <cell r="B81" t="str">
            <v>DIANA MARCELA</v>
          </cell>
          <cell r="C81" t="str">
            <v>Cali</v>
          </cell>
          <cell r="D81" t="str">
            <v>CL 11 OESTE 46 31</v>
          </cell>
          <cell r="E81" t="str">
            <v xml:space="preserve">Al frente en toda la curva de la 11oeste con 46b se ve la placa de la esquina </v>
          </cell>
          <cell r="F81" t="str">
            <v>3158055416</v>
          </cell>
          <cell r="G81" t="str">
            <v xml:space="preserve">No dan información </v>
          </cell>
          <cell r="H81" t="str">
            <v>Control</v>
          </cell>
        </row>
        <row r="82">
          <cell r="A82">
            <v>1143831857</v>
          </cell>
          <cell r="B82" t="str">
            <v xml:space="preserve">VICTOR RAUL </v>
          </cell>
          <cell r="C82" t="str">
            <v>Cali</v>
          </cell>
          <cell r="D82" t="str">
            <v>KRA 44A OESTE 8B 12</v>
          </cell>
          <cell r="E82" t="str">
            <v>A DOS CASAS DEL ESTANCO LAS BIRRAS</v>
          </cell>
          <cell r="F82" t="str">
            <v>3153080199</v>
          </cell>
          <cell r="G82" t="str">
            <v>3152599590</v>
          </cell>
          <cell r="H82" t="str">
            <v>Control</v>
          </cell>
        </row>
        <row r="83">
          <cell r="A83">
            <v>1143833310</v>
          </cell>
          <cell r="B83" t="str">
            <v>Rosio Fernanda</v>
          </cell>
          <cell r="C83" t="str">
            <v>Cali</v>
          </cell>
          <cell r="D83" t="str">
            <v>Cr 53F  12B 46</v>
          </cell>
          <cell r="E83" t="str">
            <v/>
          </cell>
          <cell r="F83" t="str">
            <v>3107358278</v>
          </cell>
          <cell r="G83" t="str">
            <v>3145717750</v>
          </cell>
          <cell r="H83" t="str">
            <v>Control</v>
          </cell>
        </row>
        <row r="84">
          <cell r="A84">
            <v>1143834208</v>
          </cell>
          <cell r="B84" t="str">
            <v xml:space="preserve">Yurley Tatiana </v>
          </cell>
          <cell r="C84" t="str">
            <v>Cali</v>
          </cell>
          <cell r="D84" t="str">
            <v xml:space="preserve">Cr 53E OESTE 12B 06 brisas de mayo </v>
          </cell>
          <cell r="E84" t="str">
            <v/>
          </cell>
          <cell r="F84" t="str">
            <v>3146608394</v>
          </cell>
          <cell r="G84" t="str">
            <v>3136306964</v>
          </cell>
          <cell r="H84" t="str">
            <v>Control</v>
          </cell>
        </row>
        <row r="85">
          <cell r="A85">
            <v>1143838084</v>
          </cell>
          <cell r="B85" t="str">
            <v>Rosa Elvira</v>
          </cell>
          <cell r="C85" t="str">
            <v>Cali</v>
          </cell>
          <cell r="D85" t="str">
            <v>Kr 53 12 15 brisas de Mayo</v>
          </cell>
          <cell r="E85" t="str">
            <v>Al lado de la gradas del mío cable de brisas la parte de arriba</v>
          </cell>
          <cell r="F85" t="str">
            <v>3188113619</v>
          </cell>
          <cell r="G85" t="str">
            <v>3135010596</v>
          </cell>
          <cell r="H85" t="str">
            <v>Control</v>
          </cell>
        </row>
        <row r="86">
          <cell r="A86">
            <v>1143841673</v>
          </cell>
          <cell r="B86" t="str">
            <v xml:space="preserve">Yeraldine </v>
          </cell>
          <cell r="C86" t="str">
            <v>Cali</v>
          </cell>
          <cell r="D86" t="str">
            <v xml:space="preserve">Cr 46 oeste CL 23  </v>
          </cell>
          <cell r="E86" t="str">
            <v>Lleras Camargo sector altos de la sultana</v>
          </cell>
          <cell r="F86" t="str">
            <v>3157724695</v>
          </cell>
          <cell r="G86" t="str">
            <v xml:space="preserve">No dan información </v>
          </cell>
          <cell r="H86" t="str">
            <v>Control</v>
          </cell>
        </row>
        <row r="87">
          <cell r="A87">
            <v>1143843397</v>
          </cell>
          <cell r="B87" t="str">
            <v xml:space="preserve">Yenifer </v>
          </cell>
          <cell r="C87" t="str">
            <v>Cali</v>
          </cell>
          <cell r="D87" t="str">
            <v>Cr 49 8B 06 CASA1</v>
          </cell>
          <cell r="E87" t="str">
            <v/>
          </cell>
          <cell r="F87" t="str">
            <v>3207648618</v>
          </cell>
          <cell r="G87" t="str">
            <v>3226335988</v>
          </cell>
          <cell r="H87" t="str">
            <v>Control</v>
          </cell>
        </row>
        <row r="88">
          <cell r="A88">
            <v>1143846263</v>
          </cell>
          <cell r="B88" t="str">
            <v>Franklin jordy</v>
          </cell>
          <cell r="C88" t="str">
            <v>Cali</v>
          </cell>
          <cell r="D88" t="str">
            <v xml:space="preserve"> CL 13 B oeste 53 59 brisas de mayo sector la torre</v>
          </cell>
          <cell r="E88" t="str">
            <v xml:space="preserve"> parte alta el saman</v>
          </cell>
          <cell r="F88" t="str">
            <v>3174604170</v>
          </cell>
          <cell r="G88" t="str">
            <v>3012411146</v>
          </cell>
          <cell r="H88" t="str">
            <v>Control</v>
          </cell>
        </row>
        <row r="89">
          <cell r="A89">
            <v>1143846465</v>
          </cell>
          <cell r="B89" t="str">
            <v>LLADILIAN</v>
          </cell>
          <cell r="C89" t="str">
            <v>Cali</v>
          </cell>
          <cell r="D89" t="str">
            <v>CL 12A BIS OESTE 53G 09</v>
          </cell>
          <cell r="E89" t="str">
            <v>DEL CABLE MIO MANO IZQUIERDA TERCERA ENTRADA CUARTA CASA</v>
          </cell>
          <cell r="F89" t="str">
            <v>3156013244</v>
          </cell>
          <cell r="G89" t="str">
            <v>3233547669</v>
          </cell>
          <cell r="H89" t="str">
            <v>Control</v>
          </cell>
        </row>
        <row r="90">
          <cell r="A90">
            <v>1143847668</v>
          </cell>
          <cell r="B90" t="str">
            <v xml:space="preserve">MARÍA FERNANDA </v>
          </cell>
          <cell r="C90" t="str">
            <v>Cali</v>
          </cell>
          <cell r="D90" t="str">
            <v>CL 15 OESTE 46 12</v>
          </cell>
          <cell r="E90" t="str">
            <v>PENÚLTIMA CASA PARA LLEGAR AL SECTOR BOMBILLO ROJO</v>
          </cell>
          <cell r="F90" t="str">
            <v>3135928163</v>
          </cell>
          <cell r="G90" t="str">
            <v>3126520514</v>
          </cell>
          <cell r="H90" t="str">
            <v>Control</v>
          </cell>
        </row>
        <row r="91">
          <cell r="A91">
            <v>1143853115</v>
          </cell>
          <cell r="B91" t="str">
            <v xml:space="preserve">Katherine </v>
          </cell>
          <cell r="C91" t="str">
            <v>Cali</v>
          </cell>
          <cell r="D91" t="str">
            <v>Cr 53D 12-07 CASA 3 brisas de mayo</v>
          </cell>
          <cell r="E91" t="str">
            <v/>
          </cell>
          <cell r="F91" t="str">
            <v>3207626720</v>
          </cell>
          <cell r="G91" t="str">
            <v xml:space="preserve">No dan información </v>
          </cell>
          <cell r="H91" t="str">
            <v>Control</v>
          </cell>
        </row>
        <row r="92">
          <cell r="A92">
            <v>1143853293</v>
          </cell>
          <cell r="B92" t="str">
            <v>Tatiana</v>
          </cell>
          <cell r="C92" t="str">
            <v>Cali</v>
          </cell>
          <cell r="D92" t="str">
            <v>CL 47 oeste 17-07</v>
          </cell>
          <cell r="E92" t="str">
            <v/>
          </cell>
          <cell r="F92" t="str">
            <v>3161675208</v>
          </cell>
          <cell r="G92" t="str">
            <v xml:space="preserve">No dan información </v>
          </cell>
          <cell r="H92" t="str">
            <v>Control</v>
          </cell>
        </row>
        <row r="93">
          <cell r="A93">
            <v>1143853398</v>
          </cell>
          <cell r="B93" t="str">
            <v xml:space="preserve">KAREN VIVIANA </v>
          </cell>
          <cell r="C93" t="str">
            <v>Cali</v>
          </cell>
          <cell r="D93" t="str">
            <v>CR 44A OESTE 8B 53</v>
          </cell>
          <cell r="E93" t="str">
            <v>ESQUINA BILLAR DE DOÑA MARTA LA PRIMERA CASA HAY UNAS REJA SUBIR Y LA PRIMERA CASA ES</v>
          </cell>
          <cell r="F93" t="str">
            <v>3154873146</v>
          </cell>
          <cell r="G93" t="str">
            <v>3173963788</v>
          </cell>
          <cell r="H93" t="str">
            <v>Control</v>
          </cell>
        </row>
        <row r="94">
          <cell r="A94">
            <v>1143857197</v>
          </cell>
          <cell r="B94" t="str">
            <v xml:space="preserve">Karen Tatiana </v>
          </cell>
          <cell r="C94" t="str">
            <v>Cali</v>
          </cell>
          <cell r="D94" t="str">
            <v>Cr 49 8b06 casa 2</v>
          </cell>
          <cell r="E94" t="str">
            <v/>
          </cell>
          <cell r="F94" t="str">
            <v>3226335988</v>
          </cell>
          <cell r="G94" t="str">
            <v>3207648618</v>
          </cell>
          <cell r="H94" t="str">
            <v>Control</v>
          </cell>
        </row>
        <row r="95">
          <cell r="A95">
            <v>1143958126</v>
          </cell>
          <cell r="B95" t="str">
            <v>Angie Marcela</v>
          </cell>
          <cell r="C95" t="str">
            <v>Cali</v>
          </cell>
          <cell r="D95" t="str">
            <v>Cl 7 A oeste 47 04</v>
          </cell>
          <cell r="E95" t="str">
            <v>Cerca a la estación mío cable tierra blanca Color zapote</v>
          </cell>
          <cell r="F95" t="str">
            <v>3054631320</v>
          </cell>
          <cell r="G95" t="str">
            <v>3148977360</v>
          </cell>
          <cell r="H95" t="str">
            <v>Control</v>
          </cell>
        </row>
        <row r="96">
          <cell r="A96">
            <v>1144028216</v>
          </cell>
          <cell r="B96" t="str">
            <v>Aracely</v>
          </cell>
          <cell r="C96" t="str">
            <v>Cali</v>
          </cell>
          <cell r="D96" t="str">
            <v>Dg 45 oeste 54 A 04 oeste</v>
          </cell>
          <cell r="E96" t="str">
            <v>Cerca al cable mio</v>
          </cell>
          <cell r="F96" t="str">
            <v>3184125253</v>
          </cell>
          <cell r="G96" t="str">
            <v>No tiene</v>
          </cell>
          <cell r="H96" t="str">
            <v>Control</v>
          </cell>
        </row>
        <row r="97">
          <cell r="A97">
            <v>1144068248</v>
          </cell>
          <cell r="B97" t="str">
            <v xml:space="preserve">Yair Andrés </v>
          </cell>
          <cell r="C97" t="str">
            <v>Cali</v>
          </cell>
          <cell r="D97" t="str">
            <v>Cr 52 12bis 17 brisas de mayo</v>
          </cell>
          <cell r="E97" t="str">
            <v>Sector la panelera</v>
          </cell>
          <cell r="F97" t="str">
            <v>3168637231</v>
          </cell>
          <cell r="G97" t="str">
            <v>3104662747</v>
          </cell>
          <cell r="H97" t="str">
            <v>Control</v>
          </cell>
        </row>
        <row r="98">
          <cell r="A98">
            <v>1144097141</v>
          </cell>
          <cell r="B98" t="str">
            <v>Angie carolina</v>
          </cell>
          <cell r="C98" t="str">
            <v>Cali</v>
          </cell>
          <cell r="D98" t="str">
            <v>Cr 53D oeste 12B 39 brisas de mayo</v>
          </cell>
          <cell r="E98" t="str">
            <v/>
          </cell>
          <cell r="F98" t="str">
            <v>3234871414</v>
          </cell>
          <cell r="G98" t="str">
            <v>3128466948</v>
          </cell>
          <cell r="H98" t="str">
            <v>Control</v>
          </cell>
        </row>
        <row r="99">
          <cell r="A99">
            <v>1152449711</v>
          </cell>
          <cell r="B99" t="str">
            <v xml:space="preserve">Mary nesly </v>
          </cell>
          <cell r="C99" t="str">
            <v>Medellin</v>
          </cell>
          <cell r="D99" t="str">
            <v>Carrera 45 99 50</v>
          </cell>
          <cell r="E99" t="str">
            <v>Cerca al puente de los balsos de la 46</v>
          </cell>
          <cell r="F99" t="str">
            <v>3207760120</v>
          </cell>
          <cell r="G99" t="str">
            <v xml:space="preserve">No </v>
          </cell>
          <cell r="H99" t="str">
            <v>Control</v>
          </cell>
        </row>
        <row r="100">
          <cell r="A100">
            <v>1152716412</v>
          </cell>
          <cell r="B100" t="str">
            <v xml:space="preserve">Carolina </v>
          </cell>
          <cell r="C100" t="str">
            <v>Medellin</v>
          </cell>
          <cell r="D100" t="str">
            <v>Carrera 42c 110b 03 int 201</v>
          </cell>
          <cell r="E100" t="str">
            <v xml:space="preserve">Al lado de la iglesia séptimo día o una abajo de la uva del popular </v>
          </cell>
          <cell r="F100" t="str">
            <v>3007263568</v>
          </cell>
          <cell r="G100" t="str">
            <v xml:space="preserve">No tiene </v>
          </cell>
          <cell r="H100" t="str">
            <v>Control</v>
          </cell>
        </row>
        <row r="101">
          <cell r="A101">
            <v>1193298386</v>
          </cell>
          <cell r="B101" t="str">
            <v>Jesenia maria</v>
          </cell>
          <cell r="C101" t="str">
            <v>Medellin</v>
          </cell>
          <cell r="D101" t="str">
            <v>Cra 44 97 42 Int 408</v>
          </cell>
          <cell r="E101" t="str">
            <v>Cerca a la terminal de Aranjuez anillo</v>
          </cell>
          <cell r="F101" t="str">
            <v>3207252795</v>
          </cell>
          <cell r="G101" t="str">
            <v>No</v>
          </cell>
          <cell r="H101" t="str">
            <v>Control</v>
          </cell>
        </row>
        <row r="102">
          <cell r="A102">
            <v>1193456461</v>
          </cell>
          <cell r="B102" t="str">
            <v xml:space="preserve">César julio </v>
          </cell>
          <cell r="C102" t="str">
            <v>Baranquilla</v>
          </cell>
          <cell r="D102" t="str">
            <v>Calle 74 #4sur-41</v>
          </cell>
          <cell r="E102" t="str">
            <v xml:space="preserve">Diagonal al colegio la comunal de siete de abril </v>
          </cell>
          <cell r="F102" t="str">
            <v>3215943409</v>
          </cell>
          <cell r="G102" t="str">
            <v>3242930392</v>
          </cell>
          <cell r="H102" t="str">
            <v>Control</v>
          </cell>
        </row>
        <row r="103">
          <cell r="A103">
            <v>1193555442</v>
          </cell>
          <cell r="B103" t="str">
            <v>María Camila</v>
          </cell>
          <cell r="C103" t="str">
            <v>Cali</v>
          </cell>
          <cell r="D103" t="str">
            <v>Cr 53 12b 51 brisas de mayo</v>
          </cell>
          <cell r="E103" t="str">
            <v>De la estación coger hacia la platanera</v>
          </cell>
          <cell r="F103" t="str">
            <v>3113589871</v>
          </cell>
          <cell r="G103" t="str">
            <v>3148863661</v>
          </cell>
          <cell r="H103" t="str">
            <v>Control</v>
          </cell>
        </row>
        <row r="104">
          <cell r="A104">
            <v>1214737888</v>
          </cell>
          <cell r="B104" t="str">
            <v>Evelin nayibe</v>
          </cell>
          <cell r="C104" t="str">
            <v>Medellin</v>
          </cell>
          <cell r="D104" t="str">
            <v>Cra 43B 107 42 Int 201</v>
          </cell>
          <cell r="E104" t="str">
            <v>La torre de metro Cable a cuadra y media</v>
          </cell>
          <cell r="F104" t="str">
            <v>3005997497</v>
          </cell>
          <cell r="G104" t="str">
            <v>No</v>
          </cell>
          <cell r="H104" t="str">
            <v>Control</v>
          </cell>
        </row>
        <row r="105">
          <cell r="A105">
            <v>1214748815</v>
          </cell>
          <cell r="B105" t="str">
            <v>Luis Albeiro</v>
          </cell>
          <cell r="C105" t="str">
            <v>Medellin</v>
          </cell>
          <cell r="D105" t="str">
            <v>Cra 45 99 23</v>
          </cell>
          <cell r="E105" t="str">
            <v>La esquina donde el gordo parte baja</v>
          </cell>
          <cell r="F105" t="str">
            <v xml:space="preserve"> 3045952574</v>
          </cell>
          <cell r="G105" t="str">
            <v>No</v>
          </cell>
          <cell r="H105" t="str">
            <v>Control</v>
          </cell>
        </row>
        <row r="106">
          <cell r="A106">
            <v>12593159</v>
          </cell>
          <cell r="B106" t="str">
            <v xml:space="preserve">Luis Manuel </v>
          </cell>
          <cell r="C106" t="str">
            <v>Baranquilla</v>
          </cell>
          <cell r="D106" t="str">
            <v>Calle 68 1sur 30</v>
          </cell>
          <cell r="E106" t="str">
            <v xml:space="preserve">Por la ferretería la torre 15 </v>
          </cell>
          <cell r="F106" t="str">
            <v>3014400357</v>
          </cell>
          <cell r="G106" t="str">
            <v>3016135426</v>
          </cell>
          <cell r="H106" t="str">
            <v>Control</v>
          </cell>
        </row>
        <row r="107">
          <cell r="A107">
            <v>12621053</v>
          </cell>
          <cell r="B107" t="str">
            <v xml:space="preserve">Eduardo segundo </v>
          </cell>
          <cell r="C107" t="str">
            <v>Baranquilla</v>
          </cell>
          <cell r="D107" t="str">
            <v>Calle 73# 10sur-51</v>
          </cell>
          <cell r="E107" t="str">
            <v>Diagonal a la tienda la antioqueñita</v>
          </cell>
          <cell r="F107" t="str">
            <v>3001736487</v>
          </cell>
          <cell r="G107" t="str">
            <v>3242293387</v>
          </cell>
          <cell r="H107" t="str">
            <v>Control</v>
          </cell>
        </row>
        <row r="108">
          <cell r="A108">
            <v>14440058</v>
          </cell>
          <cell r="B108" t="str">
            <v>Jaime</v>
          </cell>
          <cell r="C108" t="str">
            <v>Cali</v>
          </cell>
          <cell r="D108" t="str">
            <v>Cll 11 oeste 52b 09</v>
          </cell>
          <cell r="E108" t="str">
            <v>Villa Catalina  de brisas de mayo internet de paola</v>
          </cell>
          <cell r="F108" t="str">
            <v>3206631689</v>
          </cell>
          <cell r="G108" t="str">
            <v/>
          </cell>
          <cell r="H108" t="str">
            <v>Control</v>
          </cell>
        </row>
        <row r="109">
          <cell r="A109">
            <v>14465565</v>
          </cell>
          <cell r="B109" t="str">
            <v>Liniers Fabian</v>
          </cell>
          <cell r="C109" t="str">
            <v>Cali</v>
          </cell>
          <cell r="D109" t="str">
            <v>Kr 53 G oeste 12 A Platanera La Cruz</v>
          </cell>
          <cell r="E109" t="str">
            <v>Al lado del lote Kr 53 G oeste 12 A 14 cerca al Mío Cable a dos cuadras</v>
          </cell>
          <cell r="F109" t="str">
            <v>3157612597</v>
          </cell>
          <cell r="G109" t="str">
            <v/>
          </cell>
          <cell r="H109" t="str">
            <v>Control</v>
          </cell>
        </row>
        <row r="110">
          <cell r="A110">
            <v>14940320</v>
          </cell>
          <cell r="B110" t="str">
            <v xml:space="preserve">Luis Alfonso </v>
          </cell>
          <cell r="C110" t="str">
            <v>Cali</v>
          </cell>
          <cell r="D110" t="str">
            <v>Calle 11 oeste  46 26</v>
          </cell>
          <cell r="E110" t="str">
            <v xml:space="preserve"> Por punto rojo bombillo rojo antes de llegar alli</v>
          </cell>
          <cell r="F110" t="str">
            <v/>
          </cell>
          <cell r="G110" t="str">
            <v/>
          </cell>
          <cell r="H110" t="str">
            <v>Control</v>
          </cell>
        </row>
        <row r="111">
          <cell r="A111">
            <v>14947608</v>
          </cell>
          <cell r="B111" t="str">
            <v xml:space="preserve">DUBERNET </v>
          </cell>
          <cell r="C111" t="str">
            <v>Cali</v>
          </cell>
          <cell r="D111" t="str">
            <v>CL 15 OESTE 46 32</v>
          </cell>
          <cell r="E111" t="str">
            <v>En la mitad de las escaleras subiendo al sector Bombillo rojo</v>
          </cell>
          <cell r="F111" t="str">
            <v>3217601294</v>
          </cell>
          <cell r="G111" t="str">
            <v/>
          </cell>
          <cell r="H111" t="str">
            <v>Control</v>
          </cell>
        </row>
        <row r="112">
          <cell r="A112">
            <v>14949573</v>
          </cell>
          <cell r="B112" t="str">
            <v>Alfonso</v>
          </cell>
          <cell r="C112" t="str">
            <v>Cali</v>
          </cell>
          <cell r="D112" t="str">
            <v>Cll13 oeste 51 a 34</v>
          </cell>
          <cell r="E112" t="str">
            <v xml:space="preserve">Por la playa  por la entrada </v>
          </cell>
          <cell r="F112" t="str">
            <v>3185530596</v>
          </cell>
          <cell r="G112" t="str">
            <v xml:space="preserve">No dan información </v>
          </cell>
          <cell r="H112" t="str">
            <v>Control</v>
          </cell>
        </row>
        <row r="113">
          <cell r="A113">
            <v>14960260</v>
          </cell>
          <cell r="B113" t="str">
            <v>Norberto</v>
          </cell>
          <cell r="C113" t="str">
            <v>Cali</v>
          </cell>
          <cell r="D113" t="str">
            <v>Cr 44A 8B06</v>
          </cell>
          <cell r="E113" t="str">
            <v/>
          </cell>
          <cell r="F113" t="str">
            <v>3168788699</v>
          </cell>
          <cell r="G113" t="str">
            <v>3166968782</v>
          </cell>
          <cell r="H113" t="str">
            <v>Control</v>
          </cell>
        </row>
        <row r="114">
          <cell r="A114">
            <v>1522015</v>
          </cell>
          <cell r="B114" t="str">
            <v>Roman</v>
          </cell>
          <cell r="C114" t="str">
            <v>Cali</v>
          </cell>
          <cell r="D114" t="str">
            <v>Cll13 oeste 51a 09</v>
          </cell>
          <cell r="E114" t="str">
            <v>Escuela  la Sofía entrada</v>
          </cell>
          <cell r="F114" t="str">
            <v>3113632864</v>
          </cell>
          <cell r="G114" t="str">
            <v>3166040491</v>
          </cell>
          <cell r="H114" t="str">
            <v>Control</v>
          </cell>
        </row>
        <row r="115">
          <cell r="A115">
            <v>16281450</v>
          </cell>
          <cell r="B115" t="str">
            <v xml:space="preserve">Carlos Alberto </v>
          </cell>
          <cell r="C115" t="str">
            <v>Cali</v>
          </cell>
          <cell r="D115" t="str">
            <v>Kr 49B oeste  15 30</v>
          </cell>
          <cell r="E115" t="str">
            <v/>
          </cell>
          <cell r="F115" t="str">
            <v>3168376880</v>
          </cell>
          <cell r="G115" t="str">
            <v>No tiene</v>
          </cell>
          <cell r="H115" t="str">
            <v>Control</v>
          </cell>
        </row>
        <row r="116">
          <cell r="A116">
            <v>16582114</v>
          </cell>
          <cell r="B116" t="str">
            <v>Jesus antonio</v>
          </cell>
          <cell r="C116" t="str">
            <v>Cali</v>
          </cell>
          <cell r="D116" t="str">
            <v xml:space="preserve">Cr 44a 8b b 47 oeste </v>
          </cell>
          <cell r="E116" t="str">
            <v>Estación de mío cable Lleras por la subida de la niña bonita don emanuel</v>
          </cell>
          <cell r="F116" t="str">
            <v>3174617184</v>
          </cell>
          <cell r="G116" t="str">
            <v>3145018071</v>
          </cell>
          <cell r="H116" t="str">
            <v>Control</v>
          </cell>
        </row>
        <row r="117">
          <cell r="A117">
            <v>16591744</v>
          </cell>
          <cell r="B117" t="str">
            <v xml:space="preserve">Luis albecio </v>
          </cell>
          <cell r="C117" t="str">
            <v>Cali</v>
          </cell>
          <cell r="D117" t="str">
            <v>CL 8D oeste 44A 47</v>
          </cell>
          <cell r="E117" t="str">
            <v/>
          </cell>
          <cell r="F117" t="str">
            <v>3157784195</v>
          </cell>
          <cell r="G117" t="str">
            <v>3174561747</v>
          </cell>
          <cell r="H117" t="str">
            <v>Control</v>
          </cell>
        </row>
        <row r="118">
          <cell r="A118">
            <v>16607117</v>
          </cell>
          <cell r="B118" t="str">
            <v>JOSE ALEXANDER</v>
          </cell>
          <cell r="C118" t="str">
            <v>Cali</v>
          </cell>
          <cell r="D118" t="str">
            <v>CR 54 OESTE 11A 37</v>
          </cell>
          <cell r="E118" t="str">
            <v>FRENTE CABLE MIO BRISAS DE MAYO</v>
          </cell>
          <cell r="F118" t="str">
            <v>3203273557</v>
          </cell>
          <cell r="G118" t="str">
            <v xml:space="preserve">No dan información </v>
          </cell>
          <cell r="H118" t="str">
            <v>Control</v>
          </cell>
        </row>
        <row r="119">
          <cell r="A119">
            <v>16633533</v>
          </cell>
          <cell r="B119" t="str">
            <v>Samuel. David</v>
          </cell>
          <cell r="C119" t="str">
            <v>Cali</v>
          </cell>
          <cell r="D119" t="str">
            <v>Cra 39c oeste 3b 07 casa 203</v>
          </cell>
          <cell r="E119" t="str">
            <v>Belén  puesto de salud de Belén casa Betania la familia perez</v>
          </cell>
          <cell r="F119" t="str">
            <v>3205345942</v>
          </cell>
          <cell r="G119" t="str">
            <v xml:space="preserve">No dan información </v>
          </cell>
          <cell r="H119" t="str">
            <v>Control</v>
          </cell>
        </row>
        <row r="120">
          <cell r="A120">
            <v>16637843</v>
          </cell>
          <cell r="B120" t="str">
            <v xml:space="preserve">Luis Alberto </v>
          </cell>
          <cell r="C120" t="str">
            <v>Cali</v>
          </cell>
          <cell r="D120" t="str">
            <v>CL 8 N oeste 43 23</v>
          </cell>
          <cell r="E120" t="str">
            <v>Billares de Doña Martha a 4 casas</v>
          </cell>
          <cell r="F120" t="str">
            <v>3172483169</v>
          </cell>
          <cell r="G120" t="str">
            <v>No tiene</v>
          </cell>
          <cell r="H120" t="str">
            <v>Control</v>
          </cell>
        </row>
        <row r="121">
          <cell r="A121">
            <v>16669439</v>
          </cell>
          <cell r="B121" t="str">
            <v xml:space="preserve">OCTAVIO </v>
          </cell>
          <cell r="C121" t="str">
            <v>Cali</v>
          </cell>
          <cell r="D121" t="str">
            <v>CL 16 OESTE 48 20 LLERAS CAMARGO</v>
          </cell>
          <cell r="E121" t="str">
            <v xml:space="preserve">AL FRENTE DE LA CANCHA DE LA AMISTAD SECTOR LOS MUDOS - LLERAS CAMARGO </v>
          </cell>
          <cell r="F121" t="str">
            <v>3176097967</v>
          </cell>
          <cell r="G121" t="str">
            <v xml:space="preserve">No dan información </v>
          </cell>
          <cell r="H121" t="str">
            <v>Control</v>
          </cell>
        </row>
        <row r="122">
          <cell r="A122">
            <v>16679467</v>
          </cell>
          <cell r="B122" t="str">
            <v xml:space="preserve">Victor Daniel </v>
          </cell>
          <cell r="C122" t="str">
            <v>Cali</v>
          </cell>
          <cell r="D122" t="str">
            <v>Cll 8a oeste kr 42b 107 piso</v>
          </cell>
          <cell r="E122" t="str">
            <v xml:space="preserve"> Las guallas Villares de doña martha</v>
          </cell>
          <cell r="F122" t="str">
            <v>3152016012</v>
          </cell>
          <cell r="G122" t="str">
            <v>3178194985</v>
          </cell>
          <cell r="H122" t="str">
            <v>Control</v>
          </cell>
        </row>
        <row r="123">
          <cell r="A123">
            <v>16698500</v>
          </cell>
          <cell r="B123" t="str">
            <v xml:space="preserve">Rubén Darío </v>
          </cell>
          <cell r="C123" t="str">
            <v>Cali</v>
          </cell>
          <cell r="D123" t="str">
            <v xml:space="preserve">No dan información </v>
          </cell>
          <cell r="E123" t="str">
            <v xml:space="preserve">Por la parada por el Callejón </v>
          </cell>
          <cell r="F123" t="str">
            <v>3137926869</v>
          </cell>
          <cell r="G123" t="str">
            <v xml:space="preserve">No dan información </v>
          </cell>
          <cell r="H123" t="str">
            <v>Control</v>
          </cell>
        </row>
        <row r="124">
          <cell r="A124">
            <v>16708888</v>
          </cell>
          <cell r="B124" t="str">
            <v>LUIS FERNANDO</v>
          </cell>
          <cell r="C124" t="str">
            <v>Cali</v>
          </cell>
          <cell r="D124" t="str">
            <v>KR 46 12 31</v>
          </cell>
          <cell r="E124" t="str">
            <v>Al frente del morro de Bombillo roji</v>
          </cell>
          <cell r="F124" t="str">
            <v>3178005582</v>
          </cell>
          <cell r="G124" t="str">
            <v>No tiene</v>
          </cell>
          <cell r="H124" t="str">
            <v>Control</v>
          </cell>
        </row>
        <row r="125">
          <cell r="A125">
            <v>16723219</v>
          </cell>
          <cell r="B125" t="str">
            <v>José Ferney</v>
          </cell>
          <cell r="C125" t="str">
            <v>Cali</v>
          </cell>
          <cell r="D125" t="str">
            <v>Carrera 50C #18 Oeste 35</v>
          </cell>
          <cell r="E125" t="str">
            <v xml:space="preserve">Sector las palmas antes del puente amarillo </v>
          </cell>
          <cell r="F125" t="str">
            <v>3053419673</v>
          </cell>
          <cell r="G125" t="str">
            <v>3122473991</v>
          </cell>
          <cell r="H125" t="str">
            <v>Control</v>
          </cell>
        </row>
        <row r="126">
          <cell r="A126">
            <v>16730078</v>
          </cell>
          <cell r="B126" t="str">
            <v>Álvaro</v>
          </cell>
          <cell r="C126" t="str">
            <v>Cali</v>
          </cell>
          <cell r="D126" t="str">
            <v>CL 8A oeste 42B 98</v>
          </cell>
          <cell r="E126" t="str">
            <v/>
          </cell>
          <cell r="F126" t="str">
            <v>3174707485</v>
          </cell>
          <cell r="G126" t="str">
            <v>3155611145</v>
          </cell>
          <cell r="H126" t="str">
            <v>Control</v>
          </cell>
        </row>
        <row r="127">
          <cell r="A127">
            <v>16749425</v>
          </cell>
          <cell r="B127" t="str">
            <v xml:space="preserve">ALFREDO </v>
          </cell>
          <cell r="C127" t="str">
            <v>Cali</v>
          </cell>
          <cell r="D127" t="str">
            <v>CRA 44 OESTE 8B 52 APTO 201</v>
          </cell>
          <cell r="E127" t="str">
            <v>BILLARES DE DOÑA ESQUINA ENTRAN CON UN CALLEJON EN TODA LA ESQUINA SECTOR LAS GUAYAS</v>
          </cell>
          <cell r="F127" t="str">
            <v>3172135620</v>
          </cell>
          <cell r="G127" t="str">
            <v xml:space="preserve">No dan información </v>
          </cell>
          <cell r="H127" t="str">
            <v>Control</v>
          </cell>
        </row>
        <row r="128">
          <cell r="A128">
            <v>16751591</v>
          </cell>
          <cell r="B128" t="str">
            <v>EDISON</v>
          </cell>
          <cell r="C128" t="str">
            <v>Cali</v>
          </cell>
          <cell r="D128" t="str">
            <v>CRA 44 OESTE 8B OESTE</v>
          </cell>
          <cell r="E128" t="str">
            <v xml:space="preserve">EN LA ESQUINA DE LOS BILLARES DE DOÑA MARTA SUBIENDO UNAS PRIMERAS ESCALERAS QUE UNO ENCUENTRA </v>
          </cell>
          <cell r="F128" t="str">
            <v>3172635687</v>
          </cell>
          <cell r="G128" t="str">
            <v>3158838627</v>
          </cell>
          <cell r="H128" t="str">
            <v>Control</v>
          </cell>
        </row>
        <row r="129">
          <cell r="A129">
            <v>16761714</v>
          </cell>
          <cell r="B129" t="str">
            <v>JOSE RUBIO</v>
          </cell>
          <cell r="C129" t="str">
            <v>Cali</v>
          </cell>
          <cell r="D129" t="str">
            <v>CRA 46 CON CL 20C OESTE</v>
          </cell>
          <cell r="E129" t="str">
            <v>Llegó a la est policía la Sultana subo hasta el basurero giro a la derecha recorro 180 metros vuelvo giro a la izquierda y en las primeras gradas subo a la izquierda y en la segunda casa al lado derecho está la casa</v>
          </cell>
          <cell r="F129" t="str">
            <v>3178000791</v>
          </cell>
          <cell r="G129" t="str">
            <v xml:space="preserve">No dan información </v>
          </cell>
          <cell r="H129" t="str">
            <v>Control</v>
          </cell>
        </row>
        <row r="130">
          <cell r="A130">
            <v>16820143</v>
          </cell>
          <cell r="B130" t="str">
            <v>Albeiro</v>
          </cell>
          <cell r="C130" t="str">
            <v>Cali</v>
          </cell>
          <cell r="D130" t="str">
            <v>Cl 12 D oeste 53 F 1 Bis 08</v>
          </cell>
          <cell r="E130" t="str">
            <v>Al frente de la cucharita parte baja</v>
          </cell>
          <cell r="F130" t="str">
            <v>3008380075</v>
          </cell>
          <cell r="G130" t="str">
            <v>No tiene</v>
          </cell>
          <cell r="H130" t="str">
            <v>Control</v>
          </cell>
        </row>
        <row r="131">
          <cell r="A131">
            <v>16828126</v>
          </cell>
          <cell r="B131" t="str">
            <v xml:space="preserve">Rodrigo </v>
          </cell>
          <cell r="C131" t="str">
            <v>Cali</v>
          </cell>
          <cell r="D131" t="str">
            <v>Kr 53 F oeste 12 A 36 Brisas de Mayo sector la Platanera</v>
          </cell>
          <cell r="E131" t="str">
            <v>Estación Brisas de Mayo del cable mio</v>
          </cell>
          <cell r="F131" t="str">
            <v>3167636323</v>
          </cell>
          <cell r="G131" t="str">
            <v>3178182182</v>
          </cell>
          <cell r="H131" t="str">
            <v>Control</v>
          </cell>
        </row>
        <row r="132">
          <cell r="A132">
            <v>16830582</v>
          </cell>
          <cell r="B132" t="str">
            <v>JAMES</v>
          </cell>
          <cell r="C132" t="str">
            <v>Cali</v>
          </cell>
          <cell r="D132" t="str">
            <v>CL 12ABIS OESTE 53G 10</v>
          </cell>
          <cell r="E132" t="str">
            <v>EMPEZANDO LA CURVA DE LA 53G</v>
          </cell>
          <cell r="F132" t="str">
            <v>3185903731</v>
          </cell>
          <cell r="G132" t="str">
            <v xml:space="preserve">No dan información </v>
          </cell>
          <cell r="H132" t="str">
            <v>Control</v>
          </cell>
        </row>
        <row r="133">
          <cell r="A133">
            <v>16881275</v>
          </cell>
          <cell r="B133" t="str">
            <v xml:space="preserve">Carlos José </v>
          </cell>
          <cell r="C133" t="str">
            <v>Cali</v>
          </cell>
          <cell r="D133" t="str">
            <v>Cl 13 B Oeste 51B 18</v>
          </cell>
          <cell r="E133" t="str">
            <v>En las gradas antes de llegar a la tienda de don Luis</v>
          </cell>
          <cell r="F133" t="str">
            <v>3045764681</v>
          </cell>
          <cell r="G133" t="str">
            <v>3023669849</v>
          </cell>
          <cell r="H133" t="str">
            <v>Control</v>
          </cell>
        </row>
        <row r="134">
          <cell r="A134">
            <v>16917385</v>
          </cell>
          <cell r="B134" t="str">
            <v>Carlos Andres</v>
          </cell>
          <cell r="C134" t="str">
            <v>Cali</v>
          </cell>
          <cell r="D134" t="str">
            <v>Calle 19 Oeste #50C-26</v>
          </cell>
          <cell r="E134" t="str">
            <v xml:space="preserve">Sector las palmas por el puente amarillo </v>
          </cell>
          <cell r="F134" t="str">
            <v>3169534064</v>
          </cell>
          <cell r="G134" t="str">
            <v>3186475004</v>
          </cell>
          <cell r="H134" t="str">
            <v>Control</v>
          </cell>
        </row>
        <row r="135">
          <cell r="A135">
            <v>1747298</v>
          </cell>
          <cell r="B135" t="str">
            <v xml:space="preserve">Agustín </v>
          </cell>
          <cell r="C135" t="str">
            <v>Baranquilla</v>
          </cell>
          <cell r="D135" t="str">
            <v>Calle 74 # 2 sur- 274</v>
          </cell>
          <cell r="E135" t="str">
            <v xml:space="preserve">Por el colegio de la comunal </v>
          </cell>
          <cell r="F135" t="str">
            <v>3105086036</v>
          </cell>
          <cell r="G135" t="str">
            <v>3105086036</v>
          </cell>
          <cell r="H135" t="str">
            <v>Control</v>
          </cell>
        </row>
        <row r="136">
          <cell r="A136">
            <v>19143848</v>
          </cell>
          <cell r="B136" t="str">
            <v>Lix Mario</v>
          </cell>
          <cell r="C136" t="str">
            <v>Medellin</v>
          </cell>
          <cell r="D136" t="str">
            <v>Cra 43B 107 32 Int 102</v>
          </cell>
          <cell r="E136" t="str">
            <v>Cerca a la estación Andalucia a cuadra y media</v>
          </cell>
          <cell r="F136" t="str">
            <v>3147894537</v>
          </cell>
          <cell r="G136" t="str">
            <v>3146933527</v>
          </cell>
          <cell r="H136" t="str">
            <v>Control</v>
          </cell>
        </row>
        <row r="137">
          <cell r="A137">
            <v>19218873</v>
          </cell>
          <cell r="B137" t="str">
            <v xml:space="preserve">Sigifredo </v>
          </cell>
          <cell r="C137" t="str">
            <v>Baranquilla</v>
          </cell>
          <cell r="D137" t="str">
            <v xml:space="preserve">Cra 10 sur 72 10 </v>
          </cell>
          <cell r="E137" t="str">
            <v xml:space="preserve">Frente la tienda la mano de Dios </v>
          </cell>
          <cell r="F137" t="str">
            <v>3126615056</v>
          </cell>
          <cell r="G137" t="str">
            <v>3006004707</v>
          </cell>
          <cell r="H137" t="str">
            <v>Control</v>
          </cell>
        </row>
        <row r="138">
          <cell r="A138">
            <v>19288937</v>
          </cell>
          <cell r="B138" t="str">
            <v>BERNARDO</v>
          </cell>
          <cell r="C138" t="str">
            <v>Cali</v>
          </cell>
          <cell r="D138" t="str">
            <v>CR 52B 12A 32 OESTE BRISAS DE MAYO SECTOR JUAN FERNANDEZ</v>
          </cell>
          <cell r="E138" t="str">
            <v xml:space="preserve">Se viene derecho por la cruz pasa la estación de brisas de mayo sigue derecho al enMallado o el descanso a mano derecha entra a Juan Fernández y en la primera BAJADITA la segunda casa </v>
          </cell>
          <cell r="F138" t="str">
            <v>3164195955</v>
          </cell>
          <cell r="G138" t="str">
            <v xml:space="preserve">No dan información </v>
          </cell>
          <cell r="H138" t="str">
            <v>Control</v>
          </cell>
        </row>
        <row r="139">
          <cell r="A139">
            <v>19596310</v>
          </cell>
          <cell r="B139" t="str">
            <v xml:space="preserve">Nadin Emerson </v>
          </cell>
          <cell r="C139" t="str">
            <v>Baranquilla</v>
          </cell>
          <cell r="D139" t="str">
            <v>Carrera 3g #49b-56</v>
          </cell>
          <cell r="E139" t="str">
            <v xml:space="preserve">Frente al restaurante donde la niña Edith </v>
          </cell>
          <cell r="F139" t="str">
            <v>3044612317</v>
          </cell>
          <cell r="G139" t="str">
            <v>3046504306</v>
          </cell>
          <cell r="H139" t="str">
            <v>Control</v>
          </cell>
        </row>
        <row r="140">
          <cell r="A140">
            <v>21308025</v>
          </cell>
          <cell r="B140" t="str">
            <v>Nubia de los ángeles</v>
          </cell>
          <cell r="C140" t="str">
            <v>Medellin</v>
          </cell>
          <cell r="D140" t="str">
            <v>Cr45 99-23</v>
          </cell>
          <cell r="E140" t="str">
            <v>Llagar hasta la casa del fondo y preguntar por doña nibia</v>
          </cell>
          <cell r="F140" t="str">
            <v>3045952574</v>
          </cell>
          <cell r="G140" t="str">
            <v>3045952574</v>
          </cell>
          <cell r="H140" t="str">
            <v>Control</v>
          </cell>
        </row>
        <row r="141">
          <cell r="A141">
            <v>21311154</v>
          </cell>
          <cell r="B141" t="str">
            <v>Blanca Nohemi</v>
          </cell>
          <cell r="C141" t="str">
            <v>Medellin</v>
          </cell>
          <cell r="D141" t="str">
            <v>Cr 42C 110B005</v>
          </cell>
          <cell r="E141" t="str">
            <v>La uva de la cordialidad</v>
          </cell>
          <cell r="F141" t="str">
            <v>3041040641</v>
          </cell>
          <cell r="G141" t="str">
            <v>3941040641</v>
          </cell>
          <cell r="H141" t="str">
            <v>Control</v>
          </cell>
        </row>
        <row r="142">
          <cell r="A142">
            <v>21451130</v>
          </cell>
          <cell r="B142" t="str">
            <v xml:space="preserve">Maria angelina 
</v>
          </cell>
          <cell r="C142" t="str">
            <v>Medellin</v>
          </cell>
          <cell r="D142" t="str">
            <v>Carrera 38A#107B 11</v>
          </cell>
          <cell r="E142" t="str">
            <v>Estacion popular</v>
          </cell>
          <cell r="F142" t="str">
            <v>0</v>
          </cell>
          <cell r="G142" t="str">
            <v>0</v>
          </cell>
          <cell r="H142" t="str">
            <v>Control</v>
          </cell>
        </row>
        <row r="143">
          <cell r="A143">
            <v>21469067</v>
          </cell>
          <cell r="B143" t="str">
            <v xml:space="preserve">María Consuelo </v>
          </cell>
          <cell r="C143" t="str">
            <v>Medellin</v>
          </cell>
          <cell r="D143" t="str">
            <v>Carrera 43A 110C 65 int 202</v>
          </cell>
          <cell r="E143" t="str">
            <v xml:space="preserve">El parque la palomera </v>
          </cell>
          <cell r="F143" t="str">
            <v>3244952769</v>
          </cell>
          <cell r="G143" t="str">
            <v xml:space="preserve">No tiene </v>
          </cell>
          <cell r="H143" t="str">
            <v>Control</v>
          </cell>
        </row>
        <row r="144">
          <cell r="A144">
            <v>21499811</v>
          </cell>
          <cell r="B144" t="str">
            <v xml:space="preserve">Maria Virginia </v>
          </cell>
          <cell r="C144" t="str">
            <v>Medellin</v>
          </cell>
          <cell r="D144" t="str">
            <v>CRA 45 # 108 - 115</v>
          </cell>
          <cell r="E144" t="str">
            <v xml:space="preserve">Al frente del liceo Federico Carrasquilla </v>
          </cell>
          <cell r="F144" t="str">
            <v>3126438819</v>
          </cell>
          <cell r="G144" t="str">
            <v>6045226127</v>
          </cell>
          <cell r="H144" t="str">
            <v>Control</v>
          </cell>
        </row>
        <row r="145">
          <cell r="A145">
            <v>21610540</v>
          </cell>
          <cell r="B145" t="str">
            <v>Blanca liria urregovasquez</v>
          </cell>
          <cell r="C145" t="str">
            <v>Medellin</v>
          </cell>
          <cell r="D145" t="str">
            <v>CL 207 C 43 AA 4 INT 101</v>
          </cell>
          <cell r="E145" t="str">
            <v xml:space="preserve">Cerca metro cable </v>
          </cell>
          <cell r="F145" t="str">
            <v>324120080</v>
          </cell>
          <cell r="G145" t="str">
            <v>324120080</v>
          </cell>
          <cell r="H145" t="str">
            <v>Control</v>
          </cell>
        </row>
        <row r="146">
          <cell r="A146">
            <v>21693424</v>
          </cell>
          <cell r="B146" t="str">
            <v xml:space="preserve">Angelica </v>
          </cell>
          <cell r="C146" t="str">
            <v>Medellin</v>
          </cell>
          <cell r="D146" t="str">
            <v>Cra 43A 110A 28 Int 201</v>
          </cell>
          <cell r="E146" t="str">
            <v>Mi casita a una cuadra</v>
          </cell>
          <cell r="F146" t="str">
            <v>3006176299</v>
          </cell>
          <cell r="G146" t="str">
            <v>No</v>
          </cell>
          <cell r="H146" t="str">
            <v>Control</v>
          </cell>
        </row>
        <row r="147">
          <cell r="A147">
            <v>21757096</v>
          </cell>
          <cell r="B147" t="str">
            <v xml:space="preserve">Maria del Carmen </v>
          </cell>
          <cell r="C147" t="str">
            <v>Medellin</v>
          </cell>
          <cell r="D147" t="str">
            <v>CRA 46 # 98 - 50 int 142</v>
          </cell>
          <cell r="E147" t="str">
            <v>Subiendo por el segundo puente de los balsos</v>
          </cell>
          <cell r="F147" t="str">
            <v>3005450858</v>
          </cell>
          <cell r="G147" t="str">
            <v>3145482783</v>
          </cell>
          <cell r="H147" t="str">
            <v>Control</v>
          </cell>
        </row>
        <row r="148">
          <cell r="A148">
            <v>21792037</v>
          </cell>
          <cell r="B148" t="str">
            <v>Virginia</v>
          </cell>
          <cell r="C148" t="str">
            <v>Medellin</v>
          </cell>
          <cell r="D148" t="str">
            <v>Cl 107E 42C22 int.201</v>
          </cell>
          <cell r="E148" t="str">
            <v>Ninguna</v>
          </cell>
          <cell r="F148" t="str">
            <v>3196124000</v>
          </cell>
          <cell r="G148" t="str">
            <v>3196124000</v>
          </cell>
          <cell r="H148" t="str">
            <v>Control</v>
          </cell>
        </row>
        <row r="149">
          <cell r="A149">
            <v>21869006</v>
          </cell>
          <cell r="B149" t="str">
            <v>Rosana de Jesús</v>
          </cell>
          <cell r="C149" t="str">
            <v>Medellin</v>
          </cell>
          <cell r="D149" t="str">
            <v>CRA 43A # 110C - 59</v>
          </cell>
          <cell r="E149" t="str">
            <v>Cerca del parque la palomera</v>
          </cell>
          <cell r="F149" t="str">
            <v>3117277013</v>
          </cell>
          <cell r="G149" t="str">
            <v>3137852387</v>
          </cell>
          <cell r="H149" t="str">
            <v>Control</v>
          </cell>
        </row>
        <row r="150">
          <cell r="A150">
            <v>21906091</v>
          </cell>
          <cell r="B150" t="str">
            <v>Aura Eliza</v>
          </cell>
          <cell r="C150" t="str">
            <v>Medellin</v>
          </cell>
          <cell r="D150" t="str">
            <v>CRA 46 # 98 - 47 int 125</v>
          </cell>
          <cell r="E150" t="str">
            <v>Cerca al segundo puente de los balsos</v>
          </cell>
          <cell r="F150" t="str">
            <v>3137877415</v>
          </cell>
          <cell r="G150" t="str">
            <v>3215805570</v>
          </cell>
          <cell r="H150" t="str">
            <v>Control</v>
          </cell>
        </row>
        <row r="151">
          <cell r="A151">
            <v>21969109</v>
          </cell>
          <cell r="B151" t="str">
            <v>Rosmira</v>
          </cell>
          <cell r="C151" t="str">
            <v>Medellin</v>
          </cell>
          <cell r="D151" t="str">
            <v>Cr 45.99 61</v>
          </cell>
          <cell r="E151" t="str">
            <v>Cerca al parqueadero</v>
          </cell>
          <cell r="F151" t="str">
            <v>3166825613</v>
          </cell>
          <cell r="G151" t="str">
            <v>3166825613</v>
          </cell>
          <cell r="H151" t="str">
            <v>Control</v>
          </cell>
        </row>
        <row r="152">
          <cell r="A152">
            <v>21977805</v>
          </cell>
          <cell r="B152" t="str">
            <v>Rosa marina</v>
          </cell>
          <cell r="C152" t="str">
            <v>Medellin</v>
          </cell>
          <cell r="D152" t="str">
            <v>Cr43A. 110C88int102</v>
          </cell>
          <cell r="E152" t="str">
            <v xml:space="preserve">Cerca al centro de salud </v>
          </cell>
          <cell r="F152" t="str">
            <v>3104977259</v>
          </cell>
          <cell r="G152" t="str">
            <v>3104967259</v>
          </cell>
          <cell r="H152" t="str">
            <v>Control</v>
          </cell>
        </row>
        <row r="153">
          <cell r="A153">
            <v>22015124</v>
          </cell>
          <cell r="B153" t="str">
            <v>Morelia de Jesus</v>
          </cell>
          <cell r="C153" t="str">
            <v>Medellin</v>
          </cell>
          <cell r="D153" t="str">
            <v>Calle 107D 44 6 Int 104</v>
          </cell>
          <cell r="E153" t="str">
            <v>2 cuadras de la iglesia la Divina providencia</v>
          </cell>
          <cell r="F153" t="str">
            <v>3153682846</v>
          </cell>
          <cell r="G153" t="str">
            <v>No</v>
          </cell>
          <cell r="H153" t="str">
            <v>Control</v>
          </cell>
        </row>
        <row r="154">
          <cell r="A154">
            <v>22187123</v>
          </cell>
          <cell r="B154" t="str">
            <v>Nancy Yancely</v>
          </cell>
          <cell r="C154" t="str">
            <v>Medellin</v>
          </cell>
          <cell r="D154" t="str">
            <v>CRA 43A #110C - 65 int 114</v>
          </cell>
          <cell r="E154" t="str">
            <v>Cerca al parque la palomera</v>
          </cell>
          <cell r="F154" t="str">
            <v>3137763374</v>
          </cell>
          <cell r="G154" t="str">
            <v>3246015742</v>
          </cell>
          <cell r="H154" t="str">
            <v>Control</v>
          </cell>
        </row>
        <row r="155">
          <cell r="A155">
            <v>22227595</v>
          </cell>
          <cell r="B155" t="str">
            <v xml:space="preserve">Imelda del Socorro </v>
          </cell>
          <cell r="C155" t="str">
            <v>Medellin</v>
          </cell>
          <cell r="D155" t="str">
            <v>Cl 107C # 43B -05 int 203</v>
          </cell>
          <cell r="E155" t="str">
            <v>Centro de salud popular 1</v>
          </cell>
          <cell r="F155" t="str">
            <v>3013299816</v>
          </cell>
          <cell r="G155" t="str">
            <v>6045221211</v>
          </cell>
          <cell r="H155" t="str">
            <v>Control</v>
          </cell>
        </row>
        <row r="156">
          <cell r="A156">
            <v>22294421</v>
          </cell>
          <cell r="B156" t="str">
            <v xml:space="preserve">Graciela
</v>
          </cell>
          <cell r="C156" t="str">
            <v>Baranquilla</v>
          </cell>
          <cell r="D156" t="str">
            <v>Carrera 8# 49E-87</v>
          </cell>
          <cell r="E156" t="str">
            <v xml:space="preserve">Casa amarilla , frente de una amarilla </v>
          </cell>
          <cell r="F156" t="str">
            <v>3022749657</v>
          </cell>
          <cell r="G156" t="str">
            <v>3116861040</v>
          </cell>
          <cell r="H156" t="str">
            <v>Control</v>
          </cell>
        </row>
        <row r="157">
          <cell r="A157">
            <v>22313863</v>
          </cell>
          <cell r="B157" t="str">
            <v>Virginia isabel</v>
          </cell>
          <cell r="C157" t="str">
            <v>Baranquilla</v>
          </cell>
          <cell r="D157" t="str">
            <v>Cra 4 49 e 142</v>
          </cell>
          <cell r="E157" t="str">
            <v>Tienda la preferida</v>
          </cell>
          <cell r="F157" t="str">
            <v>3023715509</v>
          </cell>
          <cell r="G157" t="str">
            <v>6053637775</v>
          </cell>
          <cell r="H157" t="str">
            <v>Control</v>
          </cell>
        </row>
        <row r="158">
          <cell r="A158">
            <v>22317957</v>
          </cell>
          <cell r="B158" t="str">
            <v>Sabina segundo</v>
          </cell>
          <cell r="C158" t="str">
            <v>Baranquilla</v>
          </cell>
          <cell r="D158" t="str">
            <v>Cra 3g 49e 42</v>
          </cell>
          <cell r="E158" t="str">
            <v>A 6 despues de la tienda la costeña</v>
          </cell>
          <cell r="F158" t="str">
            <v>3187768684</v>
          </cell>
          <cell r="G158" t="str">
            <v>3168263743</v>
          </cell>
          <cell r="H158" t="str">
            <v>Control</v>
          </cell>
        </row>
        <row r="159">
          <cell r="A159">
            <v>22351069</v>
          </cell>
          <cell r="B159" t="str">
            <v xml:space="preserve">Jobita </v>
          </cell>
          <cell r="C159" t="str">
            <v>Baranquilla</v>
          </cell>
          <cell r="D159" t="str">
            <v xml:space="preserve">Calle 73 4asur 25 </v>
          </cell>
          <cell r="E159" t="str">
            <v xml:space="preserve">Por el Colegio la Comunal </v>
          </cell>
          <cell r="F159" t="str">
            <v>3135264151</v>
          </cell>
          <cell r="G159" t="str">
            <v>3008175871</v>
          </cell>
          <cell r="H159" t="str">
            <v>Control</v>
          </cell>
        </row>
        <row r="160">
          <cell r="A160">
            <v>22353868</v>
          </cell>
          <cell r="B160" t="str">
            <v>Marlene esther</v>
          </cell>
          <cell r="C160" t="str">
            <v>Baranquilla</v>
          </cell>
          <cell r="D160" t="str">
            <v>Calle 50a 4b 28</v>
          </cell>
          <cell r="E160" t="str">
            <v>Diagonal  a la tienda la reina</v>
          </cell>
          <cell r="F160" t="str">
            <v>3045471994</v>
          </cell>
          <cell r="G160" t="str">
            <v>3042074262</v>
          </cell>
          <cell r="H160" t="str">
            <v>Control</v>
          </cell>
        </row>
        <row r="161">
          <cell r="A161">
            <v>22357171</v>
          </cell>
          <cell r="B161" t="str">
            <v xml:space="preserve">Julia </v>
          </cell>
          <cell r="C161" t="str">
            <v>Baranquilla</v>
          </cell>
          <cell r="D161" t="str">
            <v>Calle 49B 3E 10 Ap2</v>
          </cell>
          <cell r="E161" t="str">
            <v xml:space="preserve">Al frente de la tienda los 3 hermanos </v>
          </cell>
          <cell r="F161" t="str">
            <v>3206877672</v>
          </cell>
          <cell r="G161" t="str">
            <v>3114363815</v>
          </cell>
          <cell r="H161" t="str">
            <v>Control</v>
          </cell>
        </row>
        <row r="162">
          <cell r="A162">
            <v>22362412</v>
          </cell>
          <cell r="B162" t="str">
            <v>Gladys ines</v>
          </cell>
          <cell r="C162" t="str">
            <v>Baranquilla</v>
          </cell>
          <cell r="D162" t="str">
            <v>Cra 4b 49e 133</v>
          </cell>
          <cell r="E162" t="str">
            <v>Diagonal a fats food</v>
          </cell>
          <cell r="F162" t="str">
            <v>3456391</v>
          </cell>
          <cell r="G162" t="str">
            <v>3145098406</v>
          </cell>
          <cell r="H162" t="str">
            <v>Control</v>
          </cell>
        </row>
        <row r="163">
          <cell r="A163">
            <v>22372597</v>
          </cell>
          <cell r="B163" t="str">
            <v xml:space="preserve">Maritza </v>
          </cell>
          <cell r="C163" t="str">
            <v>Baranquilla</v>
          </cell>
          <cell r="D163" t="str">
            <v>Calle 68#5sur-91</v>
          </cell>
          <cell r="E163" t="str">
            <v xml:space="preserve">Por la Loma El Papi </v>
          </cell>
          <cell r="F163" t="str">
            <v>3242904006</v>
          </cell>
          <cell r="G163" t="str">
            <v>3023602024</v>
          </cell>
          <cell r="H163" t="str">
            <v>Control</v>
          </cell>
        </row>
        <row r="164">
          <cell r="A164">
            <v>22410576</v>
          </cell>
          <cell r="B164" t="str">
            <v>Jacinta rosa</v>
          </cell>
          <cell r="C164" t="str">
            <v>Baranquilla</v>
          </cell>
          <cell r="D164" t="str">
            <v>Cra 3g 49e 60</v>
          </cell>
          <cell r="E164" t="str">
            <v>A 8 casas de la tienda la costeña</v>
          </cell>
          <cell r="F164" t="str">
            <v>3014937844</v>
          </cell>
          <cell r="G164" t="str">
            <v/>
          </cell>
          <cell r="H164" t="str">
            <v>Control</v>
          </cell>
        </row>
        <row r="165">
          <cell r="A165">
            <v>22414731</v>
          </cell>
          <cell r="B165" t="str">
            <v>Yomaira esther</v>
          </cell>
          <cell r="C165" t="str">
            <v>Baranquilla</v>
          </cell>
          <cell r="D165" t="str">
            <v>Calle 74 3sur 94</v>
          </cell>
          <cell r="E165" t="str">
            <v xml:space="preserve">Al frente de la tienda la nueva bendicion </v>
          </cell>
          <cell r="F165" t="str">
            <v>3004838202</v>
          </cell>
          <cell r="G165" t="str">
            <v>3005324329</v>
          </cell>
          <cell r="H165" t="str">
            <v>Control</v>
          </cell>
        </row>
        <row r="166">
          <cell r="A166">
            <v>22415762</v>
          </cell>
          <cell r="B166" t="str">
            <v xml:space="preserve">Emilia </v>
          </cell>
          <cell r="C166" t="str">
            <v>Baranquilla</v>
          </cell>
          <cell r="D166" t="str">
            <v>Calle 68#4asur-08</v>
          </cell>
          <cell r="E166" t="str">
            <v>Frente a ferretería manantial de aguas vivas</v>
          </cell>
          <cell r="F166" t="str">
            <v>3005603742</v>
          </cell>
          <cell r="G166" t="str">
            <v>3005603742</v>
          </cell>
          <cell r="H166" t="str">
            <v>Control</v>
          </cell>
        </row>
        <row r="167">
          <cell r="A167">
            <v>22421549</v>
          </cell>
          <cell r="B167" t="str">
            <v>Ines</v>
          </cell>
          <cell r="C167" t="str">
            <v>Baranquilla</v>
          </cell>
          <cell r="D167" t="str">
            <v>Carrera 3e#49b-151</v>
          </cell>
          <cell r="E167" t="str">
            <v>Casa color azul</v>
          </cell>
          <cell r="F167" t="str">
            <v>3006485919</v>
          </cell>
          <cell r="G167" t="str">
            <v>3126027225</v>
          </cell>
          <cell r="H167" t="str">
            <v>Control</v>
          </cell>
        </row>
        <row r="168">
          <cell r="A168">
            <v>22436611</v>
          </cell>
          <cell r="B168" t="str">
            <v xml:space="preserve">Rosa helena </v>
          </cell>
          <cell r="C168" t="str">
            <v>Baranquilla</v>
          </cell>
          <cell r="D168" t="str">
            <v>Cra 3E 49 E 111</v>
          </cell>
          <cell r="E168" t="str">
            <v xml:space="preserve">Al lado de la tienda el baraton </v>
          </cell>
          <cell r="F168" t="str">
            <v>3023585014</v>
          </cell>
          <cell r="G168" t="str">
            <v>3012809129</v>
          </cell>
          <cell r="H168" t="str">
            <v>Control</v>
          </cell>
        </row>
        <row r="169">
          <cell r="A169">
            <v>22442480</v>
          </cell>
          <cell r="B169" t="str">
            <v xml:space="preserve">Miriam </v>
          </cell>
          <cell r="C169" t="str">
            <v>Baranquilla</v>
          </cell>
          <cell r="D169" t="str">
            <v>Calle 74 10 sur 90</v>
          </cell>
          <cell r="E169" t="str">
            <v xml:space="preserve">Cerca a cosdape </v>
          </cell>
          <cell r="F169" t="str">
            <v>3117584525</v>
          </cell>
          <cell r="G169" t="str">
            <v>3116741636</v>
          </cell>
          <cell r="H169" t="str">
            <v>Control</v>
          </cell>
        </row>
        <row r="170">
          <cell r="A170">
            <v>22445534</v>
          </cell>
          <cell r="B170" t="str">
            <v>Sol maria</v>
          </cell>
          <cell r="C170" t="str">
            <v>Baranquilla</v>
          </cell>
          <cell r="D170" t="str">
            <v>Carrera 4 49b 81</v>
          </cell>
          <cell r="E170" t="str">
            <v>Frente al estadero rossy rumba 2</v>
          </cell>
          <cell r="F170" t="str">
            <v>3153849228</v>
          </cell>
          <cell r="G170" t="str">
            <v>3114132729</v>
          </cell>
          <cell r="H170" t="str">
            <v>Control</v>
          </cell>
        </row>
        <row r="171">
          <cell r="A171">
            <v>22446902</v>
          </cell>
          <cell r="B171" t="str">
            <v xml:space="preserve">Andrés </v>
          </cell>
          <cell r="C171" t="str">
            <v>Baranquilla</v>
          </cell>
          <cell r="D171" t="str">
            <v>Carrera 4#49b-03</v>
          </cell>
          <cell r="E171" t="str">
            <v>A 12 metros de la carrera 4</v>
          </cell>
          <cell r="F171" t="str">
            <v/>
          </cell>
          <cell r="G171" t="str">
            <v/>
          </cell>
          <cell r="H171" t="str">
            <v>Control</v>
          </cell>
        </row>
        <row r="172">
          <cell r="A172">
            <v>22466720</v>
          </cell>
          <cell r="B172" t="str">
            <v xml:space="preserve">Amaisa Mercedes </v>
          </cell>
          <cell r="C172" t="str">
            <v>Baranquilla</v>
          </cell>
          <cell r="D172" t="str">
            <v>Calle 51d #4a-15</v>
          </cell>
          <cell r="E172" t="str">
            <v xml:space="preserve">A media cuadra de la tienda la victoria </v>
          </cell>
          <cell r="F172" t="str">
            <v>3045427505</v>
          </cell>
          <cell r="G172" t="str">
            <v>3012921871</v>
          </cell>
          <cell r="H172" t="str">
            <v>Control</v>
          </cell>
        </row>
        <row r="173">
          <cell r="A173">
            <v>22468227</v>
          </cell>
          <cell r="B173" t="str">
            <v xml:space="preserve">Edelmira María </v>
          </cell>
          <cell r="C173" t="str">
            <v>Baranquilla</v>
          </cell>
          <cell r="D173" t="str">
            <v>Calle 49 B 3 E 164</v>
          </cell>
          <cell r="E173" t="str">
            <v xml:space="preserve">Antes de llegar a la tienda la bendición </v>
          </cell>
          <cell r="F173" t="str">
            <v>3207716303</v>
          </cell>
          <cell r="G173" t="str">
            <v>3016878988</v>
          </cell>
          <cell r="H173" t="str">
            <v>Control</v>
          </cell>
        </row>
        <row r="174">
          <cell r="A174">
            <v>22474518</v>
          </cell>
          <cell r="B174" t="str">
            <v>Solverena</v>
          </cell>
          <cell r="C174" t="str">
            <v>Baranquilla</v>
          </cell>
          <cell r="D174" t="str">
            <v>Calle 73#10sur-95</v>
          </cell>
          <cell r="E174" t="str">
            <v>A 8 casas del hogar de ancianos codafe</v>
          </cell>
          <cell r="F174" t="str">
            <v>3016233071</v>
          </cell>
          <cell r="G174" t="str">
            <v>3122361518</v>
          </cell>
          <cell r="H174" t="str">
            <v>Control</v>
          </cell>
        </row>
        <row r="175">
          <cell r="A175">
            <v>22478356</v>
          </cell>
          <cell r="B175" t="str">
            <v xml:space="preserve">Yenis Isabel </v>
          </cell>
          <cell r="C175" t="str">
            <v>Baranquilla</v>
          </cell>
          <cell r="D175" t="str">
            <v>Carrera 3 g #49e-108</v>
          </cell>
          <cell r="E175" t="str">
            <v xml:space="preserve">A media cuadra de la tienda la costeña </v>
          </cell>
          <cell r="F175" t="str">
            <v>3135792772</v>
          </cell>
          <cell r="G175" t="str">
            <v>3012748812</v>
          </cell>
          <cell r="H175" t="str">
            <v>Control</v>
          </cell>
        </row>
        <row r="176">
          <cell r="A176">
            <v>22506208</v>
          </cell>
          <cell r="B176" t="str">
            <v xml:space="preserve">Ana María </v>
          </cell>
          <cell r="C176" t="str">
            <v>Baranquilla</v>
          </cell>
          <cell r="D176" t="str">
            <v>Carrera 3 g #49e-120</v>
          </cell>
          <cell r="E176" t="str">
            <v xml:space="preserve">A 3 casas de la tienda la bananera </v>
          </cell>
          <cell r="F176" t="str">
            <v>3016105744</v>
          </cell>
          <cell r="G176" t="str">
            <v>3012918465</v>
          </cell>
          <cell r="H176" t="str">
            <v>Control</v>
          </cell>
        </row>
        <row r="177">
          <cell r="A177">
            <v>22506504</v>
          </cell>
          <cell r="B177" t="str">
            <v xml:space="preserve">Ivon </v>
          </cell>
          <cell r="C177" t="str">
            <v>Baranquilla</v>
          </cell>
          <cell r="D177" t="str">
            <v>Calle 68#5sur-36</v>
          </cell>
          <cell r="E177" t="str">
            <v xml:space="preserve">Por la Tienda el papi </v>
          </cell>
          <cell r="F177" t="str">
            <v>3018013121</v>
          </cell>
          <cell r="G177" t="str">
            <v>3003538208</v>
          </cell>
          <cell r="H177" t="str">
            <v>Control</v>
          </cell>
        </row>
        <row r="178">
          <cell r="A178">
            <v>22527893</v>
          </cell>
          <cell r="B178" t="str">
            <v xml:space="preserve">Omaira </v>
          </cell>
          <cell r="C178" t="str">
            <v>Baranquilla</v>
          </cell>
          <cell r="D178" t="str">
            <v>Carrera 5bSur#62-67 ap3</v>
          </cell>
          <cell r="E178" t="str">
            <v xml:space="preserve">Por la Loma del papi </v>
          </cell>
          <cell r="F178" t="str">
            <v>3044954612</v>
          </cell>
          <cell r="G178" t="str">
            <v>3053545453</v>
          </cell>
          <cell r="H178" t="str">
            <v>Control</v>
          </cell>
        </row>
        <row r="179">
          <cell r="A179">
            <v>22532796</v>
          </cell>
          <cell r="B179" t="str">
            <v xml:space="preserve">Sheila patricia </v>
          </cell>
          <cell r="C179" t="str">
            <v>Baranquilla</v>
          </cell>
          <cell r="D179" t="str">
            <v>Cra 4a 50a 188</v>
          </cell>
          <cell r="E179" t="str">
            <v xml:space="preserve">Por la tienda las brisas de carrizal </v>
          </cell>
          <cell r="F179" t="str">
            <v>3156998363</v>
          </cell>
          <cell r="G179" t="str">
            <v>3002709688</v>
          </cell>
          <cell r="H179" t="str">
            <v>Control</v>
          </cell>
        </row>
        <row r="180">
          <cell r="A180">
            <v>22563805</v>
          </cell>
          <cell r="B180" t="str">
            <v xml:space="preserve">Olga </v>
          </cell>
          <cell r="C180" t="str">
            <v>Baranquilla</v>
          </cell>
          <cell r="D180" t="str">
            <v>Calle 71#3 sur -35</v>
          </cell>
          <cell r="E180" t="str">
            <v xml:space="preserve">POR LA TIENDA OSY </v>
          </cell>
          <cell r="F180" t="str">
            <v>3045634821</v>
          </cell>
          <cell r="G180" t="str">
            <v>3145750792</v>
          </cell>
          <cell r="H180" t="str">
            <v>Control</v>
          </cell>
        </row>
        <row r="181">
          <cell r="A181">
            <v>22564910</v>
          </cell>
          <cell r="B181" t="str">
            <v xml:space="preserve">Ines Esther </v>
          </cell>
          <cell r="C181" t="str">
            <v>Baranquilla</v>
          </cell>
          <cell r="D181" t="str">
            <v>Calle 74 #9 sur 42</v>
          </cell>
          <cell r="E181" t="str">
            <v xml:space="preserve">Cerca al colegio de la comunal </v>
          </cell>
          <cell r="F181" t="str">
            <v>3245269083</v>
          </cell>
          <cell r="G181" t="str">
            <v>3228325399</v>
          </cell>
          <cell r="H181" t="str">
            <v>Control</v>
          </cell>
        </row>
        <row r="182">
          <cell r="A182">
            <v>22599446</v>
          </cell>
          <cell r="B182" t="str">
            <v>Viviana</v>
          </cell>
          <cell r="C182" t="str">
            <v>Baranquilla</v>
          </cell>
          <cell r="D182" t="str">
            <v>Calle 74 #9 62</v>
          </cell>
          <cell r="E182" t="str">
            <v>Por el colegio la comunal de 7 abril</v>
          </cell>
          <cell r="F182" t="str">
            <v>3043398059</v>
          </cell>
          <cell r="G182" t="str">
            <v>3043398059</v>
          </cell>
          <cell r="H182" t="str">
            <v>Control</v>
          </cell>
        </row>
        <row r="183">
          <cell r="A183">
            <v>22645705</v>
          </cell>
          <cell r="B183" t="str">
            <v>Doralys</v>
          </cell>
          <cell r="C183" t="str">
            <v>Baranquilla</v>
          </cell>
          <cell r="D183" t="str">
            <v>Cra 3d 49b 119</v>
          </cell>
          <cell r="E183" t="str">
            <v xml:space="preserve">Frente al salon del reino de los testigos de jehova </v>
          </cell>
          <cell r="F183" t="str">
            <v>3003395041</v>
          </cell>
          <cell r="G183" t="str">
            <v>3007093536</v>
          </cell>
          <cell r="H183" t="str">
            <v>Control</v>
          </cell>
        </row>
        <row r="184">
          <cell r="A184">
            <v>22650279</v>
          </cell>
          <cell r="B184" t="str">
            <v xml:space="preserve">Manuela </v>
          </cell>
          <cell r="C184" t="str">
            <v>Baranquilla</v>
          </cell>
          <cell r="D184" t="str">
            <v>Cra 11sur 73 05</v>
          </cell>
          <cell r="E184" t="str">
            <v>Bajando por codape</v>
          </cell>
          <cell r="F184" t="str">
            <v>3015052244</v>
          </cell>
          <cell r="G184" t="str">
            <v>3207058317</v>
          </cell>
          <cell r="H184" t="str">
            <v>Control</v>
          </cell>
        </row>
        <row r="185">
          <cell r="A185">
            <v>22712132</v>
          </cell>
          <cell r="B185" t="str">
            <v xml:space="preserve">Silvia Rosa </v>
          </cell>
          <cell r="C185" t="str">
            <v>Baranquilla</v>
          </cell>
          <cell r="D185" t="str">
            <v>Calle 72 #10-73</v>
          </cell>
          <cell r="E185" t="str">
            <v xml:space="preserve">Diagonal a la iglesia cristiana soldados de Jesús </v>
          </cell>
          <cell r="F185" t="str">
            <v/>
          </cell>
          <cell r="G185" t="str">
            <v/>
          </cell>
          <cell r="H185" t="str">
            <v>Control</v>
          </cell>
        </row>
        <row r="186">
          <cell r="A186">
            <v>2272778</v>
          </cell>
          <cell r="B186" t="str">
            <v>Augusto</v>
          </cell>
          <cell r="C186" t="str">
            <v>Cali</v>
          </cell>
          <cell r="D186" t="str">
            <v>Cr 53B oeste 12B 15 brisas de mayo</v>
          </cell>
          <cell r="E186" t="str">
            <v/>
          </cell>
          <cell r="F186" t="str">
            <v>3175093558</v>
          </cell>
          <cell r="G186" t="str">
            <v>3175093558</v>
          </cell>
          <cell r="H186" t="str">
            <v>Control</v>
          </cell>
        </row>
        <row r="187">
          <cell r="A187">
            <v>22733884</v>
          </cell>
          <cell r="B187" t="str">
            <v>Ruby yaneth</v>
          </cell>
          <cell r="C187" t="str">
            <v>Baranquilla</v>
          </cell>
          <cell r="D187" t="str">
            <v xml:space="preserve">Calle 49b 3e 05 apto 1 </v>
          </cell>
          <cell r="E187" t="str">
            <v>Frente al parque de carrizal</v>
          </cell>
          <cell r="F187" t="str">
            <v>3008766117</v>
          </cell>
          <cell r="G187" t="str">
            <v>3015336586</v>
          </cell>
          <cell r="H187" t="str">
            <v>Control</v>
          </cell>
        </row>
        <row r="188">
          <cell r="A188">
            <v>22738294</v>
          </cell>
          <cell r="B188" t="str">
            <v xml:space="preserve">Yudi Esther </v>
          </cell>
          <cell r="C188" t="str">
            <v>Baranquilla</v>
          </cell>
          <cell r="D188" t="str">
            <v>Carrera 4 #50a-31 apartamento 1</v>
          </cell>
          <cell r="E188" t="str">
            <v xml:space="preserve">A 3 casas y de la misma acera de la tienda la favorita </v>
          </cell>
          <cell r="F188" t="str">
            <v>3245834296</v>
          </cell>
          <cell r="G188" t="str">
            <v>3245180936</v>
          </cell>
          <cell r="H188" t="str">
            <v>Control</v>
          </cell>
        </row>
        <row r="189">
          <cell r="A189">
            <v>22739665</v>
          </cell>
          <cell r="B189" t="str">
            <v>Sugeidy</v>
          </cell>
          <cell r="C189" t="str">
            <v>Baranquilla</v>
          </cell>
          <cell r="D189" t="str">
            <v>Calle 68#5 sur-505</v>
          </cell>
          <cell r="E189" t="str">
            <v>Verdurera la 68</v>
          </cell>
          <cell r="F189" t="str">
            <v>3244273524</v>
          </cell>
          <cell r="G189" t="str">
            <v>3244273524</v>
          </cell>
          <cell r="H189" t="str">
            <v>Control</v>
          </cell>
        </row>
        <row r="190">
          <cell r="A190">
            <v>22744065</v>
          </cell>
          <cell r="B190" t="str">
            <v>Rosmeris</v>
          </cell>
          <cell r="C190" t="str">
            <v>Baranquilla</v>
          </cell>
          <cell r="D190" t="str">
            <v>Carrera 4 #49E-67</v>
          </cell>
          <cell r="E190" t="str">
            <v>Casa roja</v>
          </cell>
          <cell r="F190" t="str">
            <v>3004361322</v>
          </cell>
          <cell r="G190" t="str">
            <v>3001790606</v>
          </cell>
          <cell r="H190" t="str">
            <v>Control</v>
          </cell>
        </row>
        <row r="191">
          <cell r="A191">
            <v>22858815</v>
          </cell>
          <cell r="B191" t="str">
            <v>Martha cecilia</v>
          </cell>
          <cell r="C191" t="str">
            <v>Baranquilla</v>
          </cell>
          <cell r="D191" t="str">
            <v>Cra 9A sur 74-42</v>
          </cell>
          <cell r="E191" t="str">
            <v>En la calle del arroyo</v>
          </cell>
          <cell r="F191" t="str">
            <v>3016620023</v>
          </cell>
          <cell r="G191" t="str">
            <v>3136714251</v>
          </cell>
          <cell r="H191" t="str">
            <v>Control</v>
          </cell>
        </row>
        <row r="192">
          <cell r="A192">
            <v>23142186</v>
          </cell>
          <cell r="B192" t="str">
            <v>Gladys</v>
          </cell>
          <cell r="C192" t="str">
            <v>Baranquilla</v>
          </cell>
          <cell r="D192" t="str">
            <v>Calle 73 4sur 37</v>
          </cell>
          <cell r="E192" t="str">
            <v xml:space="preserve">Bajando el colegio distrital comunitario 7 de abril </v>
          </cell>
          <cell r="F192" t="str">
            <v>3011349813</v>
          </cell>
          <cell r="G192" t="str">
            <v>3003439856</v>
          </cell>
          <cell r="H192" t="str">
            <v>Control</v>
          </cell>
        </row>
        <row r="193">
          <cell r="A193">
            <v>24117503</v>
          </cell>
          <cell r="B193" t="str">
            <v xml:space="preserve">JOSE FELIX </v>
          </cell>
          <cell r="C193" t="str">
            <v>Cali</v>
          </cell>
          <cell r="D193" t="str">
            <v>CRA 44A 8B 52 OESTE PISO 1</v>
          </cell>
          <cell r="E193" t="str">
            <v xml:space="preserve">ESQUINA BILLARES DE DOÑA MARTA POR EL PASILLO ENTRA AL SECTOR LAS GUAYAS </v>
          </cell>
          <cell r="F193" t="str">
            <v>3182509572</v>
          </cell>
          <cell r="G193" t="str">
            <v>3167880196</v>
          </cell>
          <cell r="H193" t="str">
            <v>Control</v>
          </cell>
        </row>
        <row r="194">
          <cell r="A194">
            <v>2484445</v>
          </cell>
          <cell r="B194" t="str">
            <v xml:space="preserve">LUIS CARLOS </v>
          </cell>
          <cell r="C194" t="str">
            <v>Cali</v>
          </cell>
          <cell r="D194" t="str">
            <v>CR 54A OESTE 11A 30</v>
          </cell>
          <cell r="E194" t="str">
            <v>FRENTE LA TIENDA DE LORENA CARPA VERDE</v>
          </cell>
          <cell r="F194" t="str">
            <v>3165162387</v>
          </cell>
          <cell r="G194" t="str">
            <v xml:space="preserve">No dan información </v>
          </cell>
          <cell r="H194" t="str">
            <v>Control</v>
          </cell>
        </row>
        <row r="195">
          <cell r="A195">
            <v>24923028</v>
          </cell>
          <cell r="B195" t="str">
            <v xml:space="preserve">María del socorro </v>
          </cell>
          <cell r="C195" t="str">
            <v>Cali</v>
          </cell>
          <cell r="D195" t="str">
            <v xml:space="preserve">Cr 53B oeste 22 35 brisas de mayo sector casa blanca </v>
          </cell>
          <cell r="E195" t="str">
            <v>Queda sobre la vía principal CL 53</v>
          </cell>
          <cell r="F195" t="str">
            <v>3162961167</v>
          </cell>
          <cell r="G195" t="str">
            <v>3168096294</v>
          </cell>
          <cell r="H195" t="str">
            <v>Control</v>
          </cell>
        </row>
        <row r="196">
          <cell r="A196">
            <v>25265831</v>
          </cell>
          <cell r="B196" t="str">
            <v xml:space="preserve">María Bertha </v>
          </cell>
          <cell r="C196" t="str">
            <v>Cali</v>
          </cell>
          <cell r="D196" t="str">
            <v>Kr 46 oeste 6 G bis 36 Casa 3</v>
          </cell>
          <cell r="E196" t="str">
            <v>Tierra la 47 cerca al cable mio</v>
          </cell>
          <cell r="F196" t="str">
            <v>3174316168</v>
          </cell>
          <cell r="G196" t="str">
            <v xml:space="preserve">No dan información </v>
          </cell>
          <cell r="H196" t="str">
            <v>Control</v>
          </cell>
        </row>
        <row r="197">
          <cell r="A197">
            <v>25413263</v>
          </cell>
          <cell r="B197" t="str">
            <v xml:space="preserve">Noelba </v>
          </cell>
          <cell r="C197" t="str">
            <v>Cali</v>
          </cell>
          <cell r="D197" t="str">
            <v>CL 8 B oeste No 44 100</v>
          </cell>
          <cell r="E197" t="str">
            <v>Al frente de billares de doña Martha por la calle del árbol de mango</v>
          </cell>
          <cell r="F197" t="str">
            <v>3158735358</v>
          </cell>
          <cell r="G197" t="str">
            <v>No tiene</v>
          </cell>
          <cell r="H197" t="str">
            <v>Control</v>
          </cell>
        </row>
        <row r="198">
          <cell r="A198">
            <v>25485764</v>
          </cell>
          <cell r="B198" t="str">
            <v xml:space="preserve">Yuliana </v>
          </cell>
          <cell r="C198" t="str">
            <v>Cali</v>
          </cell>
          <cell r="D198" t="str">
            <v>Cr 53c oeste 12b 44</v>
          </cell>
          <cell r="E198" t="str">
            <v>Llegan a la torre y bajan por la anchs</v>
          </cell>
          <cell r="F198" t="str">
            <v>3132052879</v>
          </cell>
          <cell r="G198" t="str">
            <v>3135512234</v>
          </cell>
          <cell r="H198" t="str">
            <v>Control</v>
          </cell>
        </row>
        <row r="199">
          <cell r="A199">
            <v>25487137</v>
          </cell>
          <cell r="B199" t="str">
            <v>Emérita</v>
          </cell>
          <cell r="C199" t="str">
            <v>Cali</v>
          </cell>
          <cell r="D199" t="str">
            <v>Kr 53 F oeste 12  B. 38</v>
          </cell>
          <cell r="E199" t="str">
            <v>Cerca al cable mío tienda doña ligia</v>
          </cell>
          <cell r="F199" t="str">
            <v>3135760641</v>
          </cell>
          <cell r="G199" t="str">
            <v xml:space="preserve">No dan información </v>
          </cell>
          <cell r="H199" t="str">
            <v>Control</v>
          </cell>
        </row>
        <row r="200">
          <cell r="A200">
            <v>25489365</v>
          </cell>
          <cell r="B200" t="str">
            <v>NELIDA</v>
          </cell>
          <cell r="C200" t="str">
            <v>Cali</v>
          </cell>
          <cell r="D200" t="str">
            <v>CRA 54 OESTE 12A 05</v>
          </cell>
          <cell r="E200" t="str">
            <v>A UNA CUADRA DEL CABLE MIO EN TODA LA ESQUINA</v>
          </cell>
          <cell r="F200" t="str">
            <v>3203157948</v>
          </cell>
          <cell r="G200" t="str">
            <v>3117526217</v>
          </cell>
          <cell r="H200" t="str">
            <v>Control</v>
          </cell>
        </row>
        <row r="201">
          <cell r="A201">
            <v>25490780</v>
          </cell>
          <cell r="B201" t="str">
            <v>SEMIRA MIREIS</v>
          </cell>
          <cell r="C201" t="str">
            <v>Cali</v>
          </cell>
          <cell r="D201" t="str">
            <v xml:space="preserve">Cra 46 27-35 OESTE </v>
          </cell>
          <cell r="E201" t="str">
            <v xml:space="preserve">Estación la policía la Sultana mano izquierda llegó al muro volteo a mano izquierda en el basurero cojo la izquierda y donde neveras subo del lado izquierdo </v>
          </cell>
          <cell r="F201" t="str">
            <v>3207050398</v>
          </cell>
          <cell r="G201" t="str">
            <v xml:space="preserve">No dan información </v>
          </cell>
          <cell r="H201" t="str">
            <v>Control</v>
          </cell>
        </row>
        <row r="202">
          <cell r="A202">
            <v>25638302</v>
          </cell>
          <cell r="B202" t="str">
            <v>Gloria</v>
          </cell>
          <cell r="C202" t="str">
            <v>Cali</v>
          </cell>
          <cell r="D202" t="str">
            <v>Cl 8 A Oeste Krv 42 B 61 Pi 1</v>
          </cell>
          <cell r="E202" t="str">
            <v xml:space="preserve">Al frente billares doña Martha y al frente de tienda doña  Claudia Valencia </v>
          </cell>
          <cell r="F202" t="str">
            <v>3128546158</v>
          </cell>
          <cell r="G202" t="str">
            <v>3146530941</v>
          </cell>
          <cell r="H202" t="str">
            <v>Control</v>
          </cell>
        </row>
        <row r="203">
          <cell r="A203">
            <v>26256767</v>
          </cell>
          <cell r="B203" t="str">
            <v>Gloria Casas Yoreda</v>
          </cell>
          <cell r="C203" t="str">
            <v>Medellin</v>
          </cell>
          <cell r="D203" t="str">
            <v>CL. 107E.43.31 int 201</v>
          </cell>
          <cell r="E203" t="str">
            <v>Cerca al metro cable</v>
          </cell>
          <cell r="F203" t="str">
            <v>3135818551</v>
          </cell>
          <cell r="G203" t="str">
            <v>3135818551</v>
          </cell>
          <cell r="H203" t="str">
            <v>Control</v>
          </cell>
        </row>
        <row r="204">
          <cell r="A204">
            <v>26757628</v>
          </cell>
          <cell r="B204" t="str">
            <v xml:space="preserve">Nimia Mercedes </v>
          </cell>
          <cell r="C204" t="str">
            <v>Baranquilla</v>
          </cell>
          <cell r="D204" t="str">
            <v>Calle 74 11sur29</v>
          </cell>
          <cell r="E204" t="str">
            <v xml:space="preserve">Al frente de la tienda mis tres bendiciones </v>
          </cell>
          <cell r="F204" t="str">
            <v>3106649196</v>
          </cell>
          <cell r="G204" t="str">
            <v>3044643607</v>
          </cell>
          <cell r="H204" t="str">
            <v>Control</v>
          </cell>
        </row>
        <row r="205">
          <cell r="A205">
            <v>26757731</v>
          </cell>
          <cell r="B205" t="str">
            <v>María isabel</v>
          </cell>
          <cell r="C205" t="str">
            <v>Baranquilla</v>
          </cell>
          <cell r="D205" t="str">
            <v>Cra 9 A sur 74 82</v>
          </cell>
          <cell r="E205" t="str">
            <v xml:space="preserve">Al frente de la tienda la renovación </v>
          </cell>
          <cell r="F205" t="str">
            <v>3004906689</v>
          </cell>
          <cell r="G205" t="str">
            <v>3246384864</v>
          </cell>
          <cell r="H205" t="str">
            <v>Control</v>
          </cell>
        </row>
        <row r="206">
          <cell r="A206">
            <v>2680456</v>
          </cell>
          <cell r="B206" t="str">
            <v>Rooselved</v>
          </cell>
          <cell r="C206" t="str">
            <v>Cali</v>
          </cell>
          <cell r="D206" t="str">
            <v>Kr 43 No 8A oeste 35</v>
          </cell>
          <cell r="E206" t="str">
            <v xml:space="preserve">Por el callejón </v>
          </cell>
          <cell r="F206" t="str">
            <v>3243405749</v>
          </cell>
          <cell r="G206" t="str">
            <v xml:space="preserve">No dan información </v>
          </cell>
          <cell r="H206" t="str">
            <v>Control</v>
          </cell>
        </row>
        <row r="207">
          <cell r="A207">
            <v>27104551</v>
          </cell>
          <cell r="B207" t="str">
            <v>AURA LIGIA</v>
          </cell>
          <cell r="C207" t="str">
            <v>Cali</v>
          </cell>
          <cell r="D207" t="str">
            <v>CRA 46 20C 28 SECTOR BRISAS DE LA SULTANA -LLERAS</v>
          </cell>
          <cell r="E207" t="str">
            <v>Frente a la fundadora la Sra. BERTHA LUCIA</v>
          </cell>
          <cell r="F207" t="str">
            <v>3155358247</v>
          </cell>
          <cell r="G207" t="str">
            <v>No tiene</v>
          </cell>
          <cell r="H207" t="str">
            <v>Control</v>
          </cell>
        </row>
        <row r="208">
          <cell r="A208">
            <v>27123795</v>
          </cell>
          <cell r="B208" t="str">
            <v>ROSA AMALIA</v>
          </cell>
          <cell r="C208" t="str">
            <v>Cali</v>
          </cell>
          <cell r="D208" t="str">
            <v>CLL 53 12B 03 APTO 101 SECTOR BRISAS DE MAYO</v>
          </cell>
          <cell r="E208" t="str">
            <v>POR LA TIENDA DOÑA FLOR POR LA PRIMERA ENTRADA DEL CALLEJON</v>
          </cell>
          <cell r="F208" t="str">
            <v>3148873661</v>
          </cell>
          <cell r="G208" t="str">
            <v>3113589871</v>
          </cell>
          <cell r="H208" t="str">
            <v>Control</v>
          </cell>
        </row>
        <row r="209">
          <cell r="A209">
            <v>2775711</v>
          </cell>
          <cell r="B209" t="str">
            <v>Libia Rosa</v>
          </cell>
          <cell r="C209" t="str">
            <v>Medellin</v>
          </cell>
          <cell r="D209" t="str">
            <v>Calle 98 44  84 Int 201</v>
          </cell>
          <cell r="E209" t="str">
            <v>La tienda el buen humor a la esquina</v>
          </cell>
          <cell r="F209" t="str">
            <v>3148902934</v>
          </cell>
          <cell r="G209" t="str">
            <v>No</v>
          </cell>
          <cell r="H209" t="str">
            <v>Control</v>
          </cell>
        </row>
        <row r="210">
          <cell r="A210">
            <v>29105566</v>
          </cell>
          <cell r="B210" t="str">
            <v>Mireya</v>
          </cell>
          <cell r="C210" t="str">
            <v>Cali</v>
          </cell>
          <cell r="D210" t="str">
            <v>Cr 53FBis 12C 43</v>
          </cell>
          <cell r="E210" t="str">
            <v>Por la cucharita sube por la tienda de los mellizos digo al al comedor comunitario</v>
          </cell>
          <cell r="F210" t="str">
            <v>3182765126</v>
          </cell>
          <cell r="G210" t="str">
            <v xml:space="preserve">No dan información </v>
          </cell>
          <cell r="H210" t="str">
            <v>Control</v>
          </cell>
        </row>
        <row r="211">
          <cell r="A211">
            <v>29120687</v>
          </cell>
          <cell r="B211" t="str">
            <v>SANDRA</v>
          </cell>
          <cell r="C211" t="str">
            <v>Cali</v>
          </cell>
          <cell r="D211" t="str">
            <v>CL 11 OESTE 46 34</v>
          </cell>
          <cell r="E211" t="str">
            <v>La 7 casa de la Tienda del pastusito</v>
          </cell>
          <cell r="F211" t="str">
            <v>3172915613</v>
          </cell>
          <cell r="G211" t="str">
            <v>3218671825</v>
          </cell>
          <cell r="H211" t="str">
            <v>Control</v>
          </cell>
        </row>
        <row r="212">
          <cell r="A212">
            <v>29177698</v>
          </cell>
          <cell r="B212" t="str">
            <v>SHIRLEY</v>
          </cell>
          <cell r="C212" t="str">
            <v>Cali</v>
          </cell>
          <cell r="D212" t="str">
            <v>CL 12 OESTE 46 14</v>
          </cell>
          <cell r="E212" t="str">
            <v>Tercera bajada desde la CL 15 OESTE en el sector Bombillo rojo</v>
          </cell>
          <cell r="F212" t="str">
            <v>3025934480</v>
          </cell>
          <cell r="G212" t="str">
            <v>3184736430</v>
          </cell>
          <cell r="H212" t="str">
            <v>Control</v>
          </cell>
        </row>
        <row r="213">
          <cell r="A213">
            <v>29178636</v>
          </cell>
          <cell r="B213" t="str">
            <v>Aida</v>
          </cell>
          <cell r="C213" t="str">
            <v>Cali</v>
          </cell>
          <cell r="D213" t="str">
            <v>Cr 53C oeste  12B 06 brisas de mayo</v>
          </cell>
          <cell r="E213" t="str">
            <v/>
          </cell>
          <cell r="F213" t="str">
            <v>3137716653</v>
          </cell>
          <cell r="G213" t="str">
            <v>3153659245</v>
          </cell>
          <cell r="H213" t="str">
            <v>Control</v>
          </cell>
        </row>
        <row r="214">
          <cell r="A214">
            <v>29179902</v>
          </cell>
          <cell r="B214" t="str">
            <v>Marisol</v>
          </cell>
          <cell r="C214" t="str">
            <v>Cali</v>
          </cell>
          <cell r="D214" t="str">
            <v>Kr 54 12A 10</v>
          </cell>
          <cell r="E214" t="str">
            <v>Cerca Estación brisas del Valle</v>
          </cell>
          <cell r="F214" t="str">
            <v>3164158092</v>
          </cell>
          <cell r="G214" t="str">
            <v xml:space="preserve">No dan información </v>
          </cell>
          <cell r="H214" t="str">
            <v>Control</v>
          </cell>
        </row>
        <row r="215">
          <cell r="A215">
            <v>29377098</v>
          </cell>
          <cell r="B215" t="str">
            <v xml:space="preserve">Fanny </v>
          </cell>
          <cell r="C215" t="str">
            <v>Cali</v>
          </cell>
          <cell r="D215" t="str">
            <v>Cr 44a oeste # 8b 38 casa 2</v>
          </cell>
          <cell r="E215" t="str">
            <v>Los Villares de doña Martha. En la esquina</v>
          </cell>
          <cell r="F215" t="str">
            <v>3156345107</v>
          </cell>
          <cell r="G215" t="str">
            <v>3205454084</v>
          </cell>
          <cell r="H215" t="str">
            <v>Control</v>
          </cell>
        </row>
        <row r="216">
          <cell r="A216">
            <v>29398776</v>
          </cell>
          <cell r="B216" t="str">
            <v xml:space="preserve">Rosario </v>
          </cell>
          <cell r="C216" t="str">
            <v>Cali</v>
          </cell>
          <cell r="D216" t="str">
            <v>CL 18 W 47 58</v>
          </cell>
          <cell r="E216" t="str">
            <v>Cerca a la estación Lleras Camargo sector turpiales</v>
          </cell>
          <cell r="F216" t="str">
            <v>3158058438</v>
          </cell>
          <cell r="G216" t="str">
            <v>3152351722</v>
          </cell>
          <cell r="H216" t="str">
            <v>Control</v>
          </cell>
        </row>
        <row r="217">
          <cell r="A217">
            <v>29534923</v>
          </cell>
          <cell r="B217" t="str">
            <v>AMELIA ROSA</v>
          </cell>
          <cell r="C217" t="str">
            <v>Cali</v>
          </cell>
          <cell r="D217" t="str">
            <v>CL 8D OESTE 44A 27</v>
          </cell>
          <cell r="E217" t="str">
            <v>Por toda la calle 8D oeste</v>
          </cell>
          <cell r="F217" t="str">
            <v>3127601185</v>
          </cell>
          <cell r="G217" t="str">
            <v>31811810526</v>
          </cell>
          <cell r="H217" t="str">
            <v>Control</v>
          </cell>
        </row>
        <row r="218">
          <cell r="A218">
            <v>29555202</v>
          </cell>
          <cell r="B218" t="str">
            <v xml:space="preserve">Alicia </v>
          </cell>
          <cell r="C218" t="str">
            <v>Cali</v>
          </cell>
          <cell r="D218" t="str">
            <v>Cl 2 oeste 53 F 103 Brisas de Mayo</v>
          </cell>
          <cell r="E218" t="str">
            <v>Tienda los mellizos bajando la huella</v>
          </cell>
          <cell r="F218" t="str">
            <v>3226238277</v>
          </cell>
          <cell r="G218" t="str">
            <v>3184247500</v>
          </cell>
          <cell r="H218" t="str">
            <v>Control</v>
          </cell>
        </row>
        <row r="219">
          <cell r="A219">
            <v>29568155</v>
          </cell>
          <cell r="B219" t="str">
            <v>Rosiber</v>
          </cell>
          <cell r="C219" t="str">
            <v>Cali</v>
          </cell>
          <cell r="D219" t="str">
            <v>CL 12C 53E 40</v>
          </cell>
          <cell r="E219" t="str">
            <v xml:space="preserve">La cancha la 30 al fondo </v>
          </cell>
          <cell r="F219" t="str">
            <v>3234347339</v>
          </cell>
          <cell r="G219" t="str">
            <v xml:space="preserve">No dan información </v>
          </cell>
          <cell r="H219" t="str">
            <v>Control</v>
          </cell>
        </row>
        <row r="220">
          <cell r="A220">
            <v>29703356</v>
          </cell>
          <cell r="B220" t="str">
            <v xml:space="preserve">Javier
</v>
          </cell>
          <cell r="C220" t="str">
            <v>Cali</v>
          </cell>
          <cell r="D220" t="str">
            <v>CL 18 oeste 47 28</v>
          </cell>
          <cell r="E220" t="str">
            <v/>
          </cell>
          <cell r="F220" t="str">
            <v>3168368048</v>
          </cell>
          <cell r="G220" t="str">
            <v>3152963501</v>
          </cell>
          <cell r="H220" t="str">
            <v>Control</v>
          </cell>
        </row>
        <row r="221">
          <cell r="A221">
            <v>30579593</v>
          </cell>
          <cell r="B221" t="str">
            <v>Luz Dary</v>
          </cell>
          <cell r="C221" t="str">
            <v>Baranquilla</v>
          </cell>
          <cell r="D221" t="str">
            <v>Cra 4A sur 64 40 ap 2</v>
          </cell>
          <cell r="E221" t="str">
            <v xml:space="preserve">Bajando por la ferretería manantial de agua viva </v>
          </cell>
          <cell r="F221" t="str">
            <v>3016603617</v>
          </cell>
          <cell r="G221" t="str">
            <v>3017875851</v>
          </cell>
          <cell r="H221" t="str">
            <v>Control</v>
          </cell>
        </row>
        <row r="222">
          <cell r="A222">
            <v>30855437</v>
          </cell>
          <cell r="B222" t="str">
            <v xml:space="preserve">Omeira </v>
          </cell>
          <cell r="C222" t="str">
            <v>Baranquilla</v>
          </cell>
          <cell r="D222" t="str">
            <v>Calle 7210sur 43</v>
          </cell>
          <cell r="E222" t="str">
            <v xml:space="preserve">Al lado de la tienda la bendición de Dios </v>
          </cell>
          <cell r="F222" t="str">
            <v>3106853011</v>
          </cell>
          <cell r="G222" t="str">
            <v/>
          </cell>
          <cell r="H222" t="str">
            <v>Control</v>
          </cell>
        </row>
        <row r="223">
          <cell r="A223">
            <v>31162284</v>
          </cell>
          <cell r="B223" t="str">
            <v>MARLENI</v>
          </cell>
          <cell r="C223" t="str">
            <v>Cali</v>
          </cell>
          <cell r="D223" t="str">
            <v>CRA 54 12A 06</v>
          </cell>
          <cell r="E223" t="str">
            <v>AL LADO DE LA FAMILIA MENESES</v>
          </cell>
          <cell r="F223" t="str">
            <v>3155500805</v>
          </cell>
          <cell r="G223" t="str">
            <v>3146262163</v>
          </cell>
          <cell r="H223" t="str">
            <v>Control</v>
          </cell>
        </row>
        <row r="224">
          <cell r="A224">
            <v>31219519</v>
          </cell>
          <cell r="B224" t="str">
            <v xml:space="preserve">Leonila </v>
          </cell>
          <cell r="C224" t="str">
            <v>Cali</v>
          </cell>
          <cell r="D224" t="str">
            <v>CL 8 B oeste 43 29</v>
          </cell>
          <cell r="E224" t="str">
            <v>En la tienda JDE</v>
          </cell>
          <cell r="F224" t="str">
            <v>3022008363</v>
          </cell>
          <cell r="G224" t="str">
            <v>3166904793</v>
          </cell>
          <cell r="H224" t="str">
            <v>Control</v>
          </cell>
        </row>
        <row r="225">
          <cell r="A225">
            <v>31223132</v>
          </cell>
          <cell r="B225" t="str">
            <v>Bertha</v>
          </cell>
          <cell r="C225" t="str">
            <v>Cali</v>
          </cell>
          <cell r="D225" t="str">
            <v>Cl 8 A oeste 42 B 55</v>
          </cell>
          <cell r="E225" t="str">
            <v>Al frente billares doña Martha</v>
          </cell>
          <cell r="F225" t="str">
            <v>3178806592</v>
          </cell>
          <cell r="G225" t="str">
            <v xml:space="preserve">No dan información </v>
          </cell>
          <cell r="H225" t="str">
            <v>Control</v>
          </cell>
        </row>
        <row r="226">
          <cell r="A226">
            <v>31231329</v>
          </cell>
          <cell r="B226" t="str">
            <v xml:space="preserve">Miriam </v>
          </cell>
          <cell r="C226" t="str">
            <v>Cali</v>
          </cell>
          <cell r="D226" t="str">
            <v>Cr 44A 8B39</v>
          </cell>
          <cell r="E226" t="str">
            <v/>
          </cell>
          <cell r="F226" t="str">
            <v>3174642779</v>
          </cell>
          <cell r="G226" t="str">
            <v>3178460127</v>
          </cell>
          <cell r="H226" t="str">
            <v>Control</v>
          </cell>
        </row>
        <row r="227">
          <cell r="A227">
            <v>31244762</v>
          </cell>
          <cell r="B227" t="str">
            <v xml:space="preserve">Olga María </v>
          </cell>
          <cell r="C227" t="str">
            <v>Cali</v>
          </cell>
          <cell r="D227" t="str">
            <v>Cr 54 oeste 12 05 brisas de mayo</v>
          </cell>
          <cell r="E227" t="str">
            <v/>
          </cell>
          <cell r="F227" t="str">
            <v>3186162862</v>
          </cell>
          <cell r="G227" t="str">
            <v>3184140708</v>
          </cell>
          <cell r="H227" t="str">
            <v>Control</v>
          </cell>
        </row>
        <row r="228">
          <cell r="A228">
            <v>31248209</v>
          </cell>
          <cell r="B228" t="str">
            <v>Zoila rosa</v>
          </cell>
          <cell r="C228" t="str">
            <v>Cali</v>
          </cell>
          <cell r="D228" t="str">
            <v>CL 12B oeste 53Bis 13 brisas de mayo</v>
          </cell>
          <cell r="E228" t="str">
            <v/>
          </cell>
          <cell r="F228" t="str">
            <v>3153158343</v>
          </cell>
          <cell r="G228" t="str">
            <v>3168668567</v>
          </cell>
          <cell r="H228" t="str">
            <v>Control</v>
          </cell>
        </row>
        <row r="229">
          <cell r="A229">
            <v>31249710</v>
          </cell>
          <cell r="B229" t="str">
            <v>María Soledad</v>
          </cell>
          <cell r="C229" t="str">
            <v>Cali</v>
          </cell>
          <cell r="D229" t="str">
            <v>Kr 53 12 E Bis 17 oeste</v>
          </cell>
          <cell r="E229" t="str">
            <v>A 3 casas de la Tienda Mixta</v>
          </cell>
          <cell r="F229" t="str">
            <v>3145212142</v>
          </cell>
          <cell r="G229" t="str">
            <v>3107267274</v>
          </cell>
          <cell r="H229" t="str">
            <v>Control</v>
          </cell>
        </row>
        <row r="230">
          <cell r="A230">
            <v>31255887</v>
          </cell>
          <cell r="B230" t="str">
            <v>Yolanda</v>
          </cell>
          <cell r="C230" t="str">
            <v>Cali</v>
          </cell>
          <cell r="D230" t="str">
            <v>Calle 19 Oeste # 50C-19</v>
          </cell>
          <cell r="E230" t="str">
            <v xml:space="preserve">Se mete por el sector de las palmas pasando el puente amarillo </v>
          </cell>
          <cell r="F230" t="str">
            <v>3177513086</v>
          </cell>
          <cell r="G230" t="str">
            <v>3166496382</v>
          </cell>
          <cell r="H230" t="str">
            <v>Control</v>
          </cell>
        </row>
        <row r="231">
          <cell r="A231">
            <v>31264863</v>
          </cell>
          <cell r="B231" t="str">
            <v xml:space="preserve">LUZ MARINA </v>
          </cell>
          <cell r="C231" t="str">
            <v>Cali</v>
          </cell>
          <cell r="D231" t="str">
            <v>CL 8D OESTE 44A 31</v>
          </cell>
          <cell r="E231" t="str">
            <v xml:space="preserve">Por toda la calle 8 D oeste </v>
          </cell>
          <cell r="F231" t="str">
            <v>3218627550</v>
          </cell>
          <cell r="G231" t="str">
            <v>3126630426</v>
          </cell>
          <cell r="H231" t="str">
            <v>Control</v>
          </cell>
        </row>
        <row r="232">
          <cell r="A232">
            <v>31264907</v>
          </cell>
          <cell r="B232" t="str">
            <v>Maria Elcira</v>
          </cell>
          <cell r="C232" t="str">
            <v>Cali</v>
          </cell>
          <cell r="D232" t="str">
            <v>Kr 44A 8B oeste 52</v>
          </cell>
          <cell r="E232" t="str">
            <v xml:space="preserve">Dg ferretería don Manuel </v>
          </cell>
          <cell r="F232" t="str">
            <v>3172694483</v>
          </cell>
          <cell r="G232" t="str">
            <v xml:space="preserve">No dan información </v>
          </cell>
          <cell r="H232" t="str">
            <v>Control</v>
          </cell>
        </row>
        <row r="233">
          <cell r="A233">
            <v>31272555</v>
          </cell>
          <cell r="B233" t="str">
            <v>Reina María</v>
          </cell>
          <cell r="C233" t="str">
            <v>Cali</v>
          </cell>
          <cell r="D233" t="str">
            <v>Kr 53 F 12 B 34 Oeste brisas de mayo</v>
          </cell>
          <cell r="E233" t="str">
            <v>Cerca Cable mío tienda de lucho</v>
          </cell>
          <cell r="F233" t="str">
            <v>3122042920</v>
          </cell>
          <cell r="G233" t="str">
            <v>3177096323</v>
          </cell>
          <cell r="H233" t="str">
            <v>Control</v>
          </cell>
        </row>
        <row r="234">
          <cell r="A234">
            <v>31282655</v>
          </cell>
          <cell r="B234" t="str">
            <v>Graciela</v>
          </cell>
          <cell r="C234" t="str">
            <v>Cali</v>
          </cell>
          <cell r="D234" t="str">
            <v>Cl 18 oeste 47- 49 oeste</v>
          </cell>
          <cell r="E234" t="str">
            <v>Diagonal colegio los turpiales adelantito puente amarillo</v>
          </cell>
          <cell r="F234" t="str">
            <v>3172969366</v>
          </cell>
          <cell r="G234" t="str">
            <v>3173938014</v>
          </cell>
          <cell r="H234" t="str">
            <v>Control</v>
          </cell>
        </row>
        <row r="235">
          <cell r="A235">
            <v>31295696</v>
          </cell>
          <cell r="B235" t="str">
            <v>Mery floralba</v>
          </cell>
          <cell r="C235" t="str">
            <v>Cali</v>
          </cell>
          <cell r="D235" t="str">
            <v>CL 8 oeste 43 36</v>
          </cell>
          <cell r="E235" t="str">
            <v/>
          </cell>
          <cell r="F235" t="str">
            <v>3127701878</v>
          </cell>
          <cell r="G235" t="str">
            <v>3155251187</v>
          </cell>
          <cell r="H235" t="str">
            <v>Control</v>
          </cell>
        </row>
        <row r="236">
          <cell r="A236">
            <v>31299759</v>
          </cell>
          <cell r="B236" t="str">
            <v xml:space="preserve">AMANDA </v>
          </cell>
          <cell r="C236" t="str">
            <v>Cali</v>
          </cell>
          <cell r="D236" t="str">
            <v>CALLE 20 OESTE 46 23</v>
          </cell>
          <cell r="E236" t="str">
            <v>Al frente del lote finalizando</v>
          </cell>
          <cell r="F236" t="str">
            <v>3215373962</v>
          </cell>
          <cell r="G236" t="str">
            <v>3117149581</v>
          </cell>
          <cell r="H236" t="str">
            <v>Control</v>
          </cell>
        </row>
        <row r="237">
          <cell r="A237">
            <v>31304971</v>
          </cell>
          <cell r="B237" t="str">
            <v>Maria Fidelina</v>
          </cell>
          <cell r="C237" t="str">
            <v>Cali</v>
          </cell>
          <cell r="D237" t="str">
            <v>Kr 53 Cl 12 E oeste 21</v>
          </cell>
          <cell r="E237" t="str">
            <v>Cerca a la tienda Mixta a dos casa</v>
          </cell>
          <cell r="F237" t="str">
            <v>3207626688</v>
          </cell>
          <cell r="G237" t="str">
            <v>3175502512</v>
          </cell>
          <cell r="H237" t="str">
            <v>Control</v>
          </cell>
        </row>
        <row r="238">
          <cell r="A238">
            <v>31304999</v>
          </cell>
          <cell r="B238" t="str">
            <v>Ana</v>
          </cell>
          <cell r="C238" t="str">
            <v>Cali</v>
          </cell>
          <cell r="D238" t="str">
            <v xml:space="preserve">Creo 44a 8b 49 oeste </v>
          </cell>
          <cell r="E238" t="str">
            <v>Por la vía de gualla.  Los Villares de doña martha</v>
          </cell>
          <cell r="F238" t="str">
            <v>3218796256</v>
          </cell>
          <cell r="G238" t="str">
            <v>3185073942</v>
          </cell>
          <cell r="H238" t="str">
            <v>Control</v>
          </cell>
        </row>
        <row r="239">
          <cell r="A239">
            <v>31400886</v>
          </cell>
          <cell r="B239" t="str">
            <v>Rosaurina</v>
          </cell>
          <cell r="C239" t="str">
            <v>Cali</v>
          </cell>
          <cell r="D239" t="str">
            <v>Kr 54 12 A Bis 14 Oeste</v>
          </cell>
          <cell r="E239" t="str">
            <v>Cerca cable mío cuadra y media</v>
          </cell>
          <cell r="F239" t="str">
            <v>3165843718</v>
          </cell>
          <cell r="G239" t="str">
            <v xml:space="preserve">No dan información </v>
          </cell>
          <cell r="H239" t="str">
            <v>Control</v>
          </cell>
        </row>
        <row r="240">
          <cell r="A240">
            <v>31474654</v>
          </cell>
          <cell r="B240" t="str">
            <v xml:space="preserve">LUZ MARY </v>
          </cell>
          <cell r="C240" t="str">
            <v>Cali</v>
          </cell>
          <cell r="D240" t="str">
            <v>CR 54 12 03</v>
          </cell>
          <cell r="E240" t="str">
            <v>DIAGONAL al cable mio</v>
          </cell>
          <cell r="F240" t="str">
            <v>3136078904</v>
          </cell>
          <cell r="G240" t="str">
            <v>3178319594</v>
          </cell>
          <cell r="H240" t="str">
            <v>Control</v>
          </cell>
        </row>
        <row r="241">
          <cell r="A241">
            <v>31574328</v>
          </cell>
          <cell r="B241" t="str">
            <v>MÓNICA</v>
          </cell>
          <cell r="C241" t="str">
            <v>Cali</v>
          </cell>
          <cell r="D241" t="str">
            <v xml:space="preserve"> CRA 46C CON CL 22 OESTE ALTO LA SULTANA </v>
          </cell>
          <cell r="E241" t="str">
            <v>Llegan est de policía de la Sultana y suben hasta el basurero y siguen subiendo hasta llegar al primer Callejon</v>
          </cell>
          <cell r="F241" t="str">
            <v>3153816782</v>
          </cell>
          <cell r="G241" t="str">
            <v>3175958048</v>
          </cell>
          <cell r="H241" t="str">
            <v>Control</v>
          </cell>
        </row>
        <row r="242">
          <cell r="A242">
            <v>31579325</v>
          </cell>
          <cell r="B242" t="str">
            <v>MARIA DELMIRA</v>
          </cell>
          <cell r="C242" t="str">
            <v>Cali</v>
          </cell>
          <cell r="D242" t="str">
            <v>CL 16 OESTE 48 30</v>
          </cell>
          <cell r="E242" t="str">
            <v>Llegó a la estación cable mío LLERAS A UNA CUADRA EN LA TERCERA BAJO  UNA CUADRA,</v>
          </cell>
          <cell r="F242" t="str">
            <v>3186845720</v>
          </cell>
          <cell r="G242" t="str">
            <v>3177799629</v>
          </cell>
          <cell r="H242" t="str">
            <v>Control</v>
          </cell>
        </row>
        <row r="243">
          <cell r="A243">
            <v>31838102</v>
          </cell>
          <cell r="B243" t="str">
            <v xml:space="preserve">Teresa </v>
          </cell>
          <cell r="C243" t="str">
            <v>Cali</v>
          </cell>
          <cell r="D243" t="str">
            <v>CL 18 47  19</v>
          </cell>
          <cell r="E243" t="str">
            <v/>
          </cell>
          <cell r="F243" t="str">
            <v>3154557512</v>
          </cell>
          <cell r="G243" t="str">
            <v>3125712954</v>
          </cell>
          <cell r="H243" t="str">
            <v>Control</v>
          </cell>
        </row>
        <row r="244">
          <cell r="A244">
            <v>31849780</v>
          </cell>
          <cell r="B244" t="str">
            <v>TEODOMIRA</v>
          </cell>
          <cell r="C244" t="str">
            <v>Cali</v>
          </cell>
          <cell r="D244" t="str">
            <v>CRA 52B OESTE 12A 34 BRISAS DE MAYO SECTOR JUAN FERNANDEZ</v>
          </cell>
          <cell r="E244" t="str">
            <v>Llegó a la cruz subo derecho al cable mio se su e hasta el descanso allí está el en mallado allí hay una Y se coje la derecha y al fondo pregunta por la casa de la muda</v>
          </cell>
          <cell r="F244" t="str">
            <v/>
          </cell>
          <cell r="G244" t="str">
            <v xml:space="preserve">No dan información </v>
          </cell>
          <cell r="H244" t="str">
            <v>Control</v>
          </cell>
        </row>
        <row r="245">
          <cell r="A245">
            <v>31853274</v>
          </cell>
          <cell r="B245" t="str">
            <v>LUZ MIRIAM</v>
          </cell>
          <cell r="C245" t="str">
            <v>Cali</v>
          </cell>
          <cell r="D245" t="str">
            <v>CRA 54A 12A 10 BRISAS DE MAYO SECTOR LA CRUZ</v>
          </cell>
          <cell r="E245" t="str">
            <v>Enseguida de la tienda eylen</v>
          </cell>
          <cell r="F245" t="str">
            <v>3144228691</v>
          </cell>
          <cell r="G245" t="str">
            <v>3155541246</v>
          </cell>
          <cell r="H245" t="str">
            <v>Control</v>
          </cell>
        </row>
        <row r="246">
          <cell r="A246">
            <v>31855498</v>
          </cell>
          <cell r="B246" t="str">
            <v xml:space="preserve">Amparo </v>
          </cell>
          <cell r="C246" t="str">
            <v>Cali</v>
          </cell>
          <cell r="D246" t="str">
            <v>CL 20 oeste 46 33</v>
          </cell>
          <cell r="E246" t="str">
            <v/>
          </cell>
          <cell r="F246" t="str">
            <v>3184540183</v>
          </cell>
          <cell r="G246" t="str">
            <v>3218641135</v>
          </cell>
          <cell r="H246" t="str">
            <v>Control</v>
          </cell>
        </row>
        <row r="247">
          <cell r="A247">
            <v>31855556</v>
          </cell>
          <cell r="B247" t="str">
            <v>María yolanda</v>
          </cell>
          <cell r="C247" t="str">
            <v>Cali</v>
          </cell>
          <cell r="D247" t="str">
            <v xml:space="preserve">
Cr 53B oeste 12B 20</v>
          </cell>
          <cell r="E247" t="str">
            <v/>
          </cell>
          <cell r="F247" t="str">
            <v>3154421673</v>
          </cell>
          <cell r="G247" t="str">
            <v>3113150303</v>
          </cell>
          <cell r="H247" t="str">
            <v>Control</v>
          </cell>
        </row>
        <row r="248">
          <cell r="A248">
            <v>31857033</v>
          </cell>
          <cell r="B248" t="str">
            <v>MARICELA</v>
          </cell>
          <cell r="C248" t="str">
            <v>Cali</v>
          </cell>
          <cell r="D248" t="str">
            <v>KR 46B OESTE 8B 37</v>
          </cell>
          <cell r="E248" t="str">
            <v>DIAGONAL A LA CASA DE LOS GRINGOS ES UNA BAJADITA DE 3 METROS DE ESCALERA</v>
          </cell>
          <cell r="F248" t="str">
            <v>3004251950</v>
          </cell>
          <cell r="G248" t="str">
            <v>3188612617</v>
          </cell>
          <cell r="H248" t="str">
            <v>Control</v>
          </cell>
        </row>
        <row r="249">
          <cell r="A249">
            <v>31857560</v>
          </cell>
          <cell r="B249" t="str">
            <v>María fulvia jacinta</v>
          </cell>
          <cell r="C249" t="str">
            <v>Cali</v>
          </cell>
          <cell r="D249" t="str">
            <v>Cr 53d 12b 14 oeste</v>
          </cell>
          <cell r="E249" t="str">
            <v>Cable de brisas de mayo hacia arriba</v>
          </cell>
          <cell r="F249" t="str">
            <v>3155853602</v>
          </cell>
          <cell r="G249" t="str">
            <v>3216297470</v>
          </cell>
          <cell r="H249" t="str">
            <v>Control</v>
          </cell>
        </row>
        <row r="250">
          <cell r="A250">
            <v>31858321</v>
          </cell>
          <cell r="B250" t="str">
            <v xml:space="preserve">MARIA DOMINGA </v>
          </cell>
          <cell r="C250" t="str">
            <v>Cali</v>
          </cell>
          <cell r="D250" t="str">
            <v>Calle 20 OESTE 46 29</v>
          </cell>
          <cell r="E250" t="str">
            <v>Al frente lote del municipio</v>
          </cell>
          <cell r="F250" t="str">
            <v>3148342692</v>
          </cell>
          <cell r="G250" t="str">
            <v>3154019893</v>
          </cell>
          <cell r="H250" t="str">
            <v>Control</v>
          </cell>
        </row>
        <row r="251">
          <cell r="A251">
            <v>31870926</v>
          </cell>
          <cell r="B251" t="str">
            <v>MELBA INES</v>
          </cell>
          <cell r="C251" t="str">
            <v>Cali</v>
          </cell>
          <cell r="D251" t="str">
            <v>CL 16 OESTE 49 26 LLERAS</v>
          </cell>
          <cell r="E251" t="str">
            <v>Llegó la est cable mío LLERAS BAJO AL SECTOR LA TERCERA EN LA ESQUINA LA TERCERA CASA</v>
          </cell>
          <cell r="F251" t="str">
            <v>3145885299</v>
          </cell>
          <cell r="G251" t="str">
            <v>3013118969</v>
          </cell>
          <cell r="H251" t="str">
            <v>Control</v>
          </cell>
        </row>
        <row r="252">
          <cell r="A252">
            <v>31873574</v>
          </cell>
          <cell r="B252" t="str">
            <v xml:space="preserve">María del Carmen </v>
          </cell>
          <cell r="C252" t="str">
            <v>Cali</v>
          </cell>
          <cell r="D252" t="str">
            <v>Cr 53D oeste 12-07</v>
          </cell>
          <cell r="E252" t="str">
            <v/>
          </cell>
          <cell r="F252" t="str">
            <v>3006215130</v>
          </cell>
          <cell r="G252" t="str">
            <v>No tiene</v>
          </cell>
          <cell r="H252" t="str">
            <v>Control</v>
          </cell>
        </row>
        <row r="253">
          <cell r="A253">
            <v>31876572</v>
          </cell>
          <cell r="B253" t="str">
            <v>BERTHA LUCIA</v>
          </cell>
          <cell r="C253" t="str">
            <v>Cali</v>
          </cell>
          <cell r="D253" t="str">
            <v xml:space="preserve">CR 46 20C 59 OESTE </v>
          </cell>
          <cell r="E253" t="str">
            <v>Llegó a la edta ion de policía la Sultana subo a mano derecha llegó al basurero y a mano derecha a la 5 casa</v>
          </cell>
          <cell r="F253" t="str">
            <v>3173577773</v>
          </cell>
          <cell r="G253" t="str">
            <v>3188654447</v>
          </cell>
          <cell r="H253" t="str">
            <v>Control</v>
          </cell>
        </row>
        <row r="254">
          <cell r="A254">
            <v>31884956</v>
          </cell>
          <cell r="B254" t="str">
            <v>AYDEE</v>
          </cell>
          <cell r="C254" t="str">
            <v>Cali</v>
          </cell>
          <cell r="D254" t="str">
            <v>CR 44A OESTE 8B 37 SECTOR LAS GUAYAS</v>
          </cell>
          <cell r="E254" t="str">
            <v xml:space="preserve">ADENTRO DE UN PASILLO DE CINCO ESQUINAS </v>
          </cell>
          <cell r="F254" t="str">
            <v>3206651219</v>
          </cell>
          <cell r="G254" t="str">
            <v>3206983990</v>
          </cell>
          <cell r="H254" t="str">
            <v>Control</v>
          </cell>
        </row>
        <row r="255">
          <cell r="A255">
            <v>31895484</v>
          </cell>
          <cell r="B255" t="str">
            <v>MARIA OFELIA</v>
          </cell>
          <cell r="C255" t="str">
            <v>Cali</v>
          </cell>
          <cell r="D255" t="str">
            <v>CARRERA 44A OESTE 8B 40</v>
          </cell>
          <cell r="E255" t="str">
            <v>A MEDIA CUADRA DE LA TIENDA DE MARLENI</v>
          </cell>
          <cell r="F255" t="str">
            <v>3028609909</v>
          </cell>
          <cell r="G255" t="str">
            <v>3215277153</v>
          </cell>
          <cell r="H255" t="str">
            <v>Control</v>
          </cell>
        </row>
        <row r="256">
          <cell r="A256">
            <v>31905712</v>
          </cell>
          <cell r="B256" t="str">
            <v xml:space="preserve">FIDELINE </v>
          </cell>
          <cell r="C256" t="str">
            <v>Cali</v>
          </cell>
          <cell r="D256" t="str">
            <v>CL 11 OESTE 46B 14</v>
          </cell>
          <cell r="E256" t="str">
            <v xml:space="preserve">Subiendo por toda la 11B en toda la curva </v>
          </cell>
          <cell r="F256" t="str">
            <v>3158910418</v>
          </cell>
          <cell r="G256" t="str">
            <v xml:space="preserve">No dan información </v>
          </cell>
          <cell r="H256" t="str">
            <v>Control</v>
          </cell>
        </row>
        <row r="257">
          <cell r="A257">
            <v>31909838</v>
          </cell>
          <cell r="B257" t="str">
            <v>MARÍA BELBA</v>
          </cell>
          <cell r="C257" t="str">
            <v>Cali</v>
          </cell>
          <cell r="D257" t="str">
            <v>CL 15 OESTE 46 10</v>
          </cell>
          <cell r="E257" t="str">
            <v>Sector Bombillo rojo esquina al final de las escaleras</v>
          </cell>
          <cell r="F257" t="str">
            <v>3012947414</v>
          </cell>
          <cell r="G257" t="str">
            <v>3172511947</v>
          </cell>
          <cell r="H257" t="str">
            <v>Control</v>
          </cell>
        </row>
        <row r="258">
          <cell r="A258">
            <v>31914369</v>
          </cell>
          <cell r="B258" t="str">
            <v>Yolanda</v>
          </cell>
          <cell r="C258" t="str">
            <v>Cali</v>
          </cell>
          <cell r="D258" t="str">
            <v>Cr 44A oeste 8B 41</v>
          </cell>
          <cell r="E258" t="str">
            <v/>
          </cell>
          <cell r="F258" t="str">
            <v>3225404519</v>
          </cell>
          <cell r="G258" t="str">
            <v>3187516394</v>
          </cell>
          <cell r="H258" t="str">
            <v>Control</v>
          </cell>
        </row>
        <row r="259">
          <cell r="A259">
            <v>31916260</v>
          </cell>
          <cell r="B259" t="str">
            <v xml:space="preserve">LUZ MARIELA </v>
          </cell>
          <cell r="C259" t="str">
            <v>Cali</v>
          </cell>
          <cell r="D259" t="str">
            <v>CL 11 OESTE 46-50</v>
          </cell>
          <cell r="E259" t="str">
            <v xml:space="preserve">De la tienda de el pastusito a la quinta casa </v>
          </cell>
          <cell r="F259" t="str">
            <v/>
          </cell>
          <cell r="G259" t="str">
            <v xml:space="preserve">No dan información </v>
          </cell>
          <cell r="H259" t="str">
            <v>Control</v>
          </cell>
        </row>
        <row r="260">
          <cell r="A260">
            <v>31923606</v>
          </cell>
          <cell r="B260" t="str">
            <v>Gloria Amparo</v>
          </cell>
          <cell r="C260" t="str">
            <v>Cali</v>
          </cell>
          <cell r="D260" t="str">
            <v>Kr 54 B oeste 14 23</v>
          </cell>
          <cell r="E260" t="str">
            <v>Diagonal  de la tienda la mona, 5 casas</v>
          </cell>
          <cell r="F260" t="str">
            <v>3187530587</v>
          </cell>
          <cell r="G260" t="str">
            <v>3173142283</v>
          </cell>
          <cell r="H260" t="str">
            <v>Control</v>
          </cell>
        </row>
        <row r="261">
          <cell r="A261">
            <v>31924208</v>
          </cell>
          <cell r="B261" t="str">
            <v>Henrry</v>
          </cell>
          <cell r="C261" t="str">
            <v>Cali</v>
          </cell>
          <cell r="D261" t="str">
            <v>Cl18 oeste 50b45 oeste</v>
          </cell>
          <cell r="E261" t="str">
            <v>Sector las palmas entrada la capilla</v>
          </cell>
          <cell r="F261" t="str">
            <v>3161818571</v>
          </cell>
          <cell r="G261" t="str">
            <v xml:space="preserve">No dan información </v>
          </cell>
          <cell r="H261" t="str">
            <v>Control</v>
          </cell>
        </row>
        <row r="262">
          <cell r="A262">
            <v>31925580</v>
          </cell>
          <cell r="B262" t="str">
            <v xml:space="preserve">FLOR </v>
          </cell>
          <cell r="C262" t="str">
            <v>Cali</v>
          </cell>
          <cell r="D262" t="str">
            <v>CRA 44 OESTE 8B 19</v>
          </cell>
          <cell r="E262" t="str">
            <v>LlEGAR A LA ESQUINA BILLARES DE DOÑA MARTA ENTRAR AL CALLEJON EL SECTOR LAS GUAYAS CERCA A TIERRA BLANCA</v>
          </cell>
          <cell r="F262" t="str">
            <v>3217941390</v>
          </cell>
          <cell r="G262" t="str">
            <v>3173532671</v>
          </cell>
          <cell r="H262" t="str">
            <v>Control</v>
          </cell>
        </row>
        <row r="263">
          <cell r="A263">
            <v>31931128</v>
          </cell>
          <cell r="B263" t="str">
            <v>Pastora Esneda</v>
          </cell>
          <cell r="C263" t="str">
            <v>Cali</v>
          </cell>
          <cell r="D263" t="str">
            <v>Carrera 50C # 18-36 piso 2</v>
          </cell>
          <cell r="E263" t="str">
            <v xml:space="preserve">Las palmas la 2a. Casa antes del puente amarillo </v>
          </cell>
          <cell r="F263" t="str">
            <v>3168448163</v>
          </cell>
          <cell r="G263" t="str">
            <v>3123836653</v>
          </cell>
          <cell r="H263" t="str">
            <v>Control</v>
          </cell>
        </row>
        <row r="264">
          <cell r="A264">
            <v>31948620</v>
          </cell>
          <cell r="B264" t="str">
            <v>Martha cecilia</v>
          </cell>
          <cell r="C264" t="str">
            <v>Cali</v>
          </cell>
          <cell r="D264" t="str">
            <v>Calle 8 oeste 43 18</v>
          </cell>
          <cell r="E264" t="str">
            <v/>
          </cell>
          <cell r="F264" t="str">
            <v>3187766013</v>
          </cell>
          <cell r="G264" t="str">
            <v>3188502284</v>
          </cell>
          <cell r="H264" t="str">
            <v>Control</v>
          </cell>
        </row>
        <row r="265">
          <cell r="A265">
            <v>32078660</v>
          </cell>
          <cell r="B265" t="str">
            <v>María Dioselina</v>
          </cell>
          <cell r="C265" t="str">
            <v>Medellin</v>
          </cell>
          <cell r="D265" t="str">
            <v>Calle 111 42E 21 Int 109</v>
          </cell>
          <cell r="E265" t="str">
            <v/>
          </cell>
          <cell r="F265" t="str">
            <v>3004206161</v>
          </cell>
          <cell r="G265" t="str">
            <v>No</v>
          </cell>
          <cell r="H265" t="str">
            <v>Control</v>
          </cell>
        </row>
        <row r="266">
          <cell r="A266">
            <v>32182047</v>
          </cell>
          <cell r="B266" t="str">
            <v xml:space="preserve">Gloria Maria </v>
          </cell>
          <cell r="C266" t="str">
            <v>Medellin</v>
          </cell>
          <cell r="D266" t="str">
            <v>Carrera 43B 107 28 int 116</v>
          </cell>
          <cell r="E266" t="str">
            <v xml:space="preserve"> 2 cuadras abajo de la estación popula</v>
          </cell>
          <cell r="F266" t="str">
            <v>3043409871</v>
          </cell>
          <cell r="G266" t="str">
            <v>No tiene</v>
          </cell>
          <cell r="H266" t="str">
            <v>Control</v>
          </cell>
        </row>
        <row r="267">
          <cell r="A267">
            <v>32255078</v>
          </cell>
          <cell r="B267" t="str">
            <v>Lina Maria</v>
          </cell>
          <cell r="C267" t="str">
            <v>Medellin</v>
          </cell>
          <cell r="D267" t="str">
            <v>Cl 99 44A 4 Apto 202</v>
          </cell>
          <cell r="E267" t="str">
            <v>Colegio la Graciela a una cuadra</v>
          </cell>
          <cell r="F267" t="str">
            <v>3011963008</v>
          </cell>
          <cell r="G267" t="str">
            <v>No</v>
          </cell>
          <cell r="H267" t="str">
            <v>Control</v>
          </cell>
        </row>
        <row r="268">
          <cell r="A268">
            <v>32323288</v>
          </cell>
          <cell r="B268" t="str">
            <v>Vilma</v>
          </cell>
          <cell r="C268" t="str">
            <v>Medellin</v>
          </cell>
          <cell r="D268" t="str">
            <v>Cr 42 C 110B03</v>
          </cell>
          <cell r="E268" t="str">
            <v>Cerca a la uva</v>
          </cell>
          <cell r="F268" t="str">
            <v>3101257745</v>
          </cell>
          <cell r="G268" t="str">
            <v/>
          </cell>
          <cell r="H268" t="str">
            <v>Control</v>
          </cell>
        </row>
        <row r="269">
          <cell r="A269">
            <v>32342765</v>
          </cell>
          <cell r="B269" t="str">
            <v>Blanca Oliva</v>
          </cell>
          <cell r="C269" t="str">
            <v>Medellin</v>
          </cell>
          <cell r="D269" t="str">
            <v>Calle 108A 46  07</v>
          </cell>
          <cell r="E269" t="str">
            <v>A media cuadra de la droguería el futuro</v>
          </cell>
          <cell r="F269" t="str">
            <v>3105178435</v>
          </cell>
          <cell r="G269" t="str">
            <v>No</v>
          </cell>
          <cell r="H269" t="str">
            <v>Control</v>
          </cell>
        </row>
        <row r="270">
          <cell r="A270">
            <v>32393942</v>
          </cell>
          <cell r="B270" t="str">
            <v>Elkin Arley</v>
          </cell>
          <cell r="C270" t="str">
            <v>Medellin</v>
          </cell>
          <cell r="D270" t="str">
            <v>Calle 107D 38A 33</v>
          </cell>
          <cell r="E270" t="str">
            <v>Al frente de la droguería Maus</v>
          </cell>
          <cell r="F270" t="str">
            <v>3008477036</v>
          </cell>
          <cell r="G270" t="str">
            <v>No</v>
          </cell>
          <cell r="H270" t="str">
            <v>Control</v>
          </cell>
        </row>
        <row r="271">
          <cell r="A271">
            <v>32430020</v>
          </cell>
          <cell r="B271" t="str">
            <v>María  aurora</v>
          </cell>
          <cell r="C271" t="str">
            <v>Medellin</v>
          </cell>
          <cell r="D271" t="str">
            <v>Cr43A 120C20</v>
          </cell>
          <cell r="E271" t="str">
            <v>Cerca  fepi</v>
          </cell>
          <cell r="F271" t="str">
            <v>3137857915</v>
          </cell>
          <cell r="G271" t="str">
            <v>3137857915</v>
          </cell>
          <cell r="H271" t="str">
            <v>Control</v>
          </cell>
        </row>
        <row r="272">
          <cell r="A272">
            <v>32452654</v>
          </cell>
          <cell r="B272" t="str">
            <v xml:space="preserve">Maria Edilma </v>
          </cell>
          <cell r="C272" t="str">
            <v>Medellin</v>
          </cell>
          <cell r="D272" t="str">
            <v>CRA 46 A # 108A - 02</v>
          </cell>
          <cell r="E272" t="str">
            <v xml:space="preserve">Al mercacomodo que queda cerca a la estación Andalucía del metro cable </v>
          </cell>
          <cell r="F272" t="str">
            <v>3227329867</v>
          </cell>
          <cell r="G272" t="str">
            <v>3012469439</v>
          </cell>
          <cell r="H272" t="str">
            <v>Control</v>
          </cell>
        </row>
        <row r="273">
          <cell r="A273">
            <v>32455454</v>
          </cell>
          <cell r="B273" t="str">
            <v>María Ofir</v>
          </cell>
          <cell r="C273" t="str">
            <v>Medellin</v>
          </cell>
          <cell r="D273" t="str">
            <v>Calle 107 43 40</v>
          </cell>
          <cell r="E273" t="str">
            <v xml:space="preserve">A dos cuadras del metro cable </v>
          </cell>
          <cell r="F273" t="str">
            <v>3226195861</v>
          </cell>
          <cell r="G273" t="str">
            <v xml:space="preserve">Ni tiene </v>
          </cell>
          <cell r="H273" t="str">
            <v>Control</v>
          </cell>
        </row>
        <row r="274">
          <cell r="A274">
            <v>32465235</v>
          </cell>
          <cell r="B274" t="str">
            <v xml:space="preserve">
María del Carmen </v>
          </cell>
          <cell r="C274" t="str">
            <v>Medellin</v>
          </cell>
          <cell r="D274" t="str">
            <v>Carrera 43B 107B 15</v>
          </cell>
          <cell r="E274" t="str">
            <v xml:space="preserve">2 cuadras abajo de la estación del popular </v>
          </cell>
          <cell r="F274" t="str">
            <v>3023940415</v>
          </cell>
          <cell r="G274" t="str">
            <v xml:space="preserve">No tiene </v>
          </cell>
          <cell r="H274" t="str">
            <v>Control</v>
          </cell>
        </row>
        <row r="275">
          <cell r="A275">
            <v>32479953</v>
          </cell>
          <cell r="B275" t="str">
            <v>María Jorgelina</v>
          </cell>
          <cell r="C275" t="str">
            <v>Medellin</v>
          </cell>
          <cell r="D275" t="str">
            <v>Cra 43B 107E 37</v>
          </cell>
          <cell r="E275" t="str">
            <v>Al frente de la iglesia la Divina providencia</v>
          </cell>
          <cell r="F275" t="str">
            <v>604 267 18 05</v>
          </cell>
          <cell r="G275" t="str">
            <v>No</v>
          </cell>
          <cell r="H275" t="str">
            <v>Control</v>
          </cell>
        </row>
        <row r="276">
          <cell r="A276">
            <v>32487224</v>
          </cell>
          <cell r="B276" t="str">
            <v xml:space="preserve">Francisco Javier </v>
          </cell>
          <cell r="C276" t="str">
            <v>Medellin</v>
          </cell>
          <cell r="D276" t="str">
            <v>Cr 46 107d 05 in 110</v>
          </cell>
          <cell r="E276" t="str">
            <v>Cerca a la estación de Andalucía del metrocable, segundo callejón después de la farmacia el pomarcito</v>
          </cell>
          <cell r="F276" t="str">
            <v>3045507169</v>
          </cell>
          <cell r="G276" t="str">
            <v>3045507169</v>
          </cell>
          <cell r="H276" t="str">
            <v>Control</v>
          </cell>
        </row>
        <row r="277">
          <cell r="A277">
            <v>32500559</v>
          </cell>
          <cell r="B277" t="str">
            <v xml:space="preserve">Flor María </v>
          </cell>
          <cell r="C277" t="str">
            <v>Medellin</v>
          </cell>
          <cell r="D277" t="str">
            <v>CRA 43 # 107A - 26</v>
          </cell>
          <cell r="E277" t="str">
            <v>Cerca del D1 que queda en el popular 1</v>
          </cell>
          <cell r="F277" t="str">
            <v>3234078791</v>
          </cell>
          <cell r="G277" t="str">
            <v>6045957860</v>
          </cell>
          <cell r="H277" t="str">
            <v>Control</v>
          </cell>
        </row>
        <row r="278">
          <cell r="A278">
            <v>32501795</v>
          </cell>
          <cell r="B278" t="str">
            <v>Milena</v>
          </cell>
          <cell r="C278" t="str">
            <v>Medellin</v>
          </cell>
          <cell r="D278" t="str">
            <v>Cl 97 44 47</v>
          </cell>
          <cell r="E278" t="str">
            <v>Cerca de la terminal de Aranjuez</v>
          </cell>
          <cell r="F278" t="str">
            <v>3197347152</v>
          </cell>
          <cell r="G278" t="str">
            <v>No</v>
          </cell>
          <cell r="H278" t="str">
            <v>Control</v>
          </cell>
        </row>
        <row r="279">
          <cell r="A279">
            <v>32513453</v>
          </cell>
          <cell r="B279" t="str">
            <v xml:space="preserve">Alba Luz </v>
          </cell>
          <cell r="C279" t="str">
            <v>Medellin</v>
          </cell>
          <cell r="D279" t="str">
            <v>CRA 46 #  108A - 36</v>
          </cell>
          <cell r="E279" t="str">
            <v xml:space="preserve">Al mercacomodo que queda cerca de la estación Andalucía del metro cable </v>
          </cell>
          <cell r="F279" t="str">
            <v>3146761778</v>
          </cell>
          <cell r="G279" t="str">
            <v>3226508176</v>
          </cell>
          <cell r="H279" t="str">
            <v>Control</v>
          </cell>
        </row>
        <row r="280">
          <cell r="A280">
            <v>32516837</v>
          </cell>
          <cell r="B280" t="str">
            <v>María Edilia</v>
          </cell>
          <cell r="C280" t="str">
            <v>Medellin</v>
          </cell>
          <cell r="D280" t="str">
            <v>Carrera 43A 107B 52 int 101</v>
          </cell>
          <cell r="E280" t="str">
            <v>Detrás del D1</v>
          </cell>
          <cell r="F280" t="str">
            <v>3046118572</v>
          </cell>
          <cell r="G280" t="str">
            <v>No tiene</v>
          </cell>
          <cell r="H280" t="str">
            <v>Control</v>
          </cell>
        </row>
        <row r="281">
          <cell r="A281">
            <v>32521000</v>
          </cell>
          <cell r="B281" t="str">
            <v>Ana Libia</v>
          </cell>
          <cell r="C281" t="str">
            <v>Medellin</v>
          </cell>
          <cell r="D281" t="str">
            <v>Cra 43 No 109 7</v>
          </cell>
          <cell r="E281" t="str">
            <v>Cerca a la acción comunal media cuadra arriba</v>
          </cell>
          <cell r="F281" t="str">
            <v>3146153009</v>
          </cell>
          <cell r="G281" t="str">
            <v>No</v>
          </cell>
          <cell r="H281" t="str">
            <v>Control</v>
          </cell>
        </row>
        <row r="282">
          <cell r="A282">
            <v>32525563</v>
          </cell>
          <cell r="B282" t="str">
            <v>GLORIA LUCÍA RUIZ DIOSA</v>
          </cell>
          <cell r="C282" t="str">
            <v>Medellin</v>
          </cell>
          <cell r="D282" t="str">
            <v>CR43B.107 B 13 int 103</v>
          </cell>
          <cell r="E282" t="str">
            <v>Metro cable</v>
          </cell>
          <cell r="F282" t="str">
            <v>3154808339</v>
          </cell>
          <cell r="G282" t="str">
            <v>3163261536 nieta</v>
          </cell>
          <cell r="H282" t="str">
            <v>Control</v>
          </cell>
        </row>
        <row r="283">
          <cell r="A283">
            <v>32526054</v>
          </cell>
          <cell r="B283" t="str">
            <v xml:space="preserve">Flor del Socorro </v>
          </cell>
          <cell r="C283" t="str">
            <v>Medellin</v>
          </cell>
          <cell r="D283" t="str">
            <v>Cl 99 # 44B - 24</v>
          </cell>
          <cell r="E283" t="str">
            <v xml:space="preserve">Terminar de buses de Aranjuez Anillo </v>
          </cell>
          <cell r="F283" t="str">
            <v>3115658890</v>
          </cell>
          <cell r="G283" t="str">
            <v>3234521585</v>
          </cell>
          <cell r="H283" t="str">
            <v>Control</v>
          </cell>
        </row>
        <row r="284">
          <cell r="A284">
            <v>32538485</v>
          </cell>
          <cell r="B284" t="str">
            <v xml:space="preserve">Cruz Elena </v>
          </cell>
          <cell r="C284" t="str">
            <v>Medellin</v>
          </cell>
          <cell r="D284" t="str">
            <v>CRA 44B # 98 - 47</v>
          </cell>
          <cell r="E284" t="str">
            <v xml:space="preserve">Cerca a la terminal de buses de Aranjuez Anillo </v>
          </cell>
          <cell r="F284" t="str">
            <v>3117487108</v>
          </cell>
          <cell r="G284" t="str">
            <v>6045853784</v>
          </cell>
          <cell r="H284" t="str">
            <v>Control</v>
          </cell>
        </row>
        <row r="285">
          <cell r="A285">
            <v>325743367</v>
          </cell>
          <cell r="B285" t="str">
            <v>María Eugenia</v>
          </cell>
          <cell r="C285" t="str">
            <v>Medellin</v>
          </cell>
          <cell r="D285" t="str">
            <v>Cl 107E # 42C 20</v>
          </cell>
          <cell r="E285" t="str">
            <v>2 cuadras abajo de la estacion</v>
          </cell>
          <cell r="F285" t="str">
            <v>3225743367</v>
          </cell>
          <cell r="G285" t="str">
            <v>No</v>
          </cell>
          <cell r="H285" t="str">
            <v>Control</v>
          </cell>
        </row>
        <row r="286">
          <cell r="A286">
            <v>32609231</v>
          </cell>
          <cell r="B286" t="str">
            <v xml:space="preserve">Claudia Patricia </v>
          </cell>
          <cell r="C286" t="str">
            <v>Baranquilla</v>
          </cell>
          <cell r="D286" t="str">
            <v>Carrera 3 f # 49b-105</v>
          </cell>
          <cell r="E286" t="str">
            <v xml:space="preserve">Frente al parque </v>
          </cell>
          <cell r="F286" t="str">
            <v>3013449969</v>
          </cell>
          <cell r="G286" t="str">
            <v>3003437420</v>
          </cell>
          <cell r="H286" t="str">
            <v>Control</v>
          </cell>
        </row>
        <row r="287">
          <cell r="A287">
            <v>32619848</v>
          </cell>
          <cell r="B287" t="str">
            <v>Luís Alberto</v>
          </cell>
          <cell r="C287" t="str">
            <v>Baranquilla</v>
          </cell>
          <cell r="D287" t="str">
            <v>Calle 49 b #3e-108</v>
          </cell>
          <cell r="E287" t="str">
            <v/>
          </cell>
          <cell r="F287" t="str">
            <v>3018028327</v>
          </cell>
          <cell r="G287" t="str">
            <v>3004633029</v>
          </cell>
          <cell r="H287" t="str">
            <v>Control</v>
          </cell>
        </row>
        <row r="288">
          <cell r="A288">
            <v>32620693</v>
          </cell>
          <cell r="B288" t="str">
            <v xml:space="preserve">María </v>
          </cell>
          <cell r="C288" t="str">
            <v>Baranquilla</v>
          </cell>
          <cell r="D288" t="str">
            <v>Carrera 4 #49E-111</v>
          </cell>
          <cell r="E288" t="str">
            <v>Casa color verde</v>
          </cell>
          <cell r="F288" t="str">
            <v>3008360005</v>
          </cell>
          <cell r="G288" t="str">
            <v>3114132729</v>
          </cell>
          <cell r="H288" t="str">
            <v>Control</v>
          </cell>
        </row>
        <row r="289">
          <cell r="A289">
            <v>32627098</v>
          </cell>
          <cell r="B289" t="str">
            <v xml:space="preserve">Betty Cecilia </v>
          </cell>
          <cell r="C289" t="str">
            <v>Baranquilla</v>
          </cell>
          <cell r="D289" t="str">
            <v>Calle 74 9 sur 82</v>
          </cell>
          <cell r="E289" t="str">
            <v xml:space="preserve">Bajando el colegio la comunal </v>
          </cell>
          <cell r="F289" t="str">
            <v>3242240135</v>
          </cell>
          <cell r="G289" t="str">
            <v>3003776236</v>
          </cell>
          <cell r="H289" t="str">
            <v>Control</v>
          </cell>
        </row>
        <row r="290">
          <cell r="A290">
            <v>32632016</v>
          </cell>
          <cell r="B290" t="str">
            <v>Nancy esther</v>
          </cell>
          <cell r="C290" t="str">
            <v>Baranquilla</v>
          </cell>
          <cell r="D290" t="str">
            <v>Kra 4 # 49b 51</v>
          </cell>
          <cell r="E290" t="str">
            <v>A 6 casas antes de llegar al paso de carrizal</v>
          </cell>
          <cell r="F290" t="str">
            <v>3244485128</v>
          </cell>
          <cell r="G290" t="str">
            <v>3007385022</v>
          </cell>
          <cell r="H290" t="str">
            <v>Control</v>
          </cell>
        </row>
        <row r="291">
          <cell r="A291">
            <v>32635477</v>
          </cell>
          <cell r="B291" t="str">
            <v>María esther</v>
          </cell>
          <cell r="C291" t="str">
            <v>Baranquilla</v>
          </cell>
          <cell r="D291" t="str">
            <v>Calle 74 9 sur 62</v>
          </cell>
          <cell r="E291" t="str">
            <v xml:space="preserve">Bajando el colegio comunal </v>
          </cell>
          <cell r="F291" t="str">
            <v>3217700778</v>
          </cell>
          <cell r="G291" t="str">
            <v/>
          </cell>
          <cell r="H291" t="str">
            <v>Control</v>
          </cell>
        </row>
        <row r="292">
          <cell r="A292">
            <v>32636512</v>
          </cell>
          <cell r="B292" t="str">
            <v xml:space="preserve">Vilma </v>
          </cell>
          <cell r="C292" t="str">
            <v>Baranquilla</v>
          </cell>
          <cell r="D292" t="str">
            <v>Carrera 3f#50-44</v>
          </cell>
          <cell r="E292" t="str">
            <v>Casa verde</v>
          </cell>
          <cell r="F292" t="str">
            <v>3044142119</v>
          </cell>
          <cell r="G292" t="str">
            <v>3011934483</v>
          </cell>
          <cell r="H292" t="str">
            <v>Control</v>
          </cell>
        </row>
        <row r="293">
          <cell r="A293">
            <v>32639743</v>
          </cell>
          <cell r="B293" t="str">
            <v xml:space="preserve">Fani </v>
          </cell>
          <cell r="C293" t="str">
            <v>Baranquilla</v>
          </cell>
          <cell r="D293" t="str">
            <v>Carrera 4#49E-87</v>
          </cell>
          <cell r="E293" t="str">
            <v xml:space="preserve">Casa blanca , frente casa amarilla </v>
          </cell>
          <cell r="F293" t="str">
            <v>3006200029</v>
          </cell>
          <cell r="G293" t="str">
            <v>3022749657</v>
          </cell>
          <cell r="H293" t="str">
            <v>Control</v>
          </cell>
        </row>
        <row r="294">
          <cell r="A294">
            <v>32642312</v>
          </cell>
          <cell r="B294" t="str">
            <v xml:space="preserve">Elizabeth </v>
          </cell>
          <cell r="C294" t="str">
            <v>Baranquilla</v>
          </cell>
          <cell r="D294" t="str">
            <v>Cra 3d 49b 114</v>
          </cell>
          <cell r="E294" t="str">
            <v>A una casa del salon del reino de los testigos de jehova</v>
          </cell>
          <cell r="F294" t="str">
            <v>3145264255</v>
          </cell>
          <cell r="G294" t="str">
            <v>3128071331</v>
          </cell>
          <cell r="H294" t="str">
            <v>Control</v>
          </cell>
        </row>
        <row r="295">
          <cell r="A295">
            <v>32649402</v>
          </cell>
          <cell r="B295" t="str">
            <v>Iveth cecilia</v>
          </cell>
          <cell r="C295" t="str">
            <v>Baranquilla</v>
          </cell>
          <cell r="D295" t="str">
            <v>Calle 49 3g 15</v>
          </cell>
          <cell r="E295" t="str">
            <v>Cerca a la tienda la costeña</v>
          </cell>
          <cell r="F295" t="str">
            <v>3246734376</v>
          </cell>
          <cell r="G295" t="str">
            <v>3015446684</v>
          </cell>
          <cell r="H295" t="str">
            <v>Control</v>
          </cell>
        </row>
        <row r="296">
          <cell r="A296">
            <v>32652678</v>
          </cell>
          <cell r="B296" t="str">
            <v xml:space="preserve">Venus </v>
          </cell>
          <cell r="C296" t="str">
            <v>Baranquilla</v>
          </cell>
          <cell r="D296" t="str">
            <v>Cra 3f 49e 63</v>
          </cell>
          <cell r="E296" t="str">
            <v xml:space="preserve">Por la cuadra de la farmacia genesis </v>
          </cell>
          <cell r="F296" t="str">
            <v>3144578837</v>
          </cell>
          <cell r="G296" t="str">
            <v>3135026527</v>
          </cell>
          <cell r="H296" t="str">
            <v>Control</v>
          </cell>
        </row>
        <row r="297">
          <cell r="A297">
            <v>32657122</v>
          </cell>
          <cell r="B297" t="str">
            <v xml:space="preserve">Cristóbal </v>
          </cell>
          <cell r="C297" t="str">
            <v>Baranquilla</v>
          </cell>
          <cell r="D297" t="str">
            <v>Calle 70 #1sur-77</v>
          </cell>
          <cell r="E297" t="str">
            <v xml:space="preserve">A 8 casas de la tienda la chucureña </v>
          </cell>
          <cell r="F297" t="str">
            <v/>
          </cell>
          <cell r="G297" t="str">
            <v/>
          </cell>
          <cell r="H297" t="str">
            <v>Control</v>
          </cell>
        </row>
        <row r="298">
          <cell r="A298">
            <v>32661084</v>
          </cell>
          <cell r="B298" t="str">
            <v>Emperatriz</v>
          </cell>
          <cell r="C298" t="str">
            <v>Baranquilla</v>
          </cell>
          <cell r="D298" t="str">
            <v>Calle 49b 3e 10</v>
          </cell>
          <cell r="E298" t="str">
            <v>Diagonal a la tienda los 3 hermanos</v>
          </cell>
          <cell r="F298" t="str">
            <v>3017379073</v>
          </cell>
          <cell r="G298" t="str">
            <v>3206877672</v>
          </cell>
          <cell r="H298" t="str">
            <v>Control</v>
          </cell>
        </row>
        <row r="299">
          <cell r="A299">
            <v>32661700</v>
          </cell>
          <cell r="B299" t="str">
            <v>Sonia edith</v>
          </cell>
          <cell r="C299" t="str">
            <v>Baranquilla</v>
          </cell>
          <cell r="D299" t="str">
            <v>Calla 74 4sur 09</v>
          </cell>
          <cell r="E299" t="str">
            <v xml:space="preserve">Bajando el colegio comunal </v>
          </cell>
          <cell r="F299" t="str">
            <v>3242282887</v>
          </cell>
          <cell r="G299" t="str">
            <v/>
          </cell>
          <cell r="H299" t="str">
            <v>Control</v>
          </cell>
        </row>
        <row r="300">
          <cell r="A300">
            <v>32676566</v>
          </cell>
          <cell r="B300" t="str">
            <v xml:space="preserve">Denys maria </v>
          </cell>
          <cell r="C300" t="str">
            <v>Baranquilla</v>
          </cell>
          <cell r="D300" t="str">
            <v>Cra 3f 49e 63</v>
          </cell>
          <cell r="E300" t="str">
            <v xml:space="preserve">Tienda la costeña </v>
          </cell>
          <cell r="F300" t="str">
            <v>6053334713</v>
          </cell>
          <cell r="G300" t="str">
            <v>3002470946</v>
          </cell>
          <cell r="H300" t="str">
            <v>Control</v>
          </cell>
        </row>
        <row r="301">
          <cell r="A301">
            <v>32678914</v>
          </cell>
          <cell r="B301" t="str">
            <v xml:space="preserve">Escorcia mendoza </v>
          </cell>
          <cell r="C301" t="str">
            <v>Baranquilla</v>
          </cell>
          <cell r="D301" t="str">
            <v>Carrera 3f 50 57</v>
          </cell>
          <cell r="E301" t="str">
            <v>Cerca a la tienda la bananera</v>
          </cell>
          <cell r="F301" t="str">
            <v>315799876</v>
          </cell>
          <cell r="G301" t="str">
            <v>3174718642</v>
          </cell>
          <cell r="H301" t="str">
            <v>Control</v>
          </cell>
        </row>
        <row r="302">
          <cell r="A302">
            <v>32681585</v>
          </cell>
          <cell r="B302" t="str">
            <v xml:space="preserve">Carmen </v>
          </cell>
          <cell r="C302" t="str">
            <v>Baranquilla</v>
          </cell>
          <cell r="D302" t="str">
            <v>Calle 49g 4 02</v>
          </cell>
          <cell r="E302" t="str">
            <v xml:space="preserve">Al lado de la tienda la nacional </v>
          </cell>
          <cell r="F302" t="str">
            <v>3045279670</v>
          </cell>
          <cell r="G302" t="str">
            <v/>
          </cell>
          <cell r="H302" t="str">
            <v>Control</v>
          </cell>
        </row>
        <row r="303">
          <cell r="A303">
            <v>32684085</v>
          </cell>
          <cell r="B303" t="str">
            <v>Edibia</v>
          </cell>
          <cell r="C303" t="str">
            <v>Baranquilla</v>
          </cell>
          <cell r="D303" t="str">
            <v>Cra 5B sur 62-99</v>
          </cell>
          <cell r="E303" t="str">
            <v>Por la principal</v>
          </cell>
          <cell r="F303" t="str">
            <v>3046006423</v>
          </cell>
          <cell r="G303" t="str">
            <v>3046006423</v>
          </cell>
          <cell r="H303" t="str">
            <v>Control</v>
          </cell>
        </row>
        <row r="304">
          <cell r="A304">
            <v>32684827</v>
          </cell>
          <cell r="B304" t="str">
            <v>Eucaris Maria</v>
          </cell>
          <cell r="C304" t="str">
            <v>Baranquilla</v>
          </cell>
          <cell r="D304" t="str">
            <v>Calle 74#3 sur-146</v>
          </cell>
          <cell r="E304" t="str">
            <v>Por colegio de la comunal</v>
          </cell>
          <cell r="F304" t="str">
            <v>3246523535</v>
          </cell>
          <cell r="G304" t="str">
            <v>3007261073</v>
          </cell>
          <cell r="H304" t="str">
            <v>Control</v>
          </cell>
        </row>
        <row r="305">
          <cell r="A305">
            <v>32689210</v>
          </cell>
          <cell r="B305" t="str">
            <v xml:space="preserve">Beatriz </v>
          </cell>
          <cell r="C305" t="str">
            <v>Baranquilla</v>
          </cell>
          <cell r="D305" t="str">
            <v>Cra 5sur 62 65</v>
          </cell>
          <cell r="E305" t="str">
            <v xml:space="preserve">Bajando la tienda la nueva sucursal </v>
          </cell>
          <cell r="F305" t="str">
            <v>3113761431</v>
          </cell>
          <cell r="G305" t="str">
            <v/>
          </cell>
          <cell r="H305" t="str">
            <v>Control</v>
          </cell>
        </row>
        <row r="306">
          <cell r="A306">
            <v>32693059</v>
          </cell>
          <cell r="B306" t="str">
            <v xml:space="preserve">Yadira  Ester </v>
          </cell>
          <cell r="C306" t="str">
            <v>Medellin</v>
          </cell>
          <cell r="D306" t="str">
            <v>Cr 45 A 97.36 int 129</v>
          </cell>
          <cell r="E306" t="str">
            <v xml:space="preserve">Cerca buen comienzo Berlín </v>
          </cell>
          <cell r="F306" t="str">
            <v>3166738323</v>
          </cell>
          <cell r="G306" t="str">
            <v>3166738323</v>
          </cell>
          <cell r="H306" t="str">
            <v>Control</v>
          </cell>
        </row>
        <row r="307">
          <cell r="A307">
            <v>32694457</v>
          </cell>
          <cell r="B307" t="str">
            <v xml:space="preserve">Delfina </v>
          </cell>
          <cell r="C307" t="str">
            <v>Baranquilla</v>
          </cell>
          <cell r="D307" t="str">
            <v>Carrera 4a#50a-122</v>
          </cell>
          <cell r="E307" t="str">
            <v>Casa verde</v>
          </cell>
          <cell r="F307" t="str">
            <v>3007321559</v>
          </cell>
          <cell r="G307" t="str">
            <v>3243832270</v>
          </cell>
          <cell r="H307" t="str">
            <v>Control</v>
          </cell>
        </row>
        <row r="308">
          <cell r="A308">
            <v>32694900</v>
          </cell>
          <cell r="B308" t="str">
            <v xml:space="preserve">Deyanira Cecilia </v>
          </cell>
          <cell r="C308" t="str">
            <v>Baranquilla</v>
          </cell>
          <cell r="D308" t="str">
            <v>Carrera 3 g #49b-68</v>
          </cell>
          <cell r="E308" t="str">
            <v xml:space="preserve">Frente a restaurant la niña Edith </v>
          </cell>
          <cell r="F308" t="str">
            <v>3023671013</v>
          </cell>
          <cell r="G308" t="str">
            <v>3045953262</v>
          </cell>
          <cell r="H308" t="str">
            <v>Control</v>
          </cell>
        </row>
        <row r="309">
          <cell r="A309">
            <v>32697995</v>
          </cell>
          <cell r="B309" t="str">
            <v xml:space="preserve">Mercedes isabel </v>
          </cell>
          <cell r="C309" t="str">
            <v>Baranquilla</v>
          </cell>
          <cell r="D309" t="str">
            <v>Carrera 4 49e 124</v>
          </cell>
          <cell r="E309" t="str">
            <v>Diagonal a la chatarreria samuel</v>
          </cell>
          <cell r="F309" t="str">
            <v>3135877367</v>
          </cell>
          <cell r="G309" t="str">
            <v>3014890845</v>
          </cell>
          <cell r="H309" t="str">
            <v>Control</v>
          </cell>
        </row>
        <row r="310">
          <cell r="A310">
            <v>32703275</v>
          </cell>
          <cell r="B310" t="str">
            <v xml:space="preserve">Ernia </v>
          </cell>
          <cell r="C310" t="str">
            <v>Baranquilla</v>
          </cell>
          <cell r="D310" t="str">
            <v>Cra 4 sur #73-12</v>
          </cell>
          <cell r="E310" t="str">
            <v>Por el colegio de la comunal</v>
          </cell>
          <cell r="F310" t="str">
            <v>3215608011</v>
          </cell>
          <cell r="G310" t="str">
            <v>3146302287</v>
          </cell>
          <cell r="H310" t="str">
            <v>Control</v>
          </cell>
        </row>
        <row r="311">
          <cell r="A311">
            <v>32705837</v>
          </cell>
          <cell r="B311" t="str">
            <v>Rocío esther</v>
          </cell>
          <cell r="C311" t="str">
            <v>Baranquilla</v>
          </cell>
          <cell r="D311" t="str">
            <v>Cra 4 49 E 130</v>
          </cell>
          <cell r="E311" t="str">
            <v xml:space="preserve">Casa verde grande </v>
          </cell>
          <cell r="F311" t="str">
            <v>3014890845</v>
          </cell>
          <cell r="G311" t="str">
            <v>3135877367</v>
          </cell>
          <cell r="H311" t="str">
            <v>Control</v>
          </cell>
        </row>
        <row r="312">
          <cell r="A312">
            <v>32709662</v>
          </cell>
          <cell r="B312" t="str">
            <v xml:space="preserve">Nuris Esther </v>
          </cell>
          <cell r="C312" t="str">
            <v>Baranquilla</v>
          </cell>
          <cell r="D312" t="str">
            <v>Calle 70 #4sur-06</v>
          </cell>
          <cell r="E312" t="str">
            <v>Diagonal a la tienda la chucureña</v>
          </cell>
          <cell r="F312" t="str">
            <v>3013679845</v>
          </cell>
          <cell r="G312" t="str">
            <v>3003672947</v>
          </cell>
          <cell r="H312" t="str">
            <v>Control</v>
          </cell>
        </row>
        <row r="313">
          <cell r="A313">
            <v>32719297</v>
          </cell>
          <cell r="B313" t="str">
            <v xml:space="preserve">Javier enrique </v>
          </cell>
          <cell r="C313" t="str">
            <v>Baranquilla</v>
          </cell>
          <cell r="D313" t="str">
            <v>Calle 50a 3g 10</v>
          </cell>
          <cell r="E313" t="str">
            <v>Al lado de la tienda la favorita</v>
          </cell>
          <cell r="F313" t="str">
            <v>307868248</v>
          </cell>
          <cell r="G313" t="str">
            <v>3246454689</v>
          </cell>
          <cell r="H313" t="str">
            <v>Control</v>
          </cell>
        </row>
        <row r="314">
          <cell r="A314">
            <v>32729377</v>
          </cell>
          <cell r="B314" t="str">
            <v xml:space="preserve">Elizabeth </v>
          </cell>
          <cell r="C314" t="str">
            <v>Baranquilla</v>
          </cell>
          <cell r="D314" t="str">
            <v>Calle 71#4sur-10</v>
          </cell>
          <cell r="E314" t="str">
            <v xml:space="preserve">Por La Tienda El Rey </v>
          </cell>
          <cell r="F314" t="str">
            <v>3042134524</v>
          </cell>
          <cell r="G314" t="str">
            <v/>
          </cell>
          <cell r="H314" t="str">
            <v>Control</v>
          </cell>
        </row>
        <row r="315">
          <cell r="A315">
            <v>32730886</v>
          </cell>
          <cell r="B315" t="str">
            <v xml:space="preserve">Gladys </v>
          </cell>
          <cell r="C315" t="str">
            <v>Baranquilla</v>
          </cell>
          <cell r="D315" t="str">
            <v>Calle 70 1 sur 129</v>
          </cell>
          <cell r="E315" t="str">
            <v>Cerca a la tienda la puchi</v>
          </cell>
          <cell r="F315" t="str">
            <v>3007657398</v>
          </cell>
          <cell r="G315" t="str">
            <v/>
          </cell>
          <cell r="H315" t="str">
            <v>Control</v>
          </cell>
        </row>
        <row r="316">
          <cell r="A316">
            <v>32732227</v>
          </cell>
          <cell r="B316" t="str">
            <v>Rosalba</v>
          </cell>
          <cell r="C316" t="str">
            <v>Baranquilla</v>
          </cell>
          <cell r="D316" t="str">
            <v>Calle 74 4sur -41 ap2</v>
          </cell>
          <cell r="E316" t="str">
            <v xml:space="preserve">Por el Colegio la Comunal </v>
          </cell>
          <cell r="F316" t="str">
            <v>3007291892</v>
          </cell>
          <cell r="G316" t="str">
            <v>3014550316</v>
          </cell>
          <cell r="H316" t="str">
            <v>Control</v>
          </cell>
        </row>
        <row r="317">
          <cell r="A317">
            <v>32740279</v>
          </cell>
          <cell r="B317" t="str">
            <v xml:space="preserve">Martha </v>
          </cell>
          <cell r="C317" t="str">
            <v>Baranquilla</v>
          </cell>
          <cell r="D317" t="str">
            <v>Carrera 5e sur#62-72</v>
          </cell>
          <cell r="E317" t="str">
            <v xml:space="preserve">POR la Tienda El Papi </v>
          </cell>
          <cell r="F317" t="str">
            <v>3045648375</v>
          </cell>
          <cell r="G317" t="str">
            <v>3008934074</v>
          </cell>
          <cell r="H317" t="str">
            <v>Control</v>
          </cell>
        </row>
        <row r="318">
          <cell r="A318">
            <v>32745229</v>
          </cell>
          <cell r="B318" t="str">
            <v>Zenith maria</v>
          </cell>
          <cell r="C318" t="str">
            <v>Baranquilla</v>
          </cell>
          <cell r="D318" t="str">
            <v>Cra 3g 50a 84</v>
          </cell>
          <cell r="E318" t="str">
            <v>Por el paso de carrizal</v>
          </cell>
          <cell r="F318" t="str">
            <v>3013194913</v>
          </cell>
          <cell r="G318" t="str">
            <v>3146720558</v>
          </cell>
          <cell r="H318" t="str">
            <v>Control</v>
          </cell>
        </row>
        <row r="319">
          <cell r="A319">
            <v>32749067</v>
          </cell>
          <cell r="B319" t="str">
            <v xml:space="preserve">Yamiles de jesus </v>
          </cell>
          <cell r="C319" t="str">
            <v>Baranquilla</v>
          </cell>
          <cell r="D319" t="str">
            <v>Cra 4 49e 02</v>
          </cell>
          <cell r="E319" t="str">
            <v>Gimnasio de la y de carrizal</v>
          </cell>
          <cell r="F319" t="str">
            <v>3015532397</v>
          </cell>
          <cell r="G319" t="str">
            <v>3001738470</v>
          </cell>
          <cell r="H319" t="str">
            <v>Control</v>
          </cell>
        </row>
        <row r="320">
          <cell r="A320">
            <v>32750464</v>
          </cell>
          <cell r="B320" t="str">
            <v xml:space="preserve">Margarita Rosa </v>
          </cell>
          <cell r="C320" t="str">
            <v>Baranquilla</v>
          </cell>
          <cell r="D320" t="str">
            <v>Carrera 3g # 49b-40</v>
          </cell>
          <cell r="E320" t="str">
            <v xml:space="preserve">A 7 casas de la tienda la costeña </v>
          </cell>
          <cell r="F320" t="str">
            <v>3042221243</v>
          </cell>
          <cell r="G320" t="str">
            <v>3052765883</v>
          </cell>
          <cell r="H320" t="str">
            <v>Control</v>
          </cell>
        </row>
        <row r="321">
          <cell r="A321">
            <v>32754634</v>
          </cell>
          <cell r="B321" t="str">
            <v xml:space="preserve">Diorselis </v>
          </cell>
          <cell r="C321" t="str">
            <v>Baranquilla</v>
          </cell>
          <cell r="D321" t="str">
            <v>Calle 74#10 Sur -65</v>
          </cell>
          <cell r="E321" t="str">
            <v xml:space="preserve">Por La Parte De Atrás De Codafi </v>
          </cell>
          <cell r="F321" t="str">
            <v>3001137693</v>
          </cell>
          <cell r="G321" t="str">
            <v>3133210211</v>
          </cell>
          <cell r="H321" t="str">
            <v>Control</v>
          </cell>
        </row>
        <row r="322">
          <cell r="A322">
            <v>32761116</v>
          </cell>
          <cell r="B322" t="str">
            <v>Gladis</v>
          </cell>
          <cell r="C322" t="str">
            <v>Baranquilla</v>
          </cell>
          <cell r="D322" t="str">
            <v>Carrera 4A#50A-82</v>
          </cell>
          <cell r="E322" t="str">
            <v>Casa color azul</v>
          </cell>
          <cell r="F322" t="str">
            <v>3011888367</v>
          </cell>
          <cell r="G322" t="str">
            <v>3008677108</v>
          </cell>
          <cell r="H322" t="str">
            <v>Control</v>
          </cell>
        </row>
        <row r="323">
          <cell r="A323">
            <v>32766298</v>
          </cell>
          <cell r="B323" t="str">
            <v xml:space="preserve">
Zaida judith</v>
          </cell>
          <cell r="C323" t="str">
            <v>Baranquilla</v>
          </cell>
          <cell r="D323" t="str">
            <v>Cra 3d 49b 76</v>
          </cell>
          <cell r="E323" t="str">
            <v>Cerca de la tienda la caribeña</v>
          </cell>
          <cell r="F323" t="str">
            <v>3002447131</v>
          </cell>
          <cell r="G323" t="str">
            <v>3042252624</v>
          </cell>
          <cell r="H323" t="str">
            <v>Control</v>
          </cell>
        </row>
        <row r="324">
          <cell r="A324">
            <v>32766429</v>
          </cell>
          <cell r="B324" t="str">
            <v xml:space="preserve">Edith Esther </v>
          </cell>
          <cell r="C324" t="str">
            <v>Baranquilla</v>
          </cell>
          <cell r="D324" t="str">
            <v>Carrera 3g #49b-46</v>
          </cell>
          <cell r="E324" t="str">
            <v xml:space="preserve">Diagonal al restaurante la niña Edith </v>
          </cell>
          <cell r="F324" t="str">
            <v>3009707722</v>
          </cell>
          <cell r="G324" t="str">
            <v>3023793967</v>
          </cell>
          <cell r="H324" t="str">
            <v>Control</v>
          </cell>
        </row>
        <row r="325">
          <cell r="A325">
            <v>32771620</v>
          </cell>
          <cell r="B325" t="str">
            <v xml:space="preserve">Marlene </v>
          </cell>
          <cell r="C325" t="str">
            <v>Baranquilla</v>
          </cell>
          <cell r="D325" t="str">
            <v>Calle70#4Sur-10</v>
          </cell>
          <cell r="E325" t="str">
            <v xml:space="preserve">Por La Loma El Papi </v>
          </cell>
          <cell r="F325" t="str">
            <v>3013679845</v>
          </cell>
          <cell r="G325" t="str">
            <v>30476479406</v>
          </cell>
          <cell r="H325" t="str">
            <v>Control</v>
          </cell>
        </row>
        <row r="326">
          <cell r="A326">
            <v>32776426</v>
          </cell>
          <cell r="B326" t="str">
            <v>Janeth</v>
          </cell>
          <cell r="C326" t="str">
            <v>Baranquilla</v>
          </cell>
          <cell r="D326" t="str">
            <v>Cra 3f 49e 127</v>
          </cell>
          <cell r="E326" t="str">
            <v xml:space="preserve">Por la farmacia </v>
          </cell>
          <cell r="F326" t="str">
            <v>3052015781</v>
          </cell>
          <cell r="G326" t="str">
            <v>3004323560</v>
          </cell>
          <cell r="H326" t="str">
            <v>Control</v>
          </cell>
        </row>
        <row r="327">
          <cell r="A327">
            <v>32776499</v>
          </cell>
          <cell r="B327" t="str">
            <v>Celina</v>
          </cell>
          <cell r="C327" t="str">
            <v>Baranquilla</v>
          </cell>
          <cell r="D327" t="str">
            <v>Calle 74#9Sur-39</v>
          </cell>
          <cell r="E327" t="str">
            <v>POR EL COLEGIO LA COMUNAL</v>
          </cell>
          <cell r="F327" t="str">
            <v>3216960481</v>
          </cell>
          <cell r="G327" t="str">
            <v>3226559914</v>
          </cell>
          <cell r="H327" t="str">
            <v>Control</v>
          </cell>
        </row>
        <row r="328">
          <cell r="A328">
            <v>32783639</v>
          </cell>
          <cell r="B328" t="str">
            <v>Martha luz</v>
          </cell>
          <cell r="C328" t="str">
            <v>Baranquilla</v>
          </cell>
          <cell r="D328" t="str">
            <v>Cra 4 49b 56</v>
          </cell>
          <cell r="E328" t="str">
            <v xml:space="preserve">A 5 casas antes de la tienda la nacional </v>
          </cell>
          <cell r="F328" t="str">
            <v>3002050979</v>
          </cell>
          <cell r="G328" t="str">
            <v>3026629435</v>
          </cell>
          <cell r="H328" t="str">
            <v>Control</v>
          </cell>
        </row>
        <row r="329">
          <cell r="A329">
            <v>32783861</v>
          </cell>
          <cell r="B329" t="str">
            <v>Nubia esther</v>
          </cell>
          <cell r="C329" t="str">
            <v>Baranquilla</v>
          </cell>
          <cell r="D329" t="str">
            <v>Carrera 4 50 37 apto 3</v>
          </cell>
          <cell r="E329" t="str">
            <v>La calle del paso de carrizal</v>
          </cell>
          <cell r="F329" t="str">
            <v>3045633399</v>
          </cell>
          <cell r="G329" t="str">
            <v>3005486224</v>
          </cell>
          <cell r="H329" t="str">
            <v>Control</v>
          </cell>
        </row>
        <row r="330">
          <cell r="A330">
            <v>32786242</v>
          </cell>
          <cell r="B330" t="str">
            <v xml:space="preserve">Astrid </v>
          </cell>
          <cell r="C330" t="str">
            <v>Baranquilla</v>
          </cell>
          <cell r="D330" t="str">
            <v>Carrera 3f#50-72</v>
          </cell>
          <cell r="E330" t="str">
            <v>Casa color rojo</v>
          </cell>
          <cell r="F330" t="str">
            <v>3016344722</v>
          </cell>
          <cell r="G330" t="str">
            <v>3004546556</v>
          </cell>
          <cell r="H330" t="str">
            <v>Control</v>
          </cell>
        </row>
        <row r="331">
          <cell r="A331">
            <v>32792195</v>
          </cell>
          <cell r="B331" t="str">
            <v>Lodis</v>
          </cell>
          <cell r="C331" t="str">
            <v>Baranquilla</v>
          </cell>
          <cell r="D331" t="str">
            <v>Cra 5 sur 62 59</v>
          </cell>
          <cell r="E331" t="str">
            <v xml:space="preserve">Bajando la tienda el imperio </v>
          </cell>
          <cell r="F331" t="str">
            <v>3135896774</v>
          </cell>
          <cell r="G331" t="str">
            <v>3013334576</v>
          </cell>
          <cell r="H331" t="str">
            <v>Control</v>
          </cell>
        </row>
        <row r="332">
          <cell r="A332">
            <v>32811740</v>
          </cell>
          <cell r="B332" t="str">
            <v xml:space="preserve">Leinis esther </v>
          </cell>
          <cell r="C332" t="str">
            <v>Baranquilla</v>
          </cell>
          <cell r="D332" t="str">
            <v>Cra 4 49B 61</v>
          </cell>
          <cell r="E332" t="str">
            <v xml:space="preserve">Al lado de la llanteria </v>
          </cell>
          <cell r="F332" t="str">
            <v>3044310765</v>
          </cell>
          <cell r="G332" t="str">
            <v>3244347602</v>
          </cell>
          <cell r="H332" t="str">
            <v>Control</v>
          </cell>
        </row>
        <row r="333">
          <cell r="A333">
            <v>32817186</v>
          </cell>
          <cell r="B333" t="str">
            <v xml:space="preserve">Judith maria </v>
          </cell>
          <cell r="C333" t="str">
            <v>Baranquilla</v>
          </cell>
          <cell r="D333" t="str">
            <v>Cra 3d 49b 48</v>
          </cell>
          <cell r="E333" t="str">
            <v>Cerca a la tienda la caribeña</v>
          </cell>
          <cell r="F333" t="str">
            <v>3105166759</v>
          </cell>
          <cell r="G333" t="str">
            <v>6053637918</v>
          </cell>
          <cell r="H333" t="str">
            <v>Control</v>
          </cell>
        </row>
        <row r="334">
          <cell r="A334">
            <v>32820161</v>
          </cell>
          <cell r="B334" t="str">
            <v>Martha</v>
          </cell>
          <cell r="C334" t="str">
            <v>Baranquilla</v>
          </cell>
          <cell r="D334" t="str">
            <v>Carrera 4 Sur #68-28 apt2</v>
          </cell>
          <cell r="E334" t="str">
            <v xml:space="preserve">Tienda La Suqureña </v>
          </cell>
          <cell r="F334" t="str">
            <v>3043666979</v>
          </cell>
          <cell r="G334" t="str">
            <v>3002338051</v>
          </cell>
          <cell r="H334" t="str">
            <v>Control</v>
          </cell>
        </row>
        <row r="335">
          <cell r="A335">
            <v>32821469</v>
          </cell>
          <cell r="B335" t="str">
            <v>Miguel</v>
          </cell>
          <cell r="C335" t="str">
            <v>Baranquilla</v>
          </cell>
          <cell r="D335" t="str">
            <v>Carrera 3e#49b-138</v>
          </cell>
          <cell r="E335" t="str">
            <v xml:space="preserve">Casa color mamón piso rojo de cuadros </v>
          </cell>
          <cell r="F335" t="str">
            <v>3002609737</v>
          </cell>
          <cell r="G335" t="str">
            <v>3042331852</v>
          </cell>
          <cell r="H335" t="str">
            <v>Control</v>
          </cell>
        </row>
        <row r="336">
          <cell r="A336">
            <v>32842694</v>
          </cell>
          <cell r="B336" t="str">
            <v xml:space="preserve">Lourdes </v>
          </cell>
          <cell r="C336" t="str">
            <v>Baranquilla</v>
          </cell>
          <cell r="D336" t="str">
            <v>Calle 70#4 sur-27</v>
          </cell>
          <cell r="E336" t="str">
            <v>Por el colegio de la comunal</v>
          </cell>
          <cell r="F336" t="str">
            <v>3148003577</v>
          </cell>
          <cell r="G336" t="str">
            <v>3022146139</v>
          </cell>
          <cell r="H336" t="str">
            <v>Control</v>
          </cell>
        </row>
        <row r="337">
          <cell r="A337">
            <v>32843461</v>
          </cell>
          <cell r="B337" t="str">
            <v xml:space="preserve">Ana </v>
          </cell>
          <cell r="C337" t="str">
            <v>Baranquilla</v>
          </cell>
          <cell r="D337" t="str">
            <v>Calle 68 5 sur 69</v>
          </cell>
          <cell r="E337" t="str">
            <v xml:space="preserve">Por una cancha </v>
          </cell>
          <cell r="F337" t="str">
            <v xml:space="preserve">3001262650
</v>
          </cell>
          <cell r="G337" t="str">
            <v>3001262650</v>
          </cell>
          <cell r="H337" t="str">
            <v>Control</v>
          </cell>
        </row>
        <row r="338">
          <cell r="A338">
            <v>32843467</v>
          </cell>
          <cell r="B338" t="str">
            <v xml:space="preserve">Mirlay Esther </v>
          </cell>
          <cell r="C338" t="str">
            <v>Baranquilla</v>
          </cell>
          <cell r="D338" t="str">
            <v>Calle 68 #1 sur-114</v>
          </cell>
          <cell r="E338" t="str">
            <v xml:space="preserve">Frente al taller de soldadura </v>
          </cell>
          <cell r="F338" t="str">
            <v>3023661240</v>
          </cell>
          <cell r="G338" t="str">
            <v>3006595915</v>
          </cell>
          <cell r="H338" t="str">
            <v>Control</v>
          </cell>
        </row>
        <row r="339">
          <cell r="A339">
            <v>32844160</v>
          </cell>
          <cell r="B339" t="str">
            <v xml:space="preserve">Johanna 
</v>
          </cell>
          <cell r="C339" t="str">
            <v>Baranquilla</v>
          </cell>
          <cell r="D339" t="str">
            <v>Calle 74#9a-72</v>
          </cell>
          <cell r="E339" t="str">
            <v>A una cuadra de hogar de ancianos codafe</v>
          </cell>
          <cell r="F339" t="str">
            <v>3045342553</v>
          </cell>
          <cell r="G339" t="str">
            <v>3042232947</v>
          </cell>
          <cell r="H339" t="str">
            <v>Control</v>
          </cell>
        </row>
        <row r="340">
          <cell r="A340">
            <v>32867107</v>
          </cell>
          <cell r="B340" t="str">
            <v>Judis mercedes</v>
          </cell>
          <cell r="C340" t="str">
            <v>Baranquilla</v>
          </cell>
          <cell r="D340" t="str">
            <v>Cra 4 49e 32</v>
          </cell>
          <cell r="E340" t="str">
            <v>Diagonal al paso de carrizal</v>
          </cell>
          <cell r="F340" t="str">
            <v>3244516944</v>
          </cell>
          <cell r="G340" t="str">
            <v>3157689094</v>
          </cell>
          <cell r="H340" t="str">
            <v>Control</v>
          </cell>
        </row>
        <row r="341">
          <cell r="A341">
            <v>32873927</v>
          </cell>
          <cell r="B341" t="str">
            <v xml:space="preserve">Martha </v>
          </cell>
          <cell r="C341" t="str">
            <v>Baranquilla</v>
          </cell>
          <cell r="D341" t="str">
            <v>Carrera 2g #51d-06</v>
          </cell>
          <cell r="E341" t="str">
            <v xml:space="preserve">A una cuadra de tienda mi ranchito </v>
          </cell>
          <cell r="F341" t="str">
            <v>3244301654</v>
          </cell>
          <cell r="G341" t="str">
            <v>3244918530</v>
          </cell>
          <cell r="H341" t="str">
            <v>Control</v>
          </cell>
        </row>
        <row r="342">
          <cell r="A342">
            <v>32876516</v>
          </cell>
          <cell r="B342" t="str">
            <v xml:space="preserve">Amanda </v>
          </cell>
          <cell r="C342" t="str">
            <v>Baranquilla</v>
          </cell>
          <cell r="D342" t="str">
            <v>Carrera 9 Sur 74-12</v>
          </cell>
          <cell r="E342" t="str">
            <v xml:space="preserve">Por El COLEGIO LA COMUNAL </v>
          </cell>
          <cell r="F342" t="str">
            <v>3006291492</v>
          </cell>
          <cell r="G342" t="str">
            <v>3213058866</v>
          </cell>
          <cell r="H342" t="str">
            <v>Control</v>
          </cell>
        </row>
        <row r="343">
          <cell r="A343">
            <v>33107491</v>
          </cell>
          <cell r="B343" t="str">
            <v xml:space="preserve">Luis Enrique </v>
          </cell>
          <cell r="C343" t="str">
            <v>Baranquilla</v>
          </cell>
          <cell r="D343" t="str">
            <v>Calle 68# 1sur-125</v>
          </cell>
          <cell r="E343" t="str">
            <v xml:space="preserve">Frente al Efecty </v>
          </cell>
          <cell r="F343" t="str">
            <v>3015318804</v>
          </cell>
          <cell r="G343" t="str">
            <v>3045564811</v>
          </cell>
          <cell r="H343" t="str">
            <v>Control</v>
          </cell>
        </row>
        <row r="344">
          <cell r="A344">
            <v>33172386</v>
          </cell>
          <cell r="B344" t="str">
            <v>Yadira</v>
          </cell>
          <cell r="C344" t="str">
            <v>Baranquilla</v>
          </cell>
          <cell r="D344" t="str">
            <v>Calle 73#4Sur-71</v>
          </cell>
          <cell r="E344" t="str">
            <v xml:space="preserve">Por El Colegio La Comunal </v>
          </cell>
          <cell r="F344" t="str">
            <v>3004475987</v>
          </cell>
          <cell r="G344" t="str">
            <v>3213785118</v>
          </cell>
          <cell r="H344" t="str">
            <v>Control</v>
          </cell>
        </row>
        <row r="345">
          <cell r="A345">
            <v>33428029</v>
          </cell>
          <cell r="B345" t="str">
            <v>María liliam</v>
          </cell>
          <cell r="C345" t="str">
            <v>Medellin</v>
          </cell>
          <cell r="D345" t="str">
            <v>Cr 46 109 59 IN 104</v>
          </cell>
          <cell r="E345" t="str">
            <v>A una cuadra del colegio Federico Carrasquilla</v>
          </cell>
          <cell r="F345" t="str">
            <v/>
          </cell>
          <cell r="G345" t="str">
            <v/>
          </cell>
          <cell r="H345" t="str">
            <v>Control</v>
          </cell>
        </row>
        <row r="346">
          <cell r="A346">
            <v>3430889</v>
          </cell>
          <cell r="B346" t="str">
            <v>Juan Bautista</v>
          </cell>
          <cell r="C346" t="str">
            <v>Medellin</v>
          </cell>
          <cell r="D346" t="str">
            <v>Cr 43 B 107.30</v>
          </cell>
          <cell r="E346" t="str">
            <v>Metro cable</v>
          </cell>
          <cell r="F346" t="str">
            <v>3148624198</v>
          </cell>
          <cell r="G346" t="str">
            <v>4148624198</v>
          </cell>
          <cell r="H346" t="str">
            <v>Control</v>
          </cell>
        </row>
        <row r="347">
          <cell r="A347">
            <v>3445785</v>
          </cell>
          <cell r="B347" t="str">
            <v xml:space="preserve">Javier Angel </v>
          </cell>
          <cell r="C347" t="str">
            <v>Medellin</v>
          </cell>
          <cell r="D347" t="str">
            <v>Calle 98 45A 56 Int 122</v>
          </cell>
          <cell r="E347" t="str">
            <v>A una cuadra de la farmacia Panacea</v>
          </cell>
          <cell r="F347" t="str">
            <v>3004507524</v>
          </cell>
          <cell r="G347" t="str">
            <v>No</v>
          </cell>
          <cell r="H347" t="str">
            <v>Control</v>
          </cell>
        </row>
        <row r="348">
          <cell r="A348">
            <v>36489408</v>
          </cell>
          <cell r="B348" t="str">
            <v xml:space="preserve">Rosa </v>
          </cell>
          <cell r="C348" t="str">
            <v>Baranquilla</v>
          </cell>
          <cell r="D348" t="str">
            <v>Calle 73 10 sur 30</v>
          </cell>
          <cell r="E348" t="str">
            <v>Al frente de codafe</v>
          </cell>
          <cell r="F348" t="str">
            <v>3005363738</v>
          </cell>
          <cell r="G348" t="str">
            <v>3107295866</v>
          </cell>
          <cell r="H348" t="str">
            <v>Control</v>
          </cell>
        </row>
        <row r="349">
          <cell r="A349">
            <v>36594665</v>
          </cell>
          <cell r="B349" t="str">
            <v xml:space="preserve">María </v>
          </cell>
          <cell r="C349" t="str">
            <v>Baranquilla</v>
          </cell>
          <cell r="D349" t="str">
            <v xml:space="preserve">Calle 72# 5aSur -4 </v>
          </cell>
          <cell r="E349" t="str">
            <v xml:space="preserve">Por El Parque La Bomga </v>
          </cell>
          <cell r="F349" t="str">
            <v>3042556832</v>
          </cell>
          <cell r="G349" t="str">
            <v>3246611455</v>
          </cell>
          <cell r="H349" t="str">
            <v>Control</v>
          </cell>
        </row>
        <row r="350">
          <cell r="A350">
            <v>37236302</v>
          </cell>
          <cell r="B350" t="str">
            <v xml:space="preserve">Lucely </v>
          </cell>
          <cell r="C350" t="str">
            <v>Cali</v>
          </cell>
          <cell r="D350" t="str">
            <v>Cr 46 oeste 23c 20</v>
          </cell>
          <cell r="E350" t="str">
            <v>Lleras Camargo queda el altos de la sultana</v>
          </cell>
          <cell r="F350" t="str">
            <v>3184942659</v>
          </cell>
          <cell r="G350" t="str">
            <v>3157632587</v>
          </cell>
          <cell r="H350" t="str">
            <v>Control</v>
          </cell>
        </row>
        <row r="351">
          <cell r="A351">
            <v>3774099</v>
          </cell>
          <cell r="B351" t="str">
            <v xml:space="preserve">Alex </v>
          </cell>
          <cell r="C351" t="str">
            <v>Baranquilla</v>
          </cell>
          <cell r="D351" t="str">
            <v>Calle 68 5 Sur 59 qp 1</v>
          </cell>
          <cell r="E351" t="str">
            <v>Bajando la tienda el papi</v>
          </cell>
          <cell r="F351" t="str">
            <v>3215797036</v>
          </cell>
          <cell r="G351" t="str">
            <v>3058181916</v>
          </cell>
          <cell r="H351" t="str">
            <v>Control</v>
          </cell>
        </row>
        <row r="352">
          <cell r="A352">
            <v>38551583</v>
          </cell>
          <cell r="B352" t="str">
            <v>ASCENSION DEL SOCORRO</v>
          </cell>
          <cell r="C352" t="str">
            <v>Cali</v>
          </cell>
          <cell r="D352" t="str">
            <v>KRA 44 A OESTE 8B 29 Sector las Guayas</v>
          </cell>
          <cell r="E352" t="str">
            <v xml:space="preserve">DIAGONAL DE LOS BILLARES DE DOÑA MARTA </v>
          </cell>
          <cell r="F352" t="str">
            <v>3178156934</v>
          </cell>
          <cell r="G352" t="str">
            <v xml:space="preserve">No dan información </v>
          </cell>
          <cell r="H352" t="str">
            <v>Control</v>
          </cell>
        </row>
        <row r="353">
          <cell r="A353">
            <v>38558662</v>
          </cell>
          <cell r="B353" t="str">
            <v>Mirell</v>
          </cell>
          <cell r="C353" t="str">
            <v>Cali</v>
          </cell>
          <cell r="D353" t="str">
            <v xml:space="preserve">Cr 53f cl 12c oeste </v>
          </cell>
          <cell r="E353" t="str">
            <v xml:space="preserve">Cancha de la 30 </v>
          </cell>
          <cell r="F353" t="str">
            <v>3108406524</v>
          </cell>
          <cell r="G353" t="str">
            <v>3154641952</v>
          </cell>
          <cell r="H353" t="str">
            <v>Control</v>
          </cell>
        </row>
        <row r="354">
          <cell r="A354">
            <v>38561325</v>
          </cell>
          <cell r="B354" t="str">
            <v xml:space="preserve">LUZ ANGELICA
</v>
          </cell>
          <cell r="C354" t="str">
            <v>Cali</v>
          </cell>
          <cell r="D354" t="str">
            <v>CR 53 12A 29</v>
          </cell>
          <cell r="E354" t="str">
            <v>Estación cable mío brisas cojo hacia mano derecha subo hasta el descanso hay un caño y subo las gradas la última casa</v>
          </cell>
          <cell r="F354" t="str">
            <v>3175708167</v>
          </cell>
          <cell r="G354" t="str">
            <v>3157507624</v>
          </cell>
          <cell r="H354" t="str">
            <v>Control</v>
          </cell>
        </row>
        <row r="355">
          <cell r="A355">
            <v>38567213</v>
          </cell>
          <cell r="B355" t="str">
            <v>MARIA SENEIDA</v>
          </cell>
          <cell r="C355" t="str">
            <v>Cali</v>
          </cell>
          <cell r="D355" t="str">
            <v>CL 20 OESTE 46 37</v>
          </cell>
          <cell r="E355" t="str">
            <v>Al frente de la finca de debora</v>
          </cell>
          <cell r="F355" t="str">
            <v>3168088406</v>
          </cell>
          <cell r="G355" t="str">
            <v xml:space="preserve">No dan información </v>
          </cell>
          <cell r="H355" t="str">
            <v>Control</v>
          </cell>
        </row>
        <row r="356">
          <cell r="A356">
            <v>38604490</v>
          </cell>
          <cell r="B356" t="str">
            <v>Maria  del pilarb</v>
          </cell>
          <cell r="C356" t="str">
            <v>Cali</v>
          </cell>
          <cell r="D356" t="str">
            <v>Cr 53 F oeste 12A24</v>
          </cell>
          <cell r="E356" t="str">
            <v/>
          </cell>
          <cell r="F356" t="str">
            <v>3182645577</v>
          </cell>
          <cell r="G356" t="str">
            <v>No tiene</v>
          </cell>
          <cell r="H356" t="str">
            <v>Control</v>
          </cell>
        </row>
        <row r="357">
          <cell r="A357">
            <v>38641010</v>
          </cell>
          <cell r="B357" t="str">
            <v>SANDRA MILENA</v>
          </cell>
          <cell r="C357" t="str">
            <v>Cali</v>
          </cell>
          <cell r="D357" t="str">
            <v>CR 52B 12A 54 APTO 201</v>
          </cell>
          <cell r="E357" t="str">
            <v>SE BAJAN DEL CABLE MIO A MANO DERECHO SUBO UNA CUADRA HAY UN ENMALLADO Y LLEGO HASTA EL DESCANSO Y LLEGO A UNA Y COJO A MANO DERECHA POR LA DESTADA Y AL FONDO DERECHITO LA PENULTIMA CASA</v>
          </cell>
          <cell r="F357" t="str">
            <v>3163130987</v>
          </cell>
          <cell r="G357" t="str">
            <v>3165636032</v>
          </cell>
          <cell r="H357" t="str">
            <v>Control</v>
          </cell>
        </row>
        <row r="358">
          <cell r="A358">
            <v>38667116</v>
          </cell>
          <cell r="B358" t="str">
            <v>LUZ KARIME</v>
          </cell>
          <cell r="C358" t="str">
            <v>Cali</v>
          </cell>
          <cell r="D358" t="str">
            <v>CL 8 OESTE 42B 63</v>
          </cell>
          <cell r="E358" t="str">
            <v>ARRIBA DE LOS BILLARES DE DOÑA MARTA</v>
          </cell>
          <cell r="F358" t="str">
            <v>3136537165</v>
          </cell>
          <cell r="G358" t="str">
            <v>3184802997</v>
          </cell>
          <cell r="H358" t="str">
            <v>Control</v>
          </cell>
        </row>
        <row r="359">
          <cell r="A359">
            <v>38667243</v>
          </cell>
          <cell r="B359" t="str">
            <v xml:space="preserve">MARIA DEL CARMEN </v>
          </cell>
          <cell r="C359" t="str">
            <v>Cali</v>
          </cell>
          <cell r="D359" t="str">
            <v>CRA 53F BIS 12D 05 OESTE SECTOR BRISAS DE MAYO LA CUCHARITA</v>
          </cell>
          <cell r="E359" t="str">
            <v>POR DEBAJO DE LA CUCHARITA ANTES DE LLEGAR A LA TIENDA LA COSTEÑA</v>
          </cell>
          <cell r="F359" t="str">
            <v>3175792703</v>
          </cell>
          <cell r="G359" t="str">
            <v xml:space="preserve">No dan información </v>
          </cell>
          <cell r="H359" t="str">
            <v>Control</v>
          </cell>
        </row>
        <row r="360">
          <cell r="A360">
            <v>38669358</v>
          </cell>
          <cell r="B360" t="str">
            <v xml:space="preserve">Diana grisales </v>
          </cell>
          <cell r="C360" t="str">
            <v>Cali</v>
          </cell>
          <cell r="D360" t="str">
            <v>Cr 46a #15 33</v>
          </cell>
          <cell r="E360" t="str">
            <v>La escalera de los posos</v>
          </cell>
          <cell r="F360" t="str">
            <v>3178195378</v>
          </cell>
          <cell r="G360" t="str">
            <v>3166360673</v>
          </cell>
          <cell r="H360" t="str">
            <v>Control</v>
          </cell>
        </row>
        <row r="361">
          <cell r="A361">
            <v>38892442</v>
          </cell>
          <cell r="B361" t="str">
            <v>María Fabiola</v>
          </cell>
          <cell r="C361" t="str">
            <v>Cali</v>
          </cell>
          <cell r="D361" t="str">
            <v>Kr 47 6 G 36 Oeste</v>
          </cell>
          <cell r="E361" t="str">
            <v>En la tienda Verónica tierra blanca</v>
          </cell>
          <cell r="F361" t="str">
            <v>3117086813</v>
          </cell>
          <cell r="G361" t="str">
            <v>3152900048</v>
          </cell>
          <cell r="H361" t="str">
            <v>Control</v>
          </cell>
        </row>
        <row r="362">
          <cell r="A362">
            <v>38941394</v>
          </cell>
          <cell r="B362" t="str">
            <v xml:space="preserve">Cruz Elfrida </v>
          </cell>
          <cell r="C362" t="str">
            <v>Cali</v>
          </cell>
          <cell r="D362" t="str">
            <v>Kr 53 D 12 B 01</v>
          </cell>
          <cell r="E362" t="str">
            <v>Cerca Estación brisas de Mayo 1 cuadra</v>
          </cell>
          <cell r="F362" t="str">
            <v>3207015363</v>
          </cell>
          <cell r="G362" t="str">
            <v>3122376801</v>
          </cell>
          <cell r="H362" t="str">
            <v>Control</v>
          </cell>
        </row>
        <row r="363">
          <cell r="A363">
            <v>38942002</v>
          </cell>
          <cell r="B363" t="str">
            <v>María Hilde</v>
          </cell>
          <cell r="C363" t="str">
            <v>Cali</v>
          </cell>
          <cell r="D363" t="str">
            <v>Calle 20 Oeste #50-64</v>
          </cell>
          <cell r="E363" t="str">
            <v>Sector las palmas después del puente amarillo seguir derecho y luego voltear a la izquierda alas tres casas</v>
          </cell>
          <cell r="F363" t="str">
            <v>3164873560</v>
          </cell>
          <cell r="G363" t="str">
            <v>3043397500</v>
          </cell>
          <cell r="H363" t="str">
            <v>Control</v>
          </cell>
        </row>
        <row r="364">
          <cell r="A364">
            <v>38980483</v>
          </cell>
          <cell r="B364" t="str">
            <v>Marina</v>
          </cell>
          <cell r="C364" t="str">
            <v>Cali</v>
          </cell>
          <cell r="D364" t="str">
            <v>CL 18 oeste 47 32</v>
          </cell>
          <cell r="E364" t="str">
            <v/>
          </cell>
          <cell r="F364" t="str">
            <v>3188211895</v>
          </cell>
          <cell r="G364" t="str">
            <v xml:space="preserve">No dan información </v>
          </cell>
          <cell r="H364" t="str">
            <v>Control</v>
          </cell>
        </row>
        <row r="365">
          <cell r="A365">
            <v>39177963</v>
          </cell>
          <cell r="B365" t="str">
            <v xml:space="preserve">Mónica </v>
          </cell>
          <cell r="C365" t="str">
            <v>Medellin</v>
          </cell>
          <cell r="D365" t="str">
            <v>Cra 46 107D 07 Int 102</v>
          </cell>
          <cell r="E365" t="str">
            <v>A cuadra y media de la estación Anda Lucia</v>
          </cell>
          <cell r="F365" t="str">
            <v>3132523594</v>
          </cell>
          <cell r="G365" t="str">
            <v>3016008187</v>
          </cell>
          <cell r="H365" t="str">
            <v>Control</v>
          </cell>
        </row>
        <row r="366">
          <cell r="A366">
            <v>39179753</v>
          </cell>
          <cell r="B366" t="str">
            <v>Yuly patricia</v>
          </cell>
          <cell r="C366" t="str">
            <v>Medellin</v>
          </cell>
          <cell r="D366" t="str">
            <v>CR 42 D 197 A 058</v>
          </cell>
          <cell r="E366" t="str">
            <v>Metro cable</v>
          </cell>
          <cell r="F366" t="str">
            <v xml:space="preserve">3002169207
</v>
          </cell>
          <cell r="G366" t="str">
            <v>3002169207</v>
          </cell>
          <cell r="H366" t="str">
            <v>Control</v>
          </cell>
        </row>
        <row r="367">
          <cell r="A367">
            <v>39387899</v>
          </cell>
          <cell r="B367" t="str">
            <v xml:space="preserve">Dora Elena </v>
          </cell>
          <cell r="C367" t="str">
            <v>Medellin</v>
          </cell>
          <cell r="D367" t="str">
            <v>Cr43A. 110A39</v>
          </cell>
          <cell r="E367" t="str">
            <v>Cerca a fepi jac</v>
          </cell>
          <cell r="F367" t="str">
            <v>3117716971</v>
          </cell>
          <cell r="G367" t="str">
            <v>3117716971</v>
          </cell>
          <cell r="H367" t="str">
            <v>Control</v>
          </cell>
        </row>
        <row r="368">
          <cell r="A368">
            <v>39435019</v>
          </cell>
          <cell r="B368" t="str">
            <v xml:space="preserve">Didima </v>
          </cell>
          <cell r="C368" t="str">
            <v>Medellin</v>
          </cell>
          <cell r="D368" t="str">
            <v>Cra 39A 107 30</v>
          </cell>
          <cell r="E368" t="str">
            <v>A una cuadra de Servientrega subiendo escalas a mano derecha</v>
          </cell>
          <cell r="F368" t="str">
            <v>3178379500</v>
          </cell>
          <cell r="G368" t="str">
            <v>No</v>
          </cell>
          <cell r="H368" t="str">
            <v>Control</v>
          </cell>
        </row>
        <row r="369">
          <cell r="A369">
            <v>40765438</v>
          </cell>
          <cell r="B369" t="str">
            <v>María Nidia</v>
          </cell>
          <cell r="C369" t="str">
            <v>Cali</v>
          </cell>
          <cell r="D369" t="str">
            <v>Dg 45 oeste 54 11</v>
          </cell>
          <cell r="E369" t="str">
            <v>Al lado del internet Yadi</v>
          </cell>
          <cell r="F369" t="str">
            <v>3166530945</v>
          </cell>
          <cell r="G369" t="str">
            <v>3226792136</v>
          </cell>
          <cell r="H369" t="str">
            <v>Control</v>
          </cell>
        </row>
        <row r="370">
          <cell r="A370">
            <v>41631902</v>
          </cell>
          <cell r="B370" t="str">
            <v>Olga</v>
          </cell>
          <cell r="C370" t="str">
            <v>Baranquilla</v>
          </cell>
          <cell r="D370" t="str">
            <v>Calle 70 4sur 21</v>
          </cell>
          <cell r="E370" t="str">
            <v xml:space="preserve">Por la tienda la chucureña </v>
          </cell>
          <cell r="F370" t="str">
            <v>3226954592</v>
          </cell>
          <cell r="G370" t="str">
            <v>3008899361</v>
          </cell>
          <cell r="H370" t="str">
            <v>Control</v>
          </cell>
        </row>
        <row r="371">
          <cell r="A371">
            <v>42008677</v>
          </cell>
          <cell r="B371" t="str">
            <v xml:space="preserve">Orlando </v>
          </cell>
          <cell r="C371" t="str">
            <v>Medellin</v>
          </cell>
          <cell r="D371" t="str">
            <v>Carrera 43b 108a 11</v>
          </cell>
          <cell r="E371" t="str">
            <v xml:space="preserve">Media cuadra dela divina providencia </v>
          </cell>
          <cell r="F371" t="str">
            <v>3127890050</v>
          </cell>
          <cell r="G371" t="str">
            <v>3244006612</v>
          </cell>
          <cell r="H371" t="str">
            <v>Control</v>
          </cell>
        </row>
        <row r="372">
          <cell r="A372">
            <v>42762856</v>
          </cell>
          <cell r="B372" t="str">
            <v>Beatriz Adiela</v>
          </cell>
          <cell r="C372" t="str">
            <v>Medellin</v>
          </cell>
          <cell r="D372" t="str">
            <v>Calle 107E 38A 11 Int 113</v>
          </cell>
          <cell r="E372" t="str">
            <v>A una cuadra arriba de la farmacia Euse</v>
          </cell>
          <cell r="F372" t="str">
            <v>3234832887</v>
          </cell>
          <cell r="G372" t="str">
            <v>3052944803/3004089108</v>
          </cell>
          <cell r="H372" t="str">
            <v>Control</v>
          </cell>
        </row>
        <row r="373">
          <cell r="A373">
            <v>42792571</v>
          </cell>
          <cell r="B373" t="str">
            <v>Luz Stella</v>
          </cell>
          <cell r="C373" t="str">
            <v>Medellin</v>
          </cell>
          <cell r="D373" t="str">
            <v>Cl107D. 42D10 int 201</v>
          </cell>
          <cell r="E373" t="str">
            <v>Cerca al de uno</v>
          </cell>
          <cell r="F373" t="str">
            <v>3246835689</v>
          </cell>
          <cell r="G373" t="str">
            <v>3246835689</v>
          </cell>
          <cell r="H373" t="str">
            <v>Control</v>
          </cell>
        </row>
        <row r="374">
          <cell r="A374">
            <v>42792823</v>
          </cell>
          <cell r="B374" t="str">
            <v>Mónica cecilia</v>
          </cell>
          <cell r="C374" t="str">
            <v>Medellin</v>
          </cell>
          <cell r="D374" t="str">
            <v>Cra 46 98 50 Int 127</v>
          </cell>
          <cell r="E374" t="str">
            <v>A una cuadra de la cede del Inder</v>
          </cell>
          <cell r="F374" t="str">
            <v>3052486346</v>
          </cell>
          <cell r="G374" t="str">
            <v>No</v>
          </cell>
          <cell r="H374" t="str">
            <v>Control</v>
          </cell>
        </row>
        <row r="375">
          <cell r="A375">
            <v>42820074</v>
          </cell>
          <cell r="B375" t="str">
            <v xml:space="preserve">María Elena </v>
          </cell>
          <cell r="C375" t="str">
            <v>Medellin</v>
          </cell>
          <cell r="D375" t="str">
            <v>Carrera 42d 107a 93 int 101</v>
          </cell>
          <cell r="E375" t="str">
            <v>Una cuadra arriba de el D1</v>
          </cell>
          <cell r="F375" t="str">
            <v>3128539826</v>
          </cell>
          <cell r="G375" t="str">
            <v>3146791667</v>
          </cell>
          <cell r="H375" t="str">
            <v>Control</v>
          </cell>
        </row>
        <row r="376">
          <cell r="A376">
            <v>42892754</v>
          </cell>
          <cell r="B376" t="str">
            <v xml:space="preserve">Wilson </v>
          </cell>
          <cell r="C376" t="str">
            <v>Medellin</v>
          </cell>
          <cell r="D376" t="str">
            <v>Cl 110A 43 27</v>
          </cell>
          <cell r="E376" t="str">
            <v>Metro Cable 4 cuadras</v>
          </cell>
          <cell r="F376" t="str">
            <v>3137264595</v>
          </cell>
          <cell r="G376" t="str">
            <v>3137264595</v>
          </cell>
          <cell r="H376" t="str">
            <v>Control</v>
          </cell>
        </row>
        <row r="377">
          <cell r="A377">
            <v>42979655</v>
          </cell>
          <cell r="B377" t="str">
            <v>Maria Teresa</v>
          </cell>
          <cell r="C377" t="str">
            <v>Medellin</v>
          </cell>
          <cell r="D377" t="str">
            <v>Cl 108 # 46- 35 int 111</v>
          </cell>
          <cell r="E377" t="str">
            <v>Cerca a la licorera los grillos de la estación Andalucía del metro cable</v>
          </cell>
          <cell r="F377" t="str">
            <v>6044952608</v>
          </cell>
          <cell r="G377" t="str">
            <v>3045470252</v>
          </cell>
          <cell r="H377" t="str">
            <v>Control</v>
          </cell>
        </row>
        <row r="378">
          <cell r="A378">
            <v>42981495</v>
          </cell>
          <cell r="B378" t="str">
            <v>Rosilia de jesus</v>
          </cell>
          <cell r="C378" t="str">
            <v>Medellin</v>
          </cell>
          <cell r="D378" t="str">
            <v>Cr 43. 120B 08</v>
          </cell>
          <cell r="E378" t="str">
            <v>Cerca a la uva</v>
          </cell>
          <cell r="F378" t="str">
            <v>6043277039</v>
          </cell>
          <cell r="G378" t="str">
            <v>6043277039</v>
          </cell>
          <cell r="H378" t="str">
            <v>Control</v>
          </cell>
        </row>
        <row r="379">
          <cell r="A379">
            <v>42987727</v>
          </cell>
          <cell r="B379" t="str">
            <v xml:space="preserve">José Inocencio </v>
          </cell>
          <cell r="C379" t="str">
            <v>Medellin</v>
          </cell>
          <cell r="D379" t="str">
            <v>CRA 43 # 109A - 9 int 101</v>
          </cell>
          <cell r="E379" t="str">
            <v>Acción comunal barrio popular 1</v>
          </cell>
          <cell r="F379" t="str">
            <v>3166685299</v>
          </cell>
          <cell r="G379" t="str">
            <v>3166685299</v>
          </cell>
          <cell r="H379" t="str">
            <v>Control</v>
          </cell>
        </row>
        <row r="380">
          <cell r="A380">
            <v>43000384</v>
          </cell>
          <cell r="B380" t="str">
            <v>Margot</v>
          </cell>
          <cell r="C380" t="str">
            <v>Medellin</v>
          </cell>
          <cell r="D380" t="str">
            <v>Cra 43B No 107 42 Int 301</v>
          </cell>
          <cell r="E380" t="str">
            <v xml:space="preserve">Cerca al metro cable </v>
          </cell>
          <cell r="F380" t="str">
            <v>314 7894537</v>
          </cell>
          <cell r="G380" t="str">
            <v>3218547952</v>
          </cell>
          <cell r="H380" t="str">
            <v>Control</v>
          </cell>
        </row>
        <row r="381">
          <cell r="A381">
            <v>43011082</v>
          </cell>
          <cell r="B381" t="str">
            <v>Maria Magdalena</v>
          </cell>
          <cell r="C381" t="str">
            <v>Medellin</v>
          </cell>
          <cell r="D381" t="str">
            <v>Calle 110C 42D 32</v>
          </cell>
          <cell r="E381" t="str">
            <v>Abajo de la tienda de don contrato media cuadra abajo</v>
          </cell>
          <cell r="F381" t="str">
            <v>3147959912</v>
          </cell>
          <cell r="G381" t="str">
            <v>3243221348</v>
          </cell>
          <cell r="H381" t="str">
            <v>Control</v>
          </cell>
        </row>
        <row r="382">
          <cell r="A382">
            <v>43025963</v>
          </cell>
          <cell r="B382" t="str">
            <v xml:space="preserve">Daisy </v>
          </cell>
          <cell r="C382" t="str">
            <v>Medellin</v>
          </cell>
          <cell r="D382" t="str">
            <v>Carrera 43B 107 28 int 121</v>
          </cell>
          <cell r="E382" t="str">
            <v xml:space="preserve">
Dos cuadras arriba de la estación andalucia </v>
          </cell>
          <cell r="F382" t="str">
            <v>3215895061</v>
          </cell>
          <cell r="G382" t="str">
            <v xml:space="preserve">No tiene </v>
          </cell>
          <cell r="H382" t="str">
            <v>Control</v>
          </cell>
        </row>
        <row r="383">
          <cell r="A383">
            <v>43030246</v>
          </cell>
          <cell r="B383" t="str">
            <v>Luis Eduardo</v>
          </cell>
          <cell r="C383" t="str">
            <v>Medellin</v>
          </cell>
          <cell r="D383" t="str">
            <v>CL 107 E 42C40</v>
          </cell>
          <cell r="E383" t="str">
            <v>La cancha la caceta</v>
          </cell>
          <cell r="F383" t="str">
            <v>2622760</v>
          </cell>
          <cell r="G383" t="str">
            <v>3013669123</v>
          </cell>
          <cell r="H383" t="str">
            <v>Control</v>
          </cell>
        </row>
        <row r="384">
          <cell r="A384">
            <v>43033841</v>
          </cell>
          <cell r="B384" t="str">
            <v xml:space="preserve">Gilma de Jesús </v>
          </cell>
          <cell r="C384" t="str">
            <v>Medellin</v>
          </cell>
          <cell r="D384" t="str">
            <v>Cl 98 # 45A - 48</v>
          </cell>
          <cell r="E384" t="str">
            <v>Cerca del segundo puente de los balsos</v>
          </cell>
          <cell r="F384" t="str">
            <v>3243066907</v>
          </cell>
          <cell r="G384" t="str">
            <v>3165462672</v>
          </cell>
          <cell r="H384" t="str">
            <v>Control</v>
          </cell>
        </row>
        <row r="385">
          <cell r="A385">
            <v>43036224</v>
          </cell>
          <cell r="B385" t="str">
            <v xml:space="preserve">Olga Ines  </v>
          </cell>
          <cell r="C385" t="str">
            <v>Medellin</v>
          </cell>
          <cell r="D385" t="str">
            <v>CL 110A  43 22 apt 201</v>
          </cell>
          <cell r="E385" t="str">
            <v xml:space="preserve">Cerca a la uva </v>
          </cell>
          <cell r="F385" t="str">
            <v>3104423038</v>
          </cell>
          <cell r="G385" t="str">
            <v>3053357332</v>
          </cell>
          <cell r="H385" t="str">
            <v>Control</v>
          </cell>
        </row>
        <row r="386">
          <cell r="A386">
            <v>43044407</v>
          </cell>
          <cell r="B386" t="str">
            <v>Maria luzmila</v>
          </cell>
          <cell r="C386" t="str">
            <v>Medellin</v>
          </cell>
          <cell r="D386" t="str">
            <v>Cl99 44B19</v>
          </cell>
          <cell r="E386" t="str">
            <v>Una cuadra antes dellagar ala puente volteo a mano derecha si vengo del centro y subo y me meto por los tubos amarillo</v>
          </cell>
          <cell r="F386" t="str">
            <v>3126523801</v>
          </cell>
          <cell r="G386" t="str">
            <v>3126523801</v>
          </cell>
          <cell r="H386" t="str">
            <v>Control</v>
          </cell>
        </row>
        <row r="387">
          <cell r="A387">
            <v>43065696</v>
          </cell>
          <cell r="B387" t="str">
            <v>Amanda</v>
          </cell>
          <cell r="C387" t="str">
            <v>Medellin</v>
          </cell>
          <cell r="D387" t="str">
            <v>Cr 38A 107 c 09 int.111</v>
          </cell>
          <cell r="E387" t="str">
            <v>Metro cable popular 1 subo me día cuadra  volteo a mano izquierda por la virgen cita  primer callejón a mano izquierda.</v>
          </cell>
          <cell r="F387" t="str">
            <v>3206587925</v>
          </cell>
          <cell r="G387" t="str">
            <v>3206587925</v>
          </cell>
          <cell r="H387" t="str">
            <v>Control</v>
          </cell>
        </row>
        <row r="388">
          <cell r="A388">
            <v>43066439</v>
          </cell>
          <cell r="B388" t="str">
            <v xml:space="preserve">María Teresa </v>
          </cell>
          <cell r="C388" t="str">
            <v>Medellin</v>
          </cell>
          <cell r="D388" t="str">
            <v>Cl 107b 44 06 in 205</v>
          </cell>
          <cell r="E388" t="str">
            <v>La estación del metrocaBle Andalucía, a mano derecha en la primera subida en el l xallejon</v>
          </cell>
          <cell r="F388" t="str">
            <v>3113910429</v>
          </cell>
          <cell r="G388" t="str">
            <v>3113910429</v>
          </cell>
          <cell r="H388" t="str">
            <v>Control</v>
          </cell>
        </row>
        <row r="389">
          <cell r="A389">
            <v>43066481</v>
          </cell>
          <cell r="B389" t="str">
            <v>Maria Libia</v>
          </cell>
          <cell r="C389" t="str">
            <v>Medellin</v>
          </cell>
          <cell r="D389" t="str">
            <v>Cr39A 107-77</v>
          </cell>
          <cell r="E389" t="str">
            <v>Subiendo las escalas alfrente la estación popular</v>
          </cell>
          <cell r="F389" t="str">
            <v>6044587997</v>
          </cell>
          <cell r="G389" t="str">
            <v>6044581991</v>
          </cell>
          <cell r="H389" t="str">
            <v>Control</v>
          </cell>
        </row>
        <row r="390">
          <cell r="A390">
            <v>43070425</v>
          </cell>
          <cell r="B390" t="str">
            <v>Margarita</v>
          </cell>
          <cell r="C390" t="str">
            <v>Medellin</v>
          </cell>
          <cell r="D390" t="str">
            <v>Cr 45 A 98.20 int 126</v>
          </cell>
          <cell r="E390" t="str">
            <v>Cerca de escuela san nicolas</v>
          </cell>
          <cell r="F390" t="str">
            <v>3218007722</v>
          </cell>
          <cell r="G390" t="str">
            <v>3218007722</v>
          </cell>
          <cell r="H390" t="str">
            <v>Control</v>
          </cell>
        </row>
        <row r="391">
          <cell r="A391">
            <v>43073733</v>
          </cell>
          <cell r="B391" t="str">
            <v xml:space="preserve">Luz Estella </v>
          </cell>
          <cell r="C391" t="str">
            <v>Medellin</v>
          </cell>
          <cell r="D391" t="str">
            <v>Carrera 43A 110C 94 int 140</v>
          </cell>
          <cell r="E391" t="str">
            <v>Artiba del parque de la palomera</v>
          </cell>
          <cell r="F391" t="str">
            <v>3234775284</v>
          </cell>
          <cell r="G391" t="str">
            <v xml:space="preserve">No tiene </v>
          </cell>
          <cell r="H391" t="str">
            <v>Control</v>
          </cell>
        </row>
        <row r="392">
          <cell r="A392">
            <v>43078979</v>
          </cell>
          <cell r="B392" t="str">
            <v>Luz Amanda</v>
          </cell>
          <cell r="C392" t="str">
            <v>Medellin</v>
          </cell>
          <cell r="D392" t="str">
            <v>CL 107 43B05</v>
          </cell>
          <cell r="E392" t="str">
            <v>Cerca metro cable</v>
          </cell>
          <cell r="F392" t="str">
            <v>3013644210</v>
          </cell>
          <cell r="G392" t="str">
            <v>3013644210</v>
          </cell>
          <cell r="H392" t="str">
            <v>Control</v>
          </cell>
        </row>
        <row r="393">
          <cell r="A393">
            <v>43083979</v>
          </cell>
          <cell r="B393" t="str">
            <v>María Rubiela</v>
          </cell>
          <cell r="C393" t="str">
            <v>Medellin</v>
          </cell>
          <cell r="D393" t="str">
            <v>Cr 43B. 107.21</v>
          </cell>
          <cell r="E393" t="str">
            <v>Cerca al metro cable</v>
          </cell>
          <cell r="F393" t="str">
            <v>3228843829</v>
          </cell>
          <cell r="G393" t="str">
            <v/>
          </cell>
          <cell r="H393" t="str">
            <v>Control</v>
          </cell>
        </row>
        <row r="394">
          <cell r="A394">
            <v>43085567</v>
          </cell>
          <cell r="B394" t="str">
            <v xml:space="preserve">Dora Elcy </v>
          </cell>
          <cell r="C394" t="str">
            <v>Medellin</v>
          </cell>
          <cell r="D394" t="str">
            <v>Calle 10D 44 6 int 206</v>
          </cell>
          <cell r="E394" t="str">
            <v xml:space="preserve">A cuadra y media de la divina providencia </v>
          </cell>
          <cell r="F394" t="str">
            <v>3117925546</v>
          </cell>
          <cell r="G394" t="str">
            <v>3015697290</v>
          </cell>
          <cell r="H394" t="str">
            <v>Control</v>
          </cell>
        </row>
        <row r="395">
          <cell r="A395">
            <v>43097896</v>
          </cell>
          <cell r="B395" t="str">
            <v>Rosalba de jesus</v>
          </cell>
          <cell r="C395" t="str">
            <v>Medellin</v>
          </cell>
          <cell r="D395" t="str">
            <v>Cra 38a #107c -019 int 111</v>
          </cell>
          <cell r="E395" t="str">
            <v xml:space="preserve">Cerca al metro cable popular </v>
          </cell>
          <cell r="F395" t="str">
            <v>3002148159</v>
          </cell>
          <cell r="G395" t="str">
            <v>3233368311</v>
          </cell>
          <cell r="H395" t="str">
            <v>Control</v>
          </cell>
        </row>
        <row r="396">
          <cell r="A396">
            <v>43100548</v>
          </cell>
          <cell r="B396" t="str">
            <v>Luz Amparo</v>
          </cell>
          <cell r="C396" t="str">
            <v>Medellin</v>
          </cell>
          <cell r="D396" t="str">
            <v>Cl 107E 42C 49 Int 201</v>
          </cell>
          <cell r="E396" t="str">
            <v>La cancha de la divina providencia a media cuadra</v>
          </cell>
          <cell r="F396" t="str">
            <v>3045299965</v>
          </cell>
          <cell r="G396" t="str">
            <v>No</v>
          </cell>
          <cell r="H396" t="str">
            <v>Control</v>
          </cell>
        </row>
        <row r="397">
          <cell r="A397">
            <v>43117917</v>
          </cell>
          <cell r="B397" t="str">
            <v>Yenifer Maritza</v>
          </cell>
          <cell r="C397" t="str">
            <v>Medellin</v>
          </cell>
          <cell r="D397" t="str">
            <v>Calle 98 45 a 56 int 114</v>
          </cell>
          <cell r="E397" t="str">
            <v xml:space="preserve">Subiendo por la calle 98 primer callejón a la izquierda ultima casa </v>
          </cell>
          <cell r="F397" t="str">
            <v>3136605348</v>
          </cell>
          <cell r="G397" t="str">
            <v>3147964743</v>
          </cell>
          <cell r="H397" t="str">
            <v>Control</v>
          </cell>
        </row>
        <row r="398">
          <cell r="A398">
            <v>43159959</v>
          </cell>
          <cell r="B398" t="str">
            <v xml:space="preserve">Eglet Dayana </v>
          </cell>
          <cell r="C398" t="str">
            <v>Medellin</v>
          </cell>
          <cell r="D398" t="str">
            <v>CRA 44 #:107C - 40</v>
          </cell>
          <cell r="E398" t="str">
            <v xml:space="preserve">Cerca a la tienda de pica </v>
          </cell>
          <cell r="F398" t="str">
            <v>3008895113</v>
          </cell>
          <cell r="G398" t="str">
            <v>3012006259</v>
          </cell>
          <cell r="H398" t="str">
            <v>Control</v>
          </cell>
        </row>
        <row r="399">
          <cell r="A399">
            <v>43164479</v>
          </cell>
          <cell r="B399" t="str">
            <v>Nancy Stella</v>
          </cell>
          <cell r="C399" t="str">
            <v>Medellin</v>
          </cell>
          <cell r="D399" t="str">
            <v>Cl 107D 42C20</v>
          </cell>
          <cell r="E399" t="str">
            <v>Media cuadra antes de llegar a la divina Providencia</v>
          </cell>
          <cell r="F399" t="str">
            <v>3025855797</v>
          </cell>
          <cell r="G399" t="str">
            <v>3025855797</v>
          </cell>
          <cell r="H399" t="str">
            <v>Control</v>
          </cell>
        </row>
        <row r="400">
          <cell r="A400">
            <v>43205365</v>
          </cell>
          <cell r="B400" t="str">
            <v>Alba Luz</v>
          </cell>
          <cell r="C400" t="str">
            <v>Medellin</v>
          </cell>
          <cell r="D400" t="str">
            <v>Cl 110A # 43 - 40</v>
          </cell>
          <cell r="E400" t="str">
            <v>Cerca al grupo de la tercera edad mi casita</v>
          </cell>
          <cell r="F400" t="str">
            <v>3147123514</v>
          </cell>
          <cell r="G400" t="str">
            <v>3042044632</v>
          </cell>
          <cell r="H400" t="str">
            <v>Control</v>
          </cell>
        </row>
        <row r="401">
          <cell r="A401">
            <v>43221546</v>
          </cell>
          <cell r="B401" t="str">
            <v>Luz Yadira</v>
          </cell>
          <cell r="C401" t="str">
            <v>Medellin</v>
          </cell>
          <cell r="D401" t="str">
            <v>Cra 46 107D 07 Apto 111</v>
          </cell>
          <cell r="E401" t="str">
            <v>A dos cuadras de la estación andalicia</v>
          </cell>
          <cell r="F401" t="str">
            <v>3006865775</v>
          </cell>
          <cell r="G401" t="str">
            <v>3206186073-3126730317</v>
          </cell>
          <cell r="H401" t="str">
            <v>Control</v>
          </cell>
        </row>
        <row r="402">
          <cell r="A402">
            <v>43262338</v>
          </cell>
          <cell r="B402" t="str">
            <v xml:space="preserve">Amparo </v>
          </cell>
          <cell r="C402" t="str">
            <v>Medellin</v>
          </cell>
          <cell r="D402" t="str">
            <v>Cra 46 98 47</v>
          </cell>
          <cell r="E402" t="str">
            <v>A media cuadra del grupo juvenil</v>
          </cell>
          <cell r="F402" t="str">
            <v>3218177794</v>
          </cell>
          <cell r="G402" t="str">
            <v>No</v>
          </cell>
          <cell r="H402" t="str">
            <v>Control</v>
          </cell>
        </row>
        <row r="403">
          <cell r="A403">
            <v>43265078</v>
          </cell>
          <cell r="B403" t="str">
            <v>Marta Yaneth</v>
          </cell>
          <cell r="C403" t="str">
            <v>Medellin</v>
          </cell>
          <cell r="D403" t="str">
            <v>CRA 43A # 110C - 24</v>
          </cell>
          <cell r="E403" t="str">
            <v>Cerca al parque la palomera</v>
          </cell>
          <cell r="F403" t="str">
            <v>3005934464</v>
          </cell>
          <cell r="G403" t="str">
            <v>3044819208</v>
          </cell>
          <cell r="H403" t="str">
            <v>Control</v>
          </cell>
        </row>
        <row r="404">
          <cell r="A404">
            <v>43285019</v>
          </cell>
          <cell r="B404" t="str">
            <v>María Rosalba</v>
          </cell>
          <cell r="C404" t="str">
            <v>Cali</v>
          </cell>
          <cell r="D404" t="str">
            <v>Kr 53 F oeste 12 A 33</v>
          </cell>
          <cell r="E404" t="str">
            <v>Estación de brisas de mayo cable mio</v>
          </cell>
          <cell r="F404" t="str">
            <v>3178230411</v>
          </cell>
          <cell r="G404" t="str">
            <v xml:space="preserve">No dan información </v>
          </cell>
          <cell r="H404" t="str">
            <v>Control</v>
          </cell>
        </row>
        <row r="405">
          <cell r="A405">
            <v>43347982</v>
          </cell>
          <cell r="B405" t="str">
            <v>Luz Dary</v>
          </cell>
          <cell r="C405" t="str">
            <v>Medellin</v>
          </cell>
          <cell r="D405" t="str">
            <v>Cr 43A 106B45</v>
          </cell>
          <cell r="E405" t="str">
            <v>Cerca metro cable</v>
          </cell>
          <cell r="F405" t="str">
            <v>3122489801</v>
          </cell>
          <cell r="G405" t="str">
            <v>3122489801</v>
          </cell>
          <cell r="H405" t="str">
            <v>Control</v>
          </cell>
        </row>
        <row r="406">
          <cell r="A406">
            <v>43436157</v>
          </cell>
          <cell r="B406" t="str">
            <v xml:space="preserve">Doralba </v>
          </cell>
          <cell r="C406" t="str">
            <v>Medellin</v>
          </cell>
          <cell r="D406" t="str">
            <v>Cl 99 44A 4</v>
          </cell>
          <cell r="E406" t="str">
            <v>3 cuadras abajo de la escuela graciela</v>
          </cell>
          <cell r="F406" t="str">
            <v>4136295604</v>
          </cell>
          <cell r="G406" t="str">
            <v>No</v>
          </cell>
          <cell r="H406" t="str">
            <v>Control</v>
          </cell>
        </row>
        <row r="407">
          <cell r="A407">
            <v>43447606</v>
          </cell>
          <cell r="B407" t="str">
            <v>Miriam de Jesús</v>
          </cell>
          <cell r="C407" t="str">
            <v>Medellin</v>
          </cell>
          <cell r="D407" t="str">
            <v>CRA 42C # 107E - 42</v>
          </cell>
          <cell r="E407" t="str">
            <v>Diagonal a la iglesia pentecostal unidos de colombia</v>
          </cell>
          <cell r="F407" t="str">
            <v>3116757653</v>
          </cell>
          <cell r="G407" t="str">
            <v>3217231238</v>
          </cell>
          <cell r="H407" t="str">
            <v>Control</v>
          </cell>
        </row>
        <row r="408">
          <cell r="A408">
            <v>43455918</v>
          </cell>
          <cell r="B408" t="str">
            <v>Maria oneida</v>
          </cell>
          <cell r="C408" t="str">
            <v>Medellin</v>
          </cell>
          <cell r="D408" t="str">
            <v>Carrera 39A#107-71</v>
          </cell>
          <cell r="E408" t="str">
            <v>Estacion popular 1</v>
          </cell>
          <cell r="F408" t="str">
            <v>3207488077</v>
          </cell>
          <cell r="G408" t="str">
            <v>3114018778</v>
          </cell>
          <cell r="H408" t="str">
            <v>Control</v>
          </cell>
        </row>
        <row r="409">
          <cell r="A409">
            <v>43500072</v>
          </cell>
          <cell r="B409" t="str">
            <v>Carmen Rosa</v>
          </cell>
          <cell r="C409" t="str">
            <v>Medellin</v>
          </cell>
          <cell r="D409" t="str">
            <v>CRA 43B # 107 - 42 int 101</v>
          </cell>
          <cell r="E409" t="str">
            <v xml:space="preserve">Cerca la tienda el mono </v>
          </cell>
          <cell r="F409" t="str">
            <v>3148920194</v>
          </cell>
          <cell r="G409" t="str">
            <v>3176739041</v>
          </cell>
          <cell r="H409" t="str">
            <v>Control</v>
          </cell>
        </row>
        <row r="410">
          <cell r="A410">
            <v>43510710</v>
          </cell>
          <cell r="B410" t="str">
            <v xml:space="preserve">Ligia Amparo </v>
          </cell>
          <cell r="C410" t="str">
            <v>Medellin</v>
          </cell>
          <cell r="D410" t="str">
            <v>CRA 43A  # 110 - 04</v>
          </cell>
          <cell r="E410" t="str">
            <v xml:space="preserve">Toda la esquina del club de vida mi casita </v>
          </cell>
          <cell r="F410" t="str">
            <v>3012149244</v>
          </cell>
          <cell r="G410" t="str">
            <v>3023282852</v>
          </cell>
          <cell r="H410" t="str">
            <v>Control</v>
          </cell>
        </row>
        <row r="411">
          <cell r="A411">
            <v>43516112</v>
          </cell>
          <cell r="B411" t="str">
            <v>María Rocio</v>
          </cell>
          <cell r="C411" t="str">
            <v>Medellin</v>
          </cell>
          <cell r="D411" t="str">
            <v>Cr. 36.98.42 int 125</v>
          </cell>
          <cell r="E411" t="str">
            <v>Cerca Sta cruz</v>
          </cell>
          <cell r="F411" t="str">
            <v>3022407017</v>
          </cell>
          <cell r="G411" t="str">
            <v>3022407017</v>
          </cell>
          <cell r="H411" t="str">
            <v>Control</v>
          </cell>
        </row>
        <row r="412">
          <cell r="A412">
            <v>43524391</v>
          </cell>
          <cell r="B412" t="str">
            <v xml:space="preserve">Aracela </v>
          </cell>
          <cell r="C412" t="str">
            <v>Medellin</v>
          </cell>
          <cell r="D412" t="str">
            <v>Carrera 46 98 48 int 211</v>
          </cell>
          <cell r="E412" t="str">
            <v xml:space="preserve">Bajando por el puente de santacruz entra por las escalas bajando a mano izquierda entrada izquierda </v>
          </cell>
          <cell r="F412" t="str">
            <v>3503485716</v>
          </cell>
          <cell r="G412" t="str">
            <v>604 5217279</v>
          </cell>
          <cell r="H412" t="str">
            <v>Control</v>
          </cell>
        </row>
        <row r="413">
          <cell r="A413">
            <v>43533978</v>
          </cell>
          <cell r="B413" t="str">
            <v xml:space="preserve">Luz Adiela </v>
          </cell>
          <cell r="C413" t="str">
            <v>Medellin</v>
          </cell>
          <cell r="D413" t="str">
            <v>CRA 46 # 98 - 47 int 213</v>
          </cell>
          <cell r="E413" t="str">
            <v xml:space="preserve">Segundo puente del barrio Aranjuez </v>
          </cell>
          <cell r="F413" t="str">
            <v>3182275858</v>
          </cell>
          <cell r="G413" t="str">
            <v>3182275858</v>
          </cell>
          <cell r="H413" t="str">
            <v>Control</v>
          </cell>
        </row>
        <row r="414">
          <cell r="A414">
            <v>43534027</v>
          </cell>
          <cell r="B414" t="str">
            <v>María Sirley</v>
          </cell>
          <cell r="C414" t="str">
            <v>Medellin</v>
          </cell>
          <cell r="D414" t="str">
            <v>Cra 42C 110B 20 Int 202</v>
          </cell>
          <cell r="E414" t="str">
            <v>La uva del popular 1 a 1cuadra</v>
          </cell>
          <cell r="F414" t="str">
            <v>3022982188</v>
          </cell>
          <cell r="G414" t="str">
            <v>6045280701</v>
          </cell>
          <cell r="H414" t="str">
            <v>Control</v>
          </cell>
        </row>
        <row r="415">
          <cell r="A415">
            <v>43534342</v>
          </cell>
          <cell r="B415" t="str">
            <v>María Lucelly</v>
          </cell>
          <cell r="C415" t="str">
            <v>Medellin</v>
          </cell>
          <cell r="D415" t="str">
            <v>CR43 A 108.A 31</v>
          </cell>
          <cell r="E415" t="str">
            <v>Cerca metro cable</v>
          </cell>
          <cell r="F415" t="str">
            <v>3023212663</v>
          </cell>
          <cell r="G415" t="str">
            <v>3023216663</v>
          </cell>
          <cell r="H415" t="str">
            <v>Control</v>
          </cell>
        </row>
        <row r="416">
          <cell r="A416">
            <v>43536319</v>
          </cell>
          <cell r="B416" t="str">
            <v>Jose Domingo</v>
          </cell>
          <cell r="C416" t="str">
            <v>Medellin</v>
          </cell>
          <cell r="D416" t="str">
            <v>Cr 46 98-50 int.196</v>
          </cell>
          <cell r="E416" t="str">
            <v>Callejón debajo del puente</v>
          </cell>
          <cell r="F416" t="str">
            <v>3011300836</v>
          </cell>
          <cell r="G416" t="str">
            <v>3011300836</v>
          </cell>
          <cell r="H416" t="str">
            <v>Control</v>
          </cell>
        </row>
        <row r="417">
          <cell r="A417">
            <v>43536648</v>
          </cell>
          <cell r="B417" t="str">
            <v xml:space="preserve">Dora María </v>
          </cell>
          <cell r="C417" t="str">
            <v>Medellin</v>
          </cell>
          <cell r="D417" t="str">
            <v>Cra 46 98 47 Int 101</v>
          </cell>
          <cell r="E417" t="str">
            <v>Cerca a la farmacia panacea</v>
          </cell>
          <cell r="F417" t="str">
            <v>3132020896</v>
          </cell>
          <cell r="G417" t="str">
            <v>604-2591210</v>
          </cell>
          <cell r="H417" t="str">
            <v>Control</v>
          </cell>
        </row>
        <row r="418">
          <cell r="A418">
            <v>43558865</v>
          </cell>
          <cell r="B418" t="str">
            <v>Adriána maria</v>
          </cell>
          <cell r="C418" t="str">
            <v>Medellin</v>
          </cell>
          <cell r="D418" t="str">
            <v>CL 107  43 74</v>
          </cell>
          <cell r="E418" t="str">
            <v>Cerca metro cable</v>
          </cell>
          <cell r="F418" t="str">
            <v>3193415237</v>
          </cell>
          <cell r="G418" t="str">
            <v>3183415237</v>
          </cell>
          <cell r="H418" t="str">
            <v>Control</v>
          </cell>
        </row>
        <row r="419">
          <cell r="A419">
            <v>43558878</v>
          </cell>
          <cell r="B419" t="str">
            <v>María Dioselina</v>
          </cell>
          <cell r="C419" t="str">
            <v>Medellin</v>
          </cell>
          <cell r="D419" t="str">
            <v>Calle 107E 42C 66</v>
          </cell>
          <cell r="E419" t="str">
            <v>La cancha de la divina providencia</v>
          </cell>
          <cell r="F419" t="str">
            <v>3234402763</v>
          </cell>
          <cell r="G419" t="str">
            <v>No tiene</v>
          </cell>
          <cell r="H419" t="str">
            <v>Control</v>
          </cell>
        </row>
        <row r="420">
          <cell r="A420">
            <v>43563684</v>
          </cell>
          <cell r="B420" t="str">
            <v>Maria rosmira</v>
          </cell>
          <cell r="C420" t="str">
            <v>Medellin</v>
          </cell>
          <cell r="D420" t="str">
            <v>Cr44B 98-67</v>
          </cell>
          <cell r="E420" t="str">
            <v>Coger la 45 derecho vinendo del centro y subir cl 98</v>
          </cell>
          <cell r="F420" t="str">
            <v>3157678374</v>
          </cell>
          <cell r="G420" t="str">
            <v>3157678374</v>
          </cell>
          <cell r="H420" t="str">
            <v>Control</v>
          </cell>
        </row>
        <row r="421">
          <cell r="A421">
            <v>43565062</v>
          </cell>
          <cell r="B421" t="str">
            <v>Ever de Jesús</v>
          </cell>
          <cell r="C421" t="str">
            <v>Medellin</v>
          </cell>
          <cell r="D421" t="str">
            <v>Cr42b 107E64 int.215</v>
          </cell>
          <cell r="E421" t="str">
            <v>La estacion a dos cuadras subiendo do por la principal</v>
          </cell>
          <cell r="F421" t="str">
            <v/>
          </cell>
          <cell r="G421" t="str">
            <v/>
          </cell>
          <cell r="H421" t="str">
            <v>Control</v>
          </cell>
        </row>
        <row r="422">
          <cell r="A422">
            <v>43565594</v>
          </cell>
          <cell r="B422" t="str">
            <v>Claudia Patricia</v>
          </cell>
          <cell r="C422" t="str">
            <v>Medellin</v>
          </cell>
          <cell r="D422" t="str">
            <v>Cl 96 44 64</v>
          </cell>
          <cell r="E422" t="str">
            <v>Al lado de la Cuasiparroquia  Nuestra Sra de la Piedad</v>
          </cell>
          <cell r="F422" t="str">
            <v>3103935473</v>
          </cell>
          <cell r="G422" t="str">
            <v>3127922120</v>
          </cell>
          <cell r="H422" t="str">
            <v>Control</v>
          </cell>
        </row>
        <row r="423">
          <cell r="A423">
            <v>43589509</v>
          </cell>
          <cell r="B423" t="str">
            <v xml:space="preserve">Luz Emilse </v>
          </cell>
          <cell r="C423" t="str">
            <v>Medellin</v>
          </cell>
          <cell r="D423" t="str">
            <v>Cra 44A 97 42 Int 409</v>
          </cell>
          <cell r="E423" t="str">
            <v>Cerca a la terminal de Aranjuez Anillo</v>
          </cell>
          <cell r="F423" t="str">
            <v>3222689437</v>
          </cell>
          <cell r="G423" t="str">
            <v>3022554847</v>
          </cell>
          <cell r="H423" t="str">
            <v>Control</v>
          </cell>
        </row>
        <row r="424">
          <cell r="A424">
            <v>43590647</v>
          </cell>
          <cell r="B424" t="str">
            <v>Juan ramon</v>
          </cell>
          <cell r="C424" t="str">
            <v>Medellin</v>
          </cell>
          <cell r="D424" t="str">
            <v>Cr 43 B 108.36.int.201</v>
          </cell>
          <cell r="E424" t="str">
            <v xml:space="preserve">Cerca metro cable </v>
          </cell>
          <cell r="F424" t="str">
            <v>3104441611</v>
          </cell>
          <cell r="G424" t="str">
            <v>3104441611</v>
          </cell>
          <cell r="H424" t="str">
            <v>Control</v>
          </cell>
        </row>
        <row r="425">
          <cell r="A425">
            <v>43595028</v>
          </cell>
          <cell r="B425" t="str">
            <v>Francedid del socorro</v>
          </cell>
          <cell r="C425" t="str">
            <v>Medellin</v>
          </cell>
          <cell r="D425" t="str">
            <v>CL 99 45 18</v>
          </cell>
          <cell r="E425" t="str">
            <v>Cerca al parqueadero</v>
          </cell>
          <cell r="F425" t="str">
            <v>3042997815</v>
          </cell>
          <cell r="G425" t="str">
            <v>3042997815</v>
          </cell>
          <cell r="H425" t="str">
            <v>Control</v>
          </cell>
        </row>
        <row r="426">
          <cell r="A426">
            <v>43598403</v>
          </cell>
          <cell r="B426" t="str">
            <v>Nora elena</v>
          </cell>
          <cell r="C426" t="str">
            <v>Medellin</v>
          </cell>
          <cell r="D426" t="str">
            <v>CL. 99 44 A 36</v>
          </cell>
          <cell r="E426" t="str">
            <v>Al puente</v>
          </cell>
          <cell r="F426" t="str">
            <v>3126139251</v>
          </cell>
          <cell r="G426" t="str">
            <v>3126139251</v>
          </cell>
          <cell r="H426" t="str">
            <v>Control</v>
          </cell>
        </row>
        <row r="427">
          <cell r="A427">
            <v>43610680</v>
          </cell>
          <cell r="B427" t="str">
            <v>Adrianq</v>
          </cell>
          <cell r="C427" t="str">
            <v>Medellin</v>
          </cell>
          <cell r="D427" t="str">
            <v>Cl 99 45 15</v>
          </cell>
          <cell r="E427" t="str">
            <v>Cerca a la entrada del parqueadero</v>
          </cell>
          <cell r="F427" t="str">
            <v>6043892380</v>
          </cell>
          <cell r="G427" t="str">
            <v>3043899939</v>
          </cell>
          <cell r="H427" t="str">
            <v>Control</v>
          </cell>
        </row>
        <row r="428">
          <cell r="A428">
            <v>43632097</v>
          </cell>
          <cell r="B428" t="str">
            <v>Maria Isabel</v>
          </cell>
          <cell r="C428" t="str">
            <v>Medellin</v>
          </cell>
          <cell r="D428" t="str">
            <v>Cl 110A # 43 - 36</v>
          </cell>
          <cell r="E428" t="str">
            <v>A una cuadra del club de vida mi casita</v>
          </cell>
          <cell r="F428" t="str">
            <v>3013137671</v>
          </cell>
          <cell r="G428" t="str">
            <v>3116726760</v>
          </cell>
          <cell r="H428" t="str">
            <v>Control</v>
          </cell>
        </row>
        <row r="429">
          <cell r="A429">
            <v>43635359</v>
          </cell>
          <cell r="B429" t="str">
            <v>Jose arcangel</v>
          </cell>
          <cell r="C429" t="str">
            <v>Medellin</v>
          </cell>
          <cell r="D429" t="str">
            <v>Calle 107E #38A 11 int 132</v>
          </cell>
          <cell r="E429" t="str">
            <v>A una cuadra de la drogueria eusse</v>
          </cell>
          <cell r="F429" t="str">
            <v>3172209117</v>
          </cell>
          <cell r="G429" t="str">
            <v/>
          </cell>
          <cell r="H429" t="str">
            <v>Control</v>
          </cell>
        </row>
        <row r="430">
          <cell r="A430">
            <v>43643362</v>
          </cell>
          <cell r="B430" t="str">
            <v>Albeiro</v>
          </cell>
          <cell r="C430" t="str">
            <v>Medellin</v>
          </cell>
          <cell r="D430" t="str">
            <v>Cra 46 109 13</v>
          </cell>
          <cell r="E430" t="str">
            <v>Media cuadra abajo del colegio Federico carrasquilla</v>
          </cell>
          <cell r="F430" t="str">
            <v>3204324536</v>
          </cell>
          <cell r="G430" t="str">
            <v>No</v>
          </cell>
          <cell r="H430" t="str">
            <v>Control</v>
          </cell>
        </row>
        <row r="431">
          <cell r="A431">
            <v>43661822</v>
          </cell>
          <cell r="B431" t="str">
            <v xml:space="preserve">Blanca del Socorro </v>
          </cell>
          <cell r="C431" t="str">
            <v>Medellin</v>
          </cell>
          <cell r="D431" t="str">
            <v>Cl 107 D # 44 - 06</v>
          </cell>
          <cell r="E431" t="str">
            <v xml:space="preserve">Cerca a la iglesia la divina providencia </v>
          </cell>
          <cell r="F431" t="str">
            <v>3244939590</v>
          </cell>
          <cell r="G431" t="str">
            <v>3022359328</v>
          </cell>
          <cell r="H431" t="str">
            <v>Control</v>
          </cell>
        </row>
        <row r="432">
          <cell r="A432">
            <v>43662572</v>
          </cell>
          <cell r="B432" t="str">
            <v>Julio</v>
          </cell>
          <cell r="C432" t="str">
            <v>Medellin</v>
          </cell>
          <cell r="D432" t="str">
            <v>Cl 107b 44 6 in 106</v>
          </cell>
          <cell r="E432" t="str">
            <v>Abajo de la iglesia la divina providencia</v>
          </cell>
          <cell r="F432" t="str">
            <v/>
          </cell>
          <cell r="G432" t="str">
            <v/>
          </cell>
          <cell r="H432" t="str">
            <v>Control</v>
          </cell>
        </row>
        <row r="433">
          <cell r="A433">
            <v>43672851</v>
          </cell>
          <cell r="B433" t="str">
            <v xml:space="preserve">Alba Lucía </v>
          </cell>
          <cell r="C433" t="str">
            <v>Medellin</v>
          </cell>
          <cell r="D433" t="str">
            <v>Calle 107E 43 13 int 301</v>
          </cell>
          <cell r="E433" t="str">
            <v>A media cuadra de el D1</v>
          </cell>
          <cell r="F433" t="str">
            <v>3104029366</v>
          </cell>
          <cell r="G433" t="str">
            <v xml:space="preserve">No tiene </v>
          </cell>
          <cell r="H433" t="str">
            <v>Control</v>
          </cell>
        </row>
        <row r="434">
          <cell r="A434">
            <v>43700046</v>
          </cell>
          <cell r="B434" t="str">
            <v>Gloria Lucia</v>
          </cell>
          <cell r="C434" t="str">
            <v>Medellin</v>
          </cell>
          <cell r="D434" t="str">
            <v>CRA 46 # 109 - 40 int 201</v>
          </cell>
          <cell r="E434" t="str">
            <v>En la estación Andalucía del metro cable cerca a la carnicería el Pedrero</v>
          </cell>
          <cell r="F434" t="str">
            <v>3193825378</v>
          </cell>
          <cell r="G434" t="str">
            <v>3127923953</v>
          </cell>
          <cell r="H434" t="str">
            <v>Control</v>
          </cell>
        </row>
        <row r="435">
          <cell r="A435">
            <v>43733194</v>
          </cell>
          <cell r="B435" t="str">
            <v>Deyanira</v>
          </cell>
          <cell r="C435" t="str">
            <v>Medellin</v>
          </cell>
          <cell r="D435" t="str">
            <v>Cr 43A 110-23 Int. 301</v>
          </cell>
          <cell r="E435" t="str">
            <v>Mi casita hogar de la tercera edad, deposito</v>
          </cell>
          <cell r="F435" t="str">
            <v>3045649380</v>
          </cell>
          <cell r="G435" t="str">
            <v>3045649380</v>
          </cell>
          <cell r="H435" t="str">
            <v>Control</v>
          </cell>
        </row>
        <row r="436">
          <cell r="A436">
            <v>43754194</v>
          </cell>
          <cell r="B436" t="str">
            <v xml:space="preserve">Faber Alonso </v>
          </cell>
          <cell r="C436" t="str">
            <v>Medellin</v>
          </cell>
          <cell r="D436" t="str">
            <v>Calle 99 45 75 int 302</v>
          </cell>
          <cell r="E436" t="str">
            <v xml:space="preserve">Segundo puente de santa cruz en el teléfono publico a mano derecha baja </v>
          </cell>
          <cell r="F436" t="str">
            <v>3113182027</v>
          </cell>
          <cell r="G436" t="str">
            <v/>
          </cell>
          <cell r="H436" t="str">
            <v>Control</v>
          </cell>
        </row>
        <row r="437">
          <cell r="A437">
            <v>43810860</v>
          </cell>
          <cell r="B437" t="str">
            <v>Angy yuleht</v>
          </cell>
          <cell r="C437" t="str">
            <v>Medellin</v>
          </cell>
          <cell r="D437" t="str">
            <v>Cr 46.98.50 int183</v>
          </cell>
          <cell r="E437" t="str">
            <v>Cerca Parque aranjuez</v>
          </cell>
          <cell r="F437" t="str">
            <v>3015866328</v>
          </cell>
          <cell r="G437" t="str">
            <v>3015866328</v>
          </cell>
          <cell r="H437" t="str">
            <v>Control</v>
          </cell>
        </row>
        <row r="438">
          <cell r="A438">
            <v>43826103</v>
          </cell>
          <cell r="B438" t="str">
            <v>Beatriz Elena</v>
          </cell>
          <cell r="C438" t="str">
            <v>Medellin</v>
          </cell>
          <cell r="D438" t="str">
            <v>Cra 44 107C 17</v>
          </cell>
          <cell r="E438" t="str">
            <v>2 cuadras abajo de la iglesia la Divina providencia</v>
          </cell>
          <cell r="F438" t="str">
            <v>3007554733</v>
          </cell>
          <cell r="G438" t="str">
            <v>No</v>
          </cell>
          <cell r="H438" t="str">
            <v>Control</v>
          </cell>
        </row>
        <row r="439">
          <cell r="A439">
            <v>43836211</v>
          </cell>
          <cell r="B439" t="str">
            <v xml:space="preserve">Jovana Andrea </v>
          </cell>
          <cell r="C439" t="str">
            <v>Medellin</v>
          </cell>
          <cell r="D439" t="str">
            <v>Cl 98 # 45A - 56 int 124</v>
          </cell>
          <cell r="E439" t="str">
            <v>Cerca al segundo puente de los balsos</v>
          </cell>
          <cell r="F439" t="str">
            <v>3147918132</v>
          </cell>
          <cell r="G439" t="str">
            <v>3242040533</v>
          </cell>
          <cell r="H439" t="str">
            <v>Control</v>
          </cell>
        </row>
        <row r="440">
          <cell r="A440">
            <v>43907166</v>
          </cell>
          <cell r="B440" t="str">
            <v>Elkin ferney echavarria orrego</v>
          </cell>
          <cell r="C440" t="str">
            <v>Medellin</v>
          </cell>
          <cell r="D440" t="str">
            <v>Cr 43A 119 23</v>
          </cell>
          <cell r="E440" t="str">
            <v>Cerca al metro cable</v>
          </cell>
          <cell r="F440" t="str">
            <v>Erika Alexandra González Cardona</v>
          </cell>
          <cell r="G440" t="str">
            <v/>
          </cell>
          <cell r="H440" t="str">
            <v>Control</v>
          </cell>
        </row>
        <row r="441">
          <cell r="A441">
            <v>43912061</v>
          </cell>
          <cell r="B441" t="str">
            <v xml:space="preserve">Paula Andrea </v>
          </cell>
          <cell r="C441" t="str">
            <v>Medellin</v>
          </cell>
          <cell r="D441" t="str">
            <v>Calle 42D 108A 58</v>
          </cell>
          <cell r="E441" t="str">
            <v xml:space="preserve">A una cuadra y medio del colegio  julio C </v>
          </cell>
          <cell r="F441" t="str">
            <v>3103820175</v>
          </cell>
          <cell r="G441" t="str">
            <v xml:space="preserve">No tiene </v>
          </cell>
          <cell r="H441" t="str">
            <v>Control</v>
          </cell>
        </row>
        <row r="442">
          <cell r="A442">
            <v>43913057</v>
          </cell>
          <cell r="B442" t="str">
            <v>Deibis</v>
          </cell>
          <cell r="C442" t="str">
            <v>Medellin</v>
          </cell>
          <cell r="D442" t="str">
            <v>Cra 53A 110 33</v>
          </cell>
          <cell r="E442" t="str">
            <v>4 cuadras abajo la uva la cordialidad</v>
          </cell>
          <cell r="F442" t="str">
            <v>,3136861292</v>
          </cell>
          <cell r="G442" t="str">
            <v>3114187632</v>
          </cell>
          <cell r="H442" t="str">
            <v>Control</v>
          </cell>
        </row>
        <row r="443">
          <cell r="A443">
            <v>43915081</v>
          </cell>
          <cell r="B443" t="str">
            <v>Aracelly</v>
          </cell>
          <cell r="C443" t="str">
            <v>Medellin</v>
          </cell>
          <cell r="D443" t="str">
            <v>Cr46 98-50 int.129</v>
          </cell>
          <cell r="E443" t="str">
            <v>Debajo del puente</v>
          </cell>
          <cell r="F443" t="str">
            <v>3024698232</v>
          </cell>
          <cell r="G443" t="str">
            <v>3924309083</v>
          </cell>
          <cell r="H443" t="str">
            <v>Control</v>
          </cell>
        </row>
        <row r="444">
          <cell r="A444">
            <v>43922866</v>
          </cell>
          <cell r="B444" t="str">
            <v xml:space="preserve">Nini Johana </v>
          </cell>
          <cell r="C444" t="str">
            <v>Medellin</v>
          </cell>
          <cell r="D444" t="str">
            <v>Carrera 43 107A 26 int 301</v>
          </cell>
          <cell r="E444" t="str">
            <v xml:space="preserve">A 1 cuadra del D1 del popular </v>
          </cell>
          <cell r="F444" t="str">
            <v>3006933282</v>
          </cell>
          <cell r="G444" t="str">
            <v>604 5958760</v>
          </cell>
          <cell r="H444" t="str">
            <v>Control</v>
          </cell>
        </row>
        <row r="445">
          <cell r="A445">
            <v>43924916</v>
          </cell>
          <cell r="B445" t="str">
            <v>Ana Cecilia</v>
          </cell>
          <cell r="C445" t="str">
            <v>Medellin</v>
          </cell>
          <cell r="D445" t="str">
            <v>Cr 43 107A10</v>
          </cell>
          <cell r="E445" t="str">
            <v>Metro cable</v>
          </cell>
          <cell r="F445" t="str">
            <v>3127503492</v>
          </cell>
          <cell r="G445" t="str">
            <v>3127503492</v>
          </cell>
          <cell r="H445" t="str">
            <v>Control</v>
          </cell>
        </row>
        <row r="446">
          <cell r="A446">
            <v>43991863</v>
          </cell>
          <cell r="B446" t="str">
            <v>Sandra Milena</v>
          </cell>
          <cell r="C446" t="str">
            <v>Medellin</v>
          </cell>
          <cell r="D446" t="str">
            <v>Cra 43B 107 28 Int 216</v>
          </cell>
          <cell r="E446" t="str">
            <v>2 cuadras arriba de la estación Andalucia</v>
          </cell>
          <cell r="F446" t="str">
            <v>3003450563</v>
          </cell>
          <cell r="G446" t="str">
            <v>No</v>
          </cell>
          <cell r="H446" t="str">
            <v>Control</v>
          </cell>
        </row>
        <row r="447">
          <cell r="A447">
            <v>43997530</v>
          </cell>
          <cell r="B447" t="str">
            <v>Yhon Fernando</v>
          </cell>
          <cell r="C447" t="str">
            <v>Medellin</v>
          </cell>
          <cell r="D447" t="str">
            <v>CL 99 45 A 30 int 201</v>
          </cell>
          <cell r="E447" t="str">
            <v>Cerca a Sta cruz</v>
          </cell>
          <cell r="F447" t="str">
            <v>3157077861</v>
          </cell>
          <cell r="G447" t="str">
            <v>3157077861</v>
          </cell>
          <cell r="H447" t="str">
            <v>Control</v>
          </cell>
        </row>
        <row r="448">
          <cell r="A448">
            <v>44002874</v>
          </cell>
          <cell r="B448" t="str">
            <v>Flor Ángela</v>
          </cell>
          <cell r="C448" t="str">
            <v>Medellin</v>
          </cell>
          <cell r="D448" t="str">
            <v>CRA 42C # 107E - 46 piso 3</v>
          </cell>
          <cell r="E448" t="str">
            <v>Cerca a la estación del metrocable el popular</v>
          </cell>
          <cell r="F448" t="str">
            <v>3014252602</v>
          </cell>
          <cell r="G448" t="str">
            <v>3216874405</v>
          </cell>
          <cell r="H448" t="str">
            <v>Control</v>
          </cell>
        </row>
        <row r="449">
          <cell r="A449">
            <v>44008242</v>
          </cell>
          <cell r="B449" t="str">
            <v xml:space="preserve">Leídy johanna </v>
          </cell>
          <cell r="C449" t="str">
            <v>Medellin</v>
          </cell>
          <cell r="D449" t="str">
            <v>Carrera 46 98 50 int 138</v>
          </cell>
          <cell r="E449" t="str">
            <v xml:space="preserve">2do puente de los balsos debajo de el puente sobre la quebrada </v>
          </cell>
          <cell r="F449" t="str">
            <v>3004742207</v>
          </cell>
          <cell r="G449" t="str">
            <v/>
          </cell>
          <cell r="H449" t="str">
            <v>Control</v>
          </cell>
        </row>
        <row r="450">
          <cell r="A450">
            <v>44150186</v>
          </cell>
          <cell r="B450" t="str">
            <v xml:space="preserve">Ebeth </v>
          </cell>
          <cell r="C450" t="str">
            <v>Baranquilla</v>
          </cell>
          <cell r="D450" t="str">
            <v>Calle 70#1-59</v>
          </cell>
          <cell r="E450" t="str">
            <v xml:space="preserve">Por el colegio de la comunal </v>
          </cell>
          <cell r="F450" t="str">
            <v>3044586035</v>
          </cell>
          <cell r="G450" t="str">
            <v>3043106400</v>
          </cell>
          <cell r="H450" t="str">
            <v>Control</v>
          </cell>
        </row>
        <row r="451">
          <cell r="A451">
            <v>44158176</v>
          </cell>
          <cell r="B451" t="str">
            <v xml:space="preserve">Joyce Enith </v>
          </cell>
          <cell r="C451" t="str">
            <v>Baranquilla</v>
          </cell>
          <cell r="D451" t="str">
            <v xml:space="preserve">Calle 49 e #3g-46 </v>
          </cell>
          <cell r="E451" t="str">
            <v xml:space="preserve">A 4 casas de la tienda la costeña </v>
          </cell>
          <cell r="F451" t="str">
            <v>3183050857</v>
          </cell>
          <cell r="G451" t="str">
            <v>3004783558</v>
          </cell>
          <cell r="H451" t="str">
            <v>Control</v>
          </cell>
        </row>
        <row r="452">
          <cell r="A452">
            <v>45465247</v>
          </cell>
          <cell r="B452" t="str">
            <v xml:space="preserve">Nelly </v>
          </cell>
          <cell r="C452" t="str">
            <v>Baranquilla</v>
          </cell>
          <cell r="D452" t="str">
            <v>Calle 74 #9-52</v>
          </cell>
          <cell r="E452" t="str">
            <v>Escuela comunal 7 de abril</v>
          </cell>
          <cell r="F452" t="str">
            <v>3022347800</v>
          </cell>
          <cell r="G452" t="str">
            <v>3026951136</v>
          </cell>
          <cell r="H452" t="str">
            <v>Control</v>
          </cell>
        </row>
        <row r="453">
          <cell r="A453">
            <v>45509337</v>
          </cell>
          <cell r="B453" t="str">
            <v>Nelcy Yaneth</v>
          </cell>
          <cell r="C453" t="str">
            <v>Medellin</v>
          </cell>
          <cell r="D453" t="str">
            <v>Cl 97 # 44 - 45</v>
          </cell>
          <cell r="E453" t="str">
            <v>Cerca la terminal de buses de Aranjuez Anillo</v>
          </cell>
          <cell r="F453" t="str">
            <v>3225023210</v>
          </cell>
          <cell r="G453" t="str">
            <v>3015167442</v>
          </cell>
          <cell r="H453" t="str">
            <v>Control</v>
          </cell>
        </row>
        <row r="454">
          <cell r="A454">
            <v>4698828</v>
          </cell>
          <cell r="B454" t="str">
            <v xml:space="preserve">WILSON MAMIAM </v>
          </cell>
          <cell r="C454" t="str">
            <v>Cali</v>
          </cell>
          <cell r="D454" t="str">
            <v xml:space="preserve">Cra 46 CL 22 OESTE BRISAS DE LA SULTANA -LLERAS </v>
          </cell>
          <cell r="E454" t="str">
            <v xml:space="preserve">Llega a la est de policía de la Sultana subo a mano izquierda 500 derechito hasta llegar el muro es el basurero y de allí sigue subiendo hasta llegar donde se arreglan neveras y allí preguntan </v>
          </cell>
          <cell r="F454" t="str">
            <v>3215343219</v>
          </cell>
          <cell r="G454" t="str">
            <v>3153816782</v>
          </cell>
          <cell r="H454" t="str">
            <v>Control</v>
          </cell>
        </row>
        <row r="455">
          <cell r="A455">
            <v>4755752</v>
          </cell>
          <cell r="B455" t="str">
            <v xml:space="preserve">Heriverto </v>
          </cell>
          <cell r="C455" t="str">
            <v>Cali</v>
          </cell>
          <cell r="D455" t="str">
            <v>Calle 11 oeste  cra 46  11 05</v>
          </cell>
          <cell r="E455" t="str">
            <v>Tienda hh   tienda del morro  tiend del indio</v>
          </cell>
          <cell r="F455" t="str">
            <v>3146953436</v>
          </cell>
          <cell r="G455" t="str">
            <v>No tiene</v>
          </cell>
          <cell r="H455" t="str">
            <v>Control</v>
          </cell>
        </row>
        <row r="456">
          <cell r="A456">
            <v>48571448</v>
          </cell>
          <cell r="B456" t="str">
            <v xml:space="preserve">MARIA HERLINDA </v>
          </cell>
          <cell r="C456" t="str">
            <v>Cali</v>
          </cell>
          <cell r="D456" t="str">
            <v>CRA 53G OESTE 12A 39</v>
          </cell>
          <cell r="E456" t="str">
            <v xml:space="preserve">SECTOR LA PLATANERA </v>
          </cell>
          <cell r="F456" t="str">
            <v xml:space="preserve">3235798397
</v>
          </cell>
          <cell r="G456" t="str">
            <v>3162414186</v>
          </cell>
          <cell r="H456" t="str">
            <v>Control</v>
          </cell>
        </row>
        <row r="457">
          <cell r="A457">
            <v>4995718</v>
          </cell>
          <cell r="B457" t="str">
            <v xml:space="preserve">José </v>
          </cell>
          <cell r="C457" t="str">
            <v>Baranquilla</v>
          </cell>
          <cell r="D457" t="str">
            <v>Cra 3g 49b 32</v>
          </cell>
          <cell r="E457" t="str">
            <v xml:space="preserve">Calle de los aji molidos </v>
          </cell>
          <cell r="F457" t="str">
            <v>3002251177</v>
          </cell>
          <cell r="G457" t="str">
            <v>3002339291</v>
          </cell>
          <cell r="H457" t="str">
            <v>Control</v>
          </cell>
        </row>
        <row r="458">
          <cell r="A458">
            <v>55221885</v>
          </cell>
          <cell r="B458" t="str">
            <v>Claudia patricia</v>
          </cell>
          <cell r="C458" t="str">
            <v>Baranquilla</v>
          </cell>
          <cell r="D458" t="str">
            <v>Kra 3g 49b 12</v>
          </cell>
          <cell r="E458" t="str">
            <v>Calle de los aji molidos</v>
          </cell>
          <cell r="F458" t="str">
            <v>3007117018</v>
          </cell>
          <cell r="G458" t="str">
            <v/>
          </cell>
          <cell r="H458" t="str">
            <v>Control</v>
          </cell>
        </row>
        <row r="459">
          <cell r="A459">
            <v>55226186</v>
          </cell>
          <cell r="B459" t="str">
            <v xml:space="preserve">Carmen </v>
          </cell>
          <cell r="C459" t="str">
            <v>Baranquilla</v>
          </cell>
          <cell r="D459" t="str">
            <v>Carrera 4a#50a-82</v>
          </cell>
          <cell r="E459" t="str">
            <v>Casa color roja</v>
          </cell>
          <cell r="F459" t="str">
            <v/>
          </cell>
          <cell r="G459" t="str">
            <v/>
          </cell>
          <cell r="H459" t="str">
            <v>Control</v>
          </cell>
        </row>
        <row r="460">
          <cell r="A460">
            <v>55228378</v>
          </cell>
          <cell r="B460" t="str">
            <v xml:space="preserve">Rosario </v>
          </cell>
          <cell r="C460" t="str">
            <v>Baranquilla</v>
          </cell>
          <cell r="D460" t="str">
            <v>Cra 10 sur 71  45</v>
          </cell>
          <cell r="E460" t="str">
            <v xml:space="preserve">Al lado de la tienda la bendición de Dios </v>
          </cell>
          <cell r="F460" t="str">
            <v>3044116282</v>
          </cell>
          <cell r="G460" t="str">
            <v/>
          </cell>
          <cell r="H460" t="str">
            <v>Control</v>
          </cell>
        </row>
        <row r="461">
          <cell r="A461">
            <v>55232194</v>
          </cell>
          <cell r="B461" t="str">
            <v>Omaira isabel</v>
          </cell>
          <cell r="C461" t="str">
            <v>Baranquilla</v>
          </cell>
          <cell r="D461" t="str">
            <v>Calle 49b 3e 04</v>
          </cell>
          <cell r="E461" t="str">
            <v xml:space="preserve">Diagonal a la tienda de los 3 hermanos </v>
          </cell>
          <cell r="F461" t="str">
            <v>3012246282</v>
          </cell>
          <cell r="G461" t="str">
            <v>3043483731</v>
          </cell>
          <cell r="H461" t="str">
            <v>Control</v>
          </cell>
        </row>
        <row r="462">
          <cell r="A462">
            <v>55240557</v>
          </cell>
          <cell r="B462" t="str">
            <v xml:space="preserve">Bertha </v>
          </cell>
          <cell r="C462" t="str">
            <v>Baranquilla</v>
          </cell>
          <cell r="D462" t="str">
            <v>Calle 73 4sur 32</v>
          </cell>
          <cell r="E462" t="str">
            <v xml:space="preserve">Bajando el colegio comunal </v>
          </cell>
          <cell r="F462" t="str">
            <v>3213785118</v>
          </cell>
          <cell r="G462" t="str">
            <v>3003439856</v>
          </cell>
          <cell r="H462" t="str">
            <v>Control</v>
          </cell>
        </row>
        <row r="463">
          <cell r="A463">
            <v>55300439</v>
          </cell>
          <cell r="B463" t="str">
            <v>Nubia</v>
          </cell>
          <cell r="C463" t="str">
            <v>Baranquilla</v>
          </cell>
          <cell r="D463" t="str">
            <v>Carrera 4 #49E- 79</v>
          </cell>
          <cell r="E463" t="str">
            <v xml:space="preserve">Casa color blanca </v>
          </cell>
          <cell r="F463" t="str">
            <v>3146732141</v>
          </cell>
          <cell r="G463" t="str">
            <v>3005905567</v>
          </cell>
          <cell r="H463" t="str">
            <v>Control</v>
          </cell>
        </row>
        <row r="464">
          <cell r="A464">
            <v>64479725</v>
          </cell>
          <cell r="B464" t="str">
            <v xml:space="preserve">Sandra Patricia </v>
          </cell>
          <cell r="C464" t="str">
            <v>Baranquilla</v>
          </cell>
          <cell r="D464" t="str">
            <v>Calle 51c #2f-05</v>
          </cell>
          <cell r="E464" t="str">
            <v xml:space="preserve">Diagonal a la tienda mi ranchito </v>
          </cell>
          <cell r="F464" t="str">
            <v>3012580378</v>
          </cell>
          <cell r="G464" t="str">
            <v>3145632676</v>
          </cell>
          <cell r="H464" t="str">
            <v>Control</v>
          </cell>
        </row>
        <row r="465">
          <cell r="A465">
            <v>64865431</v>
          </cell>
          <cell r="B465" t="str">
            <v>Damaris lucia</v>
          </cell>
          <cell r="C465" t="str">
            <v>Baranquilla</v>
          </cell>
          <cell r="D465" t="str">
            <v>Calle 50a 4 38</v>
          </cell>
          <cell r="E465" t="str">
            <v>Estanco juan machito</v>
          </cell>
          <cell r="F465" t="str">
            <v>3008930557</v>
          </cell>
          <cell r="G465" t="str">
            <v/>
          </cell>
          <cell r="H465" t="str">
            <v>Control</v>
          </cell>
        </row>
        <row r="466">
          <cell r="A466">
            <v>65747539</v>
          </cell>
          <cell r="B466" t="str">
            <v xml:space="preserve">María Eugenia </v>
          </cell>
          <cell r="C466" t="str">
            <v>Baranquilla</v>
          </cell>
          <cell r="D466" t="str">
            <v>Carrera 5sur #62-55</v>
          </cell>
          <cell r="E466" t="str">
            <v>A cuatro casas del estadero imperio club</v>
          </cell>
          <cell r="F466" t="str">
            <v>3014557573</v>
          </cell>
          <cell r="G466" t="str">
            <v>3005383519</v>
          </cell>
          <cell r="H466" t="str">
            <v>Control</v>
          </cell>
        </row>
        <row r="467">
          <cell r="A467">
            <v>66814958</v>
          </cell>
          <cell r="B467" t="str">
            <v>María etelbina</v>
          </cell>
          <cell r="C467" t="str">
            <v>Cali</v>
          </cell>
          <cell r="D467" t="str">
            <v>Calle 13 oeste 46-01</v>
          </cell>
          <cell r="E467" t="str">
            <v xml:space="preserve">Casa con ubicación poste, luminaria colinda con la montaña </v>
          </cell>
          <cell r="F467" t="str">
            <v>3128890420</v>
          </cell>
          <cell r="G467" t="str">
            <v>3174783592</v>
          </cell>
          <cell r="H467" t="str">
            <v>Control</v>
          </cell>
        </row>
        <row r="468">
          <cell r="A468">
            <v>66815424</v>
          </cell>
          <cell r="B468" t="str">
            <v xml:space="preserve">Luz Elena </v>
          </cell>
          <cell r="C468" t="str">
            <v>Cali</v>
          </cell>
          <cell r="D468" t="str">
            <v>Cl 12 A oeste 53 F 09</v>
          </cell>
          <cell r="E468" t="str">
            <v>A la vuelta del mío cable</v>
          </cell>
          <cell r="F468" t="str">
            <v>3152888067</v>
          </cell>
          <cell r="G468" t="str">
            <v>3185981503</v>
          </cell>
          <cell r="H468" t="str">
            <v>Control</v>
          </cell>
        </row>
        <row r="469">
          <cell r="A469">
            <v>66829892</v>
          </cell>
          <cell r="B469" t="str">
            <v xml:space="preserve">NOEMI </v>
          </cell>
          <cell r="C469" t="str">
            <v>Cali</v>
          </cell>
          <cell r="D469" t="str">
            <v>CR 52B OESTE 12A 27 BRISAS DE MAYO</v>
          </cell>
          <cell r="E469" t="str">
            <v>Bajo del cable mío Brisas y llegó al descanso a mano derecha en el hueco donde termina el muro hay otras gradas y ahí preguntan</v>
          </cell>
          <cell r="F469" t="str">
            <v>3205166967</v>
          </cell>
          <cell r="G469" t="str">
            <v>3128128059</v>
          </cell>
          <cell r="H469" t="str">
            <v>Control</v>
          </cell>
        </row>
        <row r="470">
          <cell r="A470">
            <v>66831349</v>
          </cell>
          <cell r="B470" t="str">
            <v>Rufina</v>
          </cell>
          <cell r="C470" t="str">
            <v>Cali</v>
          </cell>
          <cell r="D470" t="str">
            <v>Kr 54 oeste 12 A 02</v>
          </cell>
          <cell r="E470" t="str">
            <v>A una cuadra de la Estación cable mio</v>
          </cell>
          <cell r="F470" t="str">
            <v>3186373188</v>
          </cell>
          <cell r="G470" t="str">
            <v>3184145018</v>
          </cell>
          <cell r="H470" t="str">
            <v>Control</v>
          </cell>
        </row>
        <row r="471">
          <cell r="A471">
            <v>66834663</v>
          </cell>
          <cell r="B471" t="str">
            <v xml:space="preserve">JENNY </v>
          </cell>
          <cell r="C471" t="str">
            <v>Cali</v>
          </cell>
          <cell r="D471" t="str">
            <v>CR 49 OESTE 8B 10 SECTOR ESCUELA LOS SOLDADO LLERAS</v>
          </cell>
          <cell r="E471" t="str">
            <v xml:space="preserve">EstACION LLERAS SUBO PARA LLEGAR A LA ESCUELA DE LOS SOLDADOS PASO DE LARGO A COGER LA ENTRADA HACIA TIERRA BLANCA A LAS 6 CASA </v>
          </cell>
          <cell r="F471" t="str">
            <v>3126231326</v>
          </cell>
          <cell r="G471" t="str">
            <v>3168074123</v>
          </cell>
          <cell r="H471" t="str">
            <v>Control</v>
          </cell>
        </row>
        <row r="472">
          <cell r="A472">
            <v>66851995</v>
          </cell>
          <cell r="B472" t="str">
            <v xml:space="preserve">Patricia </v>
          </cell>
          <cell r="C472" t="str">
            <v>Cali</v>
          </cell>
          <cell r="D472" t="str">
            <v xml:space="preserve">CL 8A oeste 42b-98 casa esquina </v>
          </cell>
          <cell r="E472" t="str">
            <v/>
          </cell>
          <cell r="F472" t="str">
            <v>3224981059</v>
          </cell>
          <cell r="G472" t="str">
            <v>3126614736</v>
          </cell>
          <cell r="H472" t="str">
            <v>Control</v>
          </cell>
        </row>
        <row r="473">
          <cell r="A473">
            <v>66852181</v>
          </cell>
          <cell r="B473" t="str">
            <v>NOEMI</v>
          </cell>
          <cell r="C473" t="str">
            <v>Cali</v>
          </cell>
          <cell r="D473" t="str">
            <v>CL 12C OESTE 53F1 BIS 33</v>
          </cell>
          <cell r="E473" t="str">
            <v>SUBIR POR TODO EL TAMBORADO  POR EL CAMINO Y COJE A LA DERECHA</v>
          </cell>
          <cell r="F473" t="str">
            <v>3107113344</v>
          </cell>
          <cell r="G473" t="str">
            <v>3152931013</v>
          </cell>
          <cell r="H473" t="str">
            <v>Control</v>
          </cell>
        </row>
        <row r="474">
          <cell r="A474">
            <v>66866128</v>
          </cell>
          <cell r="B474" t="str">
            <v>MARIA EUGENIA</v>
          </cell>
          <cell r="C474" t="str">
            <v>Cali</v>
          </cell>
          <cell r="D474" t="str">
            <v>CL 12A BIS OESTE 53G 20</v>
          </cell>
          <cell r="E474" t="str">
            <v>A MANO IZQUIERDA DEL CABLE MIO DE BRISAS  TRES ENTRADAS LA SEGUNDA CASA</v>
          </cell>
          <cell r="F474" t="str">
            <v>3012815941</v>
          </cell>
          <cell r="G474" t="str">
            <v>3173185439</v>
          </cell>
          <cell r="H474" t="str">
            <v>Control</v>
          </cell>
        </row>
        <row r="475">
          <cell r="A475">
            <v>66903981</v>
          </cell>
          <cell r="B475" t="str">
            <v xml:space="preserve">Deysy </v>
          </cell>
          <cell r="C475" t="str">
            <v>Cali</v>
          </cell>
          <cell r="D475" t="str">
            <v>CL 12 C oeste 53D 35brisas de mayo</v>
          </cell>
          <cell r="E475" t="str">
            <v/>
          </cell>
          <cell r="F475" t="str">
            <v>3052222722</v>
          </cell>
          <cell r="G475" t="str">
            <v/>
          </cell>
          <cell r="H475" t="str">
            <v>Control</v>
          </cell>
        </row>
        <row r="476">
          <cell r="A476">
            <v>66924354</v>
          </cell>
          <cell r="B476" t="str">
            <v xml:space="preserve">JACQUELINE </v>
          </cell>
          <cell r="C476" t="str">
            <v>Cali</v>
          </cell>
          <cell r="D476" t="str">
            <v>CRA 47 OESTE 17 05</v>
          </cell>
          <cell r="E476" t="str">
            <v>DIAGONAL AL RESTAURANTE DE MARISOL QUEDA EN UNA ESQUINA</v>
          </cell>
          <cell r="F476" t="str">
            <v>3173110802</v>
          </cell>
          <cell r="G476" t="str">
            <v>3161675207</v>
          </cell>
          <cell r="H476" t="str">
            <v>Control</v>
          </cell>
        </row>
        <row r="477">
          <cell r="A477">
            <v>66946161</v>
          </cell>
          <cell r="B477" t="str">
            <v xml:space="preserve">Elcira </v>
          </cell>
          <cell r="C477" t="str">
            <v>Cali</v>
          </cell>
          <cell r="D477" t="str">
            <v>Kr 44A 8 B oeste 16 Pi 1</v>
          </cell>
          <cell r="E477" t="str">
            <v>Al lado de la tienda  Marleny</v>
          </cell>
          <cell r="F477" t="str">
            <v>316412137</v>
          </cell>
          <cell r="G477" t="str">
            <v xml:space="preserve">No dan información </v>
          </cell>
          <cell r="H477" t="str">
            <v>Control</v>
          </cell>
        </row>
        <row r="478">
          <cell r="A478">
            <v>66949232</v>
          </cell>
          <cell r="B478" t="str">
            <v>Lu Marina</v>
          </cell>
          <cell r="C478" t="str">
            <v>Cali</v>
          </cell>
          <cell r="D478" t="str">
            <v>Claro 12 A oeste 53F 14</v>
          </cell>
          <cell r="E478" t="str">
            <v>Cerca a la tienda de Andres y Don Enrique cable mío Brisas de mayo</v>
          </cell>
          <cell r="F478" t="str">
            <v>3188209340</v>
          </cell>
          <cell r="G478" t="str">
            <v>3226149330</v>
          </cell>
          <cell r="H478" t="str">
            <v>Control</v>
          </cell>
        </row>
        <row r="479">
          <cell r="A479">
            <v>66953260</v>
          </cell>
          <cell r="B479" t="str">
            <v xml:space="preserve">MARÍA DEL CARMEN </v>
          </cell>
          <cell r="C479" t="str">
            <v>Cali</v>
          </cell>
          <cell r="D479" t="str">
            <v>CL 13 OESTE 46 04</v>
          </cell>
          <cell r="E479" t="str">
            <v>Tiene subida frente a la estación subiendo hasta llegar al sector bobillo rojo</v>
          </cell>
          <cell r="F479" t="str">
            <v>3153596545</v>
          </cell>
          <cell r="G479" t="str">
            <v>3174187626</v>
          </cell>
          <cell r="H479" t="str">
            <v>Control</v>
          </cell>
        </row>
        <row r="480">
          <cell r="A480">
            <v>66956904</v>
          </cell>
          <cell r="B480" t="str">
            <v>ANA MILENA</v>
          </cell>
          <cell r="C480" t="str">
            <v>Cali</v>
          </cell>
          <cell r="D480" t="str">
            <v>CRA 53D 12B 25 OESTE</v>
          </cell>
          <cell r="E480" t="str">
            <v>BAJANDO LA VIRGEN DEL COLEGIO JOSE MARIA CORDOBA</v>
          </cell>
          <cell r="F480" t="str">
            <v>3122440709</v>
          </cell>
          <cell r="G480" t="str">
            <v xml:space="preserve">No dan información </v>
          </cell>
          <cell r="H480" t="str">
            <v>Control</v>
          </cell>
        </row>
        <row r="481">
          <cell r="A481">
            <v>66972092</v>
          </cell>
          <cell r="B481" t="str">
            <v xml:space="preserve">Esperanza </v>
          </cell>
          <cell r="C481" t="str">
            <v>Cali</v>
          </cell>
          <cell r="D481" t="str">
            <v>Cr 54 # 12 a 02. Brisas de mayo</v>
          </cell>
          <cell r="E481" t="str">
            <v>La estación de brisas de mayo  la platanera</v>
          </cell>
          <cell r="F481" t="str">
            <v>3137902356</v>
          </cell>
          <cell r="G481" t="str">
            <v xml:space="preserve">No dan información </v>
          </cell>
          <cell r="H481" t="str">
            <v>Control</v>
          </cell>
        </row>
        <row r="482">
          <cell r="A482">
            <v>66973335</v>
          </cell>
          <cell r="B482" t="str">
            <v>BLANCA ESTELA</v>
          </cell>
          <cell r="C482" t="str">
            <v>Cali</v>
          </cell>
          <cell r="D482" t="str">
            <v>CL 12D OESTE 53F 1BIS 13 SECTOR BRISAS DE MAYO</v>
          </cell>
          <cell r="E482" t="str">
            <v>AL FRENTE DE LA CUCHARITA CAMINO EL  ENTAMBORADO</v>
          </cell>
          <cell r="F482" t="str">
            <v>3215670856</v>
          </cell>
          <cell r="G482" t="str">
            <v>3223943995</v>
          </cell>
          <cell r="H482" t="str">
            <v>Control</v>
          </cell>
        </row>
        <row r="483">
          <cell r="A483">
            <v>66979672</v>
          </cell>
          <cell r="B483" t="str">
            <v xml:space="preserve">GLORIA ISABEL </v>
          </cell>
          <cell r="C483" t="str">
            <v>Cali</v>
          </cell>
          <cell r="D483" t="str">
            <v>CL 15 OESTE 46 22</v>
          </cell>
          <cell r="E483" t="str">
            <v>En MITAD DE LAS ESCALERAS SUBIENDO AL SECTOR DE BOMBILLO ROJO</v>
          </cell>
          <cell r="F483" t="str">
            <v>3155645102</v>
          </cell>
          <cell r="G483" t="str">
            <v>3155782310</v>
          </cell>
          <cell r="H483" t="str">
            <v>Control</v>
          </cell>
        </row>
        <row r="484">
          <cell r="A484">
            <v>66981241</v>
          </cell>
          <cell r="B484" t="str">
            <v xml:space="preserve">CENEIDA </v>
          </cell>
          <cell r="C484" t="str">
            <v>Cali</v>
          </cell>
          <cell r="D484" t="str">
            <v>CR 54 11A 43 OESTE</v>
          </cell>
          <cell r="E484" t="str">
            <v>Frente al cable mio</v>
          </cell>
          <cell r="F484" t="str">
            <v>3163491437</v>
          </cell>
          <cell r="G484" t="str">
            <v>3185126914</v>
          </cell>
          <cell r="H484" t="str">
            <v>Control</v>
          </cell>
        </row>
        <row r="485">
          <cell r="A485">
            <v>66981593</v>
          </cell>
          <cell r="B485" t="str">
            <v>Fabiola</v>
          </cell>
          <cell r="C485" t="str">
            <v>Cali</v>
          </cell>
          <cell r="D485" t="str">
            <v>Calle 13 oeste # 46-13</v>
          </cell>
          <cell r="E485" t="str">
            <v>Casa frente a las escaleras calle 13</v>
          </cell>
          <cell r="F485" t="str">
            <v>3217080193</v>
          </cell>
          <cell r="G485" t="str">
            <v>3135231873</v>
          </cell>
          <cell r="H485" t="str">
            <v>Control</v>
          </cell>
        </row>
        <row r="486">
          <cell r="A486">
            <v>66989106</v>
          </cell>
          <cell r="B486" t="str">
            <v>ANA MILENA</v>
          </cell>
          <cell r="C486" t="str">
            <v>Cali</v>
          </cell>
          <cell r="D486" t="str">
            <v>CL 18 OESTE 47 24</v>
          </cell>
          <cell r="E486" t="str">
            <v>En la mitad del pasadizo de la calle 18 Oeste</v>
          </cell>
          <cell r="F486" t="str">
            <v>3152608733</v>
          </cell>
          <cell r="G486" t="str">
            <v>3028080638</v>
          </cell>
          <cell r="H486" t="str">
            <v>Control</v>
          </cell>
        </row>
        <row r="487">
          <cell r="A487">
            <v>66993102</v>
          </cell>
          <cell r="B487" t="str">
            <v xml:space="preserve">María del Carmen </v>
          </cell>
          <cell r="C487" t="str">
            <v>Cali</v>
          </cell>
          <cell r="D487" t="str">
            <v>Cr 53FBIS  12C 18 brisas de mayo</v>
          </cell>
          <cell r="E487" t="str">
            <v>Sector el hueco</v>
          </cell>
          <cell r="F487" t="str">
            <v>3167812318</v>
          </cell>
          <cell r="G487" t="str">
            <v xml:space="preserve">No dan información </v>
          </cell>
          <cell r="H487" t="str">
            <v>Control</v>
          </cell>
        </row>
        <row r="488">
          <cell r="A488">
            <v>67007953</v>
          </cell>
          <cell r="B488" t="str">
            <v>Sandra patricia</v>
          </cell>
          <cell r="C488" t="str">
            <v>Cali</v>
          </cell>
          <cell r="D488" t="str">
            <v>CL 20 oeste 46 34</v>
          </cell>
          <cell r="E488" t="str">
            <v/>
          </cell>
          <cell r="F488" t="str">
            <v>3172685209</v>
          </cell>
          <cell r="G488" t="str">
            <v>3172499979</v>
          </cell>
          <cell r="H488" t="str">
            <v>Control</v>
          </cell>
        </row>
        <row r="489">
          <cell r="A489">
            <v>67009210</v>
          </cell>
          <cell r="B489" t="str">
            <v xml:space="preserve">Angie Marcela </v>
          </cell>
          <cell r="C489" t="str">
            <v>Cali</v>
          </cell>
          <cell r="D489" t="str">
            <v>Cl 6 G Oeste 46 43</v>
          </cell>
          <cell r="E489" t="str">
            <v>En la y del tanque tierra blanca</v>
          </cell>
          <cell r="F489" t="str">
            <v>3177518713</v>
          </cell>
          <cell r="G489" t="str">
            <v>3225841230</v>
          </cell>
          <cell r="H489" t="str">
            <v>Control</v>
          </cell>
        </row>
        <row r="490">
          <cell r="A490">
            <v>67014248</v>
          </cell>
          <cell r="B490" t="str">
            <v xml:space="preserve">Herninda </v>
          </cell>
          <cell r="C490" t="str">
            <v>Cali</v>
          </cell>
          <cell r="D490" t="str">
            <v xml:space="preserve">Kr 52C oeste 11 B bis </v>
          </cell>
          <cell r="E490" t="str">
            <v>A una cuadra de la cruz</v>
          </cell>
          <cell r="F490" t="str">
            <v>3153875394</v>
          </cell>
          <cell r="G490" t="str">
            <v>3168573876</v>
          </cell>
          <cell r="H490" t="str">
            <v>Control</v>
          </cell>
        </row>
        <row r="491">
          <cell r="A491">
            <v>67016691</v>
          </cell>
          <cell r="B491" t="str">
            <v>Jhon Freddy</v>
          </cell>
          <cell r="C491" t="str">
            <v>Cali</v>
          </cell>
          <cell r="D491" t="str">
            <v>Cra 49#15-12</v>
          </cell>
          <cell r="E491" t="str">
            <v>Una cuadra de la estación de llerad</v>
          </cell>
          <cell r="F491" t="str">
            <v>3174532931</v>
          </cell>
          <cell r="G491" t="str">
            <v>No tiene</v>
          </cell>
          <cell r="H491" t="str">
            <v>Control</v>
          </cell>
        </row>
        <row r="492">
          <cell r="A492">
            <v>67019790</v>
          </cell>
          <cell r="B492" t="str">
            <v xml:space="preserve">Marleny </v>
          </cell>
          <cell r="C492" t="str">
            <v>Cali</v>
          </cell>
          <cell r="D492" t="str">
            <v>Kr 44 A 8 B oeste 25 casa 01</v>
          </cell>
          <cell r="E492" t="str">
            <v xml:space="preserve">Al frente de licores las birras </v>
          </cell>
          <cell r="F492" t="str">
            <v>3156884876</v>
          </cell>
          <cell r="G492" t="str">
            <v>No tiene</v>
          </cell>
          <cell r="H492" t="str">
            <v>Control</v>
          </cell>
        </row>
        <row r="493">
          <cell r="A493">
            <v>67028018</v>
          </cell>
          <cell r="B493" t="str">
            <v>Viviana</v>
          </cell>
          <cell r="C493" t="str">
            <v>Cali</v>
          </cell>
          <cell r="D493" t="str">
            <v>Cr 52 C OESTE 11 bis 03 brisas de mayo</v>
          </cell>
          <cell r="E493" t="str">
            <v/>
          </cell>
          <cell r="F493" t="str">
            <v>3168262974</v>
          </cell>
          <cell r="G493" t="str">
            <v>3113150303</v>
          </cell>
          <cell r="H493" t="str">
            <v>Control</v>
          </cell>
        </row>
        <row r="494">
          <cell r="A494">
            <v>70049056</v>
          </cell>
          <cell r="B494" t="str">
            <v xml:space="preserve">Jaime Enrique </v>
          </cell>
          <cell r="C494" t="str">
            <v>Medellin</v>
          </cell>
          <cell r="D494" t="str">
            <v xml:space="preserve">Carrera 45 99 42 </v>
          </cell>
          <cell r="E494" t="str">
            <v>Se coge un bus de santa cruz y se baja en el 2do puente de los balsos Moscú No2</v>
          </cell>
          <cell r="F494" t="str">
            <v>6045240033</v>
          </cell>
          <cell r="G494" t="str">
            <v>3137091484</v>
          </cell>
          <cell r="H494" t="str">
            <v>Control</v>
          </cell>
        </row>
        <row r="495">
          <cell r="A495">
            <v>70073044</v>
          </cell>
          <cell r="B495" t="str">
            <v>Diego Armando</v>
          </cell>
          <cell r="C495" t="str">
            <v>Medellin</v>
          </cell>
          <cell r="D495" t="str">
            <v>Cl 98 # 45A - 37</v>
          </cell>
          <cell r="E495" t="str">
            <v>Subiendo por el segundo puente de Aranjuez Anillo</v>
          </cell>
          <cell r="F495" t="str">
            <v>3178390919</v>
          </cell>
          <cell r="G495" t="str">
            <v>6042365784</v>
          </cell>
          <cell r="H495" t="str">
            <v>Control</v>
          </cell>
        </row>
        <row r="496">
          <cell r="A496">
            <v>70108470</v>
          </cell>
          <cell r="B496" t="str">
            <v>Ramiro de Jesús</v>
          </cell>
          <cell r="C496" t="str">
            <v>Medellin</v>
          </cell>
          <cell r="D496" t="str">
            <v>Cl 98 45-18</v>
          </cell>
          <cell r="E496" t="str">
            <v>En la primera cuadra antes de cruzar el puente volteo a mano derecha subo 5 casa antes de llega a la esquina a mano izquierda segundo piso</v>
          </cell>
          <cell r="F496" t="str">
            <v>3216333452</v>
          </cell>
          <cell r="G496" t="str">
            <v>3216333452</v>
          </cell>
          <cell r="H496" t="str">
            <v>Control</v>
          </cell>
        </row>
        <row r="497">
          <cell r="A497">
            <v>70127199</v>
          </cell>
          <cell r="B497" t="str">
            <v xml:space="preserve">Julio César </v>
          </cell>
          <cell r="C497" t="str">
            <v>Medellin</v>
          </cell>
          <cell r="D497" t="str">
            <v>Cl 107D # 44  - 6 int 106</v>
          </cell>
          <cell r="E497" t="str">
            <v xml:space="preserve">Cerca de la iglesia de la divina providencia </v>
          </cell>
          <cell r="F497" t="str">
            <v>3104432896</v>
          </cell>
          <cell r="G497" t="str">
            <v>3104432896</v>
          </cell>
          <cell r="H497" t="str">
            <v>Control</v>
          </cell>
        </row>
        <row r="498">
          <cell r="A498">
            <v>71216514</v>
          </cell>
          <cell r="B498" t="str">
            <v xml:space="preserve">Dorian Alexander </v>
          </cell>
          <cell r="C498" t="str">
            <v>Medellin</v>
          </cell>
          <cell r="D498" t="str">
            <v>CRA 46 # 98 - 47 int 315</v>
          </cell>
          <cell r="E498" t="str">
            <v xml:space="preserve">Segundo puente de Aranjuez </v>
          </cell>
          <cell r="F498" t="str">
            <v>3043817243</v>
          </cell>
          <cell r="G498" t="str">
            <v>3114116640</v>
          </cell>
          <cell r="H498" t="str">
            <v>Control</v>
          </cell>
        </row>
        <row r="499">
          <cell r="A499">
            <v>71218215</v>
          </cell>
          <cell r="B499" t="str">
            <v>Gloria Ines</v>
          </cell>
          <cell r="C499" t="str">
            <v>Medellin</v>
          </cell>
          <cell r="D499" t="str">
            <v>Cr 46 98.50 int 227</v>
          </cell>
          <cell r="E499" t="str">
            <v>Escuela san nicolas</v>
          </cell>
          <cell r="F499" t="str">
            <v>3122318708</v>
          </cell>
          <cell r="G499" t="str">
            <v>3132318708</v>
          </cell>
          <cell r="H499" t="str">
            <v>Control</v>
          </cell>
        </row>
        <row r="500">
          <cell r="A500">
            <v>71260467</v>
          </cell>
          <cell r="B500" t="str">
            <v>Wilmar.Alonso</v>
          </cell>
          <cell r="C500" t="str">
            <v>Medellin</v>
          </cell>
          <cell r="D500" t="str">
            <v>Cr 44 107 C41 int 101</v>
          </cell>
          <cell r="E500" t="str">
            <v>Cerca metro cable</v>
          </cell>
          <cell r="F500" t="str">
            <v>3011740607</v>
          </cell>
          <cell r="G500" t="str">
            <v>3011740607</v>
          </cell>
          <cell r="H500" t="str">
            <v>Control</v>
          </cell>
        </row>
        <row r="501">
          <cell r="A501">
            <v>71365608</v>
          </cell>
          <cell r="B501" t="str">
            <v>Adrian</v>
          </cell>
          <cell r="C501" t="str">
            <v>Medellin</v>
          </cell>
          <cell r="D501" t="str">
            <v>Cra 43A 110 ,31</v>
          </cell>
          <cell r="E501" t="str">
            <v>Club de vida mi casita a media cuadra</v>
          </cell>
          <cell r="F501" t="str">
            <v>3114187532</v>
          </cell>
          <cell r="G501" t="str">
            <v/>
          </cell>
          <cell r="H501" t="str">
            <v>Control</v>
          </cell>
        </row>
        <row r="502">
          <cell r="A502">
            <v>71387728</v>
          </cell>
          <cell r="B502" t="str">
            <v xml:space="preserve">David Andrés </v>
          </cell>
          <cell r="C502" t="str">
            <v>Medellin</v>
          </cell>
          <cell r="D502" t="str">
            <v>Cl 123 # 48 - 140</v>
          </cell>
          <cell r="E502" t="str">
            <v xml:space="preserve">Arriba de la escuela la frontera </v>
          </cell>
          <cell r="F502" t="str">
            <v>3017723729</v>
          </cell>
          <cell r="G502" t="str">
            <v>3006286065</v>
          </cell>
          <cell r="H502" t="str">
            <v>Control</v>
          </cell>
        </row>
        <row r="503">
          <cell r="A503">
            <v>71579896</v>
          </cell>
          <cell r="B503" t="str">
            <v>Jesús Evenson</v>
          </cell>
          <cell r="C503" t="str">
            <v>Medellin</v>
          </cell>
          <cell r="D503" t="str">
            <v>Cl 111 # 42E - 107</v>
          </cell>
          <cell r="E503" t="str">
            <v>Cerca al salón del Reino testigos de Jehová</v>
          </cell>
          <cell r="F503" t="str">
            <v>3216389769</v>
          </cell>
          <cell r="G503" t="str">
            <v>3216389769</v>
          </cell>
          <cell r="H503" t="str">
            <v>Control</v>
          </cell>
        </row>
        <row r="504">
          <cell r="A504">
            <v>71591169</v>
          </cell>
          <cell r="B504" t="str">
            <v>Carlos adolfo</v>
          </cell>
          <cell r="C504" t="str">
            <v>Medellin</v>
          </cell>
          <cell r="D504" t="str">
            <v>Cr 46 108a 36 in 05</v>
          </cell>
          <cell r="E504" t="str">
            <v>Una cuadra detrás del colegio Federico carrasquillas</v>
          </cell>
          <cell r="F504" t="str">
            <v>3011969679</v>
          </cell>
          <cell r="G504" t="str">
            <v>3011969679</v>
          </cell>
          <cell r="H504" t="str">
            <v>Control</v>
          </cell>
        </row>
        <row r="505">
          <cell r="A505">
            <v>71603638</v>
          </cell>
          <cell r="B505" t="str">
            <v xml:space="preserve">Francisco Javier </v>
          </cell>
          <cell r="C505" t="str">
            <v>Medellin</v>
          </cell>
          <cell r="D505" t="str">
            <v>CRA 45 # 99 - 12</v>
          </cell>
          <cell r="E505" t="str">
            <v>Terminal de buses de Aranjuez Anillo</v>
          </cell>
          <cell r="F505" t="str">
            <v>6045233111</v>
          </cell>
          <cell r="G505" t="str">
            <v>3147823395</v>
          </cell>
          <cell r="H505" t="str">
            <v>Control</v>
          </cell>
        </row>
        <row r="506">
          <cell r="A506">
            <v>71646374</v>
          </cell>
          <cell r="B506" t="str">
            <v>Omar Enrique</v>
          </cell>
          <cell r="C506" t="str">
            <v>Medellin</v>
          </cell>
          <cell r="D506" t="str">
            <v>Calle 96 44 84 Apto 301</v>
          </cell>
          <cell r="E506" t="str">
            <v>Al frente de la Cuasiparroquia Nuestra Sra de la Piedad</v>
          </cell>
          <cell r="F506" t="str">
            <v>3147458131</v>
          </cell>
          <cell r="G506" t="str">
            <v>3177477773</v>
          </cell>
          <cell r="H506" t="str">
            <v>Control</v>
          </cell>
        </row>
        <row r="507">
          <cell r="A507">
            <v>71653892</v>
          </cell>
          <cell r="B507" t="str">
            <v xml:space="preserve">Franklin Alberto </v>
          </cell>
          <cell r="C507" t="str">
            <v>Medellin</v>
          </cell>
          <cell r="D507" t="str">
            <v>CRA 46 # 109 - 38 int 105</v>
          </cell>
          <cell r="E507" t="str">
            <v xml:space="preserve">Camerca al Liceo Federico Carrasquilla </v>
          </cell>
          <cell r="F507" t="str">
            <v>3045755162</v>
          </cell>
          <cell r="G507" t="str">
            <v>3202517154</v>
          </cell>
          <cell r="H507" t="str">
            <v>Control</v>
          </cell>
        </row>
        <row r="508">
          <cell r="A508">
            <v>71663203</v>
          </cell>
          <cell r="B508" t="str">
            <v xml:space="preserve">Jovanni de Jesús </v>
          </cell>
          <cell r="C508" t="str">
            <v>Medellin</v>
          </cell>
          <cell r="D508" t="str">
            <v>CRA 43B # 108A - 32</v>
          </cell>
          <cell r="E508" t="str">
            <v xml:space="preserve">Cerca a la institución educativa Federico Carrasquilla </v>
          </cell>
          <cell r="F508" t="str">
            <v>3007989960</v>
          </cell>
          <cell r="G508" t="str">
            <v>6043892536</v>
          </cell>
          <cell r="H508" t="str">
            <v>Control</v>
          </cell>
        </row>
        <row r="509">
          <cell r="A509">
            <v>71664592</v>
          </cell>
          <cell r="B509" t="str">
            <v>María eloisa</v>
          </cell>
          <cell r="C509" t="str">
            <v>Medellin</v>
          </cell>
          <cell r="D509" t="str">
            <v>Cll 107e # 38a- 11 int 104</v>
          </cell>
          <cell r="E509" t="str">
            <v>Cerca al metro cable popular</v>
          </cell>
          <cell r="F509" t="str">
            <v>3146564551</v>
          </cell>
          <cell r="G509" t="str">
            <v>No</v>
          </cell>
          <cell r="H509" t="str">
            <v>Control</v>
          </cell>
        </row>
        <row r="510">
          <cell r="A510">
            <v>71671195</v>
          </cell>
          <cell r="B510" t="str">
            <v>Omar de Jesús</v>
          </cell>
          <cell r="C510" t="str">
            <v>Medellin</v>
          </cell>
          <cell r="D510" t="str">
            <v>Carrera 46 98 47 int 120</v>
          </cell>
          <cell r="E510" t="str">
            <v xml:space="preserve">Con la dirección llega fácil </v>
          </cell>
          <cell r="F510" t="str">
            <v>3224410431</v>
          </cell>
          <cell r="G510" t="str">
            <v/>
          </cell>
          <cell r="H510" t="str">
            <v>Control</v>
          </cell>
        </row>
        <row r="511">
          <cell r="A511">
            <v>71686558</v>
          </cell>
          <cell r="B511" t="str">
            <v>Dairo</v>
          </cell>
          <cell r="C511" t="str">
            <v>Medellin</v>
          </cell>
          <cell r="D511" t="str">
            <v>Cra 43B 107C 57 Int 101</v>
          </cell>
          <cell r="E511" t="str">
            <v>A media cuadra de la iglesia la Divina providencia</v>
          </cell>
          <cell r="F511" t="str">
            <v>3154605600</v>
          </cell>
          <cell r="G511" t="str">
            <v>No</v>
          </cell>
          <cell r="H511" t="str">
            <v>Control</v>
          </cell>
        </row>
        <row r="512">
          <cell r="A512">
            <v>71697945</v>
          </cell>
          <cell r="B512" t="str">
            <v xml:space="preserve">Edgar Antonio </v>
          </cell>
          <cell r="C512" t="str">
            <v>Medellin</v>
          </cell>
          <cell r="D512" t="str">
            <v>Carrera 43B 107C 09</v>
          </cell>
          <cell r="E512" t="str">
            <v>Una cuadra abajo de el D1</v>
          </cell>
          <cell r="F512" t="str">
            <v>3146313499</v>
          </cell>
          <cell r="G512" t="str">
            <v/>
          </cell>
          <cell r="H512" t="str">
            <v>Control</v>
          </cell>
        </row>
        <row r="513">
          <cell r="A513">
            <v>71717122</v>
          </cell>
          <cell r="B513" t="str">
            <v xml:space="preserve">John Albeiro </v>
          </cell>
          <cell r="C513" t="str">
            <v>Medellin</v>
          </cell>
          <cell r="D513" t="str">
            <v>Carrera 44 107C 20</v>
          </cell>
          <cell r="E513" t="str">
            <v xml:space="preserve">Dos cuadras abajo debla divina providencia </v>
          </cell>
          <cell r="F513" t="str">
            <v>3005077076</v>
          </cell>
          <cell r="G513" t="str">
            <v>3058511403</v>
          </cell>
          <cell r="H513" t="str">
            <v>Control</v>
          </cell>
        </row>
        <row r="514">
          <cell r="A514">
            <v>71744033</v>
          </cell>
          <cell r="B514" t="str">
            <v>Juan Carlos</v>
          </cell>
          <cell r="C514" t="str">
            <v>Medellin</v>
          </cell>
          <cell r="D514" t="str">
            <v>Cra 43 110C 35</v>
          </cell>
          <cell r="E514" t="str">
            <v>Media cuadra de la tienda de don Edilio</v>
          </cell>
          <cell r="F514" t="str">
            <v>3216802698</v>
          </cell>
          <cell r="G514" t="str">
            <v>No</v>
          </cell>
          <cell r="H514" t="str">
            <v>Control</v>
          </cell>
        </row>
        <row r="515">
          <cell r="A515">
            <v>71769872</v>
          </cell>
          <cell r="B515" t="str">
            <v xml:space="preserve">Carlos Mario </v>
          </cell>
          <cell r="C515" t="str">
            <v>Medellin</v>
          </cell>
          <cell r="D515" t="str">
            <v xml:space="preserve">Carrera 45 98 116 </v>
          </cell>
          <cell r="E515" t="str">
            <v>Con la dirección da facil</v>
          </cell>
          <cell r="F515" t="str">
            <v>3246098376</v>
          </cell>
          <cell r="G515" t="str">
            <v>604 5229461</v>
          </cell>
          <cell r="H515" t="str">
            <v>Control</v>
          </cell>
        </row>
        <row r="516">
          <cell r="A516">
            <v>71796175</v>
          </cell>
          <cell r="B516" t="str">
            <v>Mauricio</v>
          </cell>
          <cell r="C516" t="str">
            <v>Medellin</v>
          </cell>
          <cell r="D516" t="str">
            <v>Cra 46 107D - 05 int 111</v>
          </cell>
          <cell r="E516" t="str">
            <v>Cerca a la farmacia el pomarcito que queda en la estación Andalucía del metro cable</v>
          </cell>
          <cell r="F516" t="str">
            <v>3016253457</v>
          </cell>
          <cell r="G516" t="str">
            <v>3125039852</v>
          </cell>
          <cell r="H516" t="str">
            <v>Control</v>
          </cell>
        </row>
        <row r="517">
          <cell r="A517">
            <v>71799939</v>
          </cell>
          <cell r="B517" t="str">
            <v xml:space="preserve">Gonzalo de Jesús </v>
          </cell>
          <cell r="C517" t="str">
            <v>Medellin</v>
          </cell>
          <cell r="D517" t="str">
            <v xml:space="preserve">Carrera 45 99 18 </v>
          </cell>
          <cell r="E517" t="str">
            <v xml:space="preserve">Una cuadra abajo debla escuela la graciela </v>
          </cell>
          <cell r="F517" t="str">
            <v>3242038771</v>
          </cell>
          <cell r="G517" t="str">
            <v>N</v>
          </cell>
          <cell r="H517" t="str">
            <v>Control</v>
          </cell>
        </row>
        <row r="518">
          <cell r="A518">
            <v>72127034</v>
          </cell>
          <cell r="B518" t="str">
            <v xml:space="preserve">Edgardo </v>
          </cell>
          <cell r="C518" t="str">
            <v>Baranquilla</v>
          </cell>
          <cell r="D518" t="str">
            <v xml:space="preserve">Calle 72 #10 Sur -59 </v>
          </cell>
          <cell r="E518" t="str">
            <v xml:space="preserve">Tienda La Bendición De Dios </v>
          </cell>
          <cell r="F518" t="str">
            <v>3122602774</v>
          </cell>
          <cell r="G518" t="str">
            <v>3014785997</v>
          </cell>
          <cell r="H518" t="str">
            <v>Control</v>
          </cell>
        </row>
        <row r="519">
          <cell r="A519">
            <v>72131105</v>
          </cell>
          <cell r="B519" t="str">
            <v xml:space="preserve">Julio enrique </v>
          </cell>
          <cell r="C519" t="str">
            <v>Baranquilla</v>
          </cell>
          <cell r="D519" t="str">
            <v xml:space="preserve">Calle 49b 3e 05 apt 2 </v>
          </cell>
          <cell r="E519" t="str">
            <v>Frente al parque de carrizal</v>
          </cell>
          <cell r="F519" t="str">
            <v>3007339484</v>
          </cell>
          <cell r="G519" t="str">
            <v>3007590608</v>
          </cell>
          <cell r="H519" t="str">
            <v>Control</v>
          </cell>
        </row>
        <row r="520">
          <cell r="A520">
            <v>72146165</v>
          </cell>
          <cell r="B520" t="str">
            <v xml:space="preserve">Robinson Manuel </v>
          </cell>
          <cell r="C520" t="str">
            <v>Baranquilla</v>
          </cell>
          <cell r="D520" t="str">
            <v>Cra 3D 49 B 170</v>
          </cell>
          <cell r="E520" t="str">
            <v xml:space="preserve">Por el paso de carrizal </v>
          </cell>
          <cell r="F520" t="str">
            <v>3126465958</v>
          </cell>
          <cell r="G520" t="str">
            <v>3112466323</v>
          </cell>
          <cell r="H520" t="str">
            <v>Control</v>
          </cell>
        </row>
        <row r="521">
          <cell r="A521">
            <v>72149109</v>
          </cell>
          <cell r="B521" t="str">
            <v xml:space="preserve">Jhon </v>
          </cell>
          <cell r="C521" t="str">
            <v>Baranquilla</v>
          </cell>
          <cell r="D521" t="str">
            <v>Cra 5 sur 71 36</v>
          </cell>
          <cell r="E521" t="str">
            <v xml:space="preserve">Bajando la casa de la cultura </v>
          </cell>
          <cell r="F521" t="str">
            <v>3105420329</v>
          </cell>
          <cell r="G521" t="str">
            <v>3145828855</v>
          </cell>
          <cell r="H521" t="str">
            <v>Control</v>
          </cell>
        </row>
        <row r="522">
          <cell r="A522">
            <v>72167042</v>
          </cell>
          <cell r="B522" t="str">
            <v xml:space="preserve">Gusto Germán </v>
          </cell>
          <cell r="C522" t="str">
            <v>Baranquilla</v>
          </cell>
          <cell r="D522" t="str">
            <v>Calle 73 4 sur 79</v>
          </cell>
          <cell r="E522" t="str">
            <v>En la calle donde queda la tienda mi niña bonita</v>
          </cell>
          <cell r="F522" t="str">
            <v>3003439856</v>
          </cell>
          <cell r="G522" t="str">
            <v>3017424749</v>
          </cell>
          <cell r="H522" t="str">
            <v>Control</v>
          </cell>
        </row>
        <row r="523">
          <cell r="A523">
            <v>72170241</v>
          </cell>
          <cell r="B523" t="str">
            <v xml:space="preserve">Wilfrido Rafael </v>
          </cell>
          <cell r="C523" t="str">
            <v>Baranquilla</v>
          </cell>
          <cell r="D523" t="str">
            <v>Cra 3E 49 B 74</v>
          </cell>
          <cell r="E523" t="str">
            <v xml:space="preserve">Cerca a la tienda el tu y yo </v>
          </cell>
          <cell r="F523" t="str">
            <v>3004818696</v>
          </cell>
          <cell r="G523" t="str">
            <v>3046754341</v>
          </cell>
          <cell r="H523" t="str">
            <v>Control</v>
          </cell>
        </row>
        <row r="524">
          <cell r="A524">
            <v>72175816</v>
          </cell>
          <cell r="B524" t="str">
            <v>Giavanni jhon</v>
          </cell>
          <cell r="C524" t="str">
            <v>Baranquilla</v>
          </cell>
          <cell r="D524" t="str">
            <v>Cra 3e 49e 48</v>
          </cell>
          <cell r="E524" t="str">
            <v>Cerca a la tienda la reforma</v>
          </cell>
          <cell r="F524" t="str">
            <v>3106769791</v>
          </cell>
          <cell r="G524" t="str">
            <v>3145604467</v>
          </cell>
          <cell r="H524" t="str">
            <v>Control</v>
          </cell>
        </row>
        <row r="525">
          <cell r="A525">
            <v>72183434</v>
          </cell>
          <cell r="B525" t="str">
            <v xml:space="preserve">Jose Antonio </v>
          </cell>
          <cell r="C525" t="str">
            <v>Baranquilla</v>
          </cell>
          <cell r="D525" t="str">
            <v>Carrera 3 e #50-68</v>
          </cell>
          <cell r="E525" t="str">
            <v xml:space="preserve">A media cuadra de la tienda jelisa </v>
          </cell>
          <cell r="F525" t="str">
            <v>3105123154</v>
          </cell>
          <cell r="G525" t="str">
            <v>3013982284</v>
          </cell>
          <cell r="H525" t="str">
            <v>Control</v>
          </cell>
        </row>
        <row r="526">
          <cell r="A526">
            <v>72184735</v>
          </cell>
          <cell r="B526" t="str">
            <v>Luis alberto</v>
          </cell>
          <cell r="C526" t="str">
            <v>Baranquilla</v>
          </cell>
          <cell r="D526" t="str">
            <v>Cra 3F 63</v>
          </cell>
          <cell r="E526" t="str">
            <v xml:space="preserve">Por la tienda yuliza o la bananera </v>
          </cell>
          <cell r="F526" t="str">
            <v>3043106011</v>
          </cell>
          <cell r="G526" t="str">
            <v>3136069909</v>
          </cell>
          <cell r="H526" t="str">
            <v>Control</v>
          </cell>
        </row>
        <row r="527">
          <cell r="A527">
            <v>72213150</v>
          </cell>
          <cell r="B527" t="str">
            <v xml:space="preserve">Juan Carlos </v>
          </cell>
          <cell r="C527" t="str">
            <v>Baranquilla</v>
          </cell>
          <cell r="D527" t="str">
            <v>Calle 68 1 sur 113</v>
          </cell>
          <cell r="E527" t="str">
            <v>Por la tienda la chucureña</v>
          </cell>
          <cell r="F527" t="str">
            <v>3008712129</v>
          </cell>
          <cell r="G527" t="str">
            <v>3246077507</v>
          </cell>
          <cell r="H527" t="str">
            <v>Control</v>
          </cell>
        </row>
        <row r="528">
          <cell r="A528">
            <v>72217502</v>
          </cell>
          <cell r="B528" t="str">
            <v>Moises</v>
          </cell>
          <cell r="C528" t="str">
            <v>Baranquilla</v>
          </cell>
          <cell r="D528" t="str">
            <v>Cra 3g 49e 72</v>
          </cell>
          <cell r="E528" t="str">
            <v>A 9 casas de la tienda lacosteña</v>
          </cell>
          <cell r="F528" t="str">
            <v>3202005608</v>
          </cell>
          <cell r="G528" t="str">
            <v>3153010729</v>
          </cell>
          <cell r="H528" t="str">
            <v>Control</v>
          </cell>
        </row>
        <row r="529">
          <cell r="A529">
            <v>72234487</v>
          </cell>
          <cell r="B529" t="str">
            <v>Nicolas antonio</v>
          </cell>
          <cell r="C529" t="str">
            <v>Baranquilla</v>
          </cell>
          <cell r="D529" t="str">
            <v>Calle 50a 4b 19</v>
          </cell>
          <cell r="E529" t="str">
            <v>Diagonal a mencho licores</v>
          </cell>
          <cell r="F529" t="str">
            <v>3122450238</v>
          </cell>
          <cell r="G529" t="str">
            <v>6053321798</v>
          </cell>
          <cell r="H529" t="str">
            <v>Control</v>
          </cell>
        </row>
        <row r="530">
          <cell r="A530">
            <v>72239153</v>
          </cell>
          <cell r="B530" t="str">
            <v xml:space="preserve">Fabio Antonio </v>
          </cell>
          <cell r="C530" t="str">
            <v>Baranquilla</v>
          </cell>
          <cell r="D530" t="str">
            <v>Cra 4 A sur 64 12</v>
          </cell>
          <cell r="E530" t="str">
            <v xml:space="preserve">Bajando la ferretería el manantial de agua viva </v>
          </cell>
          <cell r="F530" t="str">
            <v>3003441288</v>
          </cell>
          <cell r="G530" t="str">
            <v>3226515341</v>
          </cell>
          <cell r="H530" t="str">
            <v>Control</v>
          </cell>
        </row>
        <row r="531">
          <cell r="A531">
            <v>72256249</v>
          </cell>
          <cell r="B531" t="str">
            <v xml:space="preserve">Ignacio </v>
          </cell>
          <cell r="C531" t="str">
            <v>Baranquilla</v>
          </cell>
          <cell r="D531" t="str">
            <v xml:space="preserve">Calle 70 #2 Sur -98 </v>
          </cell>
          <cell r="E531" t="str">
            <v xml:space="preserve">Tienda La Sukureña </v>
          </cell>
          <cell r="F531" t="str">
            <v>3135614847</v>
          </cell>
          <cell r="G531" t="str">
            <v>3245482759</v>
          </cell>
          <cell r="H531" t="str">
            <v>Control</v>
          </cell>
        </row>
        <row r="532">
          <cell r="A532">
            <v>72259355</v>
          </cell>
          <cell r="B532" t="str">
            <v xml:space="preserve">Juan José </v>
          </cell>
          <cell r="C532" t="str">
            <v>Baranquilla</v>
          </cell>
          <cell r="D532" t="str">
            <v>Cra 5 sur#62-75</v>
          </cell>
          <cell r="E532" t="str">
            <v>La tienda nueva sucursal de la 68</v>
          </cell>
          <cell r="F532" t="str">
            <v>3244346957</v>
          </cell>
          <cell r="G532" t="str">
            <v>3244346957</v>
          </cell>
          <cell r="H532" t="str">
            <v>Control</v>
          </cell>
        </row>
        <row r="533">
          <cell r="A533">
            <v>72261103</v>
          </cell>
          <cell r="B533" t="str">
            <v xml:space="preserve">Adanies Alberto </v>
          </cell>
          <cell r="C533" t="str">
            <v>Baranquilla</v>
          </cell>
          <cell r="D533" t="str">
            <v xml:space="preserve">Carrera 3 g #50a-32 apartamento 1 </v>
          </cell>
          <cell r="E533" t="str">
            <v xml:space="preserve">A una cuadra de la tienda la esquina caliente </v>
          </cell>
          <cell r="F533" t="str">
            <v>3214404506</v>
          </cell>
          <cell r="G533" t="str">
            <v>3015065921</v>
          </cell>
          <cell r="H533" t="str">
            <v>Control</v>
          </cell>
        </row>
        <row r="534">
          <cell r="A534">
            <v>72264710</v>
          </cell>
          <cell r="B534" t="str">
            <v xml:space="preserve">Iván Guillermo </v>
          </cell>
          <cell r="C534" t="str">
            <v>Baranquilla</v>
          </cell>
          <cell r="D534" t="str">
            <v>Calle 51c #2f-27</v>
          </cell>
          <cell r="E534" t="str">
            <v xml:space="preserve">Diagonal a la tienda mi ranchito </v>
          </cell>
          <cell r="F534" t="str">
            <v>324331667</v>
          </cell>
          <cell r="G534" t="str">
            <v>3126429337</v>
          </cell>
          <cell r="H534" t="str">
            <v>Control</v>
          </cell>
        </row>
        <row r="535">
          <cell r="A535">
            <v>72265227</v>
          </cell>
          <cell r="B535" t="str">
            <v xml:space="preserve">Yimi jaime </v>
          </cell>
          <cell r="C535" t="str">
            <v>Baranquilla</v>
          </cell>
          <cell r="D535" t="str">
            <v xml:space="preserve">Cra 3g 49e 108 apt 1 </v>
          </cell>
          <cell r="E535" t="str">
            <v>Cerca a la tienda la bananera</v>
          </cell>
          <cell r="F535" t="str">
            <v>3012154727</v>
          </cell>
          <cell r="G535" t="str">
            <v>3012748812</v>
          </cell>
          <cell r="H535" t="str">
            <v>Control</v>
          </cell>
        </row>
        <row r="536">
          <cell r="A536">
            <v>72428031</v>
          </cell>
          <cell r="B536" t="str">
            <v xml:space="preserve">David </v>
          </cell>
          <cell r="C536" t="str">
            <v>Baranquilla</v>
          </cell>
          <cell r="D536" t="str">
            <v>Calle 64 5sur 21</v>
          </cell>
          <cell r="E536" t="str">
            <v>Por dónde los goliath</v>
          </cell>
          <cell r="F536" t="str">
            <v>3012801520</v>
          </cell>
          <cell r="G536" t="str">
            <v>3002652196</v>
          </cell>
          <cell r="H536" t="str">
            <v>Control</v>
          </cell>
        </row>
        <row r="537">
          <cell r="A537">
            <v>73153652</v>
          </cell>
          <cell r="B537" t="str">
            <v xml:space="preserve">Santiago Rafael </v>
          </cell>
          <cell r="C537" t="str">
            <v>Baranquilla</v>
          </cell>
          <cell r="D537" t="str">
            <v>Carrera 10 sur #72-70</v>
          </cell>
          <cell r="E537" t="str">
            <v xml:space="preserve">Diagonal a la tienda el lirio de Salomón </v>
          </cell>
          <cell r="F537" t="str">
            <v>3144150920</v>
          </cell>
          <cell r="G537" t="str">
            <v>3113728357</v>
          </cell>
          <cell r="H537" t="str">
            <v>Control</v>
          </cell>
        </row>
        <row r="538">
          <cell r="A538">
            <v>7411480</v>
          </cell>
          <cell r="B538" t="str">
            <v xml:space="preserve">Alberto Enrique </v>
          </cell>
          <cell r="C538" t="str">
            <v>Baranquilla</v>
          </cell>
          <cell r="D538" t="str">
            <v>Carrera 3 e #50a-118</v>
          </cell>
          <cell r="E538" t="str">
            <v xml:space="preserve">A dos casas de la tienda Yelitza </v>
          </cell>
          <cell r="F538" t="str">
            <v xml:space="preserve">No tiene </v>
          </cell>
          <cell r="G538" t="str">
            <v>3203977607</v>
          </cell>
          <cell r="H538" t="str">
            <v>Control</v>
          </cell>
        </row>
        <row r="539">
          <cell r="A539">
            <v>7420358</v>
          </cell>
          <cell r="B539" t="str">
            <v xml:space="preserve">Oscar </v>
          </cell>
          <cell r="C539" t="str">
            <v>Baranquilla</v>
          </cell>
          <cell r="D539" t="str">
            <v>Carrera 4a #50a - 170</v>
          </cell>
          <cell r="E539" t="str">
            <v>Casa puerta color blanca de msdera</v>
          </cell>
          <cell r="F539" t="str">
            <v>3001920330</v>
          </cell>
          <cell r="G539" t="str">
            <v>3012897466</v>
          </cell>
          <cell r="H539" t="str">
            <v>Control</v>
          </cell>
        </row>
        <row r="540">
          <cell r="A540">
            <v>7435553</v>
          </cell>
          <cell r="B540" t="str">
            <v>Pablo electo</v>
          </cell>
          <cell r="C540" t="str">
            <v>Baranquilla</v>
          </cell>
          <cell r="D540" t="str">
            <v xml:space="preserve">Cra 3e 49b 82 </v>
          </cell>
          <cell r="E540" t="str">
            <v>Cra 3e 49b 82</v>
          </cell>
          <cell r="F540" t="str">
            <v>3205399762</v>
          </cell>
          <cell r="G540" t="str">
            <v>3214054751</v>
          </cell>
          <cell r="H540" t="str">
            <v>Control</v>
          </cell>
        </row>
        <row r="541">
          <cell r="A541">
            <v>7438297</v>
          </cell>
          <cell r="B541" t="str">
            <v xml:space="preserve">Robinson Ariel </v>
          </cell>
          <cell r="C541" t="str">
            <v>Baranquilla</v>
          </cell>
          <cell r="D541" t="str">
            <v>Carrera 3 g #49b-74</v>
          </cell>
          <cell r="E541" t="str">
            <v xml:space="preserve">Diagonal al parque </v>
          </cell>
          <cell r="F541" t="str">
            <v>3243205975</v>
          </cell>
          <cell r="G541" t="str">
            <v>3023671013</v>
          </cell>
          <cell r="H541" t="str">
            <v>Control</v>
          </cell>
        </row>
        <row r="542">
          <cell r="A542">
            <v>7447628</v>
          </cell>
          <cell r="B542" t="str">
            <v xml:space="preserve">Juan Valentín </v>
          </cell>
          <cell r="C542" t="str">
            <v>Baranquilla</v>
          </cell>
          <cell r="D542" t="str">
            <v>Carrera 4asur #64-32</v>
          </cell>
          <cell r="E542" t="str">
            <v>A una cuadra de manantial de aguas vivas</v>
          </cell>
          <cell r="F542" t="str">
            <v>3243309504</v>
          </cell>
          <cell r="G542" t="str">
            <v>3009815233</v>
          </cell>
          <cell r="H542" t="str">
            <v>Control</v>
          </cell>
        </row>
        <row r="543">
          <cell r="A543">
            <v>7459447</v>
          </cell>
          <cell r="B543" t="str">
            <v xml:space="preserve">Jairo jose </v>
          </cell>
          <cell r="C543" t="str">
            <v>Baranquilla</v>
          </cell>
          <cell r="D543" t="str">
            <v>Calle 50b 3e 44</v>
          </cell>
          <cell r="E543" t="str">
            <v>Al lado de la chatarreria</v>
          </cell>
          <cell r="F543" t="str">
            <v>3196507925</v>
          </cell>
          <cell r="G543" t="str">
            <v>3042532929</v>
          </cell>
          <cell r="H543" t="str">
            <v>Control</v>
          </cell>
        </row>
        <row r="544">
          <cell r="A544">
            <v>7460942</v>
          </cell>
          <cell r="B544" t="str">
            <v>Jaime enrique</v>
          </cell>
          <cell r="C544" t="str">
            <v>Baranquilla</v>
          </cell>
          <cell r="D544" t="str">
            <v>Kr 3 g 49 B 87</v>
          </cell>
          <cell r="E544" t="str">
            <v xml:space="preserve">Diagonal a la tienda la costeña </v>
          </cell>
          <cell r="F544" t="str">
            <v>3015556999</v>
          </cell>
          <cell r="G544" t="str">
            <v>3244486628</v>
          </cell>
          <cell r="H544" t="str">
            <v>Control</v>
          </cell>
        </row>
        <row r="545">
          <cell r="A545">
            <v>7471998</v>
          </cell>
          <cell r="B545" t="str">
            <v xml:space="preserve">Carlos julio </v>
          </cell>
          <cell r="C545" t="str">
            <v>Baranquilla</v>
          </cell>
          <cell r="D545" t="str">
            <v>Calle 50a 5 29</v>
          </cell>
          <cell r="E545" t="str">
            <v xml:space="preserve">Cerca a la tienda las quice letras </v>
          </cell>
          <cell r="F545" t="str">
            <v>3126387590</v>
          </cell>
          <cell r="G545" t="str">
            <v>3008716141</v>
          </cell>
          <cell r="H545" t="str">
            <v>Control</v>
          </cell>
        </row>
        <row r="546">
          <cell r="A546">
            <v>7473926</v>
          </cell>
          <cell r="B546" t="str">
            <v>David</v>
          </cell>
          <cell r="C546" t="str">
            <v>Baranquilla</v>
          </cell>
          <cell r="D546" t="str">
            <v>Cra 3G 49 E 24 Ap 1</v>
          </cell>
          <cell r="E546" t="str">
            <v>Parte de atrás del paso de carrizal</v>
          </cell>
          <cell r="F546" t="str">
            <v>3244078612</v>
          </cell>
          <cell r="G546" t="str">
            <v>3013654295</v>
          </cell>
          <cell r="H546" t="str">
            <v>Control</v>
          </cell>
        </row>
        <row r="547">
          <cell r="A547">
            <v>76268499</v>
          </cell>
          <cell r="B547" t="str">
            <v xml:space="preserve">Jairo Antonio </v>
          </cell>
          <cell r="C547" t="str">
            <v>Cali</v>
          </cell>
          <cell r="D547" t="str">
            <v>Cl 12 a oeste 53g 13</v>
          </cell>
          <cell r="E547" t="str">
            <v>La estación. Brilla de mayo. Cómo quien va para la platanera pueblo joven</v>
          </cell>
          <cell r="F547" t="str">
            <v>3194131370</v>
          </cell>
          <cell r="G547" t="str">
            <v xml:space="preserve">No dan información </v>
          </cell>
          <cell r="H547" t="str">
            <v>Control</v>
          </cell>
        </row>
        <row r="548">
          <cell r="A548">
            <v>76290401</v>
          </cell>
          <cell r="B548" t="str">
            <v xml:space="preserve">Javier </v>
          </cell>
          <cell r="C548" t="str">
            <v>Cali</v>
          </cell>
          <cell r="D548" t="str">
            <v>Cr 46 oeste 23 73 casa 11</v>
          </cell>
          <cell r="E548" t="str">
            <v>Lleras Camargo sector altos de la sultana</v>
          </cell>
          <cell r="F548" t="str">
            <v>3202446528</v>
          </cell>
          <cell r="G548" t="str">
            <v>3117936423</v>
          </cell>
          <cell r="H548" t="str">
            <v>Control</v>
          </cell>
        </row>
        <row r="549">
          <cell r="A549">
            <v>76337278</v>
          </cell>
          <cell r="B549" t="str">
            <v xml:space="preserve">EDISON </v>
          </cell>
          <cell r="C549" t="str">
            <v>Cali</v>
          </cell>
          <cell r="D549" t="str">
            <v>CRA 54A 12A 08</v>
          </cell>
          <cell r="E549" t="str">
            <v>En el sector PUENTE TABLA HAY QUE LLAMARLO</v>
          </cell>
          <cell r="F549" t="str">
            <v>3044117895</v>
          </cell>
          <cell r="G549" t="str">
            <v>3164158092</v>
          </cell>
          <cell r="H549" t="str">
            <v>Control</v>
          </cell>
        </row>
        <row r="550">
          <cell r="A550">
            <v>77020562</v>
          </cell>
          <cell r="B550" t="str">
            <v xml:space="preserve">José Gabriel </v>
          </cell>
          <cell r="C550" t="str">
            <v>Baranquilla</v>
          </cell>
          <cell r="D550" t="str">
            <v>Cra 3D 49 B 158</v>
          </cell>
          <cell r="E550" t="str">
            <v>Cerca al CDI de carrizal jalpi</v>
          </cell>
          <cell r="F550" t="str">
            <v>3015674496</v>
          </cell>
          <cell r="G550" t="str">
            <v>3123252973</v>
          </cell>
          <cell r="H550" t="str">
            <v>Control</v>
          </cell>
        </row>
        <row r="551">
          <cell r="A551">
            <v>7884262</v>
          </cell>
          <cell r="B551" t="str">
            <v>Lacide</v>
          </cell>
          <cell r="C551" t="str">
            <v>Medellin</v>
          </cell>
          <cell r="D551" t="str">
            <v>Carrera 42 E 110A 11 int 301</v>
          </cell>
          <cell r="E551" t="str">
            <v>A una cuadra de la acción comunal</v>
          </cell>
          <cell r="F551" t="str">
            <v>3117266505</v>
          </cell>
          <cell r="G551" t="str">
            <v>3103736204</v>
          </cell>
          <cell r="H551" t="str">
            <v>Control</v>
          </cell>
        </row>
        <row r="552">
          <cell r="A552">
            <v>8279530</v>
          </cell>
          <cell r="B552" t="str">
            <v xml:space="preserve">Omar </v>
          </cell>
          <cell r="C552" t="str">
            <v>Medellin</v>
          </cell>
          <cell r="D552" t="str">
            <v>Calle 109 45 05</v>
          </cell>
          <cell r="E552" t="str">
            <v>Al frente de la Repostería Repos pan</v>
          </cell>
          <cell r="F552" t="str">
            <v>3145040223</v>
          </cell>
          <cell r="G552" t="str">
            <v>604 5226127</v>
          </cell>
          <cell r="H552" t="str">
            <v>Control</v>
          </cell>
        </row>
        <row r="553">
          <cell r="A553">
            <v>8299054</v>
          </cell>
          <cell r="B553" t="str">
            <v xml:space="preserve">Oscar de Jesús </v>
          </cell>
          <cell r="C553" t="str">
            <v>Medellin</v>
          </cell>
          <cell r="D553" t="str">
            <v>Carrera 46 98 41</v>
          </cell>
          <cell r="E553" t="str">
            <v xml:space="preserve">Al frente del granero la antioqueñita </v>
          </cell>
          <cell r="F553" t="str">
            <v>3215179160</v>
          </cell>
          <cell r="G553" t="str">
            <v>604-2590165</v>
          </cell>
          <cell r="H553" t="str">
            <v>Control</v>
          </cell>
        </row>
        <row r="554">
          <cell r="A554">
            <v>8306303</v>
          </cell>
          <cell r="B554" t="str">
            <v>Jesús Enrique</v>
          </cell>
          <cell r="C554" t="str">
            <v>Medellin</v>
          </cell>
          <cell r="D554" t="str">
            <v>Carrera 43A 110C 40</v>
          </cell>
          <cell r="E554" t="str">
            <v>Tienda el tornillo</v>
          </cell>
          <cell r="F554" t="str">
            <v>3016290757</v>
          </cell>
          <cell r="G554" t="str">
            <v>3216802698</v>
          </cell>
          <cell r="H554" t="str">
            <v>Control</v>
          </cell>
        </row>
        <row r="555">
          <cell r="A555">
            <v>8316734</v>
          </cell>
          <cell r="B555" t="str">
            <v>Dora Alba Ines</v>
          </cell>
          <cell r="C555" t="str">
            <v>Medellin</v>
          </cell>
          <cell r="D555" t="str">
            <v>Calle 107C 43B 05 int 202</v>
          </cell>
          <cell r="E555" t="str">
            <v>A una cuadra del centro de salud del popular</v>
          </cell>
          <cell r="F555" t="str">
            <v>3207640434</v>
          </cell>
          <cell r="G555" t="str">
            <v>604-5729219</v>
          </cell>
          <cell r="H555" t="str">
            <v>Control</v>
          </cell>
        </row>
        <row r="556">
          <cell r="A556">
            <v>8371433</v>
          </cell>
          <cell r="B556" t="str">
            <v>Wilfrido de Jesus</v>
          </cell>
          <cell r="C556" t="str">
            <v>Medellin</v>
          </cell>
          <cell r="D556" t="str">
            <v>Cra 43B 108A 75</v>
          </cell>
          <cell r="E556" t="str">
            <v>A 2 cuadras del centro de salud</v>
          </cell>
          <cell r="F556" t="str">
            <v>3146153909</v>
          </cell>
          <cell r="G556" t="str">
            <v>No</v>
          </cell>
          <cell r="H556" t="str">
            <v>Control</v>
          </cell>
        </row>
        <row r="557">
          <cell r="A557">
            <v>8538228</v>
          </cell>
          <cell r="B557" t="str">
            <v xml:space="preserve">José </v>
          </cell>
          <cell r="C557" t="str">
            <v>Baranquilla</v>
          </cell>
          <cell r="D557" t="str">
            <v>Cra 10 sur 73 11</v>
          </cell>
          <cell r="E557" t="str">
            <v>Bajando el centro de vida codafe</v>
          </cell>
          <cell r="F557" t="str">
            <v>3206313124</v>
          </cell>
          <cell r="G557" t="str">
            <v>3004458532</v>
          </cell>
          <cell r="H557" t="str">
            <v>Control</v>
          </cell>
        </row>
        <row r="558">
          <cell r="A558">
            <v>8661897</v>
          </cell>
          <cell r="B558" t="str">
            <v xml:space="preserve">Roberto </v>
          </cell>
          <cell r="C558" t="str">
            <v>Baranquilla</v>
          </cell>
          <cell r="D558" t="str">
            <v>Cra 3E 49 E 78</v>
          </cell>
          <cell r="E558" t="str">
            <v xml:space="preserve">Por la tienda el baraton </v>
          </cell>
          <cell r="F558" t="str">
            <v>3012809129</v>
          </cell>
          <cell r="G558" t="str">
            <v>3243623612</v>
          </cell>
          <cell r="H558" t="str">
            <v>Control</v>
          </cell>
        </row>
        <row r="559">
          <cell r="A559">
            <v>8663792</v>
          </cell>
          <cell r="B559" t="str">
            <v>Rafael jeronimo</v>
          </cell>
          <cell r="C559" t="str">
            <v>Baranquilla</v>
          </cell>
          <cell r="D559" t="str">
            <v>Karrera 4 49 43</v>
          </cell>
          <cell r="E559" t="str">
            <v>Diagonal a la tienda la bendición de Dios</v>
          </cell>
          <cell r="F559" t="str">
            <v>3186885532</v>
          </cell>
          <cell r="G559" t="str">
            <v>3028622573</v>
          </cell>
          <cell r="H559" t="str">
            <v>Control</v>
          </cell>
        </row>
        <row r="560">
          <cell r="A560">
            <v>8668925</v>
          </cell>
          <cell r="B560" t="str">
            <v xml:space="preserve">Orlando </v>
          </cell>
          <cell r="C560" t="str">
            <v>Baranquilla</v>
          </cell>
          <cell r="D560" t="str">
            <v>Cra 3 F 50 33</v>
          </cell>
          <cell r="E560" t="str">
            <v xml:space="preserve">Parte de atrás de la tienda la bananera </v>
          </cell>
          <cell r="F560" t="str">
            <v>3014468736</v>
          </cell>
          <cell r="G560" t="str">
            <v>3008753033</v>
          </cell>
          <cell r="H560" t="str">
            <v>Control</v>
          </cell>
        </row>
        <row r="561">
          <cell r="A561">
            <v>8675682</v>
          </cell>
          <cell r="B561" t="str">
            <v xml:space="preserve">Héctor Emilio </v>
          </cell>
          <cell r="C561" t="str">
            <v>Baranquilla</v>
          </cell>
          <cell r="D561" t="str">
            <v>Calle 49b #3g-118</v>
          </cell>
          <cell r="E561" t="str">
            <v xml:space="preserve">Diagonal a la tienda la bendición </v>
          </cell>
          <cell r="F561" t="str">
            <v>3148908867</v>
          </cell>
          <cell r="G561" t="str">
            <v>3244148153</v>
          </cell>
          <cell r="H561" t="str">
            <v>Control</v>
          </cell>
        </row>
        <row r="562">
          <cell r="A562">
            <v>8686397</v>
          </cell>
          <cell r="B562" t="str">
            <v xml:space="preserve">Fredy </v>
          </cell>
          <cell r="C562" t="str">
            <v>Baranquilla</v>
          </cell>
          <cell r="D562" t="str">
            <v>Calle 68 5sur 74</v>
          </cell>
          <cell r="E562" t="str">
            <v>Cerca a la tienda el papi</v>
          </cell>
          <cell r="F562" t="str">
            <v>3017187176</v>
          </cell>
          <cell r="G562" t="str">
            <v>3001262650</v>
          </cell>
          <cell r="H562" t="str">
            <v>Control</v>
          </cell>
        </row>
        <row r="563">
          <cell r="A563">
            <v>8688105</v>
          </cell>
          <cell r="B563" t="str">
            <v xml:space="preserve">Gabriel Guillermo </v>
          </cell>
          <cell r="C563" t="str">
            <v>Baranquilla</v>
          </cell>
          <cell r="D563" t="str">
            <v>Calle 49 b #3e-114</v>
          </cell>
          <cell r="E563" t="str">
            <v xml:space="preserve">A doce metros de la carrera 4 </v>
          </cell>
          <cell r="F563" t="str">
            <v>3114082996</v>
          </cell>
          <cell r="G563" t="str">
            <v>3108346513</v>
          </cell>
          <cell r="H563" t="str">
            <v>Control</v>
          </cell>
        </row>
        <row r="564">
          <cell r="A564">
            <v>8695283</v>
          </cell>
          <cell r="B564" t="str">
            <v>Rodolfo</v>
          </cell>
          <cell r="C564" t="str">
            <v>Baranquilla</v>
          </cell>
          <cell r="D564" t="str">
            <v>Cra 3d 49b 98</v>
          </cell>
          <cell r="E564" t="str">
            <v>Tienda sr Rodo</v>
          </cell>
          <cell r="F564" t="str">
            <v>3016890503</v>
          </cell>
          <cell r="G564" t="str">
            <v>3017183384</v>
          </cell>
          <cell r="H564" t="str">
            <v>Control</v>
          </cell>
        </row>
        <row r="565">
          <cell r="A565">
            <v>8696703</v>
          </cell>
          <cell r="B565" t="str">
            <v xml:space="preserve">Victor Manuel </v>
          </cell>
          <cell r="C565" t="str">
            <v>Baranquilla</v>
          </cell>
          <cell r="D565" t="str">
            <v>Calle 68 1 sur 143</v>
          </cell>
          <cell r="E565" t="str">
            <v xml:space="preserve">Diagonal a la tienda la chucureña </v>
          </cell>
          <cell r="F565" t="str">
            <v>3002701455</v>
          </cell>
          <cell r="G565" t="str">
            <v>3015838968</v>
          </cell>
          <cell r="H565" t="str">
            <v>Control</v>
          </cell>
        </row>
        <row r="566">
          <cell r="A566">
            <v>8704553</v>
          </cell>
          <cell r="B566" t="str">
            <v xml:space="preserve">Misael </v>
          </cell>
          <cell r="C566" t="str">
            <v>Baranquilla</v>
          </cell>
          <cell r="D566" t="str">
            <v>Calle 70#12-72</v>
          </cell>
          <cell r="E566" t="str">
            <v xml:space="preserve">Por el colegio de la comunal </v>
          </cell>
          <cell r="F566" t="str">
            <v>3243314390</v>
          </cell>
          <cell r="G566" t="str">
            <v>3164163747</v>
          </cell>
          <cell r="H566" t="str">
            <v>Control</v>
          </cell>
        </row>
        <row r="567">
          <cell r="A567">
            <v>8706854</v>
          </cell>
          <cell r="B567" t="str">
            <v xml:space="preserve">Jorge Alberto </v>
          </cell>
          <cell r="C567" t="str">
            <v>Baranquilla</v>
          </cell>
          <cell r="D567" t="str">
            <v>Carrera 3 e #50-117</v>
          </cell>
          <cell r="E567" t="str">
            <v xml:space="preserve">Diagonal a la tienda jelisa </v>
          </cell>
          <cell r="F567" t="str">
            <v>3017934004</v>
          </cell>
          <cell r="G567" t="str">
            <v>3145878438</v>
          </cell>
          <cell r="H567" t="str">
            <v>Control</v>
          </cell>
        </row>
        <row r="568">
          <cell r="A568">
            <v>87085002</v>
          </cell>
          <cell r="B568" t="str">
            <v xml:space="preserve">Luis Alberto </v>
          </cell>
          <cell r="C568" t="str">
            <v>Cali</v>
          </cell>
          <cell r="D568" t="str">
            <v>Cr 53 B oeste 12B 11 brisas de mayo</v>
          </cell>
          <cell r="E568" t="str">
            <v/>
          </cell>
          <cell r="F568" t="str">
            <v>3128853862</v>
          </cell>
          <cell r="G568" t="str">
            <v xml:space="preserve">No dan información </v>
          </cell>
          <cell r="H568" t="str">
            <v>Control</v>
          </cell>
        </row>
        <row r="569">
          <cell r="A569">
            <v>8722562</v>
          </cell>
          <cell r="B569" t="str">
            <v xml:space="preserve">José Agustín </v>
          </cell>
          <cell r="C569" t="str">
            <v>Baranquilla</v>
          </cell>
          <cell r="D569" t="str">
            <v>Cra 4 Sur 68 39</v>
          </cell>
          <cell r="E569" t="str">
            <v xml:space="preserve">Bajando la tienda chucureña </v>
          </cell>
          <cell r="F569" t="str">
            <v>3001918396</v>
          </cell>
          <cell r="G569" t="str">
            <v/>
          </cell>
          <cell r="H569" t="str">
            <v>Control</v>
          </cell>
        </row>
        <row r="570">
          <cell r="A570">
            <v>8732595</v>
          </cell>
          <cell r="B570" t="str">
            <v xml:space="preserve">Roberto enrique </v>
          </cell>
          <cell r="C570" t="str">
            <v>Baranquilla</v>
          </cell>
          <cell r="D570" t="str">
            <v>Kra 4 49b 66</v>
          </cell>
          <cell r="E570" t="str">
            <v xml:space="preserve">34 casas antes del paso d3 carrizal cera contraria </v>
          </cell>
          <cell r="F570" t="str">
            <v>3052810077</v>
          </cell>
          <cell r="G570" t="str">
            <v>3022071409</v>
          </cell>
          <cell r="H570" t="str">
            <v>Control</v>
          </cell>
        </row>
        <row r="571">
          <cell r="A571">
            <v>8739487</v>
          </cell>
          <cell r="B571" t="str">
            <v xml:space="preserve">Esteban </v>
          </cell>
          <cell r="C571" t="str">
            <v>Baranquilla</v>
          </cell>
          <cell r="D571" t="str">
            <v xml:space="preserve">Calle 72#5 Sur -20 </v>
          </cell>
          <cell r="E571" t="str">
            <v xml:space="preserve">Por el Parquesito La Bonga </v>
          </cell>
          <cell r="F571" t="str">
            <v>3013482225</v>
          </cell>
          <cell r="G571" t="str">
            <v>3018036164</v>
          </cell>
          <cell r="H571" t="str">
            <v>Control</v>
          </cell>
        </row>
        <row r="572">
          <cell r="A572">
            <v>87571430</v>
          </cell>
          <cell r="B572" t="str">
            <v xml:space="preserve">Juan Héctor </v>
          </cell>
          <cell r="C572" t="str">
            <v>Cali</v>
          </cell>
          <cell r="D572" t="str">
            <v>Cr 18b#18b 06</v>
          </cell>
          <cell r="E572" t="str">
            <v>La entrada de la parada Lleras  cerca del caño</v>
          </cell>
          <cell r="F572" t="str">
            <v>3147959979</v>
          </cell>
          <cell r="G572" t="str">
            <v xml:space="preserve">No dan información </v>
          </cell>
          <cell r="H572" t="str">
            <v>Control</v>
          </cell>
        </row>
        <row r="573">
          <cell r="A573">
            <v>8775124</v>
          </cell>
          <cell r="B573" t="str">
            <v xml:space="preserve">Wilmer </v>
          </cell>
          <cell r="C573" t="str">
            <v>Baranquilla</v>
          </cell>
          <cell r="D573" t="str">
            <v>Carrera 10 #72-58</v>
          </cell>
          <cell r="E573" t="str">
            <v xml:space="preserve">Por El Colegio Codafe </v>
          </cell>
          <cell r="F573" t="str">
            <v>3108998110</v>
          </cell>
          <cell r="G573" t="str">
            <v>3005723939</v>
          </cell>
          <cell r="H573" t="str">
            <v>Control</v>
          </cell>
        </row>
        <row r="574">
          <cell r="A574">
            <v>8793580</v>
          </cell>
          <cell r="B574" t="str">
            <v xml:space="preserve">Edilberto </v>
          </cell>
          <cell r="C574" t="str">
            <v>Baranquilla</v>
          </cell>
          <cell r="D574" t="str">
            <v>Calle 73# 10sur-89</v>
          </cell>
          <cell r="E574" t="str">
            <v>Diagonal a la tienda el niño jose</v>
          </cell>
          <cell r="F574" t="str">
            <v>3004957339</v>
          </cell>
          <cell r="G574" t="str">
            <v>3014886053</v>
          </cell>
          <cell r="H574" t="str">
            <v>Control</v>
          </cell>
        </row>
        <row r="575">
          <cell r="A575">
            <v>9110860</v>
          </cell>
          <cell r="B575" t="str">
            <v>Diego de jesus</v>
          </cell>
          <cell r="C575" t="str">
            <v>Medellin</v>
          </cell>
          <cell r="D575" t="str">
            <v>Cr 44 107.C 03</v>
          </cell>
          <cell r="E575" t="str">
            <v>Cerca metro cable</v>
          </cell>
          <cell r="F575" t="str">
            <v>5217689</v>
          </cell>
          <cell r="G575" t="str">
            <v>5217689</v>
          </cell>
          <cell r="H575" t="str">
            <v>Control</v>
          </cell>
        </row>
        <row r="576">
          <cell r="A576">
            <v>9142652</v>
          </cell>
          <cell r="B576" t="str">
            <v>Luis Alberto</v>
          </cell>
          <cell r="C576" t="str">
            <v>Medellin</v>
          </cell>
          <cell r="D576" t="str">
            <v>CRA 43 # 110B - 08</v>
          </cell>
          <cell r="E576" t="str">
            <v>Cerca a la fundación fepi</v>
          </cell>
          <cell r="F576" t="str">
            <v>3104205773</v>
          </cell>
          <cell r="G576" t="str">
            <v>3023400416</v>
          </cell>
          <cell r="H576" t="str">
            <v>Control</v>
          </cell>
        </row>
        <row r="577">
          <cell r="A577">
            <v>94061999</v>
          </cell>
          <cell r="B577" t="str">
            <v xml:space="preserve">JHON FREDDY </v>
          </cell>
          <cell r="C577" t="str">
            <v>Cali</v>
          </cell>
          <cell r="D577" t="str">
            <v xml:space="preserve">CL 8B OESTE 8 04 </v>
          </cell>
          <cell r="E577" t="str">
            <v>EN LA ESQUINA DE LOS BILLARES DE DOÑA MARTA EN UN CALLEJON DEL SECTOR LAS GUAYAS  CERCA TIERRA BLANCA</v>
          </cell>
          <cell r="F577" t="str">
            <v>31585541330</v>
          </cell>
          <cell r="G577" t="str">
            <v>3156597445</v>
          </cell>
          <cell r="H577" t="str">
            <v>Control</v>
          </cell>
        </row>
        <row r="578">
          <cell r="A578">
            <v>94063123</v>
          </cell>
          <cell r="B578" t="str">
            <v xml:space="preserve">William </v>
          </cell>
          <cell r="C578" t="str">
            <v>Cali</v>
          </cell>
          <cell r="D578" t="str">
            <v>Cl 11 oeste 52 B 04</v>
          </cell>
          <cell r="E578" t="str">
            <v>En heladería Marianita</v>
          </cell>
          <cell r="F578" t="str">
            <v>3106504356</v>
          </cell>
          <cell r="G578" t="str">
            <v>No tiene</v>
          </cell>
          <cell r="H578" t="str">
            <v>Control</v>
          </cell>
        </row>
        <row r="579">
          <cell r="A579">
            <v>94191300</v>
          </cell>
          <cell r="B579" t="str">
            <v>Jesús Maria</v>
          </cell>
          <cell r="C579" t="str">
            <v>Cali</v>
          </cell>
          <cell r="D579" t="str">
            <v>CRA 47 6 G 24 OESTE</v>
          </cell>
          <cell r="E579" t="str">
            <v>Cerca a la y del tanque</v>
          </cell>
          <cell r="F579" t="str">
            <v>3023664438</v>
          </cell>
          <cell r="G579" t="str">
            <v>3148244027</v>
          </cell>
          <cell r="H579" t="str">
            <v>Control</v>
          </cell>
        </row>
        <row r="580">
          <cell r="A580">
            <v>94374533</v>
          </cell>
          <cell r="B580" t="str">
            <v xml:space="preserve">Pedro </v>
          </cell>
          <cell r="C580" t="str">
            <v>Cali</v>
          </cell>
          <cell r="D580" t="str">
            <v>Cr 53B oeste 22 41 brisas de mayo sector los santos</v>
          </cell>
          <cell r="E580" t="str">
            <v xml:space="preserve">Casablanca </v>
          </cell>
          <cell r="F580" t="str">
            <v>3238262569</v>
          </cell>
          <cell r="G580" t="str">
            <v xml:space="preserve">No dan información </v>
          </cell>
          <cell r="H580" t="str">
            <v>Control</v>
          </cell>
        </row>
        <row r="581">
          <cell r="A581">
            <v>94402421</v>
          </cell>
          <cell r="B581" t="str">
            <v xml:space="preserve">William Alfredo </v>
          </cell>
          <cell r="C581" t="str">
            <v>Cali</v>
          </cell>
          <cell r="D581" t="str">
            <v>Cr 53 A oeste 12 24</v>
          </cell>
          <cell r="E581" t="str">
            <v/>
          </cell>
          <cell r="F581" t="str">
            <v>3154297569</v>
          </cell>
          <cell r="G581" t="str">
            <v>3148923346</v>
          </cell>
          <cell r="H581" t="str">
            <v>Control</v>
          </cell>
        </row>
        <row r="582">
          <cell r="A582">
            <v>94403143</v>
          </cell>
          <cell r="B582" t="str">
            <v>OCTAVIANO</v>
          </cell>
          <cell r="C582" t="str">
            <v>Cali</v>
          </cell>
          <cell r="D582" t="str">
            <v>CRA 54 12ABIS 06 OESTE</v>
          </cell>
          <cell r="E582" t="str">
            <v>TRES CASAS ANTES DE LLEGAR AL ENTAMBORADO POR TODA LA BAJA DEL MIO A MANO IZQUIERDA</v>
          </cell>
          <cell r="F582" t="str">
            <v>3168159341</v>
          </cell>
          <cell r="G582" t="str">
            <v xml:space="preserve">No dan información </v>
          </cell>
          <cell r="H582" t="str">
            <v>Control</v>
          </cell>
        </row>
        <row r="583">
          <cell r="A583">
            <v>94427227</v>
          </cell>
          <cell r="B583" t="str">
            <v>Luis sandro</v>
          </cell>
          <cell r="C583" t="str">
            <v>Cali</v>
          </cell>
          <cell r="D583" t="str">
            <v>Cr 51d cl 9 oste 7 piso 2</v>
          </cell>
          <cell r="E583" t="str">
            <v xml:space="preserve">La bombonera atrás de 7n están o.  Por una ferretería potosí enseguida </v>
          </cell>
          <cell r="F583" t="str">
            <v>3226358299</v>
          </cell>
          <cell r="G583" t="str">
            <v>3113589871</v>
          </cell>
          <cell r="H583" t="str">
            <v>Control</v>
          </cell>
        </row>
        <row r="584">
          <cell r="A584">
            <v>94501681</v>
          </cell>
          <cell r="B584" t="str">
            <v xml:space="preserve">José Hoover </v>
          </cell>
          <cell r="C584" t="str">
            <v>Cali</v>
          </cell>
          <cell r="D584" t="str">
            <v>Cr 53 fbis 12C -51brisas de mayo</v>
          </cell>
          <cell r="E584" t="str">
            <v>La tienda de los mellizos</v>
          </cell>
          <cell r="F584" t="str">
            <v>3157863202</v>
          </cell>
          <cell r="G584" t="str">
            <v>3169879140</v>
          </cell>
          <cell r="H584" t="str">
            <v>Control</v>
          </cell>
        </row>
        <row r="585">
          <cell r="A585">
            <v>94503264</v>
          </cell>
          <cell r="B585" t="str">
            <v>Wilmer</v>
          </cell>
          <cell r="C585" t="str">
            <v>Cali</v>
          </cell>
          <cell r="D585" t="str">
            <v>Calle 13 número 46 43</v>
          </cell>
          <cell r="E585" t="str">
            <v>Por bombillo rojo</v>
          </cell>
          <cell r="F585" t="str">
            <v>3207892548</v>
          </cell>
          <cell r="G585" t="str">
            <v>3185218174</v>
          </cell>
          <cell r="H585" t="str">
            <v>Control</v>
          </cell>
        </row>
        <row r="586">
          <cell r="A586">
            <v>94528503</v>
          </cell>
          <cell r="B586" t="str">
            <v>Abio</v>
          </cell>
          <cell r="C586" t="str">
            <v>Cali</v>
          </cell>
          <cell r="D586" t="str">
            <v>Cl 18 oeste 47 32</v>
          </cell>
          <cell r="E586" t="str">
            <v>La sultana sector los pozos</v>
          </cell>
          <cell r="F586" t="str">
            <v>3174217282</v>
          </cell>
          <cell r="G586" t="str">
            <v>3163354954</v>
          </cell>
          <cell r="H586" t="str">
            <v>Control</v>
          </cell>
        </row>
        <row r="587">
          <cell r="A587">
            <v>94534343</v>
          </cell>
          <cell r="B587" t="str">
            <v>Jhon alfonzo</v>
          </cell>
          <cell r="C587" t="str">
            <v>Cali</v>
          </cell>
          <cell r="D587" t="str">
            <v>CL 8 oeste 43B 11</v>
          </cell>
          <cell r="E587" t="str">
            <v/>
          </cell>
          <cell r="F587" t="str">
            <v>3107938497</v>
          </cell>
          <cell r="G587" t="str">
            <v>3144280844</v>
          </cell>
          <cell r="H587" t="str">
            <v>Control</v>
          </cell>
        </row>
        <row r="588">
          <cell r="A588">
            <v>94537823</v>
          </cell>
          <cell r="B588" t="str">
            <v xml:space="preserve">FREDIS </v>
          </cell>
          <cell r="C588" t="str">
            <v>Cali</v>
          </cell>
          <cell r="D588" t="str">
            <v>CRA 52B 12A 50</v>
          </cell>
          <cell r="E588" t="str">
            <v>Me MIO CABLE DE BRISAS DE MAYO SUBO DERECHO LLEGO AL DESCANSITO EN DO DE HAY UNA Y y mano derecha entro por la destapada al fondo por debajo</v>
          </cell>
          <cell r="F588" t="str">
            <v>3155631475</v>
          </cell>
          <cell r="G588" t="str">
            <v>3177315424</v>
          </cell>
          <cell r="H588" t="str">
            <v>Control</v>
          </cell>
        </row>
        <row r="589">
          <cell r="A589">
            <v>9825002</v>
          </cell>
          <cell r="B589" t="str">
            <v>ELISENIO</v>
          </cell>
          <cell r="C589" t="str">
            <v>Cali</v>
          </cell>
          <cell r="D589" t="str">
            <v>KR 46A 14 28</v>
          </cell>
          <cell r="E589" t="str">
            <v>Empezando parara subir las gradas a sector o calle Bombillo Rojo</v>
          </cell>
          <cell r="F589" t="str">
            <v>3187659613</v>
          </cell>
          <cell r="G589" t="str">
            <v>3166808438</v>
          </cell>
          <cell r="H589" t="str">
            <v>Control</v>
          </cell>
        </row>
        <row r="590">
          <cell r="A590">
            <v>98657538</v>
          </cell>
          <cell r="B590" t="str">
            <v xml:space="preserve">Jaime Alberto </v>
          </cell>
          <cell r="C590" t="str">
            <v>Medellin</v>
          </cell>
          <cell r="D590" t="str">
            <v>Carrera 46 98 50 int 181</v>
          </cell>
          <cell r="E590" t="str">
            <v>Llega a la acción comunal y entra al hueco y pregunta por jaimito</v>
          </cell>
          <cell r="F590" t="str">
            <v>3243308207</v>
          </cell>
          <cell r="G590" t="str">
            <v/>
          </cell>
          <cell r="H590" t="str">
            <v>Control</v>
          </cell>
        </row>
        <row r="591">
          <cell r="A591">
            <v>1000536137</v>
          </cell>
          <cell r="B591" t="str">
            <v xml:space="preserve">Jenifer Andrea </v>
          </cell>
          <cell r="C591" t="str">
            <v>Medellin</v>
          </cell>
          <cell r="D591" t="str">
            <v>Cr9 a este #54a 35</v>
          </cell>
          <cell r="E591" t="str">
            <v>Del Cai viejo bajan toda alas escalas derecho</v>
          </cell>
          <cell r="F591" t="str">
            <v>3234480142</v>
          </cell>
          <cell r="G591" t="str">
            <v xml:space="preserve">No dan información </v>
          </cell>
          <cell r="H591" t="str">
            <v>Tratamiento</v>
          </cell>
        </row>
        <row r="592">
          <cell r="A592">
            <v>1000538215</v>
          </cell>
          <cell r="B592" t="str">
            <v>Shirley Tatiana</v>
          </cell>
          <cell r="C592" t="str">
            <v>Medellin</v>
          </cell>
          <cell r="D592" t="str">
            <v>Cl 56 EG # 18a -27</v>
          </cell>
          <cell r="E592" t="str">
            <v>Cerca  la uva sol de oriente</v>
          </cell>
          <cell r="F592" t="str">
            <v>3246387612</v>
          </cell>
          <cell r="G592" t="str">
            <v>6045737649</v>
          </cell>
          <cell r="H592" t="str">
            <v>Tratamiento</v>
          </cell>
        </row>
        <row r="593">
          <cell r="A593">
            <v>1000638664</v>
          </cell>
          <cell r="B593" t="str">
            <v xml:space="preserve">Isabel Cristina </v>
          </cell>
          <cell r="C593" t="str">
            <v>Medellin</v>
          </cell>
          <cell r="D593" t="str">
            <v>Carrera 18A # 56 EC -25</v>
          </cell>
          <cell r="E593" t="str">
            <v xml:space="preserve">Cerca  a la uva sol de oriente </v>
          </cell>
          <cell r="F593" t="str">
            <v>3046127155</v>
          </cell>
          <cell r="G593" t="str">
            <v>3114232197</v>
          </cell>
          <cell r="H593" t="str">
            <v>Tratamiento</v>
          </cell>
        </row>
        <row r="594">
          <cell r="A594">
            <v>1000643548</v>
          </cell>
          <cell r="B594" t="str">
            <v>Tatiana Inés</v>
          </cell>
          <cell r="C594" t="str">
            <v>Medellin</v>
          </cell>
          <cell r="D594" t="str">
            <v>Cerca al parque pinares de oriente</v>
          </cell>
          <cell r="E594" t="str">
            <v/>
          </cell>
          <cell r="F594" t="str">
            <v>3013585823</v>
          </cell>
          <cell r="G594" t="str">
            <v>3015140013</v>
          </cell>
          <cell r="H594" t="str">
            <v>Tratamiento</v>
          </cell>
        </row>
        <row r="595">
          <cell r="A595">
            <v>1000871711</v>
          </cell>
          <cell r="B595" t="str">
            <v>Luz Eneida</v>
          </cell>
          <cell r="C595" t="str">
            <v>Medellin</v>
          </cell>
          <cell r="D595" t="str">
            <v>Cerca a la junta de acción comunal el pacifico</v>
          </cell>
          <cell r="E595" t="str">
            <v/>
          </cell>
          <cell r="F595" t="str">
            <v>3204244342</v>
          </cell>
          <cell r="G595" t="str">
            <v>3244102848</v>
          </cell>
          <cell r="H595" t="str">
            <v>Tratamiento</v>
          </cell>
        </row>
        <row r="596">
          <cell r="A596">
            <v>1001359510</v>
          </cell>
          <cell r="B596" t="str">
            <v>Margarita Isabel</v>
          </cell>
          <cell r="C596" t="str">
            <v>Medellin</v>
          </cell>
          <cell r="D596" t="str">
            <v>Colegio la libertad  abajo de la cancha de villatina</v>
          </cell>
          <cell r="E596" t="str">
            <v/>
          </cell>
          <cell r="F596" t="str">
            <v>3006818050</v>
          </cell>
          <cell r="G596" t="str">
            <v>3008197215</v>
          </cell>
          <cell r="H596" t="str">
            <v>Tratamiento</v>
          </cell>
        </row>
        <row r="597">
          <cell r="A597">
            <v>1001851457</v>
          </cell>
          <cell r="B597" t="str">
            <v>Hilde cecilia</v>
          </cell>
          <cell r="C597" t="str">
            <v>Baranquilla</v>
          </cell>
          <cell r="D597" t="str">
            <v>Cll 72 #8c 113</v>
          </cell>
          <cell r="E597" t="str">
            <v xml:space="preserve">Cerca de un Arroyo </v>
          </cell>
          <cell r="F597" t="str">
            <v>3126972648</v>
          </cell>
          <cell r="G597" t="str">
            <v>3107230753</v>
          </cell>
          <cell r="H597" t="str">
            <v>Tratamiento</v>
          </cell>
        </row>
        <row r="598">
          <cell r="A598">
            <v>1002130477</v>
          </cell>
          <cell r="B598" t="str">
            <v>Edgar junior</v>
          </cell>
          <cell r="C598" t="str">
            <v>Baranquilla</v>
          </cell>
          <cell r="D598" t="str">
            <v>Cr6b#73-66</v>
          </cell>
          <cell r="E598" t="str">
            <v>A una cuadra del sena</v>
          </cell>
          <cell r="F598" t="str">
            <v>3042521808</v>
          </cell>
          <cell r="G598" t="str">
            <v>3014408543</v>
          </cell>
          <cell r="H598" t="str">
            <v>Tratamiento</v>
          </cell>
        </row>
        <row r="599">
          <cell r="A599">
            <v>1002155243</v>
          </cell>
          <cell r="B599" t="str">
            <v xml:space="preserve">Monica mercedes </v>
          </cell>
          <cell r="C599" t="str">
            <v>Baranquilla</v>
          </cell>
          <cell r="D599" t="str">
            <v>Cra 9 # 60-58</v>
          </cell>
          <cell r="E599" t="str">
            <v xml:space="preserve">Diagonal la tienda los dos hermanos </v>
          </cell>
          <cell r="F599" t="str">
            <v>3043301751</v>
          </cell>
          <cell r="G599" t="str">
            <v>3243850758</v>
          </cell>
          <cell r="H599" t="str">
            <v>Tratamiento</v>
          </cell>
        </row>
        <row r="600">
          <cell r="A600">
            <v>1002793265</v>
          </cell>
          <cell r="B600" t="str">
            <v>YAMILE</v>
          </cell>
          <cell r="C600" t="str">
            <v>Cali</v>
          </cell>
          <cell r="D600" t="str">
            <v>CL4C OESTE 76CBIS-33</v>
          </cell>
          <cell r="E600" t="str">
            <v xml:space="preserve">Por el chut de la basura, en el árbol de aguacate en cesoles </v>
          </cell>
          <cell r="F600" t="str">
            <v>3218197872</v>
          </cell>
          <cell r="G600" t="str">
            <v>3187957706</v>
          </cell>
          <cell r="H600" t="str">
            <v>Tratamiento</v>
          </cell>
        </row>
        <row r="601">
          <cell r="A601">
            <v>1005873832</v>
          </cell>
          <cell r="B601" t="str">
            <v xml:space="preserve">Jennifer </v>
          </cell>
          <cell r="C601" t="str">
            <v>Cali</v>
          </cell>
          <cell r="D601" t="str">
            <v>Cll 4b oeste 73 55</v>
          </cell>
          <cell r="E601" t="str">
            <v>Dos casas más adelante de las casas de las minas</v>
          </cell>
          <cell r="F601" t="str">
            <v>3113913831</v>
          </cell>
          <cell r="G601" t="str">
            <v>3164328724</v>
          </cell>
          <cell r="H601" t="str">
            <v>Tratamiento</v>
          </cell>
        </row>
        <row r="602">
          <cell r="A602">
            <v>1006233749</v>
          </cell>
          <cell r="B602" t="str">
            <v>Laura natali</v>
          </cell>
          <cell r="C602" t="str">
            <v>Cali</v>
          </cell>
          <cell r="D602" t="str">
            <v>CL 3F OESTE 66B 127</v>
          </cell>
          <cell r="E602" t="str">
            <v>Cerca a los escombros</v>
          </cell>
          <cell r="F602" t="str">
            <v>3206148032</v>
          </cell>
          <cell r="G602" t="str">
            <v>3145163942</v>
          </cell>
          <cell r="H602" t="str">
            <v>Tratamiento</v>
          </cell>
        </row>
        <row r="603">
          <cell r="A603">
            <v>1007132436</v>
          </cell>
          <cell r="B603" t="str">
            <v>BRAYAN JOSÉ</v>
          </cell>
          <cell r="C603" t="str">
            <v>Baranquilla</v>
          </cell>
          <cell r="D603" t="str">
            <v>KR 8G 87 20</v>
          </cell>
          <cell r="E603" t="str">
            <v>Diagonal al Efecty</v>
          </cell>
          <cell r="F603" t="str">
            <v>3015344531</v>
          </cell>
          <cell r="G603" t="str">
            <v>3014122468</v>
          </cell>
          <cell r="H603" t="str">
            <v>Tratamiento</v>
          </cell>
        </row>
        <row r="604">
          <cell r="A604">
            <v>1007175950</v>
          </cell>
          <cell r="B604" t="str">
            <v>ANDRES FELIPE</v>
          </cell>
          <cell r="C604" t="str">
            <v>Baranquilla</v>
          </cell>
          <cell r="D604" t="str">
            <v>KR 9 58 44</v>
          </cell>
          <cell r="E604" t="str">
            <v>la loma del Peligro</v>
          </cell>
          <cell r="F604" t="str">
            <v>3046551262</v>
          </cell>
          <cell r="G604" t="str">
            <v>3107110547</v>
          </cell>
          <cell r="H604" t="str">
            <v>Tratamiento</v>
          </cell>
        </row>
        <row r="605">
          <cell r="A605">
            <v>1010032037</v>
          </cell>
          <cell r="B605" t="str">
            <v xml:space="preserve">Doralba </v>
          </cell>
          <cell r="C605" t="str">
            <v>Medellin</v>
          </cell>
          <cell r="D605" t="str">
            <v>Subiendo las escalas que quedan al frente del teléfono rojo de la junta acción comunal</v>
          </cell>
          <cell r="E605" t="str">
            <v/>
          </cell>
          <cell r="F605" t="str">
            <v>3008671238</v>
          </cell>
          <cell r="G605" t="str">
            <v>3017995013</v>
          </cell>
          <cell r="H605" t="str">
            <v>Tratamiento</v>
          </cell>
        </row>
        <row r="606">
          <cell r="A606">
            <v>1010119253</v>
          </cell>
          <cell r="B606" t="str">
            <v>Karina Maria</v>
          </cell>
          <cell r="C606" t="str">
            <v>Baranquilla</v>
          </cell>
          <cell r="D606" t="str">
            <v>Carrera 8C 74A 39</v>
          </cell>
          <cell r="E606" t="str">
            <v>Al lado de Tienda Juniorista</v>
          </cell>
          <cell r="F606" t="str">
            <v>3002361294</v>
          </cell>
          <cell r="G606" t="str">
            <v>3157197865</v>
          </cell>
          <cell r="H606" t="str">
            <v>Tratamiento</v>
          </cell>
        </row>
        <row r="607">
          <cell r="A607">
            <v>10122125</v>
          </cell>
          <cell r="B607" t="str">
            <v xml:space="preserve">JAIRO ANTONIO </v>
          </cell>
          <cell r="C607" t="str">
            <v>Baranquilla</v>
          </cell>
          <cell r="D607" t="str">
            <v>Cl 77 6E 58 apto 1</v>
          </cell>
          <cell r="E607" t="str">
            <v xml:space="preserve">Cerca de TIENDA LOS Girasoles </v>
          </cell>
          <cell r="F607" t="str">
            <v>3146551197</v>
          </cell>
          <cell r="G607" t="str">
            <v>3107451363</v>
          </cell>
          <cell r="H607" t="str">
            <v>Tratamiento</v>
          </cell>
        </row>
        <row r="608">
          <cell r="A608">
            <v>1015186975</v>
          </cell>
          <cell r="B608" t="str">
            <v>Daniel Esmirt</v>
          </cell>
          <cell r="C608" t="str">
            <v>Medellin</v>
          </cell>
          <cell r="D608" t="str">
            <v>Bajando las escalas de la estación villa sierra</v>
          </cell>
          <cell r="E608" t="str">
            <v/>
          </cell>
          <cell r="F608" t="str">
            <v>3128382959</v>
          </cell>
          <cell r="G608" t="str">
            <v>3226383399</v>
          </cell>
          <cell r="H608" t="str">
            <v>Tratamiento</v>
          </cell>
        </row>
        <row r="609">
          <cell r="A609">
            <v>1017135726</v>
          </cell>
          <cell r="B609" t="str">
            <v>Lady  Yulieth</v>
          </cell>
          <cell r="C609" t="str">
            <v>Medellin</v>
          </cell>
          <cell r="D609" t="str">
            <v>Cerca a la acción comunal de Villatina</v>
          </cell>
          <cell r="E609" t="str">
            <v/>
          </cell>
          <cell r="F609" t="str">
            <v>3147306019</v>
          </cell>
          <cell r="G609" t="str">
            <v>3128738940</v>
          </cell>
          <cell r="H609" t="str">
            <v>Tratamiento</v>
          </cell>
        </row>
        <row r="610">
          <cell r="A610">
            <v>1017152403</v>
          </cell>
          <cell r="B610" t="str">
            <v>Víctor Hugo</v>
          </cell>
          <cell r="C610" t="str">
            <v>Medellin</v>
          </cell>
          <cell r="D610" t="str">
            <v>Cl 56 EG # 18a - 11</v>
          </cell>
          <cell r="E610" t="str">
            <v>Cerca a la uva de sol de oriente</v>
          </cell>
          <cell r="F610" t="str">
            <v>3023727740</v>
          </cell>
          <cell r="G610" t="str">
            <v>3023727740</v>
          </cell>
          <cell r="H610" t="str">
            <v>Tratamiento</v>
          </cell>
        </row>
        <row r="611">
          <cell r="A611">
            <v>1017179652</v>
          </cell>
          <cell r="B611" t="str">
            <v>Luisa Fernanda Jaramillo Jaramillo</v>
          </cell>
          <cell r="C611" t="str">
            <v>Medellin</v>
          </cell>
          <cell r="D611" t="str">
            <v>Arribe dle cuadradero de los buses blancos de villatina</v>
          </cell>
          <cell r="E611" t="str">
            <v/>
          </cell>
          <cell r="F611" t="str">
            <v>3013683299</v>
          </cell>
          <cell r="G611" t="str">
            <v>3205868911</v>
          </cell>
          <cell r="H611" t="str">
            <v>Tratamiento</v>
          </cell>
        </row>
        <row r="612">
          <cell r="A612">
            <v>1017179966</v>
          </cell>
          <cell r="B612" t="str">
            <v xml:space="preserve">Jenifer Marcela </v>
          </cell>
          <cell r="C612" t="str">
            <v>Medellin</v>
          </cell>
          <cell r="D612" t="str">
            <v>En el parquecito en un segundo piso</v>
          </cell>
          <cell r="E612" t="str">
            <v/>
          </cell>
          <cell r="F612" t="str">
            <v>3215551592</v>
          </cell>
          <cell r="G612" t="str">
            <v>3016299448</v>
          </cell>
          <cell r="H612" t="str">
            <v>Tratamiento</v>
          </cell>
        </row>
        <row r="613">
          <cell r="A613">
            <v>1017190314</v>
          </cell>
          <cell r="B613" t="str">
            <v>Keila Andrea</v>
          </cell>
          <cell r="C613" t="str">
            <v>Medellin</v>
          </cell>
          <cell r="D613" t="str">
            <v xml:space="preserve">Calle 63A#16DD27int 101 </v>
          </cell>
          <cell r="E613" t="str">
            <v>subiendo por la iglesia cristiana</v>
          </cell>
          <cell r="F613" t="str">
            <v>3013572714</v>
          </cell>
          <cell r="G613" t="str">
            <v>3005068990</v>
          </cell>
          <cell r="H613" t="str">
            <v>Tratamiento</v>
          </cell>
        </row>
        <row r="614">
          <cell r="A614">
            <v>1017192472</v>
          </cell>
          <cell r="B614" t="str">
            <v>Carolina del carmen</v>
          </cell>
          <cell r="C614" t="str">
            <v>Medellin</v>
          </cell>
          <cell r="D614" t="str">
            <v>La iglesia María auxiliadora</v>
          </cell>
          <cell r="E614" t="str">
            <v/>
          </cell>
          <cell r="F614" t="str">
            <v>3147620932</v>
          </cell>
          <cell r="G614" t="str">
            <v>3015134979</v>
          </cell>
          <cell r="H614" t="str">
            <v>Tratamiento</v>
          </cell>
        </row>
        <row r="615">
          <cell r="A615">
            <v>1017206637</v>
          </cell>
          <cell r="B615" t="str">
            <v>Gloria Gisela</v>
          </cell>
          <cell r="C615" t="str">
            <v>Medellin</v>
          </cell>
          <cell r="D615" t="str">
            <v>Carrera 17 B 56EE-50 int 145</v>
          </cell>
          <cell r="E615" t="str">
            <v/>
          </cell>
          <cell r="F615" t="str">
            <v>3146492065</v>
          </cell>
          <cell r="G615" t="str">
            <v>3146007349</v>
          </cell>
          <cell r="H615" t="str">
            <v>Tratamiento</v>
          </cell>
        </row>
        <row r="616">
          <cell r="A616">
            <v>1017212544</v>
          </cell>
          <cell r="B616" t="str">
            <v>Jessica Stefania</v>
          </cell>
          <cell r="C616" t="str">
            <v>Medellin</v>
          </cell>
          <cell r="D616" t="str">
            <v>Arriba del paradero de la terminal de los colectivos cootransmalla</v>
          </cell>
          <cell r="E616" t="str">
            <v/>
          </cell>
          <cell r="F616" t="str">
            <v>3182749799</v>
          </cell>
          <cell r="G616" t="str">
            <v>3163142395</v>
          </cell>
          <cell r="H616" t="str">
            <v>Tratamiento</v>
          </cell>
        </row>
        <row r="617">
          <cell r="A617">
            <v>1017216558</v>
          </cell>
          <cell r="B617" t="str">
            <v xml:space="preserve">Duvan Alexis </v>
          </cell>
          <cell r="C617" t="str">
            <v>Medellin</v>
          </cell>
          <cell r="D617" t="str">
            <v xml:space="preserve">Carrera 7este calle 54aa </v>
          </cell>
          <cell r="E617" t="str">
            <v xml:space="preserve">Por la panadería se mete por la bajada, y en un camino bajando la primera casa </v>
          </cell>
          <cell r="F617" t="str">
            <v>3006193298</v>
          </cell>
          <cell r="G617" t="str">
            <v>3246020021</v>
          </cell>
          <cell r="H617" t="str">
            <v>Tratamiento</v>
          </cell>
        </row>
        <row r="618">
          <cell r="A618">
            <v>1017233148</v>
          </cell>
          <cell r="B618" t="str">
            <v>Blanca Aliria</v>
          </cell>
          <cell r="C618" t="str">
            <v>Medellin</v>
          </cell>
          <cell r="D618" t="str">
            <v>Cl56e 17b50</v>
          </cell>
          <cell r="E618" t="str">
            <v>Cerca la uva sol de oriente</v>
          </cell>
          <cell r="F618" t="str">
            <v>3206064356</v>
          </cell>
          <cell r="G618" t="str">
            <v>3016867797</v>
          </cell>
          <cell r="H618" t="str">
            <v>Tratamiento</v>
          </cell>
        </row>
        <row r="619">
          <cell r="A619">
            <v>1017239115</v>
          </cell>
          <cell r="B619" t="str">
            <v>Sergio Alberto</v>
          </cell>
          <cell r="C619" t="str">
            <v>Medellin</v>
          </cell>
          <cell r="D619" t="str">
            <v>Cerca de metrosalud sol de Oriente</v>
          </cell>
          <cell r="E619" t="str">
            <v/>
          </cell>
          <cell r="F619" t="str">
            <v>3004080675</v>
          </cell>
          <cell r="G619" t="str">
            <v>3001947272</v>
          </cell>
          <cell r="H619" t="str">
            <v>Tratamiento</v>
          </cell>
        </row>
        <row r="620">
          <cell r="A620">
            <v>1017247299</v>
          </cell>
          <cell r="B620" t="str">
            <v xml:space="preserve">Claudia Patricia </v>
          </cell>
          <cell r="C620" t="str">
            <v>Medellin</v>
          </cell>
          <cell r="D620" t="str">
            <v>Carrera 18 AB # 56 EC- 16</v>
          </cell>
          <cell r="E620" t="str">
            <v xml:space="preserve">Cerca a la uva sol de Oriente </v>
          </cell>
          <cell r="F620" t="str">
            <v>3507388094</v>
          </cell>
          <cell r="G620" t="str">
            <v>3004154949</v>
          </cell>
          <cell r="H620" t="str">
            <v>Tratamiento</v>
          </cell>
        </row>
        <row r="621">
          <cell r="A621">
            <v>1017248051</v>
          </cell>
          <cell r="B621" t="str">
            <v>Hernán de Jesús</v>
          </cell>
          <cell r="C621" t="str">
            <v>Medellin</v>
          </cell>
          <cell r="D621" t="str">
            <v>Cerca de la iglesia de golondrinas</v>
          </cell>
          <cell r="E621" t="str">
            <v/>
          </cell>
          <cell r="F621" t="str">
            <v>3122856883</v>
          </cell>
          <cell r="G621" t="str">
            <v>3214015015</v>
          </cell>
          <cell r="H621" t="str">
            <v>Tratamiento</v>
          </cell>
        </row>
        <row r="622">
          <cell r="A622">
            <v>1017266133</v>
          </cell>
          <cell r="B622" t="str">
            <v>Marco Tulio</v>
          </cell>
          <cell r="C622" t="str">
            <v>Medellin</v>
          </cell>
          <cell r="D622" t="str">
            <v>Carrera 18 # 56 EC - 13</v>
          </cell>
          <cell r="E622" t="str">
            <v>Cerca a la uva sol de oriente</v>
          </cell>
          <cell r="F622" t="str">
            <v>3218338835</v>
          </cell>
          <cell r="G622" t="str">
            <v>3108315345</v>
          </cell>
          <cell r="H622" t="str">
            <v>Tratamiento</v>
          </cell>
        </row>
        <row r="623">
          <cell r="A623">
            <v>1017269447</v>
          </cell>
          <cell r="B623" t="str">
            <v>Cristián David</v>
          </cell>
          <cell r="C623" t="str">
            <v>Medellin</v>
          </cell>
          <cell r="D623" t="str">
            <v>La casa queda cerca de la panadería las tinajas bajando por el pasamanos amarillo en una casa de unos patos</v>
          </cell>
          <cell r="E623" t="str">
            <v/>
          </cell>
          <cell r="F623" t="str">
            <v>3022040061</v>
          </cell>
          <cell r="G623" t="str">
            <v xml:space="preserve">No dan información </v>
          </cell>
          <cell r="H623" t="str">
            <v>Tratamiento</v>
          </cell>
        </row>
        <row r="624">
          <cell r="A624">
            <v>1017269998</v>
          </cell>
          <cell r="B624" t="str">
            <v>José Alberto</v>
          </cell>
          <cell r="C624" t="str">
            <v>Medellin</v>
          </cell>
          <cell r="D624" t="str">
            <v>Cerca a la panadería el faro</v>
          </cell>
          <cell r="E624" t="str">
            <v/>
          </cell>
          <cell r="F624" t="str">
            <v>3012948731</v>
          </cell>
          <cell r="G624" t="str">
            <v>3015052578</v>
          </cell>
          <cell r="H624" t="str">
            <v>Tratamiento</v>
          </cell>
        </row>
        <row r="625">
          <cell r="A625">
            <v>1020482801</v>
          </cell>
          <cell r="B625" t="str">
            <v xml:space="preserve">Karen </v>
          </cell>
          <cell r="C625" t="str">
            <v>Medellin</v>
          </cell>
          <cell r="D625" t="str">
            <v xml:space="preserve">Desde la cancha sube por la sede de acción comunal derecho  </v>
          </cell>
          <cell r="E625" t="str">
            <v/>
          </cell>
          <cell r="F625" t="str">
            <v>3022129878</v>
          </cell>
          <cell r="G625" t="str">
            <v>3105087485</v>
          </cell>
          <cell r="H625" t="str">
            <v>Tratamiento</v>
          </cell>
        </row>
        <row r="626">
          <cell r="A626">
            <v>1022124557</v>
          </cell>
          <cell r="B626" t="str">
            <v>Pablo Andrés</v>
          </cell>
          <cell r="C626" t="str">
            <v>Medellin</v>
          </cell>
          <cell r="D626" t="str">
            <v>Terminal de los buses blancos de Villatina</v>
          </cell>
          <cell r="E626" t="str">
            <v/>
          </cell>
          <cell r="F626" t="str">
            <v>3205996119</v>
          </cell>
          <cell r="G626" t="str">
            <v>3116128650</v>
          </cell>
          <cell r="H626" t="str">
            <v>Tratamiento</v>
          </cell>
        </row>
        <row r="627">
          <cell r="A627">
            <v>1022125326</v>
          </cell>
          <cell r="B627" t="str">
            <v>Jorge Alberto</v>
          </cell>
          <cell r="C627" t="str">
            <v>Medellin</v>
          </cell>
          <cell r="D627" t="str">
            <v>Terminal de buses se villatina el primer callejón a mano izquierda</v>
          </cell>
          <cell r="E627" t="str">
            <v/>
          </cell>
          <cell r="F627" t="str">
            <v>3223989745</v>
          </cell>
          <cell r="G627" t="str">
            <v>3145353027</v>
          </cell>
          <cell r="H627" t="str">
            <v>Tratamiento</v>
          </cell>
        </row>
        <row r="628">
          <cell r="A628">
            <v>1025640590</v>
          </cell>
          <cell r="B628" t="str">
            <v xml:space="preserve">Evelin Tatiana </v>
          </cell>
          <cell r="C628" t="str">
            <v>Medellin</v>
          </cell>
          <cell r="D628" t="str">
            <v>Carrera 10 Este #54B -53</v>
          </cell>
          <cell r="E628" t="str">
            <v>Bajando por las últimas escalas de la terminal</v>
          </cell>
          <cell r="F628" t="str">
            <v>3054512557</v>
          </cell>
          <cell r="G628" t="str">
            <v>3054512557</v>
          </cell>
          <cell r="H628" t="str">
            <v>Tratamiento</v>
          </cell>
        </row>
        <row r="629">
          <cell r="A629">
            <v>1025665487</v>
          </cell>
          <cell r="B629" t="str">
            <v>Meilyn  paola</v>
          </cell>
          <cell r="C629" t="str">
            <v>Medellin</v>
          </cell>
          <cell r="D629" t="str">
            <v>CL 56ed 28a17</v>
          </cell>
          <cell r="E629" t="str">
            <v>Cerca a la uva sol de oriente</v>
          </cell>
          <cell r="F629" t="str">
            <v>3002321015</v>
          </cell>
          <cell r="G629" t="str">
            <v>3004154949</v>
          </cell>
          <cell r="H629" t="str">
            <v>Tratamiento</v>
          </cell>
        </row>
        <row r="630">
          <cell r="A630">
            <v>1026145865</v>
          </cell>
          <cell r="B630" t="str">
            <v xml:space="preserve">Natalia </v>
          </cell>
          <cell r="C630" t="str">
            <v>Medellin</v>
          </cell>
          <cell r="D630" t="str">
            <v xml:space="preserve">De la terminal de buses sube por todas las escaleras </v>
          </cell>
          <cell r="E630" t="str">
            <v/>
          </cell>
          <cell r="F630" t="str">
            <v>3127742168</v>
          </cell>
          <cell r="G630" t="str">
            <v>3105057485</v>
          </cell>
          <cell r="H630" t="str">
            <v>Tratamiento</v>
          </cell>
        </row>
        <row r="631">
          <cell r="A631">
            <v>1036601648</v>
          </cell>
          <cell r="B631" t="str">
            <v>Carlos Arturo</v>
          </cell>
          <cell r="C631" t="str">
            <v>Medellin</v>
          </cell>
          <cell r="D631" t="str">
            <v>Bajando por las escaleras de la farmacia San Cosme</v>
          </cell>
          <cell r="E631" t="str">
            <v/>
          </cell>
          <cell r="F631" t="str">
            <v>3102182207</v>
          </cell>
          <cell r="G631" t="str">
            <v>3012510143</v>
          </cell>
          <cell r="H631" t="str">
            <v>Tratamiento</v>
          </cell>
        </row>
        <row r="632">
          <cell r="A632">
            <v>1036934154</v>
          </cell>
          <cell r="B632" t="str">
            <v>Jenifer julier calle parias</v>
          </cell>
          <cell r="C632" t="str">
            <v>Medellin</v>
          </cell>
          <cell r="D632" t="str">
            <v>CL 56 ed 18a38</v>
          </cell>
          <cell r="E632" t="str">
            <v xml:space="preserve">Cerca ala uva sol de oriente </v>
          </cell>
          <cell r="F632" t="str">
            <v>3012621077</v>
          </cell>
          <cell r="G632" t="str">
            <v>3902816922</v>
          </cell>
          <cell r="H632" t="str">
            <v>Tratamiento</v>
          </cell>
        </row>
        <row r="633">
          <cell r="A633">
            <v>1037263422</v>
          </cell>
          <cell r="B633" t="str">
            <v>Flor Enid Sánchez molina</v>
          </cell>
          <cell r="C633" t="str">
            <v>Medellin</v>
          </cell>
          <cell r="D633" t="str">
            <v>7</v>
          </cell>
          <cell r="E633" t="str">
            <v/>
          </cell>
          <cell r="F633" t="str">
            <v>3116497357</v>
          </cell>
          <cell r="G633" t="str">
            <v>3042239761</v>
          </cell>
          <cell r="H633" t="str">
            <v>Tratamiento</v>
          </cell>
        </row>
        <row r="634">
          <cell r="A634">
            <v>10375239</v>
          </cell>
          <cell r="B634" t="str">
            <v>José nain</v>
          </cell>
          <cell r="C634" t="str">
            <v>Cali</v>
          </cell>
          <cell r="D634" t="str">
            <v>Manzana 5  casa 227</v>
          </cell>
          <cell r="E634" t="str">
            <v>Tienda de don cheo al frente.  Por las gradas por la subida</v>
          </cell>
          <cell r="F634" t="str">
            <v>3164206202</v>
          </cell>
          <cell r="G634" t="str">
            <v>3173561137</v>
          </cell>
          <cell r="H634" t="str">
            <v>Tratamiento</v>
          </cell>
        </row>
        <row r="635">
          <cell r="A635">
            <v>1037570230</v>
          </cell>
          <cell r="B635" t="str">
            <v xml:space="preserve">María Nubia </v>
          </cell>
          <cell r="C635" t="str">
            <v>Medellin</v>
          </cell>
          <cell r="D635" t="str">
            <v>Carrera 18B # 56 EC -14</v>
          </cell>
          <cell r="E635" t="str">
            <v xml:space="preserve">Cerca a la uva sol de Oriente </v>
          </cell>
          <cell r="F635" t="str">
            <v>3214097558</v>
          </cell>
          <cell r="G635" t="str">
            <v>6042272690</v>
          </cell>
          <cell r="H635" t="str">
            <v>Tratamiento</v>
          </cell>
        </row>
        <row r="636">
          <cell r="A636">
            <v>1039285463</v>
          </cell>
          <cell r="B636" t="str">
            <v xml:space="preserve">Mario Humberto </v>
          </cell>
          <cell r="C636" t="str">
            <v>Medellin</v>
          </cell>
          <cell r="D636" t="str">
            <v>Sector la cancha pacifico</v>
          </cell>
          <cell r="E636" t="str">
            <v/>
          </cell>
          <cell r="F636" t="str">
            <v>3246482782</v>
          </cell>
          <cell r="G636" t="str">
            <v>3214104450</v>
          </cell>
          <cell r="H636" t="str">
            <v>Tratamiento</v>
          </cell>
        </row>
        <row r="637">
          <cell r="A637">
            <v>1040749440</v>
          </cell>
          <cell r="B637" t="str">
            <v>Yuly Tatiana</v>
          </cell>
          <cell r="C637" t="str">
            <v>Medellin</v>
          </cell>
          <cell r="D637" t="str">
            <v>Cerca al metrosalud sol de oriente</v>
          </cell>
          <cell r="E637" t="str">
            <v/>
          </cell>
          <cell r="F637" t="str">
            <v>3127552474</v>
          </cell>
          <cell r="G637" t="str">
            <v>3001968164</v>
          </cell>
          <cell r="H637" t="str">
            <v>Tratamiento</v>
          </cell>
        </row>
        <row r="638">
          <cell r="A638">
            <v>1042064849</v>
          </cell>
          <cell r="B638" t="str">
            <v>Yesica Alejandra</v>
          </cell>
          <cell r="C638" t="str">
            <v>Medellin</v>
          </cell>
          <cell r="D638" t="str">
            <v>Terminal de colectivos blancos cootransvi</v>
          </cell>
          <cell r="E638" t="str">
            <v/>
          </cell>
          <cell r="F638" t="str">
            <v>3023916893</v>
          </cell>
          <cell r="G638" t="str">
            <v>3116619882</v>
          </cell>
          <cell r="H638" t="str">
            <v>Tratamiento</v>
          </cell>
        </row>
        <row r="639">
          <cell r="A639">
            <v>1043435114</v>
          </cell>
          <cell r="B639" t="str">
            <v>Greicy patricia</v>
          </cell>
          <cell r="C639" t="str">
            <v>Baranquilla</v>
          </cell>
          <cell r="D639" t="str">
            <v>Cll 60 # 8a-106</v>
          </cell>
          <cell r="E639" t="str">
            <v>Casa de esquina por una y</v>
          </cell>
          <cell r="F639" t="str">
            <v>3006197653</v>
          </cell>
          <cell r="G639" t="str">
            <v>3045636420</v>
          </cell>
          <cell r="H639" t="str">
            <v>Tratamiento</v>
          </cell>
        </row>
        <row r="640">
          <cell r="A640">
            <v>1043665208</v>
          </cell>
          <cell r="B640" t="str">
            <v>PAULA ANDREA</v>
          </cell>
          <cell r="C640" t="str">
            <v>Baranquilla</v>
          </cell>
          <cell r="D640" t="str">
            <v>KR 8G 60B 159</v>
          </cell>
          <cell r="E640" t="str">
            <v>Cerca del Billar la Platanera</v>
          </cell>
          <cell r="F640" t="str">
            <v>3242517649</v>
          </cell>
          <cell r="G640" t="str">
            <v>3014101191</v>
          </cell>
          <cell r="H640" t="str">
            <v>Tratamiento</v>
          </cell>
        </row>
        <row r="641">
          <cell r="A641">
            <v>1044150889</v>
          </cell>
          <cell r="B641" t="str">
            <v>Leonardo Alonso</v>
          </cell>
          <cell r="C641" t="str">
            <v>Medellin</v>
          </cell>
          <cell r="D641" t="str">
            <v>Cerca al parque de sol de oriente</v>
          </cell>
          <cell r="E641" t="str">
            <v/>
          </cell>
          <cell r="F641" t="str">
            <v>3008621054</v>
          </cell>
          <cell r="G641" t="str">
            <v>3008621054</v>
          </cell>
          <cell r="H641" t="str">
            <v>Tratamiento</v>
          </cell>
        </row>
        <row r="642">
          <cell r="A642">
            <v>1045677797</v>
          </cell>
          <cell r="B642" t="str">
            <v xml:space="preserve">Edgar </v>
          </cell>
          <cell r="C642" t="str">
            <v>Baranquilla</v>
          </cell>
          <cell r="D642" t="str">
            <v>Cr9calle87_27</v>
          </cell>
          <cell r="E642" t="str">
            <v xml:space="preserve">Tienda la carreta </v>
          </cell>
          <cell r="F642" t="str">
            <v>3042604999</v>
          </cell>
          <cell r="G642" t="str">
            <v>3245908607</v>
          </cell>
          <cell r="H642" t="str">
            <v>Tratamiento</v>
          </cell>
        </row>
        <row r="643">
          <cell r="A643">
            <v>1045678951</v>
          </cell>
          <cell r="B643" t="str">
            <v xml:space="preserve">FRANCISCO JAVIER </v>
          </cell>
          <cell r="C643" t="str">
            <v>Baranquilla</v>
          </cell>
          <cell r="D643" t="str">
            <v>KR 7C 74 79</v>
          </cell>
          <cell r="E643" t="str">
            <v xml:space="preserve">Cerca la tienda el Tinoco o Monumental </v>
          </cell>
          <cell r="F643" t="str">
            <v>3172236409</v>
          </cell>
          <cell r="G643" t="str">
            <v>3007649220</v>
          </cell>
          <cell r="H643" t="str">
            <v>Tratamiento</v>
          </cell>
        </row>
        <row r="644">
          <cell r="A644">
            <v>1045679578</v>
          </cell>
          <cell r="B644" t="str">
            <v>Erides maria</v>
          </cell>
          <cell r="C644" t="str">
            <v>Baranquilla</v>
          </cell>
          <cell r="D644" t="str">
            <v>Cll 72a # 9d-36 p1 apto 2</v>
          </cell>
          <cell r="E644" t="str">
            <v>Al frente de una casa grande blanca de rejas negras</v>
          </cell>
          <cell r="F644" t="str">
            <v>3009413404</v>
          </cell>
          <cell r="G644" t="str">
            <v>3006596414</v>
          </cell>
          <cell r="H644" t="str">
            <v>Tratamiento</v>
          </cell>
        </row>
        <row r="645">
          <cell r="A645">
            <v>1045683391</v>
          </cell>
          <cell r="B645" t="str">
            <v>Holadys</v>
          </cell>
          <cell r="C645" t="str">
            <v>Baranquilla</v>
          </cell>
          <cell r="D645" t="str">
            <v>Diag64a-988 apto interno</v>
          </cell>
          <cell r="E645" t="str">
            <v>Parte de atrás de la casa de la cultura a</v>
          </cell>
          <cell r="F645" t="str">
            <v>3225173885</v>
          </cell>
          <cell r="G645" t="str">
            <v>3244282810</v>
          </cell>
          <cell r="H645" t="str">
            <v>Tratamiento</v>
          </cell>
        </row>
        <row r="646">
          <cell r="A646">
            <v>1045684410</v>
          </cell>
          <cell r="B646" t="str">
            <v xml:space="preserve">Yuranis </v>
          </cell>
          <cell r="C646" t="str">
            <v>Baranquilla</v>
          </cell>
          <cell r="D646" t="str">
            <v>Cr7c##77-26</v>
          </cell>
          <cell r="E646" t="str">
            <v/>
          </cell>
          <cell r="F646" t="str">
            <v>3023267261</v>
          </cell>
          <cell r="G646" t="str">
            <v>3012689739</v>
          </cell>
          <cell r="H646" t="str">
            <v>Tratamiento</v>
          </cell>
        </row>
        <row r="647">
          <cell r="A647">
            <v>1045685911</v>
          </cell>
          <cell r="B647" t="str">
            <v>Lizeth de</v>
          </cell>
          <cell r="C647" t="str">
            <v>Baranquilla</v>
          </cell>
          <cell r="D647" t="str">
            <v>Kra 6a #58a-196</v>
          </cell>
          <cell r="E647" t="str">
            <v xml:space="preserve">
Detrás de Carrefour cordialidad </v>
          </cell>
          <cell r="F647" t="str">
            <v>3019442867</v>
          </cell>
          <cell r="G647" t="str">
            <v>3005450795</v>
          </cell>
          <cell r="H647" t="str">
            <v>Tratamiento</v>
          </cell>
        </row>
        <row r="648">
          <cell r="A648">
            <v>1045691917</v>
          </cell>
          <cell r="B648" t="str">
            <v>Alidis</v>
          </cell>
          <cell r="C648" t="str">
            <v>Baranquilla</v>
          </cell>
          <cell r="D648" t="str">
            <v>Cra 7d # 76-64</v>
          </cell>
          <cell r="E648" t="str">
            <v xml:space="preserve">Cerca del CDI del bosque </v>
          </cell>
          <cell r="F648" t="str">
            <v>3009413066</v>
          </cell>
          <cell r="G648" t="str">
            <v>3017647763</v>
          </cell>
          <cell r="H648" t="str">
            <v>Tratamiento</v>
          </cell>
        </row>
        <row r="649">
          <cell r="A649">
            <v>1045724437</v>
          </cell>
          <cell r="B649" t="str">
            <v xml:space="preserve">Gabriel </v>
          </cell>
          <cell r="C649" t="str">
            <v>Baranquilla</v>
          </cell>
          <cell r="D649" t="str">
            <v>Carrera 9#60b-13</v>
          </cell>
          <cell r="E649" t="str">
            <v>Casa de interior, es la carrera 9 #60b13</v>
          </cell>
          <cell r="F649" t="str">
            <v>3004052316</v>
          </cell>
          <cell r="G649" t="str">
            <v>3166531270</v>
          </cell>
          <cell r="H649" t="str">
            <v>Tratamiento</v>
          </cell>
        </row>
        <row r="650">
          <cell r="A650">
            <v>1045731398</v>
          </cell>
          <cell r="B650" t="str">
            <v xml:space="preserve">JULITH VANESSA </v>
          </cell>
          <cell r="C650" t="str">
            <v>Baranquilla</v>
          </cell>
          <cell r="D650" t="str">
            <v>KR 8G 93 101</v>
          </cell>
          <cell r="E650" t="str">
            <v>Cerca al D1</v>
          </cell>
          <cell r="F650" t="str">
            <v>3006877851</v>
          </cell>
          <cell r="G650" t="str">
            <v>3006026090</v>
          </cell>
          <cell r="H650" t="str">
            <v>Tratamiento</v>
          </cell>
        </row>
        <row r="651">
          <cell r="A651">
            <v>1045741495</v>
          </cell>
          <cell r="B651" t="str">
            <v>YURANIS JOHANA</v>
          </cell>
          <cell r="C651" t="str">
            <v>Baranquilla</v>
          </cell>
          <cell r="D651" t="str">
            <v>Kra 8a #73c-48</v>
          </cell>
          <cell r="E651" t="str">
            <v>Por  el arroyo ,de la cancha de grama de San pio</v>
          </cell>
          <cell r="F651" t="str">
            <v>3046435331</v>
          </cell>
          <cell r="G651" t="str">
            <v>3247505798</v>
          </cell>
          <cell r="H651" t="str">
            <v>Tratamiento</v>
          </cell>
        </row>
        <row r="652">
          <cell r="A652">
            <v>1045743889</v>
          </cell>
          <cell r="B652" t="str">
            <v>ELIZABETH</v>
          </cell>
          <cell r="C652" t="str">
            <v>Baranquilla</v>
          </cell>
          <cell r="D652" t="str">
            <v>8G 60 83</v>
          </cell>
          <cell r="E652" t="str">
            <v>Casa Alta de escalones color Rosa</v>
          </cell>
          <cell r="F652" t="str">
            <v>3238021271</v>
          </cell>
          <cell r="G652" t="str">
            <v/>
          </cell>
          <cell r="H652" t="str">
            <v>Tratamiento</v>
          </cell>
        </row>
        <row r="653">
          <cell r="A653">
            <v>1045746691</v>
          </cell>
          <cell r="B653" t="str">
            <v>Laury</v>
          </cell>
          <cell r="C653" t="str">
            <v>Baranquilla</v>
          </cell>
          <cell r="D653" t="str">
            <v>Calle6#63c50</v>
          </cell>
          <cell r="E653" t="str">
            <v/>
          </cell>
          <cell r="F653" t="str">
            <v>3244429931</v>
          </cell>
          <cell r="G653" t="str">
            <v>3002150551</v>
          </cell>
          <cell r="H653" t="str">
            <v>Tratamiento</v>
          </cell>
        </row>
        <row r="654">
          <cell r="A654">
            <v>1045748346</v>
          </cell>
          <cell r="B654" t="str">
            <v>Ivan alberto</v>
          </cell>
          <cell r="C654" t="str">
            <v>Baranquilla</v>
          </cell>
          <cell r="D654" t="str">
            <v>Dg 63d # 9k 47</v>
          </cell>
          <cell r="E654" t="str">
            <v xml:space="preserve">Cerca de una tienda </v>
          </cell>
          <cell r="F654" t="str">
            <v>3007765703</v>
          </cell>
          <cell r="G654" t="str">
            <v>3015442844</v>
          </cell>
          <cell r="H654" t="str">
            <v>Tratamiento</v>
          </cell>
        </row>
        <row r="655">
          <cell r="A655">
            <v>1045759593</v>
          </cell>
          <cell r="B655" t="str">
            <v>LAINIS ARNETH</v>
          </cell>
          <cell r="C655" t="str">
            <v>Baranquilla</v>
          </cell>
          <cell r="D655" t="str">
            <v xml:space="preserve">Dg 64 9K 07 apto 2 </v>
          </cell>
          <cell r="E655" t="str">
            <v>Diagonal a la Tienda JJ</v>
          </cell>
          <cell r="F655" t="str">
            <v>3022504244</v>
          </cell>
          <cell r="G655" t="str">
            <v>3007546970</v>
          </cell>
          <cell r="H655" t="str">
            <v>Tratamiento</v>
          </cell>
        </row>
        <row r="656">
          <cell r="A656">
            <v>1047048484</v>
          </cell>
          <cell r="B656" t="str">
            <v>América</v>
          </cell>
          <cell r="C656" t="str">
            <v>Baranquilla</v>
          </cell>
          <cell r="D656" t="str">
            <v>Calle 72 a 09d -55</v>
          </cell>
          <cell r="E656" t="str">
            <v/>
          </cell>
          <cell r="F656" t="str">
            <v>3022741473</v>
          </cell>
          <cell r="G656" t="str">
            <v>3046752980</v>
          </cell>
          <cell r="H656" t="str">
            <v>Tratamiento</v>
          </cell>
        </row>
        <row r="657">
          <cell r="A657">
            <v>1047221609</v>
          </cell>
          <cell r="B657" t="str">
            <v xml:space="preserve">Cristina </v>
          </cell>
          <cell r="C657" t="str">
            <v>Baranquilla</v>
          </cell>
          <cell r="D657" t="str">
            <v>Cr8g#94-72</v>
          </cell>
          <cell r="E657" t="str">
            <v>Diagonal a tiendas d1</v>
          </cell>
          <cell r="F657" t="str">
            <v>3044069171</v>
          </cell>
          <cell r="G657" t="str">
            <v>3002398828</v>
          </cell>
          <cell r="H657" t="str">
            <v>Tratamiento</v>
          </cell>
        </row>
        <row r="658">
          <cell r="A658">
            <v>1047223166</v>
          </cell>
          <cell r="B658" t="str">
            <v xml:space="preserve">José gregorio </v>
          </cell>
          <cell r="C658" t="str">
            <v>Baranquilla</v>
          </cell>
          <cell r="D658" t="str">
            <v>Cr7c76-84</v>
          </cell>
          <cell r="E658" t="str">
            <v/>
          </cell>
          <cell r="F658" t="str">
            <v>3243199230</v>
          </cell>
          <cell r="G658" t="str">
            <v>3116553092</v>
          </cell>
          <cell r="H658" t="str">
            <v>Tratamiento</v>
          </cell>
        </row>
        <row r="659">
          <cell r="A659">
            <v>1047226056</v>
          </cell>
          <cell r="B659" t="str">
            <v xml:space="preserve">Yenis patricia </v>
          </cell>
          <cell r="C659" t="str">
            <v>Baranquilla</v>
          </cell>
          <cell r="D659" t="str">
            <v>Cll 88 # 7- 54</v>
          </cell>
          <cell r="E659" t="str">
            <v>Cerca de la tienda la bendicione de Dios</v>
          </cell>
          <cell r="F659" t="str">
            <v>3011206033</v>
          </cell>
          <cell r="G659" t="str">
            <v>3104403702</v>
          </cell>
          <cell r="H659" t="str">
            <v>Tratamiento</v>
          </cell>
        </row>
        <row r="660">
          <cell r="A660">
            <v>10472271</v>
          </cell>
          <cell r="B660" t="str">
            <v>Reinaldo</v>
          </cell>
          <cell r="C660" t="str">
            <v>Cali</v>
          </cell>
          <cell r="D660" t="str">
            <v>CL 4 b oeste 73 74</v>
          </cell>
          <cell r="E660" t="str">
            <v>La cancha de las minas</v>
          </cell>
          <cell r="F660" t="str">
            <v>3205454499</v>
          </cell>
          <cell r="G660" t="str">
            <v>3127286804</v>
          </cell>
          <cell r="H660" t="str">
            <v>Tratamiento</v>
          </cell>
        </row>
        <row r="661">
          <cell r="A661">
            <v>1047227573</v>
          </cell>
          <cell r="B661" t="str">
            <v xml:space="preserve">GENY VICTORIA </v>
          </cell>
          <cell r="C661" t="str">
            <v>Baranquilla</v>
          </cell>
          <cell r="D661" t="str">
            <v>KR 6B 72 135</v>
          </cell>
          <cell r="E661" t="str">
            <v xml:space="preserve">DG Tienda hermanos Sampayo </v>
          </cell>
          <cell r="F661" t="str">
            <v>3003978007</v>
          </cell>
          <cell r="G661" t="str">
            <v>3105998357</v>
          </cell>
          <cell r="H661" t="str">
            <v>Tratamiento</v>
          </cell>
        </row>
        <row r="662">
          <cell r="A662">
            <v>1048220109</v>
          </cell>
          <cell r="B662" t="str">
            <v xml:space="preserve">Miguel </v>
          </cell>
          <cell r="C662" t="str">
            <v>Baranquilla</v>
          </cell>
          <cell r="D662" t="str">
            <v>Kra 9 # 61-54</v>
          </cell>
          <cell r="E662" t="str">
            <v xml:space="preserve">A la vuelta de billares el perro </v>
          </cell>
          <cell r="F662" t="str">
            <v>3012006858</v>
          </cell>
          <cell r="G662" t="str">
            <v>3042020350</v>
          </cell>
          <cell r="H662" t="str">
            <v>Tratamiento</v>
          </cell>
        </row>
        <row r="663">
          <cell r="A663">
            <v>1059044849</v>
          </cell>
          <cell r="B663" t="str">
            <v>Ninsen  yane</v>
          </cell>
          <cell r="C663" t="str">
            <v>Cali</v>
          </cell>
          <cell r="D663" t="str">
            <v>MANZANA 5 CASA 8 SECTOR DE LAS MINAS</v>
          </cell>
          <cell r="E663" t="str">
            <v xml:space="preserve">La tienda de don cheo. Alfrente por las gradas </v>
          </cell>
          <cell r="F663" t="str">
            <v>3212965341</v>
          </cell>
          <cell r="G663" t="str">
            <v>3106557963</v>
          </cell>
          <cell r="H663" t="str">
            <v>Tratamiento</v>
          </cell>
        </row>
        <row r="664">
          <cell r="A664">
            <v>1059044885</v>
          </cell>
          <cell r="B664" t="str">
            <v>LUZ DARY</v>
          </cell>
          <cell r="C664" t="str">
            <v>Cali</v>
          </cell>
          <cell r="D664" t="str">
            <v>CARRERA 33D CON 82</v>
          </cell>
          <cell r="E664" t="str">
            <v>Por el control de los jeeps de la cruz</v>
          </cell>
          <cell r="F664" t="str">
            <v>3145125224</v>
          </cell>
          <cell r="G664" t="str">
            <v>3128430658</v>
          </cell>
          <cell r="H664" t="str">
            <v>Tratamiento</v>
          </cell>
        </row>
        <row r="665">
          <cell r="A665">
            <v>1059986053</v>
          </cell>
          <cell r="B665" t="str">
            <v>Jania Paola</v>
          </cell>
          <cell r="C665" t="str">
            <v>Cali</v>
          </cell>
          <cell r="D665" t="str">
            <v>Cr 74G oeste 4B 80</v>
          </cell>
          <cell r="E665" t="str">
            <v>Directo comedor de las minas</v>
          </cell>
          <cell r="F665" t="str">
            <v>3207143579</v>
          </cell>
          <cell r="G665" t="str">
            <v>3233970201</v>
          </cell>
          <cell r="H665" t="str">
            <v>Tratamiento</v>
          </cell>
        </row>
        <row r="666">
          <cell r="A666">
            <v>1060102242</v>
          </cell>
          <cell r="B666" t="str">
            <v xml:space="preserve">Luz estrella </v>
          </cell>
          <cell r="C666" t="str">
            <v>Cali</v>
          </cell>
          <cell r="D666" t="str">
            <v>MANZANA 1 CASA 75 LAS MINAS</v>
          </cell>
          <cell r="E666" t="str">
            <v/>
          </cell>
          <cell r="F666" t="str">
            <v>3146769002</v>
          </cell>
          <cell r="G666" t="str">
            <v>3145720130</v>
          </cell>
          <cell r="H666" t="str">
            <v>Tratamiento</v>
          </cell>
        </row>
        <row r="667">
          <cell r="A667">
            <v>1061433798</v>
          </cell>
          <cell r="B667" t="str">
            <v>Hely jhoana</v>
          </cell>
          <cell r="C667" t="str">
            <v>Cali</v>
          </cell>
          <cell r="D667" t="str">
            <v>Cra 71 a bis oeste 4b 05</v>
          </cell>
          <cell r="E667" t="str">
            <v>Bailadero de don William  por la 2da subida  de las minas</v>
          </cell>
          <cell r="F667" t="str">
            <v>3158926573</v>
          </cell>
          <cell r="G667" t="str">
            <v>3173102237</v>
          </cell>
          <cell r="H667" t="str">
            <v>Tratamiento</v>
          </cell>
        </row>
        <row r="668">
          <cell r="A668">
            <v>1062297779</v>
          </cell>
          <cell r="B668" t="str">
            <v xml:space="preserve">Claudia Milena </v>
          </cell>
          <cell r="C668" t="str">
            <v>Cali</v>
          </cell>
          <cell r="D668" t="str">
            <v>CL 4 B oeste 73 18</v>
          </cell>
          <cell r="E668" t="str">
            <v>Al frente a la cancha de las minas</v>
          </cell>
          <cell r="F668" t="str">
            <v>3233794660</v>
          </cell>
          <cell r="G668" t="str">
            <v xml:space="preserve">No dan información </v>
          </cell>
          <cell r="H668" t="str">
            <v>Tratamiento</v>
          </cell>
        </row>
        <row r="669">
          <cell r="A669">
            <v>1067094968</v>
          </cell>
          <cell r="B669" t="str">
            <v xml:space="preserve">Luis Eduardo Cartagena Vargas </v>
          </cell>
          <cell r="C669" t="str">
            <v>Medellin</v>
          </cell>
          <cell r="D669" t="str">
            <v>Cerca al plan de villatina</v>
          </cell>
          <cell r="E669" t="str">
            <v/>
          </cell>
          <cell r="F669" t="str">
            <v>3041410097</v>
          </cell>
          <cell r="G669" t="str">
            <v>3002208116</v>
          </cell>
          <cell r="H669" t="str">
            <v>Tratamiento</v>
          </cell>
        </row>
        <row r="670">
          <cell r="A670">
            <v>1067461300</v>
          </cell>
          <cell r="B670" t="str">
            <v>Diana lucero</v>
          </cell>
          <cell r="C670" t="str">
            <v>Cali</v>
          </cell>
          <cell r="D670" t="str">
            <v>CL 4b 74 76</v>
          </cell>
          <cell r="E670" t="str">
            <v/>
          </cell>
          <cell r="F670" t="str">
            <v>3202776554</v>
          </cell>
          <cell r="G670" t="str">
            <v>3135211426</v>
          </cell>
          <cell r="H670" t="str">
            <v>Tratamiento</v>
          </cell>
        </row>
        <row r="671">
          <cell r="A671">
            <v>10741712</v>
          </cell>
          <cell r="B671" t="str">
            <v>Milton Javier</v>
          </cell>
          <cell r="C671" t="str">
            <v>Cali</v>
          </cell>
          <cell r="D671" t="str">
            <v>Cl 4b  bis oeste 73 a 33</v>
          </cell>
          <cell r="E671" t="str">
            <v>Cancha la minas</v>
          </cell>
          <cell r="F671" t="str">
            <v>3165049532</v>
          </cell>
          <cell r="G671" t="str">
            <v>3166175439</v>
          </cell>
          <cell r="H671" t="str">
            <v>Tratamiento</v>
          </cell>
        </row>
        <row r="672">
          <cell r="A672">
            <v>1080835928</v>
          </cell>
          <cell r="B672" t="str">
            <v>María magnolia</v>
          </cell>
          <cell r="C672" t="str">
            <v>Cali</v>
          </cell>
          <cell r="D672" t="str">
            <v>Cr 74 G oeste 4 23</v>
          </cell>
          <cell r="E672" t="str">
            <v/>
          </cell>
          <cell r="F672" t="str">
            <v>3173281219</v>
          </cell>
          <cell r="G672" t="str">
            <v>3166177286</v>
          </cell>
          <cell r="H672" t="str">
            <v>Tratamiento</v>
          </cell>
        </row>
        <row r="673">
          <cell r="A673">
            <v>1107036712</v>
          </cell>
          <cell r="B673" t="str">
            <v xml:space="preserve">Anderson </v>
          </cell>
          <cell r="C673" t="str">
            <v>Cali</v>
          </cell>
          <cell r="D673" t="str">
            <v>Cr 74g # 4b 19</v>
          </cell>
          <cell r="E673" t="str">
            <v>Comedor comunitario las minas  los chorros</v>
          </cell>
          <cell r="F673" t="str">
            <v>3122818769</v>
          </cell>
          <cell r="G673" t="str">
            <v>3197659946</v>
          </cell>
          <cell r="H673" t="str">
            <v>Tratamiento</v>
          </cell>
        </row>
        <row r="674">
          <cell r="A674">
            <v>1107038099</v>
          </cell>
          <cell r="B674" t="str">
            <v>Andrés felipe</v>
          </cell>
          <cell r="C674" t="str">
            <v>Cali</v>
          </cell>
          <cell r="D674" t="str">
            <v>Cr 74g oeste 4 37 escuela las minas</v>
          </cell>
          <cell r="E674" t="str">
            <v>Escuela las minas</v>
          </cell>
          <cell r="F674" t="str">
            <v>3116542953</v>
          </cell>
          <cell r="G674" t="str">
            <v>3156810178</v>
          </cell>
          <cell r="H674" t="str">
            <v>Tratamiento</v>
          </cell>
        </row>
        <row r="675">
          <cell r="A675">
            <v>1107062248</v>
          </cell>
          <cell r="B675" t="str">
            <v>Zoraida</v>
          </cell>
          <cell r="C675" t="str">
            <v>Cali</v>
          </cell>
          <cell r="D675" t="str">
            <v>CALLE 4D OESTE 76-24</v>
          </cell>
          <cell r="E675" t="str">
            <v>Al frente de la cancha la.cruz</v>
          </cell>
          <cell r="F675" t="str">
            <v>1107062248</v>
          </cell>
          <cell r="G675" t="str">
            <v>3187869407</v>
          </cell>
          <cell r="H675" t="str">
            <v>Tratamiento</v>
          </cell>
        </row>
        <row r="676">
          <cell r="A676">
            <v>1107082402</v>
          </cell>
          <cell r="B676" t="str">
            <v>MAYRA ALEJANDRA</v>
          </cell>
          <cell r="C676" t="str">
            <v>Cali</v>
          </cell>
          <cell r="D676" t="str">
            <v>CL 4C OESTE 76C BIS 19</v>
          </cell>
          <cell r="E676" t="str">
            <v>DEL VIVERO LA ESPERANZA A LA 3 CASA</v>
          </cell>
          <cell r="F676" t="str">
            <v>3178606148</v>
          </cell>
          <cell r="G676" t="str">
            <v>3163140992</v>
          </cell>
          <cell r="H676" t="str">
            <v>Tratamiento</v>
          </cell>
        </row>
        <row r="677">
          <cell r="A677">
            <v>1107101692</v>
          </cell>
          <cell r="B677" t="str">
            <v xml:space="preserve">Lorena </v>
          </cell>
          <cell r="C677" t="str">
            <v>Cali</v>
          </cell>
          <cell r="D677" t="str">
            <v>Cr 74g oeste 4b 62</v>
          </cell>
          <cell r="E677" t="str">
            <v>Comedor de las minas. Por la Rampla hacia arriba</v>
          </cell>
          <cell r="F677" t="str">
            <v>3218984054.</v>
          </cell>
          <cell r="G677" t="str">
            <v xml:space="preserve">No dan información </v>
          </cell>
          <cell r="H677" t="str">
            <v>Tratamiento</v>
          </cell>
        </row>
        <row r="678">
          <cell r="A678">
            <v>1107528203</v>
          </cell>
          <cell r="B678" t="str">
            <v xml:space="preserve">Jon jarol </v>
          </cell>
          <cell r="C678" t="str">
            <v>Cali</v>
          </cell>
          <cell r="D678" t="str">
            <v>Cl 4b oeste 7310</v>
          </cell>
          <cell r="E678" t="str">
            <v xml:space="preserve">Por la tienda de don cheo cerca a la concha de las minas </v>
          </cell>
          <cell r="F678" t="str">
            <v>3163983902</v>
          </cell>
          <cell r="G678" t="str">
            <v>3160525170</v>
          </cell>
          <cell r="H678" t="str">
            <v>Tratamiento</v>
          </cell>
        </row>
        <row r="679">
          <cell r="A679">
            <v>1112459228</v>
          </cell>
          <cell r="B679" t="str">
            <v>Paola</v>
          </cell>
          <cell r="C679" t="str">
            <v>Cali</v>
          </cell>
          <cell r="D679" t="str">
            <v>MANZANA 30 CASA 9 LAS MINAS</v>
          </cell>
          <cell r="E679" t="str">
            <v/>
          </cell>
          <cell r="F679" t="str">
            <v>3206872807</v>
          </cell>
          <cell r="G679" t="str">
            <v>3208326107</v>
          </cell>
          <cell r="H679" t="str">
            <v>Tratamiento</v>
          </cell>
        </row>
        <row r="680">
          <cell r="A680">
            <v>1112460885</v>
          </cell>
          <cell r="B680" t="str">
            <v>Argenis</v>
          </cell>
          <cell r="C680" t="str">
            <v>Cali</v>
          </cell>
          <cell r="D680" t="str">
            <v>Kr 74G oeste 4-35</v>
          </cell>
          <cell r="E680" t="str">
            <v/>
          </cell>
          <cell r="F680" t="str">
            <v>3206387194</v>
          </cell>
          <cell r="G680" t="str">
            <v>3107076305</v>
          </cell>
          <cell r="H680" t="str">
            <v>Tratamiento</v>
          </cell>
        </row>
        <row r="681">
          <cell r="A681">
            <v>1112464691</v>
          </cell>
          <cell r="B681" t="str">
            <v>Carlos Alberto</v>
          </cell>
          <cell r="C681" t="str">
            <v>Cali</v>
          </cell>
          <cell r="D681" t="str">
            <v>Cll 4 oeste # 73d bis 98</v>
          </cell>
          <cell r="E681" t="str">
            <v>Comedor pan vivo comunitario por la carretera. Casa blanca</v>
          </cell>
          <cell r="F681" t="str">
            <v>3212536034</v>
          </cell>
          <cell r="G681" t="str">
            <v>3146484250</v>
          </cell>
          <cell r="H681" t="str">
            <v>Tratamiento</v>
          </cell>
        </row>
        <row r="682">
          <cell r="A682">
            <v>1114729169</v>
          </cell>
          <cell r="B682" t="str">
            <v>Diana Marcela</v>
          </cell>
          <cell r="C682" t="str">
            <v>Cali</v>
          </cell>
          <cell r="D682" t="str">
            <v>Cr 74 g oeste 4b 38</v>
          </cell>
          <cell r="E682" t="str">
            <v>Salon comunitario las minas hacia arriba por el planchon</v>
          </cell>
          <cell r="F682" t="str">
            <v>3202663175</v>
          </cell>
          <cell r="G682" t="str">
            <v>3216390961</v>
          </cell>
          <cell r="H682" t="str">
            <v>Tratamiento</v>
          </cell>
        </row>
        <row r="683">
          <cell r="A683">
            <v>1118256990</v>
          </cell>
          <cell r="B683" t="str">
            <v xml:space="preserve">Yorleny </v>
          </cell>
          <cell r="C683" t="str">
            <v>Cali</v>
          </cell>
          <cell r="D683" t="str">
            <v>CL 4D OESTE 76-38</v>
          </cell>
          <cell r="E683" t="str">
            <v>Diagonal donde doña Ana que vende chance</v>
          </cell>
          <cell r="F683" t="str">
            <v>3216375719</v>
          </cell>
          <cell r="G683" t="str">
            <v>3177162770</v>
          </cell>
          <cell r="H683" t="str">
            <v>Tratamiento</v>
          </cell>
        </row>
        <row r="684">
          <cell r="A684">
            <v>1128271580</v>
          </cell>
          <cell r="B684" t="str">
            <v xml:space="preserve">Edelmira </v>
          </cell>
          <cell r="C684" t="str">
            <v>Medellin</v>
          </cell>
          <cell r="D684" t="str">
            <v xml:space="preserve">De la junta de acción comunal subiendo a la izquierda </v>
          </cell>
          <cell r="E684" t="str">
            <v/>
          </cell>
          <cell r="F684" t="str">
            <v>3117261374</v>
          </cell>
          <cell r="G684" t="str">
            <v>3024556964</v>
          </cell>
          <cell r="H684" t="str">
            <v>Tratamiento</v>
          </cell>
        </row>
        <row r="685">
          <cell r="A685">
            <v>1129487310</v>
          </cell>
          <cell r="B685" t="str">
            <v>Nancy isabel</v>
          </cell>
          <cell r="C685" t="str">
            <v>Baranquilla</v>
          </cell>
          <cell r="D685" t="str">
            <v>Cr 7d # 76-58</v>
          </cell>
          <cell r="E685" t="str">
            <v xml:space="preserve">Diagonal al CDI del bosque </v>
          </cell>
          <cell r="F685" t="str">
            <v>3022204704</v>
          </cell>
          <cell r="G685" t="str">
            <v>3004745168</v>
          </cell>
          <cell r="H685" t="str">
            <v>Tratamiento</v>
          </cell>
        </row>
        <row r="686">
          <cell r="A686">
            <v>1129497775</v>
          </cell>
          <cell r="B686" t="str">
            <v xml:space="preserve">MARIBEL ESTHER </v>
          </cell>
          <cell r="C686" t="str">
            <v>Baranquilla</v>
          </cell>
          <cell r="D686" t="str">
            <v>KR 9 93 18</v>
          </cell>
          <cell r="E686" t="str">
            <v>Cerca de la carreta</v>
          </cell>
          <cell r="F686" t="str">
            <v>3002552369</v>
          </cell>
          <cell r="G686" t="str">
            <v>3009997267</v>
          </cell>
          <cell r="H686" t="str">
            <v>Tratamiento</v>
          </cell>
        </row>
        <row r="687">
          <cell r="A687">
            <v>1129498810</v>
          </cell>
          <cell r="B687" t="str">
            <v>Silvia elena</v>
          </cell>
          <cell r="C687" t="str">
            <v>Baranquilla</v>
          </cell>
          <cell r="D687" t="str">
            <v>Kr9k1 de 64b-25</v>
          </cell>
          <cell r="E687" t="str">
            <v>Sector bola rosada</v>
          </cell>
          <cell r="F687" t="str">
            <v>3153571514</v>
          </cell>
          <cell r="G687" t="str">
            <v>3126789310</v>
          </cell>
          <cell r="H687" t="str">
            <v>Tratamiento</v>
          </cell>
        </row>
        <row r="688">
          <cell r="A688">
            <v>1129520081</v>
          </cell>
          <cell r="B688" t="str">
            <v xml:space="preserve">Islena isabel </v>
          </cell>
          <cell r="C688" t="str">
            <v>Baranquilla</v>
          </cell>
          <cell r="D688" t="str">
            <v>Cra 6b # 72-113</v>
          </cell>
          <cell r="E688" t="str">
            <v xml:space="preserve">Casa alta amarilla </v>
          </cell>
          <cell r="F688" t="str">
            <v>3009751696</v>
          </cell>
          <cell r="G688" t="str">
            <v>3105998357</v>
          </cell>
          <cell r="H688" t="str">
            <v>Tratamiento</v>
          </cell>
        </row>
        <row r="689">
          <cell r="A689">
            <v>1129566300</v>
          </cell>
          <cell r="B689" t="str">
            <v xml:space="preserve">Katherine paola </v>
          </cell>
          <cell r="C689" t="str">
            <v>Baranquilla</v>
          </cell>
          <cell r="D689" t="str">
            <v>Cll 63a # 9k 37</v>
          </cell>
          <cell r="E689" t="str">
            <v>Subiendo por mercaditos la 9</v>
          </cell>
          <cell r="F689" t="str">
            <v>3013712870</v>
          </cell>
          <cell r="G689" t="str">
            <v>3243090859</v>
          </cell>
          <cell r="H689" t="str">
            <v>Tratamiento</v>
          </cell>
        </row>
        <row r="690">
          <cell r="A690">
            <v>1130590826</v>
          </cell>
          <cell r="B690" t="str">
            <v>Luis Angel</v>
          </cell>
          <cell r="C690" t="str">
            <v>Cali</v>
          </cell>
          <cell r="D690" t="str">
            <v>Kr 76 D OESTE 3A 75</v>
          </cell>
          <cell r="E690" t="str">
            <v>Al frente de tienda de alimentos perros a 3 viviendas del shut</v>
          </cell>
          <cell r="F690" t="str">
            <v>3176938524</v>
          </cell>
          <cell r="G690" t="str">
            <v>3165571996</v>
          </cell>
          <cell r="H690" t="str">
            <v>Tratamiento</v>
          </cell>
        </row>
        <row r="691">
          <cell r="A691">
            <v>1130591575</v>
          </cell>
          <cell r="B691" t="str">
            <v>Marlen</v>
          </cell>
          <cell r="C691" t="str">
            <v>Cali</v>
          </cell>
          <cell r="D691" t="str">
            <v>Cr 76 b oeste 4c 25 casa 2</v>
          </cell>
          <cell r="E691" t="str">
            <v>Preguntar la casa de los bravos</v>
          </cell>
          <cell r="F691" t="str">
            <v>3105927103</v>
          </cell>
          <cell r="G691" t="str">
            <v>3226888171</v>
          </cell>
          <cell r="H691" t="str">
            <v>Tratamiento</v>
          </cell>
        </row>
        <row r="692">
          <cell r="A692">
            <v>1130609656</v>
          </cell>
          <cell r="B692" t="str">
            <v>Sonia Janeth</v>
          </cell>
          <cell r="C692" t="str">
            <v>Cali</v>
          </cell>
          <cell r="D692" t="str">
            <v>CL 4B oeste 73 79</v>
          </cell>
          <cell r="E692" t="str">
            <v>La cancha de las minas</v>
          </cell>
          <cell r="F692" t="str">
            <v>3146760645</v>
          </cell>
          <cell r="G692" t="str">
            <v>3228215099</v>
          </cell>
          <cell r="H692" t="str">
            <v>Tratamiento</v>
          </cell>
        </row>
        <row r="693">
          <cell r="A693">
            <v>1130611960</v>
          </cell>
          <cell r="B693" t="str">
            <v>Fran marden</v>
          </cell>
          <cell r="C693" t="str">
            <v>Cali</v>
          </cell>
          <cell r="D693" t="str">
            <v xml:space="preserve">No dan información </v>
          </cell>
          <cell r="E693" t="str">
            <v>Cercar al comedor de los mismas</v>
          </cell>
          <cell r="F693" t="str">
            <v>3219740537</v>
          </cell>
          <cell r="G693" t="str">
            <v xml:space="preserve">No dan información </v>
          </cell>
          <cell r="H693" t="str">
            <v>Tratamiento</v>
          </cell>
        </row>
        <row r="694">
          <cell r="A694">
            <v>1130621848</v>
          </cell>
          <cell r="B694" t="str">
            <v xml:space="preserve">FRANCELINE </v>
          </cell>
          <cell r="C694" t="str">
            <v>Cali</v>
          </cell>
          <cell r="D694" t="str">
            <v>SECTOR TAMAYO</v>
          </cell>
          <cell r="E694" t="str">
            <v xml:space="preserve">Por el shut de la esperanza </v>
          </cell>
          <cell r="F694" t="str">
            <v>3206121872</v>
          </cell>
          <cell r="G694" t="str">
            <v>3104246281</v>
          </cell>
          <cell r="H694" t="str">
            <v>Tratamiento</v>
          </cell>
        </row>
        <row r="695">
          <cell r="A695">
            <v>1130668655</v>
          </cell>
          <cell r="B695" t="str">
            <v>Eliana</v>
          </cell>
          <cell r="C695" t="str">
            <v>Cali</v>
          </cell>
          <cell r="D695" t="str">
            <v>Cra 76B1 OESTE 4-13</v>
          </cell>
          <cell r="E695" t="str">
            <v>Al lado de fundacion de cesoles un callejón y la segunda casa</v>
          </cell>
          <cell r="F695" t="str">
            <v>3218729597</v>
          </cell>
          <cell r="G695" t="str">
            <v>3174209013</v>
          </cell>
          <cell r="H695" t="str">
            <v>Tratamiento</v>
          </cell>
        </row>
        <row r="696">
          <cell r="A696">
            <v>1136060053</v>
          </cell>
          <cell r="B696" t="str">
            <v xml:space="preserve">Paola </v>
          </cell>
          <cell r="C696" t="str">
            <v>Cali</v>
          </cell>
          <cell r="D696" t="str">
            <v>Cr  74 4b 45</v>
          </cell>
          <cell r="E696" t="str">
            <v xml:space="preserve"> Comedores las minas</v>
          </cell>
          <cell r="F696" t="str">
            <v>3239870168</v>
          </cell>
          <cell r="G696" t="str">
            <v xml:space="preserve">No dan información </v>
          </cell>
          <cell r="H696" t="str">
            <v>Tratamiento</v>
          </cell>
        </row>
        <row r="697">
          <cell r="A697">
            <v>1140822745</v>
          </cell>
          <cell r="B697" t="str">
            <v>Judith maria</v>
          </cell>
          <cell r="C697" t="str">
            <v>Baranquilla</v>
          </cell>
          <cell r="D697" t="str">
            <v>Calle 63 A 9k 85</v>
          </cell>
          <cell r="E697" t="str">
            <v>Al frente casa con techo de color rojo</v>
          </cell>
          <cell r="F697" t="str">
            <v>3023046156</v>
          </cell>
          <cell r="G697" t="str">
            <v>3147297797</v>
          </cell>
          <cell r="H697" t="str">
            <v>Tratamiento</v>
          </cell>
        </row>
        <row r="698">
          <cell r="A698">
            <v>1140837632</v>
          </cell>
          <cell r="B698" t="str">
            <v>Yuldor</v>
          </cell>
          <cell r="C698" t="str">
            <v>Baranquilla</v>
          </cell>
          <cell r="D698" t="str">
            <v>Calle 61 #9-61</v>
          </cell>
          <cell r="E698" t="str">
            <v xml:space="preserve">A la cola del patio de Salomón </v>
          </cell>
          <cell r="F698" t="str">
            <v>3001734532</v>
          </cell>
          <cell r="G698" t="str">
            <v>3004186179</v>
          </cell>
          <cell r="H698" t="str">
            <v>Tratamiento</v>
          </cell>
        </row>
        <row r="699">
          <cell r="A699">
            <v>1143224673</v>
          </cell>
          <cell r="B699" t="str">
            <v xml:space="preserve">Sivirley </v>
          </cell>
          <cell r="C699" t="str">
            <v>Baranquilla</v>
          </cell>
          <cell r="D699" t="str">
            <v>Cr 8b#93-34</v>
          </cell>
          <cell r="E699" t="str">
            <v xml:space="preserve">La misericordia de Dios </v>
          </cell>
          <cell r="F699" t="str">
            <v>3242032383</v>
          </cell>
          <cell r="G699" t="str">
            <v>3012943637</v>
          </cell>
          <cell r="H699" t="str">
            <v>Tratamiento</v>
          </cell>
        </row>
        <row r="700">
          <cell r="A700">
            <v>1143229612</v>
          </cell>
          <cell r="B700" t="str">
            <v xml:space="preserve">OLGA LUCIA </v>
          </cell>
          <cell r="C700" t="str">
            <v>Baranquilla</v>
          </cell>
          <cell r="D700" t="str">
            <v>Cl 88 7C 33</v>
          </cell>
          <cell r="E700" t="str">
            <v xml:space="preserve">Cerca la tienda Brisas del Norte </v>
          </cell>
          <cell r="F700" t="str">
            <v>3239198265</v>
          </cell>
          <cell r="G700" t="str">
            <v>3005942812</v>
          </cell>
          <cell r="H700" t="str">
            <v>Tratamiento</v>
          </cell>
        </row>
        <row r="701">
          <cell r="A701">
            <v>1143243433</v>
          </cell>
          <cell r="B701" t="str">
            <v xml:space="preserve">Efigencia </v>
          </cell>
          <cell r="C701" t="str">
            <v>Baranquilla</v>
          </cell>
          <cell r="D701" t="str">
            <v>Kra 7b $71-02</v>
          </cell>
          <cell r="E701" t="str">
            <v xml:space="preserve">La tienda de Richard </v>
          </cell>
          <cell r="F701" t="str">
            <v>3225234177</v>
          </cell>
          <cell r="G701" t="str">
            <v>3005448934</v>
          </cell>
          <cell r="H701" t="str">
            <v>Tratamiento</v>
          </cell>
        </row>
        <row r="702">
          <cell r="A702">
            <v>1143246211</v>
          </cell>
          <cell r="B702" t="str">
            <v xml:space="preserve">Kelly johana </v>
          </cell>
          <cell r="C702" t="str">
            <v>Baranquilla</v>
          </cell>
          <cell r="D702" t="str">
            <v>Cra 9a # 80- 39 apto 3</v>
          </cell>
          <cell r="E702" t="str">
            <v xml:space="preserve">Una cuadra después de la cárcel </v>
          </cell>
          <cell r="F702" t="str">
            <v>3012781248</v>
          </cell>
          <cell r="G702" t="str">
            <v/>
          </cell>
          <cell r="H702" t="str">
            <v>Tratamiento</v>
          </cell>
        </row>
        <row r="703">
          <cell r="A703">
            <v>1143247447</v>
          </cell>
          <cell r="B703" t="str">
            <v xml:space="preserve">JUAN CARLOS </v>
          </cell>
          <cell r="C703" t="str">
            <v>Baranquilla</v>
          </cell>
          <cell r="D703" t="str">
            <v>Cl 63A 9K 25 apto</v>
          </cell>
          <cell r="E703" t="str">
            <v>Cerca de tienda la amañadora</v>
          </cell>
          <cell r="F703" t="str">
            <v>3244235227</v>
          </cell>
          <cell r="G703" t="str">
            <v>3153836291</v>
          </cell>
          <cell r="H703" t="str">
            <v>Tratamiento</v>
          </cell>
        </row>
        <row r="704">
          <cell r="A704">
            <v>1143259102</v>
          </cell>
          <cell r="B704" t="str">
            <v xml:space="preserve">CARMEN PATRICIA </v>
          </cell>
          <cell r="C704" t="str">
            <v>Baranquilla</v>
          </cell>
          <cell r="D704" t="str">
            <v xml:space="preserve">KR 9 60 78 apto 2 </v>
          </cell>
          <cell r="E704" t="str">
            <v>Frente a la tienda los recuerdos de Elsa</v>
          </cell>
          <cell r="F704" t="str">
            <v>3023493434</v>
          </cell>
          <cell r="G704" t="str">
            <v>3042004586</v>
          </cell>
          <cell r="H704" t="str">
            <v>Tratamiento</v>
          </cell>
        </row>
        <row r="705">
          <cell r="A705">
            <v>1143830506</v>
          </cell>
          <cell r="B705" t="str">
            <v>Licet</v>
          </cell>
          <cell r="C705" t="str">
            <v>Cali</v>
          </cell>
          <cell r="D705" t="str">
            <v>CASA 673 SECTOR FINCAS ALTO LOS CHORROS</v>
          </cell>
          <cell r="E705" t="str">
            <v xml:space="preserve">Cerca a la torre </v>
          </cell>
          <cell r="F705" t="str">
            <v>3113314318</v>
          </cell>
          <cell r="G705" t="str">
            <v>3023948559</v>
          </cell>
          <cell r="H705" t="str">
            <v>Tratamiento</v>
          </cell>
        </row>
        <row r="706">
          <cell r="A706">
            <v>1143831016</v>
          </cell>
          <cell r="B706" t="str">
            <v xml:space="preserve">July Lorena </v>
          </cell>
          <cell r="C706" t="str">
            <v>Cali</v>
          </cell>
          <cell r="D706" t="str">
            <v>Kr 76D OESTE 2 47</v>
          </cell>
          <cell r="E706" t="str">
            <v>Al lado del antiguo SHUT</v>
          </cell>
          <cell r="F706" t="str">
            <v>3205880394</v>
          </cell>
          <cell r="G706" t="str">
            <v>3167920116</v>
          </cell>
          <cell r="H706" t="str">
            <v>Tratamiento</v>
          </cell>
        </row>
        <row r="707">
          <cell r="A707">
            <v>1143841537</v>
          </cell>
          <cell r="B707" t="str">
            <v xml:space="preserve">Luis Antonio </v>
          </cell>
          <cell r="C707" t="str">
            <v>Cali</v>
          </cell>
          <cell r="D707" t="str">
            <v>Cll 4b oeste manzana 2 casa10</v>
          </cell>
          <cell r="E707" t="str">
            <v>Cancha las minas   hacia la izquierda. Por una casa que venden helados portón negro. De allí diagonal</v>
          </cell>
          <cell r="F707" t="str">
            <v>3113088271</v>
          </cell>
          <cell r="G707" t="str">
            <v>3213071088</v>
          </cell>
          <cell r="H707" t="str">
            <v>Tratamiento</v>
          </cell>
        </row>
        <row r="708">
          <cell r="A708">
            <v>1143845493</v>
          </cell>
          <cell r="B708" t="str">
            <v>Jessica andrea</v>
          </cell>
          <cell r="C708" t="str">
            <v>Cali</v>
          </cell>
          <cell r="D708" t="str">
            <v>CL 4DBIS OESTE 76A 15 APTO 101 ES SEGUNDO PISO</v>
          </cell>
          <cell r="E708" t="str">
            <v xml:space="preserve">Primer piso es  los pandebonos de wilmer </v>
          </cell>
          <cell r="F708" t="str">
            <v>3127409835</v>
          </cell>
          <cell r="G708" t="str">
            <v xml:space="preserve">No dan información </v>
          </cell>
          <cell r="H708" t="str">
            <v>Tratamiento</v>
          </cell>
        </row>
        <row r="709">
          <cell r="A709">
            <v>1144024517</v>
          </cell>
          <cell r="B709" t="str">
            <v>Fabio nelson</v>
          </cell>
          <cell r="C709" t="str">
            <v>Cali</v>
          </cell>
          <cell r="D709" t="str">
            <v>CL 4D  OESTE 70A 19</v>
          </cell>
          <cell r="E709" t="str">
            <v xml:space="preserve">Llegar a la tienda de doña Sandra y en la primera subida al frente </v>
          </cell>
          <cell r="F709" t="str">
            <v>3165405632</v>
          </cell>
          <cell r="G709" t="str">
            <v>0</v>
          </cell>
          <cell r="H709" t="str">
            <v>Tratamiento</v>
          </cell>
        </row>
        <row r="710">
          <cell r="A710">
            <v>1144030139</v>
          </cell>
          <cell r="B710" t="str">
            <v>Isabel Cristina</v>
          </cell>
          <cell r="C710" t="str">
            <v>Cali</v>
          </cell>
          <cell r="D710" t="str">
            <v xml:space="preserve">No dan información </v>
          </cell>
          <cell r="E710" t="str">
            <v/>
          </cell>
          <cell r="F710" t="str">
            <v>3107554069</v>
          </cell>
          <cell r="G710" t="str">
            <v xml:space="preserve">No dan información </v>
          </cell>
          <cell r="H710" t="str">
            <v>Tratamiento</v>
          </cell>
        </row>
        <row r="711">
          <cell r="A711">
            <v>1144031654</v>
          </cell>
          <cell r="B711" t="str">
            <v xml:space="preserve">WILLIAM ESTEBAN </v>
          </cell>
          <cell r="C711" t="str">
            <v>Cali</v>
          </cell>
          <cell r="D711" t="str">
            <v>CALLE 4D OESTE 76-05</v>
          </cell>
          <cell r="E711" t="str">
            <v xml:space="preserve">Por el control de los jeeps de la cruz </v>
          </cell>
          <cell r="F711" t="str">
            <v>3161802452</v>
          </cell>
          <cell r="G711" t="str">
            <v>3122122356</v>
          </cell>
          <cell r="H711" t="str">
            <v>Tratamiento</v>
          </cell>
        </row>
        <row r="712">
          <cell r="A712">
            <v>1144034037</v>
          </cell>
          <cell r="B712" t="str">
            <v xml:space="preserve">Yesica </v>
          </cell>
          <cell r="C712" t="str">
            <v>Cali</v>
          </cell>
          <cell r="D712" t="str">
            <v>Cr 74 4b 45</v>
          </cell>
          <cell r="E712" t="str">
            <v>Escuela las minas  por la Rampla hacia arriba</v>
          </cell>
          <cell r="F712" t="str">
            <v>3174535250</v>
          </cell>
          <cell r="G712" t="str">
            <v>3145680921</v>
          </cell>
          <cell r="H712" t="str">
            <v>Tratamiento</v>
          </cell>
        </row>
        <row r="713">
          <cell r="A713">
            <v>1144035169</v>
          </cell>
          <cell r="B713" t="str">
            <v>NANCY</v>
          </cell>
          <cell r="C713" t="str">
            <v>Cali</v>
          </cell>
          <cell r="D713" t="str">
            <v>CALLE 4D OESTE 76A-28</v>
          </cell>
          <cell r="E713" t="str">
            <v xml:space="preserve">Vía La Cruz por el control de los jeeps </v>
          </cell>
          <cell r="F713" t="str">
            <v>3126692495</v>
          </cell>
          <cell r="G713" t="str">
            <v>3126692495</v>
          </cell>
          <cell r="H713" t="str">
            <v>Tratamiento</v>
          </cell>
        </row>
        <row r="714">
          <cell r="A714">
            <v>1144037995</v>
          </cell>
          <cell r="B714" t="str">
            <v>LUIS MIGUEL</v>
          </cell>
          <cell r="C714" t="str">
            <v>Cali</v>
          </cell>
          <cell r="D714" t="str">
            <v>Cra 76B OESTE #45 CASA 663 SECTOR OASIS</v>
          </cell>
          <cell r="E714" t="str">
            <v>Diagonal a la vecina Rusbita</v>
          </cell>
          <cell r="F714" t="str">
            <v>3138051160</v>
          </cell>
          <cell r="G714" t="str">
            <v xml:space="preserve">No dan información </v>
          </cell>
          <cell r="H714" t="str">
            <v>Tratamiento</v>
          </cell>
        </row>
        <row r="715">
          <cell r="A715">
            <v>1144038638</v>
          </cell>
          <cell r="B715" t="str">
            <v xml:space="preserve">WALTER </v>
          </cell>
          <cell r="C715" t="str">
            <v>Cali</v>
          </cell>
          <cell r="D715" t="str">
            <v>CASA 17 MANZANA 4A SECTOR OASIS</v>
          </cell>
          <cell r="E715" t="str">
            <v xml:space="preserve">Jardín de cesoles sigue el camino por el callejón la primera  bajada de escaleras la tercera casa </v>
          </cell>
          <cell r="F715" t="str">
            <v>3162226216</v>
          </cell>
          <cell r="G715" t="str">
            <v>3127376912</v>
          </cell>
          <cell r="H715" t="str">
            <v>Tratamiento</v>
          </cell>
        </row>
        <row r="716">
          <cell r="A716">
            <v>1144038733</v>
          </cell>
          <cell r="B716" t="str">
            <v>DAVID FRANCISCO</v>
          </cell>
          <cell r="C716" t="str">
            <v>Cali</v>
          </cell>
          <cell r="D716" t="str">
            <v>CALLE 4E OESTE 76-22</v>
          </cell>
          <cell r="E716" t="str">
            <v>Por el control de los jeeps de la cruz</v>
          </cell>
          <cell r="F716" t="str">
            <v>3135736226</v>
          </cell>
          <cell r="G716" t="str">
            <v>3128453312</v>
          </cell>
          <cell r="H716" t="str">
            <v>Tratamiento</v>
          </cell>
        </row>
        <row r="717">
          <cell r="A717">
            <v>1144043798</v>
          </cell>
          <cell r="B717" t="str">
            <v xml:space="preserve">LUZ DEI </v>
          </cell>
          <cell r="C717" t="str">
            <v>Cali</v>
          </cell>
          <cell r="D717" t="str">
            <v>CASA 702 CALLEJON EL ZAPOTE BARRIO LA ESPERANZA</v>
          </cell>
          <cell r="E717" t="str">
            <v>ALTO LA CRUZ, POR LA TORRE</v>
          </cell>
          <cell r="F717" t="str">
            <v>3163809851</v>
          </cell>
          <cell r="G717" t="str">
            <v>3238382578</v>
          </cell>
          <cell r="H717" t="str">
            <v>Tratamiento</v>
          </cell>
        </row>
        <row r="718">
          <cell r="A718">
            <v>1144045256</v>
          </cell>
          <cell r="B718" t="str">
            <v>Leidy viviana</v>
          </cell>
          <cell r="C718" t="str">
            <v>Cali</v>
          </cell>
          <cell r="D718" t="str">
            <v>Cr 74g oeste 4b 32</v>
          </cell>
          <cell r="E718" t="str">
            <v>Comedor las minas hacia arriba por la rampla</v>
          </cell>
          <cell r="F718" t="str">
            <v>3164258746</v>
          </cell>
          <cell r="G718" t="str">
            <v>3184588742</v>
          </cell>
          <cell r="H718" t="str">
            <v>Tratamiento</v>
          </cell>
        </row>
        <row r="719">
          <cell r="A719">
            <v>1144046314</v>
          </cell>
          <cell r="B719" t="str">
            <v>Angie Lorena</v>
          </cell>
          <cell r="C719" t="str">
            <v>Cali</v>
          </cell>
          <cell r="D719" t="str">
            <v xml:space="preserve">CL 3 C OESTE 76C 31
</v>
          </cell>
          <cell r="E719" t="str">
            <v>Al lado Tienda del mono</v>
          </cell>
          <cell r="F719" t="str">
            <v>3148086855</v>
          </cell>
          <cell r="G719" t="str">
            <v>3176258055</v>
          </cell>
          <cell r="H719" t="str">
            <v>Tratamiento</v>
          </cell>
        </row>
        <row r="720">
          <cell r="A720">
            <v>1144046952</v>
          </cell>
          <cell r="B720" t="str">
            <v>Helda Libe</v>
          </cell>
          <cell r="C720" t="str">
            <v>Cali</v>
          </cell>
          <cell r="D720" t="str">
            <v xml:space="preserve">No dan información </v>
          </cell>
          <cell r="E720" t="str">
            <v>Al frente de la cancha</v>
          </cell>
          <cell r="F720" t="str">
            <v>3127869603</v>
          </cell>
          <cell r="G720" t="str">
            <v xml:space="preserve">No dan información </v>
          </cell>
          <cell r="H720" t="str">
            <v>Tratamiento</v>
          </cell>
        </row>
        <row r="721">
          <cell r="A721">
            <v>1144051270</v>
          </cell>
          <cell r="B721" t="str">
            <v xml:space="preserve">Yesica Andrea </v>
          </cell>
          <cell r="C721" t="str">
            <v>Cali</v>
          </cell>
          <cell r="D721" t="str">
            <v>CL 4A oeste 74G22</v>
          </cell>
          <cell r="E721" t="str">
            <v/>
          </cell>
          <cell r="F721" t="str">
            <v>3204811110</v>
          </cell>
          <cell r="G721" t="str">
            <v>3217752248</v>
          </cell>
          <cell r="H721" t="str">
            <v>Tratamiento</v>
          </cell>
        </row>
        <row r="722">
          <cell r="A722">
            <v>1144059852</v>
          </cell>
          <cell r="B722" t="str">
            <v>Yohana Andrea</v>
          </cell>
          <cell r="C722" t="str">
            <v>Cali</v>
          </cell>
          <cell r="D722" t="str">
            <v>KR 77C oeste 4C 29</v>
          </cell>
          <cell r="E722" t="str">
            <v>Al lado de la Tienda Don Bolívar</v>
          </cell>
          <cell r="F722" t="str">
            <v>3128900716</v>
          </cell>
          <cell r="G722" t="str">
            <v>3113903410</v>
          </cell>
          <cell r="H722" t="str">
            <v>Tratamiento</v>
          </cell>
        </row>
        <row r="723">
          <cell r="A723">
            <v>1144065963</v>
          </cell>
          <cell r="B723" t="str">
            <v>José arbey</v>
          </cell>
          <cell r="C723" t="str">
            <v>Cali</v>
          </cell>
          <cell r="D723" t="str">
            <v>Cr 74 G 4 17</v>
          </cell>
          <cell r="E723" t="str">
            <v/>
          </cell>
          <cell r="F723" t="str">
            <v>3135587781</v>
          </cell>
          <cell r="G723" t="str">
            <v xml:space="preserve">No dan información </v>
          </cell>
          <cell r="H723" t="str">
            <v>Tratamiento</v>
          </cell>
        </row>
        <row r="724">
          <cell r="A724">
            <v>1144071056</v>
          </cell>
          <cell r="B724" t="str">
            <v>Leydi Tatiana</v>
          </cell>
          <cell r="C724" t="str">
            <v>Cali</v>
          </cell>
          <cell r="D724" t="str">
            <v>Cr 74G oeste 4b 44</v>
          </cell>
          <cell r="E724" t="str">
            <v/>
          </cell>
          <cell r="F724" t="str">
            <v>3117830696</v>
          </cell>
          <cell r="G724" t="str">
            <v>3147561527</v>
          </cell>
          <cell r="H724" t="str">
            <v>Tratamiento</v>
          </cell>
        </row>
        <row r="725">
          <cell r="A725">
            <v>1144082561</v>
          </cell>
          <cell r="B725" t="str">
            <v>Diana Marcela</v>
          </cell>
          <cell r="C725" t="str">
            <v>Cali</v>
          </cell>
          <cell r="D725" t="str">
            <v>Kr 76 C OESTE 3 BIS 26</v>
          </cell>
          <cell r="E725" t="str">
            <v>Dg Ferretería Mery 5ta casa</v>
          </cell>
          <cell r="F725" t="str">
            <v>3173901749</v>
          </cell>
          <cell r="G725" t="str">
            <v>3126324695</v>
          </cell>
          <cell r="H725" t="str">
            <v>Tratamiento</v>
          </cell>
        </row>
        <row r="726">
          <cell r="A726">
            <v>1144094813</v>
          </cell>
          <cell r="B726" t="str">
            <v xml:space="preserve">KEYLIN ELIANA </v>
          </cell>
          <cell r="C726" t="str">
            <v>Cali</v>
          </cell>
          <cell r="D726" t="str">
            <v>CRA  76B OESTE 4C-56</v>
          </cell>
          <cell r="E726" t="str">
            <v>Cerca a la tienda de doña marina</v>
          </cell>
          <cell r="F726" t="str">
            <v>3182612448</v>
          </cell>
          <cell r="G726" t="str">
            <v>3226622302</v>
          </cell>
          <cell r="H726" t="str">
            <v>Tratamiento</v>
          </cell>
        </row>
        <row r="727">
          <cell r="A727">
            <v>1144101026</v>
          </cell>
          <cell r="B727" t="str">
            <v xml:space="preserve">Estefania </v>
          </cell>
          <cell r="C727" t="str">
            <v>Cali</v>
          </cell>
          <cell r="D727" t="str">
            <v>CL 4D OESTE 70A 11</v>
          </cell>
          <cell r="E727" t="str">
            <v>A partir de la tienda de don José derecho y finalizando las gradas la última casa</v>
          </cell>
          <cell r="F727" t="str">
            <v>3113816263</v>
          </cell>
          <cell r="G727" t="str">
            <v xml:space="preserve">No dan información </v>
          </cell>
          <cell r="H727" t="str">
            <v>Tratamiento</v>
          </cell>
        </row>
        <row r="728">
          <cell r="A728">
            <v>1144160399</v>
          </cell>
          <cell r="B728" t="str">
            <v xml:space="preserve">Cindy Katherine </v>
          </cell>
          <cell r="C728" t="str">
            <v>Cali</v>
          </cell>
          <cell r="D728" t="str">
            <v>Cl 4 b oeste 73 d bis 6 08</v>
          </cell>
          <cell r="E728" t="str">
            <v>Comedor las minas  por la carretera   a una cuadra</v>
          </cell>
          <cell r="F728" t="str">
            <v>3174202310</v>
          </cell>
          <cell r="G728" t="str">
            <v>3025944546</v>
          </cell>
          <cell r="H728" t="str">
            <v>Tratamiento</v>
          </cell>
        </row>
        <row r="729">
          <cell r="A729">
            <v>1144201470</v>
          </cell>
          <cell r="B729" t="str">
            <v>Paula Andrea</v>
          </cell>
          <cell r="C729" t="str">
            <v>Medellin</v>
          </cell>
          <cell r="D729" t="str">
            <v>Bbuuu</v>
          </cell>
          <cell r="E729" t="str">
            <v>Por la torre</v>
          </cell>
          <cell r="F729" t="str">
            <v>3015532555</v>
          </cell>
          <cell r="G729" t="str">
            <v>3003508633</v>
          </cell>
          <cell r="H729" t="str">
            <v>Tratamiento</v>
          </cell>
        </row>
        <row r="730">
          <cell r="A730">
            <v>1146434251</v>
          </cell>
          <cell r="B730" t="str">
            <v xml:space="preserve">Luz Amparo </v>
          </cell>
          <cell r="C730" t="str">
            <v>Medellin</v>
          </cell>
          <cell r="D730" t="str">
            <v>Carrera 17.ª #56h 08 int 1318</v>
          </cell>
          <cell r="E730" t="str">
            <v xml:space="preserve">Por las escaleras del plan a la izquierda y luego a la derecha </v>
          </cell>
          <cell r="F730" t="str">
            <v>3046187630</v>
          </cell>
          <cell r="G730" t="str">
            <v xml:space="preserve">No dan información </v>
          </cell>
          <cell r="H730" t="str">
            <v>Tratamiento</v>
          </cell>
        </row>
        <row r="731">
          <cell r="A731">
            <v>1147950412</v>
          </cell>
          <cell r="B731" t="str">
            <v xml:space="preserve">Yanfary </v>
          </cell>
          <cell r="C731" t="str">
            <v>Medellin</v>
          </cell>
          <cell r="D731" t="str">
            <v>Carrera 18#56Ec -36</v>
          </cell>
          <cell r="E731" t="str">
            <v>Llegamos al parquecito de la uva y se baja por la calle a media cuadra</v>
          </cell>
          <cell r="F731" t="str">
            <v>3043836420</v>
          </cell>
          <cell r="G731" t="str">
            <v xml:space="preserve">No dan información </v>
          </cell>
          <cell r="H731" t="str">
            <v>Tratamiento</v>
          </cell>
        </row>
        <row r="732">
          <cell r="A732">
            <v>1147957415</v>
          </cell>
          <cell r="B732" t="str">
            <v>Sindy Yomara</v>
          </cell>
          <cell r="C732" t="str">
            <v>Medellin</v>
          </cell>
          <cell r="D732" t="str">
            <v>Cl 56EE 17-90 int.112</v>
          </cell>
          <cell r="E732" t="str">
            <v>Hasta el cuadradero de lo colectivos costravi</v>
          </cell>
          <cell r="F732" t="str">
            <v>3127686916</v>
          </cell>
          <cell r="G732" t="str">
            <v>3053642789</v>
          </cell>
          <cell r="H732" t="str">
            <v>Tratamiento</v>
          </cell>
        </row>
        <row r="733">
          <cell r="A733">
            <v>1149440235</v>
          </cell>
          <cell r="B733" t="str">
            <v>Miryan rosa</v>
          </cell>
          <cell r="C733" t="str">
            <v>Baranquilla</v>
          </cell>
          <cell r="D733" t="str">
            <v>Cll 88 # 7a- 19</v>
          </cell>
          <cell r="E733" t="str">
            <v>Frente de un apartamento de dos pisos</v>
          </cell>
          <cell r="F733" t="str">
            <v>3002522177</v>
          </cell>
          <cell r="G733" t="str">
            <v>3244819667</v>
          </cell>
          <cell r="H733" t="str">
            <v>Tratamiento</v>
          </cell>
        </row>
        <row r="734">
          <cell r="A734">
            <v>1152204057</v>
          </cell>
          <cell r="B734" t="str">
            <v xml:space="preserve">Eber Arley </v>
          </cell>
          <cell r="C734" t="str">
            <v>Medellin</v>
          </cell>
          <cell r="D734" t="str">
            <v>Carrera 5 Este #54B-83</v>
          </cell>
          <cell r="E734" t="str">
            <v>Subiendo por la iglesia</v>
          </cell>
          <cell r="F734" t="str">
            <v>3137669335</v>
          </cell>
          <cell r="G734" t="str">
            <v>3137669335</v>
          </cell>
          <cell r="H734" t="str">
            <v>Tratamiento</v>
          </cell>
        </row>
        <row r="735">
          <cell r="A735">
            <v>1192898936</v>
          </cell>
          <cell r="B735" t="str">
            <v>Rosalba</v>
          </cell>
          <cell r="C735" t="str">
            <v>Medellin</v>
          </cell>
          <cell r="D735" t="str">
            <v>Cerca de la tienda Camila</v>
          </cell>
          <cell r="E735" t="str">
            <v/>
          </cell>
          <cell r="F735" t="str">
            <v>3113234103</v>
          </cell>
          <cell r="G735" t="str">
            <v>3128935638</v>
          </cell>
          <cell r="H735" t="str">
            <v>Tratamiento</v>
          </cell>
        </row>
        <row r="736">
          <cell r="A736">
            <v>1193327320</v>
          </cell>
          <cell r="B736" t="str">
            <v xml:space="preserve">ROCIO DEL CARMEN </v>
          </cell>
          <cell r="C736" t="str">
            <v>Baranquilla</v>
          </cell>
          <cell r="D736" t="str">
            <v>Calle 73 7B 07</v>
          </cell>
          <cell r="E736" t="str">
            <v xml:space="preserve">Casa después de la esquina  casa Blanca </v>
          </cell>
          <cell r="F736" t="str">
            <v>3007053420</v>
          </cell>
          <cell r="G736" t="str">
            <v>3023460942</v>
          </cell>
          <cell r="H736" t="str">
            <v>Tratamiento</v>
          </cell>
        </row>
        <row r="737">
          <cell r="A737">
            <v>1193371842</v>
          </cell>
          <cell r="B737" t="str">
            <v>YENIFER PAOLA</v>
          </cell>
          <cell r="C737" t="str">
            <v>Baranquilla</v>
          </cell>
          <cell r="D737" t="str">
            <v>KR 8A 73 32</v>
          </cell>
          <cell r="E737" t="str">
            <v>Orilla del arroyo y atrás de Cai de Policía</v>
          </cell>
          <cell r="F737" t="str">
            <v>3024501053</v>
          </cell>
          <cell r="G737" t="str">
            <v>3117625266</v>
          </cell>
          <cell r="H737" t="str">
            <v>Tratamiento</v>
          </cell>
        </row>
        <row r="738">
          <cell r="A738">
            <v>1214733443</v>
          </cell>
          <cell r="B738" t="str">
            <v>Aleidy Andrea</v>
          </cell>
          <cell r="C738" t="str">
            <v>Medellin</v>
          </cell>
          <cell r="D738" t="str">
            <v>De la panadería en la parte izquierda bajan por las escalas en el primer callejon</v>
          </cell>
          <cell r="E738" t="str">
            <v/>
          </cell>
          <cell r="F738" t="str">
            <v>3166359401</v>
          </cell>
          <cell r="G738" t="str">
            <v>3245908559</v>
          </cell>
          <cell r="H738" t="str">
            <v>Tratamiento</v>
          </cell>
        </row>
        <row r="739">
          <cell r="A739">
            <v>12207323</v>
          </cell>
          <cell r="B739" t="str">
            <v>JORGE ISMAEL</v>
          </cell>
          <cell r="C739" t="str">
            <v>Cali</v>
          </cell>
          <cell r="D739" t="str">
            <v>CR 76C OESTE 4C BIS 24</v>
          </cell>
          <cell r="E739" t="str">
            <v>Subir por el callejón de la panadería y la tienda del mono subir todas las gradas hasta la segunda casa puerta blanca</v>
          </cell>
          <cell r="F739" t="str">
            <v>3172891544</v>
          </cell>
          <cell r="G739" t="str">
            <v>3052575841</v>
          </cell>
          <cell r="H739" t="str">
            <v>Tratamiento</v>
          </cell>
        </row>
        <row r="740">
          <cell r="A740">
            <v>12534970</v>
          </cell>
          <cell r="B740" t="str">
            <v xml:space="preserve">José María </v>
          </cell>
          <cell r="C740" t="str">
            <v>Baranquilla</v>
          </cell>
          <cell r="D740" t="str">
            <v>Kra 8b #60b-141</v>
          </cell>
          <cell r="E740" t="str">
            <v>A 200 mts de carnicería viky</v>
          </cell>
          <cell r="F740" t="str">
            <v>3103454151</v>
          </cell>
          <cell r="G740" t="str">
            <v>3244687312</v>
          </cell>
          <cell r="H740" t="str">
            <v>Tratamiento</v>
          </cell>
        </row>
        <row r="741">
          <cell r="A741">
            <v>12549369</v>
          </cell>
          <cell r="B741" t="str">
            <v xml:space="preserve">Francisco </v>
          </cell>
          <cell r="C741" t="str">
            <v>Baranquilla</v>
          </cell>
          <cell r="D741" t="str">
            <v>Cll 75 # 7c- 44</v>
          </cell>
          <cell r="E741" t="str">
            <v xml:space="preserve">Casa en construcción </v>
          </cell>
          <cell r="F741" t="str">
            <v>3002625465</v>
          </cell>
          <cell r="G741" t="str">
            <v>3043356756</v>
          </cell>
          <cell r="H741" t="str">
            <v>Tratamiento</v>
          </cell>
        </row>
        <row r="742">
          <cell r="A742">
            <v>12798984</v>
          </cell>
          <cell r="B742" t="str">
            <v>Norma</v>
          </cell>
          <cell r="C742" t="str">
            <v>Cali</v>
          </cell>
          <cell r="D742" t="str">
            <v>MANZANA 1 CASA 15 SECTOR LAS MINAS</v>
          </cell>
          <cell r="E742" t="str">
            <v>Escuela de las minas, el comedor el parque de la esperanza</v>
          </cell>
          <cell r="F742" t="str">
            <v>3027388168</v>
          </cell>
          <cell r="G742" t="str">
            <v>3128427002</v>
          </cell>
          <cell r="H742" t="str">
            <v>Tratamiento</v>
          </cell>
        </row>
        <row r="743">
          <cell r="A743">
            <v>13665069</v>
          </cell>
          <cell r="B743" t="str">
            <v xml:space="preserve">Rodulfo </v>
          </cell>
          <cell r="C743" t="str">
            <v>Baranquilla</v>
          </cell>
          <cell r="D743" t="str">
            <v>Cr8gcalle93-62</v>
          </cell>
          <cell r="E743" t="str">
            <v>Frente a tiendas d1</v>
          </cell>
          <cell r="F743" t="str">
            <v>3008460729</v>
          </cell>
          <cell r="G743" t="str">
            <v>3013614530</v>
          </cell>
          <cell r="H743" t="str">
            <v>Tratamiento</v>
          </cell>
        </row>
        <row r="744">
          <cell r="A744">
            <v>1381356</v>
          </cell>
          <cell r="B744" t="str">
            <v>Mario de jesus</v>
          </cell>
          <cell r="C744" t="str">
            <v>Cali</v>
          </cell>
          <cell r="D744" t="str">
            <v>Cra 74g. 4g 45</v>
          </cell>
          <cell r="E744" t="str">
            <v xml:space="preserve">Del comedor comunitario las minas.  Por la Rampla hacia arriba </v>
          </cell>
          <cell r="F744" t="str">
            <v>3207156384</v>
          </cell>
          <cell r="G744" t="str">
            <v>3127895601</v>
          </cell>
          <cell r="H744" t="str">
            <v>Tratamiento</v>
          </cell>
        </row>
        <row r="745">
          <cell r="A745">
            <v>14446046</v>
          </cell>
          <cell r="B745" t="str">
            <v xml:space="preserve">Guillermo </v>
          </cell>
          <cell r="C745" t="str">
            <v>Cali</v>
          </cell>
          <cell r="D745" t="str">
            <v>Cll 4 b oeste 73d bis</v>
          </cell>
          <cell r="E745" t="str">
            <v>Comedor de las minas.  Por la carretera</v>
          </cell>
          <cell r="F745" t="str">
            <v>3155617786</v>
          </cell>
          <cell r="G745" t="str">
            <v>3213288777</v>
          </cell>
          <cell r="H745" t="str">
            <v>Tratamiento</v>
          </cell>
        </row>
        <row r="746">
          <cell r="A746">
            <v>14468000</v>
          </cell>
          <cell r="B746" t="str">
            <v xml:space="preserve">MIGUEL ÁNGEL </v>
          </cell>
          <cell r="C746" t="str">
            <v>Cali</v>
          </cell>
          <cell r="D746" t="str">
            <v>MANZANA 4 CASA 153 ALTO LA CRUZ LOS CHORROS</v>
          </cell>
          <cell r="E746" t="str">
            <v>Frente de la iglesia católica hay unas gradas y bajar hasta la penúltima casa</v>
          </cell>
          <cell r="F746" t="str">
            <v>3128452924</v>
          </cell>
          <cell r="G746" t="str">
            <v>3182985681</v>
          </cell>
          <cell r="H746" t="str">
            <v>Tratamiento</v>
          </cell>
        </row>
        <row r="747">
          <cell r="A747">
            <v>14469075</v>
          </cell>
          <cell r="B747" t="str">
            <v>OMAR ANDRES</v>
          </cell>
          <cell r="C747" t="str">
            <v>Cali</v>
          </cell>
          <cell r="D747" t="str">
            <v>CL 4D BIS OESTE 71A 21</v>
          </cell>
          <cell r="E747" t="str">
            <v>Al frente de la iglesia católica hay una bajada se voltea a mano derecha pasando un muro de piedra la primera casa</v>
          </cell>
          <cell r="F747" t="str">
            <v>3127816706</v>
          </cell>
          <cell r="G747" t="str">
            <v>3024241383</v>
          </cell>
          <cell r="H747" t="str">
            <v>Tratamiento</v>
          </cell>
        </row>
        <row r="748">
          <cell r="A748">
            <v>15609707</v>
          </cell>
          <cell r="B748" t="str">
            <v xml:space="preserve">Yuleydy suhey </v>
          </cell>
          <cell r="C748" t="str">
            <v>Cali</v>
          </cell>
          <cell r="D748" t="str">
            <v>Cl 4b oeste 73d bis 81</v>
          </cell>
          <cell r="E748" t="str">
            <v>Escuela de las minas</v>
          </cell>
          <cell r="F748" t="str">
            <v>3117221766</v>
          </cell>
          <cell r="G748" t="str">
            <v>3182901687</v>
          </cell>
          <cell r="H748" t="str">
            <v>Tratamiento</v>
          </cell>
        </row>
        <row r="749">
          <cell r="A749">
            <v>1586059</v>
          </cell>
          <cell r="B749" t="str">
            <v>Omar</v>
          </cell>
          <cell r="C749" t="str">
            <v>Cali</v>
          </cell>
          <cell r="D749" t="str">
            <v>CL 4 oeste 4dbis 102</v>
          </cell>
          <cell r="E749" t="str">
            <v/>
          </cell>
          <cell r="F749" t="str">
            <v>3126268248</v>
          </cell>
          <cell r="G749" t="str">
            <v xml:space="preserve">No dan información </v>
          </cell>
          <cell r="H749" t="str">
            <v>Tratamiento</v>
          </cell>
        </row>
        <row r="750">
          <cell r="A750">
            <v>15901804</v>
          </cell>
          <cell r="B750" t="str">
            <v>Gilberto antonio</v>
          </cell>
          <cell r="C750" t="str">
            <v>Cali</v>
          </cell>
          <cell r="D750" t="str">
            <v>CL 4D OESTE 76A-11</v>
          </cell>
          <cell r="E750" t="str">
            <v>Ninguna</v>
          </cell>
          <cell r="F750" t="str">
            <v>3104206816</v>
          </cell>
          <cell r="G750" t="str">
            <v>3206362451</v>
          </cell>
          <cell r="H750" t="str">
            <v>Tratamiento</v>
          </cell>
        </row>
        <row r="751">
          <cell r="A751">
            <v>15906342</v>
          </cell>
          <cell r="B751" t="str">
            <v xml:space="preserve">Heli </v>
          </cell>
          <cell r="C751" t="str">
            <v>Cali</v>
          </cell>
          <cell r="D751" t="str">
            <v>Cr 74g oeste 4b 41</v>
          </cell>
          <cell r="E751" t="str">
            <v>La escuelita las minas. Hacia Riva   alfrente una casa prefabricada sin techo</v>
          </cell>
          <cell r="F751" t="str">
            <v>3125205250</v>
          </cell>
          <cell r="G751" t="str">
            <v xml:space="preserve">No dan información </v>
          </cell>
          <cell r="H751" t="str">
            <v>Tratamiento</v>
          </cell>
        </row>
        <row r="752">
          <cell r="A752">
            <v>16591848</v>
          </cell>
          <cell r="B752" t="str">
            <v>HÉCTOR FABIO</v>
          </cell>
          <cell r="C752" t="str">
            <v>Cali</v>
          </cell>
          <cell r="D752" t="str">
            <v>CR 76B OESTE 4C 57</v>
          </cell>
          <cell r="E752" t="str">
            <v>A 8 casas de la tienda doña marina</v>
          </cell>
          <cell r="F752" t="str">
            <v>3133943867</v>
          </cell>
          <cell r="G752" t="str">
            <v>3228933778</v>
          </cell>
          <cell r="H752" t="str">
            <v>Tratamiento</v>
          </cell>
        </row>
        <row r="753">
          <cell r="A753">
            <v>16778426</v>
          </cell>
          <cell r="B753" t="str">
            <v>MARCOS JAVIER P</v>
          </cell>
          <cell r="C753" t="str">
            <v>Cali</v>
          </cell>
          <cell r="D753" t="str">
            <v>KR 72 OESTE 3A-104</v>
          </cell>
          <cell r="E753" t="str">
            <v xml:space="preserve">Sector Las Minas, por la gallera </v>
          </cell>
          <cell r="F753" t="str">
            <v>3206865948</v>
          </cell>
          <cell r="G753" t="str">
            <v>3112722342</v>
          </cell>
          <cell r="H753" t="str">
            <v>Tratamiento</v>
          </cell>
        </row>
        <row r="754">
          <cell r="A754">
            <v>16781675</v>
          </cell>
          <cell r="B754" t="str">
            <v>JOSÉ WILSON</v>
          </cell>
          <cell r="C754" t="str">
            <v>Cali</v>
          </cell>
          <cell r="D754" t="str">
            <v>CL 4D BIS OESTE 76 13</v>
          </cell>
          <cell r="E754" t="str">
            <v xml:space="preserve">DETRÁS DE LA FUNDACIÓN AMBAU </v>
          </cell>
          <cell r="F754" t="str">
            <v>3172677912</v>
          </cell>
          <cell r="G754" t="str">
            <v>3122613163</v>
          </cell>
          <cell r="H754" t="str">
            <v>Tratamiento</v>
          </cell>
        </row>
        <row r="755">
          <cell r="A755">
            <v>16824095</v>
          </cell>
          <cell r="B755" t="str">
            <v>Eber</v>
          </cell>
          <cell r="C755" t="str">
            <v>Cali</v>
          </cell>
          <cell r="D755" t="str">
            <v>CL 4B oeste 71 25</v>
          </cell>
          <cell r="E755" t="str">
            <v>Más arriba de la cancha de las minas</v>
          </cell>
          <cell r="F755" t="str">
            <v>3146977026</v>
          </cell>
          <cell r="G755" t="str">
            <v xml:space="preserve">No dan información </v>
          </cell>
          <cell r="H755" t="str">
            <v>Tratamiento</v>
          </cell>
        </row>
        <row r="756">
          <cell r="A756">
            <v>16827577</v>
          </cell>
          <cell r="B756" t="str">
            <v xml:space="preserve">Jorge Enrique </v>
          </cell>
          <cell r="C756" t="str">
            <v>Cali</v>
          </cell>
          <cell r="D756" t="str">
            <v>CR  77 4b  67</v>
          </cell>
          <cell r="E756" t="str">
            <v>Comedor comunitario   hacia arriba por. El planchon</v>
          </cell>
          <cell r="F756" t="str">
            <v>3216093665</v>
          </cell>
          <cell r="G756" t="str">
            <v xml:space="preserve">No dan información </v>
          </cell>
          <cell r="H756" t="str">
            <v>Tratamiento</v>
          </cell>
        </row>
        <row r="757">
          <cell r="A757">
            <v>16881076</v>
          </cell>
          <cell r="B757" t="str">
            <v>JOSE MAURO</v>
          </cell>
          <cell r="C757" t="str">
            <v>Cali</v>
          </cell>
          <cell r="D757" t="str">
            <v>CASA 199 MANZANA 2 SECTOR LAS MINAS</v>
          </cell>
          <cell r="E757" t="str">
            <v>ALTOS LOS CHORROS SECTOR LAS MINAS CASA 199</v>
          </cell>
          <cell r="F757" t="str">
            <v>3122902934</v>
          </cell>
          <cell r="G757" t="str">
            <v>3174226341</v>
          </cell>
          <cell r="H757" t="str">
            <v>Tratamiento</v>
          </cell>
        </row>
        <row r="758">
          <cell r="A758">
            <v>16936771</v>
          </cell>
          <cell r="B758" t="str">
            <v>Jhon jaiver</v>
          </cell>
          <cell r="C758" t="str">
            <v>Cali</v>
          </cell>
          <cell r="D758" t="str">
            <v>Cll 4 a oeste 74g 72</v>
          </cell>
          <cell r="E758" t="str">
            <v>Escuela las minas hacia abojo</v>
          </cell>
          <cell r="F758" t="str">
            <v>3137262257</v>
          </cell>
          <cell r="G758" t="str">
            <v>3177121026</v>
          </cell>
          <cell r="H758" t="str">
            <v>Tratamiento</v>
          </cell>
        </row>
        <row r="759">
          <cell r="A759">
            <v>17152604</v>
          </cell>
          <cell r="B759" t="str">
            <v>Luis Alberto</v>
          </cell>
          <cell r="C759" t="str">
            <v>Baranquilla</v>
          </cell>
          <cell r="D759" t="str">
            <v>Calle77#7c-41</v>
          </cell>
          <cell r="E759" t="str">
            <v/>
          </cell>
          <cell r="F759" t="str">
            <v>3233762728</v>
          </cell>
          <cell r="G759" t="str">
            <v>3042107244</v>
          </cell>
          <cell r="H759" t="str">
            <v>Tratamiento</v>
          </cell>
        </row>
        <row r="760">
          <cell r="A760">
            <v>17632722</v>
          </cell>
          <cell r="B760" t="str">
            <v>EDUCARDO</v>
          </cell>
          <cell r="C760" t="str">
            <v>Cali</v>
          </cell>
          <cell r="D760" t="str">
            <v>CALLE 4 E OESTE 76-16</v>
          </cell>
          <cell r="E760" t="str">
            <v>Por el control de los jeeps de la cruz</v>
          </cell>
          <cell r="F760" t="str">
            <v>3114307847</v>
          </cell>
          <cell r="G760" t="str">
            <v xml:space="preserve">No dan información </v>
          </cell>
          <cell r="H760" t="str">
            <v>Tratamiento</v>
          </cell>
        </row>
        <row r="761">
          <cell r="A761">
            <v>17808718</v>
          </cell>
          <cell r="B761" t="str">
            <v xml:space="preserve">Jose Pedro </v>
          </cell>
          <cell r="C761" t="str">
            <v>Baranquilla</v>
          </cell>
          <cell r="D761" t="str">
            <v>Cr6b73c41</v>
          </cell>
          <cell r="E761" t="str">
            <v/>
          </cell>
          <cell r="F761" t="str">
            <v>3045516539</v>
          </cell>
          <cell r="G761" t="str">
            <v>3044184119</v>
          </cell>
          <cell r="H761" t="str">
            <v>Tratamiento</v>
          </cell>
        </row>
        <row r="762">
          <cell r="A762">
            <v>17849804</v>
          </cell>
          <cell r="B762" t="str">
            <v xml:space="preserve">MARTÍN RAFAEL </v>
          </cell>
          <cell r="C762" t="str">
            <v>Baranquilla</v>
          </cell>
          <cell r="D762" t="str">
            <v>CL 77 6E 77</v>
          </cell>
          <cell r="E762" t="str">
            <v xml:space="preserve">Cerca de tío Cochito </v>
          </cell>
          <cell r="F762" t="str">
            <v>3107451363</v>
          </cell>
          <cell r="G762" t="str">
            <v>3146551197</v>
          </cell>
          <cell r="H762" t="str">
            <v>Tratamiento</v>
          </cell>
        </row>
        <row r="763">
          <cell r="A763">
            <v>18932393</v>
          </cell>
          <cell r="B763" t="str">
            <v>REGINALDO ENRIQUE</v>
          </cell>
          <cell r="C763" t="str">
            <v>Baranquilla</v>
          </cell>
          <cell r="D763" t="str">
            <v>CL 60 8A 96</v>
          </cell>
          <cell r="E763" t="str">
            <v>Casa Salmón</v>
          </cell>
          <cell r="F763" t="str">
            <v>3006463357</v>
          </cell>
          <cell r="G763" t="str">
            <v>3012291826</v>
          </cell>
          <cell r="H763" t="str">
            <v>Tratamiento</v>
          </cell>
        </row>
        <row r="764">
          <cell r="A764">
            <v>19582075</v>
          </cell>
          <cell r="B764" t="str">
            <v xml:space="preserve">Manuel calixto </v>
          </cell>
          <cell r="C764" t="str">
            <v>Baranquilla</v>
          </cell>
          <cell r="D764" t="str">
            <v>Cll 8 apto 2</v>
          </cell>
          <cell r="E764" t="str">
            <v>Al frente del caí san pio</v>
          </cell>
          <cell r="F764" t="str">
            <v/>
          </cell>
          <cell r="G764" t="str">
            <v/>
          </cell>
          <cell r="H764" t="str">
            <v>Tratamiento</v>
          </cell>
        </row>
        <row r="765">
          <cell r="A765">
            <v>21386259</v>
          </cell>
          <cell r="B765" t="str">
            <v>Alba Lucía</v>
          </cell>
          <cell r="C765" t="str">
            <v>Medellin</v>
          </cell>
          <cell r="D765" t="str">
            <v>Cerca a la panadería el faro</v>
          </cell>
          <cell r="E765" t="str">
            <v/>
          </cell>
          <cell r="F765" t="str">
            <v>3246460610</v>
          </cell>
          <cell r="G765" t="str">
            <v>3178125194</v>
          </cell>
          <cell r="H765" t="str">
            <v>Tratamiento</v>
          </cell>
        </row>
        <row r="766">
          <cell r="A766">
            <v>21399690</v>
          </cell>
          <cell r="B766" t="str">
            <v xml:space="preserve">María Adalisve rincón </v>
          </cell>
          <cell r="C766" t="str">
            <v>Medellin</v>
          </cell>
          <cell r="D766" t="str">
            <v>De la esquina de la sequia</v>
          </cell>
          <cell r="E766" t="str">
            <v/>
          </cell>
          <cell r="F766" t="str">
            <v>3108418480</v>
          </cell>
          <cell r="G766" t="str">
            <v>3122688724</v>
          </cell>
          <cell r="H766" t="str">
            <v>Tratamiento</v>
          </cell>
        </row>
        <row r="767">
          <cell r="A767">
            <v>21400273</v>
          </cell>
          <cell r="B767" t="str">
            <v>Maria Viglenisa</v>
          </cell>
          <cell r="C767" t="str">
            <v>Medellin</v>
          </cell>
          <cell r="D767" t="str">
            <v>Carrera 5 este # 54B - 104</v>
          </cell>
          <cell r="E767" t="str">
            <v>Subiendo las escalas de la iglesia la sierra</v>
          </cell>
          <cell r="F767" t="str">
            <v>3127639500</v>
          </cell>
          <cell r="G767" t="str">
            <v>3127639500</v>
          </cell>
          <cell r="H767" t="str">
            <v>Tratamiento</v>
          </cell>
        </row>
        <row r="768">
          <cell r="A768">
            <v>21451506</v>
          </cell>
          <cell r="B768" t="str">
            <v>Gloria de Jesús</v>
          </cell>
          <cell r="C768" t="str">
            <v>Medellin</v>
          </cell>
          <cell r="D768" t="str">
            <v>Carrera 18 C#64B41 int 111</v>
          </cell>
          <cell r="E768" t="str">
            <v>En la y a mano derecha entrada por la virgen</v>
          </cell>
          <cell r="F768" t="str">
            <v>3002553069</v>
          </cell>
          <cell r="G768" t="str">
            <v>3155479225</v>
          </cell>
          <cell r="H768" t="str">
            <v>Tratamiento</v>
          </cell>
        </row>
        <row r="769">
          <cell r="A769">
            <v>21464825</v>
          </cell>
          <cell r="B769" t="str">
            <v>Fabia Margarita</v>
          </cell>
          <cell r="C769" t="str">
            <v>Medellin</v>
          </cell>
          <cell r="D769" t="str">
            <v>Bajando las escaleras de la estación villa sierra</v>
          </cell>
          <cell r="E769" t="str">
            <v/>
          </cell>
          <cell r="F769" t="str">
            <v>3108296825</v>
          </cell>
          <cell r="G769" t="str">
            <v>3207400577</v>
          </cell>
          <cell r="H769" t="str">
            <v>Tratamiento</v>
          </cell>
        </row>
        <row r="770">
          <cell r="A770">
            <v>21467983</v>
          </cell>
          <cell r="B770" t="str">
            <v xml:space="preserve">Gloria Eunice </v>
          </cell>
          <cell r="C770" t="str">
            <v>Medellin</v>
          </cell>
          <cell r="D770" t="str">
            <v>Carrera 4 este#55 H 41int 114</v>
          </cell>
          <cell r="E770" t="str">
            <v>Por la iglesia por la cuadra subiendo todas las escalares</v>
          </cell>
          <cell r="F770" t="str">
            <v>3003382218</v>
          </cell>
          <cell r="G770" t="str">
            <v>3007253176</v>
          </cell>
          <cell r="H770" t="str">
            <v>Tratamiento</v>
          </cell>
        </row>
        <row r="771">
          <cell r="A771">
            <v>21508452</v>
          </cell>
          <cell r="B771" t="str">
            <v xml:space="preserve">María Mercedes </v>
          </cell>
          <cell r="C771" t="str">
            <v>Medellin</v>
          </cell>
          <cell r="D771" t="str">
            <v>Carrera 18A #56 EC 32</v>
          </cell>
          <cell r="E771" t="str">
            <v>Uva sol de oriente</v>
          </cell>
          <cell r="F771" t="str">
            <v>3002828154</v>
          </cell>
          <cell r="G771" t="str">
            <v>3002828154</v>
          </cell>
          <cell r="H771" t="str">
            <v>Tratamiento</v>
          </cell>
        </row>
        <row r="772">
          <cell r="A772">
            <v>21521912</v>
          </cell>
          <cell r="B772" t="str">
            <v>Fany de jesus</v>
          </cell>
          <cell r="C772" t="str">
            <v>Medellin</v>
          </cell>
          <cell r="D772" t="str">
            <v>Carrera 10 este 54B -52</v>
          </cell>
          <cell r="E772" t="str">
            <v>Bajando por la estación de policia</v>
          </cell>
          <cell r="F772" t="str">
            <v>3104309312</v>
          </cell>
          <cell r="G772" t="str">
            <v>3027164930</v>
          </cell>
          <cell r="H772" t="str">
            <v>Tratamiento</v>
          </cell>
        </row>
        <row r="773">
          <cell r="A773">
            <v>21559816</v>
          </cell>
          <cell r="B773" t="str">
            <v>Luz omaira</v>
          </cell>
          <cell r="C773" t="str">
            <v>Medellin</v>
          </cell>
          <cell r="D773" t="str">
            <v>Por la cancha, por la junta de acción comunal subiendo las escaleras</v>
          </cell>
          <cell r="E773" t="str">
            <v/>
          </cell>
          <cell r="F773" t="str">
            <v>3022129878</v>
          </cell>
          <cell r="G773" t="str">
            <v>3012689121</v>
          </cell>
          <cell r="H773" t="str">
            <v>Tratamiento</v>
          </cell>
        </row>
        <row r="774">
          <cell r="A774">
            <v>21573512</v>
          </cell>
          <cell r="B774" t="str">
            <v xml:space="preserve">Marta Lilia </v>
          </cell>
          <cell r="C774" t="str">
            <v>Medellin</v>
          </cell>
          <cell r="D774" t="str">
            <v>Carrera 7 # 55 GA - 115 interior 1417</v>
          </cell>
          <cell r="E774" t="str">
            <v xml:space="preserve">Bajando a mano derecha por la cancha de alto bonito </v>
          </cell>
          <cell r="F774" t="str">
            <v>3002697858</v>
          </cell>
          <cell r="G774" t="str">
            <v>3135369565</v>
          </cell>
          <cell r="H774" t="str">
            <v>Tratamiento</v>
          </cell>
        </row>
        <row r="775">
          <cell r="A775">
            <v>21575791</v>
          </cell>
          <cell r="B775" t="str">
            <v>Luz marina</v>
          </cell>
          <cell r="C775" t="str">
            <v>Medellin</v>
          </cell>
          <cell r="D775" t="str">
            <v>Por la principal de sol de oriente</v>
          </cell>
          <cell r="E775" t="str">
            <v/>
          </cell>
          <cell r="F775" t="str">
            <v>3245021070</v>
          </cell>
          <cell r="G775" t="str">
            <v>No tiene</v>
          </cell>
          <cell r="H775" t="str">
            <v>Tratamiento</v>
          </cell>
        </row>
        <row r="776">
          <cell r="A776">
            <v>21584884</v>
          </cell>
          <cell r="B776" t="str">
            <v>Maria franquelina</v>
          </cell>
          <cell r="C776" t="str">
            <v>Medellin</v>
          </cell>
          <cell r="D776" t="str">
            <v>De la acción comunal de golondrinas hacia arriba casa de puerta verdeqqq</v>
          </cell>
          <cell r="E776" t="str">
            <v/>
          </cell>
          <cell r="F776" t="str">
            <v>604 2924009</v>
          </cell>
          <cell r="G776" t="str">
            <v>3052945310</v>
          </cell>
          <cell r="H776" t="str">
            <v>Tratamiento</v>
          </cell>
        </row>
        <row r="777">
          <cell r="A777">
            <v>21620314</v>
          </cell>
          <cell r="B777" t="str">
            <v>Beatriz Elena</v>
          </cell>
          <cell r="C777" t="str">
            <v>Medellin</v>
          </cell>
          <cell r="D777" t="str">
            <v>CRA 2 # 55CC - 18 int 110</v>
          </cell>
          <cell r="E777" t="str">
            <v>Cerca de la Institución educativa villa turbay</v>
          </cell>
          <cell r="F777" t="str">
            <v>3024565983</v>
          </cell>
          <cell r="G777" t="str">
            <v>3127405875</v>
          </cell>
          <cell r="H777" t="str">
            <v>Tratamiento</v>
          </cell>
        </row>
        <row r="778">
          <cell r="A778">
            <v>21691463</v>
          </cell>
          <cell r="B778" t="str">
            <v xml:space="preserve">Berta oliva </v>
          </cell>
          <cell r="C778" t="str">
            <v>Medellin</v>
          </cell>
          <cell r="D778" t="str">
            <v>Calle 55 GA #5 a-18</v>
          </cell>
          <cell r="E778" t="str">
            <v>Llega al supermercado xiomy, sube por las escaleras en el descanso a la izquierda</v>
          </cell>
          <cell r="F778" t="str">
            <v>3147664054</v>
          </cell>
          <cell r="G778" t="str">
            <v>3145752008</v>
          </cell>
          <cell r="H778" t="str">
            <v>Tratamiento</v>
          </cell>
        </row>
        <row r="779">
          <cell r="A779">
            <v>21693354</v>
          </cell>
          <cell r="B779" t="str">
            <v>Blanca emilia</v>
          </cell>
          <cell r="C779" t="str">
            <v>Medellin</v>
          </cell>
          <cell r="D779" t="str">
            <v>Cr 18 56EC19 int.201</v>
          </cell>
          <cell r="E779" t="str">
            <v>Bajando por la uva</v>
          </cell>
          <cell r="F779" t="str">
            <v>3053550544</v>
          </cell>
          <cell r="G779" t="str">
            <v>6042222618</v>
          </cell>
          <cell r="H779" t="str">
            <v>Tratamiento</v>
          </cell>
        </row>
        <row r="780">
          <cell r="A780">
            <v>21697016</v>
          </cell>
          <cell r="B780" t="str">
            <v>Martha ligia</v>
          </cell>
          <cell r="C780" t="str">
            <v>Medellin</v>
          </cell>
          <cell r="D780" t="str">
            <v>Abajo de la tienda de don Jesus</v>
          </cell>
          <cell r="E780" t="str">
            <v/>
          </cell>
          <cell r="F780" t="str">
            <v>3057074867</v>
          </cell>
          <cell r="G780" t="str">
            <v>3107573949</v>
          </cell>
          <cell r="H780" t="str">
            <v>Tratamiento</v>
          </cell>
        </row>
        <row r="781">
          <cell r="A781">
            <v>21697063</v>
          </cell>
          <cell r="B781" t="str">
            <v>Nancy elena</v>
          </cell>
          <cell r="C781" t="str">
            <v>Medellin</v>
          </cell>
          <cell r="D781" t="str">
            <v>Cerca ala cancha</v>
          </cell>
          <cell r="E781" t="str">
            <v/>
          </cell>
          <cell r="F781" t="str">
            <v>3045812327</v>
          </cell>
          <cell r="G781" t="str">
            <v>3008277219</v>
          </cell>
          <cell r="H781" t="str">
            <v>Tratamiento</v>
          </cell>
        </row>
        <row r="782">
          <cell r="A782">
            <v>21697589</v>
          </cell>
          <cell r="B782" t="str">
            <v>Maria Magnolia</v>
          </cell>
          <cell r="C782" t="str">
            <v>Medellin</v>
          </cell>
          <cell r="D782" t="str">
            <v>Cerca a la cede comunal el pacifico</v>
          </cell>
          <cell r="E782" t="str">
            <v/>
          </cell>
          <cell r="F782" t="str">
            <v>3183967509</v>
          </cell>
          <cell r="G782" t="str">
            <v>3152447854</v>
          </cell>
          <cell r="H782" t="str">
            <v>Tratamiento</v>
          </cell>
        </row>
        <row r="783">
          <cell r="A783">
            <v>21709045</v>
          </cell>
          <cell r="B783" t="str">
            <v>María Dolore</v>
          </cell>
          <cell r="C783" t="str">
            <v>Medellin</v>
          </cell>
          <cell r="D783" t="str">
            <v>Calle 56Ed #18a24</v>
          </cell>
          <cell r="E783" t="str">
            <v xml:space="preserve">Desde la uva derecho hasta el fondo a la derecha </v>
          </cell>
          <cell r="F783" t="str">
            <v>3014362311</v>
          </cell>
          <cell r="G783" t="str">
            <v xml:space="preserve">No dan información </v>
          </cell>
          <cell r="H783" t="str">
            <v>Tratamiento</v>
          </cell>
        </row>
        <row r="784">
          <cell r="A784">
            <v>21744070</v>
          </cell>
          <cell r="B784" t="str">
            <v>María franquelina</v>
          </cell>
          <cell r="C784" t="str">
            <v>Medellin</v>
          </cell>
          <cell r="D784" t="str">
            <v>Por las escalas del autoservicio siomi</v>
          </cell>
          <cell r="E784" t="str">
            <v/>
          </cell>
          <cell r="F784" t="str">
            <v>3207831668</v>
          </cell>
          <cell r="G784" t="str">
            <v>3164403508</v>
          </cell>
          <cell r="H784" t="str">
            <v>Tratamiento</v>
          </cell>
        </row>
        <row r="785">
          <cell r="A785">
            <v>21785236</v>
          </cell>
          <cell r="B785" t="str">
            <v>Maria Doriela</v>
          </cell>
          <cell r="C785" t="str">
            <v>Medellin</v>
          </cell>
          <cell r="D785" t="str">
            <v>Carrera 7A este # 54A - 13 interior 103</v>
          </cell>
          <cell r="E785" t="str">
            <v>Bajando por el divino niño</v>
          </cell>
          <cell r="F785" t="str">
            <v>3011773081</v>
          </cell>
          <cell r="G785" t="str">
            <v>3234066466</v>
          </cell>
          <cell r="H785" t="str">
            <v>Tratamiento</v>
          </cell>
        </row>
        <row r="786">
          <cell r="A786">
            <v>21808751</v>
          </cell>
          <cell r="B786" t="str">
            <v xml:space="preserve">Ana de Jesús </v>
          </cell>
          <cell r="C786" t="str">
            <v>Medellin</v>
          </cell>
          <cell r="D786" t="str">
            <v>Carrera 5A#56AA100</v>
          </cell>
          <cell r="E786" t="str">
            <v xml:space="preserve">Bajando por las Escalas del ecoparque </v>
          </cell>
          <cell r="F786" t="str">
            <v>3114049859</v>
          </cell>
          <cell r="G786" t="str">
            <v>3114049859</v>
          </cell>
          <cell r="H786" t="str">
            <v>Tratamiento</v>
          </cell>
        </row>
        <row r="787">
          <cell r="A787">
            <v>21808821</v>
          </cell>
          <cell r="B787" t="str">
            <v>Laura Rosa</v>
          </cell>
          <cell r="C787" t="str">
            <v>Medellin</v>
          </cell>
          <cell r="D787" t="str">
            <v>Carrera 5A#56AAInt 107</v>
          </cell>
          <cell r="E787" t="str">
            <v>Bajando por las escalas del ecoparque en el puentecito</v>
          </cell>
          <cell r="F787" t="str">
            <v>3226794610</v>
          </cell>
          <cell r="G787" t="str">
            <v>3136765153</v>
          </cell>
          <cell r="H787" t="str">
            <v>Tratamiento</v>
          </cell>
        </row>
        <row r="788">
          <cell r="A788">
            <v>21809439</v>
          </cell>
          <cell r="B788" t="str">
            <v>Martha Alicia</v>
          </cell>
          <cell r="C788" t="str">
            <v>Medellin</v>
          </cell>
          <cell r="D788" t="str">
            <v>Carrera 18A #46 EC-48</v>
          </cell>
          <cell r="E788" t="str">
            <v>Bajando por la uva</v>
          </cell>
          <cell r="F788" t="str">
            <v>3015193264</v>
          </cell>
          <cell r="G788" t="str">
            <v>3015193264</v>
          </cell>
          <cell r="H788" t="str">
            <v>Tratamiento</v>
          </cell>
        </row>
        <row r="789">
          <cell r="A789">
            <v>21812687</v>
          </cell>
          <cell r="B789" t="str">
            <v>Ruperto eliecer</v>
          </cell>
          <cell r="C789" t="str">
            <v>Medellin</v>
          </cell>
          <cell r="D789" t="str">
            <v>Cerca al cuadradero d elos colectivos de cootrasmallat</v>
          </cell>
          <cell r="E789" t="str">
            <v/>
          </cell>
          <cell r="F789" t="str">
            <v>3004009374</v>
          </cell>
          <cell r="G789" t="str">
            <v>3205929308</v>
          </cell>
          <cell r="H789" t="str">
            <v>Tratamiento</v>
          </cell>
        </row>
        <row r="790">
          <cell r="A790">
            <v>21816448</v>
          </cell>
          <cell r="B790" t="str">
            <v xml:space="preserve">Gloria Elena </v>
          </cell>
          <cell r="C790" t="str">
            <v>Medellin</v>
          </cell>
          <cell r="D790" t="str">
            <v>CL 56 ed 18a20</v>
          </cell>
          <cell r="E790" t="str">
            <v>Cerca uva sol de oriente</v>
          </cell>
          <cell r="F790" t="str">
            <v>3127605708</v>
          </cell>
          <cell r="G790" t="str">
            <v>3093202326</v>
          </cell>
          <cell r="H790" t="str">
            <v>Tratamiento</v>
          </cell>
        </row>
        <row r="791">
          <cell r="A791">
            <v>21893072</v>
          </cell>
          <cell r="B791" t="str">
            <v>María Inés</v>
          </cell>
          <cell r="C791" t="str">
            <v>Medellin</v>
          </cell>
          <cell r="D791" t="str">
            <v>Por la primera panaderia del faro de ahí llamar</v>
          </cell>
          <cell r="E791" t="str">
            <v/>
          </cell>
          <cell r="F791" t="str">
            <v>3235134807</v>
          </cell>
          <cell r="G791" t="str">
            <v>3006014403</v>
          </cell>
          <cell r="H791" t="str">
            <v>Tratamiento</v>
          </cell>
        </row>
        <row r="792">
          <cell r="A792">
            <v>21910729</v>
          </cell>
          <cell r="B792" t="str">
            <v>Rosalba</v>
          </cell>
          <cell r="C792" t="str">
            <v>Medellin</v>
          </cell>
          <cell r="D792" t="str">
            <v>Cerca  a la terminal de los buses</v>
          </cell>
          <cell r="E792" t="str">
            <v/>
          </cell>
          <cell r="F792" t="str">
            <v>3007546807</v>
          </cell>
          <cell r="G792" t="str">
            <v>3105912420</v>
          </cell>
          <cell r="H792" t="str">
            <v>Tratamiento</v>
          </cell>
        </row>
        <row r="793">
          <cell r="A793">
            <v>21910873</v>
          </cell>
          <cell r="B793" t="str">
            <v>Maria isidora</v>
          </cell>
          <cell r="C793" t="str">
            <v>Medellin</v>
          </cell>
          <cell r="D793" t="str">
            <v>Cr17C 56Ec7 int.201</v>
          </cell>
          <cell r="E793" t="str">
            <v>Llegar uva sol de oriente baja y voltea a mano izquierda cruza elnparque y sube las escalas segundones puerta verde</v>
          </cell>
          <cell r="F793" t="str">
            <v>3046830633</v>
          </cell>
          <cell r="G793" t="str">
            <v>6045457590</v>
          </cell>
          <cell r="H793" t="str">
            <v>Tratamiento</v>
          </cell>
        </row>
        <row r="794">
          <cell r="A794">
            <v>21910907</v>
          </cell>
          <cell r="B794" t="str">
            <v xml:space="preserve">María Otilia </v>
          </cell>
          <cell r="C794" t="str">
            <v>Medellin</v>
          </cell>
          <cell r="D794" t="str">
            <v>Calle 56EF 18A -36</v>
          </cell>
          <cell r="E794" t="str">
            <v>Uva sol de oriente</v>
          </cell>
          <cell r="F794" t="str">
            <v>3272414</v>
          </cell>
          <cell r="G794" t="str">
            <v>3004573891</v>
          </cell>
          <cell r="H794" t="str">
            <v>Tratamiento</v>
          </cell>
        </row>
        <row r="795">
          <cell r="A795">
            <v>21912116</v>
          </cell>
          <cell r="B795" t="str">
            <v>Joaquín Guillermo</v>
          </cell>
          <cell r="C795" t="str">
            <v>Medellin</v>
          </cell>
          <cell r="D795" t="str">
            <v xml:space="preserve">Termina de subir por la terminal de buses de golondrinas y suben todas las escaleras a la izquierda </v>
          </cell>
          <cell r="E795" t="str">
            <v/>
          </cell>
          <cell r="F795" t="str">
            <v>3157745489</v>
          </cell>
          <cell r="G795" t="str">
            <v>3148272072</v>
          </cell>
          <cell r="H795" t="str">
            <v>Tratamiento</v>
          </cell>
        </row>
        <row r="796">
          <cell r="A796">
            <v>21954148</v>
          </cell>
          <cell r="B796" t="str">
            <v xml:space="preserve">María Justiniano </v>
          </cell>
          <cell r="C796" t="str">
            <v>Medellin</v>
          </cell>
          <cell r="D796" t="str">
            <v>Calle 56ED#18A 30</v>
          </cell>
          <cell r="E796" t="str">
            <v>Entrando por las barandas azules de la uva sol de oriente</v>
          </cell>
          <cell r="F796" t="str">
            <v>3015193264</v>
          </cell>
          <cell r="G796" t="str">
            <v>3015193264</v>
          </cell>
          <cell r="H796" t="str">
            <v>Tratamiento</v>
          </cell>
        </row>
        <row r="797">
          <cell r="A797">
            <v>21977327</v>
          </cell>
          <cell r="B797" t="str">
            <v>Luz Marina</v>
          </cell>
          <cell r="C797" t="str">
            <v>Medellin</v>
          </cell>
          <cell r="D797" t="str">
            <v>Carrera 9.ª este #54aa 29</v>
          </cell>
          <cell r="E797" t="str">
            <v>Por el Cai viejo, por la tienda los panchos, bajando a mitad de cuadra</v>
          </cell>
          <cell r="F797" t="str">
            <v>3206694208</v>
          </cell>
          <cell r="G797" t="str">
            <v>No tiene</v>
          </cell>
          <cell r="H797" t="str">
            <v>Tratamiento</v>
          </cell>
        </row>
        <row r="798">
          <cell r="A798">
            <v>22032152</v>
          </cell>
          <cell r="B798" t="str">
            <v xml:space="preserve">Bertha Inés </v>
          </cell>
          <cell r="C798" t="str">
            <v>Medellin</v>
          </cell>
          <cell r="D798" t="str">
            <v>Calle 56 AA # 2 - 62</v>
          </cell>
          <cell r="E798" t="str">
            <v>Cerca a los billares de don  gregorio</v>
          </cell>
          <cell r="F798" t="str">
            <v>3044776972</v>
          </cell>
          <cell r="G798" t="str">
            <v>3234011859</v>
          </cell>
          <cell r="H798" t="str">
            <v>Tratamiento</v>
          </cell>
        </row>
        <row r="799">
          <cell r="A799">
            <v>22103917</v>
          </cell>
          <cell r="B799" t="str">
            <v>María cecilia</v>
          </cell>
          <cell r="C799" t="str">
            <v>Medellin</v>
          </cell>
          <cell r="D799" t="str">
            <v>Arriba del cuadradero de villatina</v>
          </cell>
          <cell r="E799" t="str">
            <v/>
          </cell>
          <cell r="F799" t="str">
            <v>3234250609</v>
          </cell>
          <cell r="G799" t="str">
            <v>No tiene</v>
          </cell>
          <cell r="H799" t="str">
            <v>Tratamiento</v>
          </cell>
        </row>
        <row r="800">
          <cell r="A800">
            <v>22108850</v>
          </cell>
          <cell r="B800" t="str">
            <v>María Aura</v>
          </cell>
          <cell r="C800" t="str">
            <v>Medellin</v>
          </cell>
          <cell r="D800" t="str">
            <v xml:space="preserve">Por el billar de golondrinas </v>
          </cell>
          <cell r="E800" t="str">
            <v/>
          </cell>
          <cell r="F800" t="str">
            <v>3001591111</v>
          </cell>
          <cell r="G800" t="str">
            <v>3147528074</v>
          </cell>
          <cell r="H800" t="str">
            <v>Tratamiento</v>
          </cell>
        </row>
        <row r="801">
          <cell r="A801">
            <v>22139441</v>
          </cell>
          <cell r="B801" t="str">
            <v>María Oliva</v>
          </cell>
          <cell r="C801" t="str">
            <v>Medellin</v>
          </cell>
          <cell r="D801" t="str">
            <v>Carrera 5 Este #54B-40</v>
          </cell>
          <cell r="E801" t="str">
            <v>Subiendo por la iglesia</v>
          </cell>
          <cell r="F801" t="str">
            <v>3127307825</v>
          </cell>
          <cell r="G801" t="str">
            <v>3127307825</v>
          </cell>
          <cell r="H801" t="str">
            <v>Tratamiento</v>
          </cell>
        </row>
        <row r="802">
          <cell r="A802">
            <v>22210262</v>
          </cell>
          <cell r="B802" t="str">
            <v>Maria Odila</v>
          </cell>
          <cell r="C802" t="str">
            <v>Medellin</v>
          </cell>
          <cell r="D802" t="str">
            <v>Cerca a la iglesia maría auxiliadora</v>
          </cell>
          <cell r="E802" t="str">
            <v/>
          </cell>
          <cell r="F802" t="str">
            <v>3242872949</v>
          </cell>
          <cell r="G802" t="str">
            <v>3014092797</v>
          </cell>
          <cell r="H802" t="str">
            <v>Tratamiento</v>
          </cell>
        </row>
        <row r="803">
          <cell r="A803">
            <v>22222115</v>
          </cell>
          <cell r="B803" t="str">
            <v>Maria Eulalia</v>
          </cell>
          <cell r="C803" t="str">
            <v>Medellin</v>
          </cell>
          <cell r="D803" t="str">
            <v>Cerca a la panadería el faro</v>
          </cell>
          <cell r="E803" t="str">
            <v/>
          </cell>
          <cell r="F803" t="str">
            <v>3104274660</v>
          </cell>
          <cell r="G803" t="str">
            <v>3017779415</v>
          </cell>
          <cell r="H803" t="str">
            <v>Tratamiento</v>
          </cell>
        </row>
        <row r="804">
          <cell r="A804">
            <v>22230457</v>
          </cell>
          <cell r="B804" t="str">
            <v xml:space="preserve">Libia del Socorro </v>
          </cell>
          <cell r="C804" t="str">
            <v>Medellin</v>
          </cell>
          <cell r="D804" t="str">
            <v>Calle 55GA #06-20</v>
          </cell>
          <cell r="E804" t="str">
            <v>Supermercado xiomy y suben por la rampa, luego las escaleras hasta el descanso y a la izquierda a mitad de cuadra</v>
          </cell>
          <cell r="F804" t="str">
            <v>3108315640</v>
          </cell>
          <cell r="G804" t="str">
            <v>3217714598</v>
          </cell>
          <cell r="H804" t="str">
            <v>Tratamiento</v>
          </cell>
        </row>
        <row r="805">
          <cell r="A805">
            <v>22295551</v>
          </cell>
          <cell r="B805" t="str">
            <v xml:space="preserve">LUCILA </v>
          </cell>
          <cell r="C805" t="str">
            <v>Baranquilla</v>
          </cell>
          <cell r="D805" t="str">
            <v>KR 8G 60B 53</v>
          </cell>
          <cell r="E805" t="str">
            <v xml:space="preserve">Cerca de billares la Platanera </v>
          </cell>
          <cell r="F805" t="str">
            <v>3112738287</v>
          </cell>
          <cell r="G805" t="str">
            <v>3014688580</v>
          </cell>
          <cell r="H805" t="str">
            <v>Tratamiento</v>
          </cell>
        </row>
        <row r="806">
          <cell r="A806">
            <v>22304817</v>
          </cell>
          <cell r="B806" t="str">
            <v>Maria</v>
          </cell>
          <cell r="C806" t="str">
            <v>Baranquilla</v>
          </cell>
          <cell r="D806" t="str">
            <v>Kra 7b #74-24</v>
          </cell>
          <cell r="E806" t="str">
            <v>Frente Colegio de shakira</v>
          </cell>
          <cell r="F806" t="str">
            <v>3261970</v>
          </cell>
          <cell r="G806" t="str">
            <v>3042085356</v>
          </cell>
          <cell r="H806" t="str">
            <v>Tratamiento</v>
          </cell>
        </row>
        <row r="807">
          <cell r="A807">
            <v>22333001</v>
          </cell>
          <cell r="B807" t="str">
            <v>Mérida</v>
          </cell>
          <cell r="C807" t="str">
            <v>Baranquilla</v>
          </cell>
          <cell r="D807" t="str">
            <v>Cl 73C 7E 35</v>
          </cell>
          <cell r="E807" t="str">
            <v>Cerca del Parque y Cai Policía casa rosada</v>
          </cell>
          <cell r="F807" t="str">
            <v>3022642631</v>
          </cell>
          <cell r="G807" t="str">
            <v>3148404870</v>
          </cell>
          <cell r="H807" t="str">
            <v>Tratamiento</v>
          </cell>
        </row>
        <row r="808">
          <cell r="A808">
            <v>22365884</v>
          </cell>
          <cell r="B808" t="str">
            <v xml:space="preserve">Elena Hortencia </v>
          </cell>
          <cell r="C808" t="str">
            <v>Baranquilla</v>
          </cell>
          <cell r="D808" t="str">
            <v>Carrera 8C 74 75</v>
          </cell>
          <cell r="E808" t="str">
            <v>2 casa de la tienda donde Tony</v>
          </cell>
          <cell r="F808" t="str">
            <v>3242213383</v>
          </cell>
          <cell r="G808" t="str">
            <v>3022553868</v>
          </cell>
          <cell r="H808" t="str">
            <v>Tratamiento</v>
          </cell>
        </row>
        <row r="809">
          <cell r="A809">
            <v>22374314</v>
          </cell>
          <cell r="B809" t="str">
            <v>LUz MARIA</v>
          </cell>
          <cell r="C809" t="str">
            <v>Baranquilla</v>
          </cell>
          <cell r="D809" t="str">
            <v>Cl 77 7B 03</v>
          </cell>
          <cell r="E809" t="str">
            <v xml:space="preserve">Frente al Súper Efectivo </v>
          </cell>
          <cell r="F809" t="str">
            <v>3022660346</v>
          </cell>
          <cell r="G809" t="str">
            <v>3006897940</v>
          </cell>
          <cell r="H809" t="str">
            <v>Tratamiento</v>
          </cell>
        </row>
        <row r="810">
          <cell r="A810">
            <v>22377867</v>
          </cell>
          <cell r="B810" t="str">
            <v>Concepción</v>
          </cell>
          <cell r="C810" t="str">
            <v>Baranquilla</v>
          </cell>
          <cell r="D810" t="str">
            <v>Calle 80 #7c-76</v>
          </cell>
          <cell r="E810" t="str">
            <v xml:space="preserve">Diagonal al arroyo </v>
          </cell>
          <cell r="F810" t="str">
            <v>3023490114</v>
          </cell>
          <cell r="G810" t="str">
            <v>3053490111</v>
          </cell>
          <cell r="H810" t="str">
            <v>Tratamiento</v>
          </cell>
        </row>
        <row r="811">
          <cell r="A811">
            <v>22378889</v>
          </cell>
          <cell r="B811" t="str">
            <v xml:space="preserve">ETILBIA </v>
          </cell>
          <cell r="C811" t="str">
            <v>Baranquilla</v>
          </cell>
          <cell r="D811" t="str">
            <v>Carrera 8C 73C36</v>
          </cell>
          <cell r="E811" t="str">
            <v>Al lado de Yesenia Barreto</v>
          </cell>
          <cell r="F811" t="str">
            <v>No tiene</v>
          </cell>
          <cell r="G811" t="str">
            <v>3205488193</v>
          </cell>
          <cell r="H811" t="str">
            <v>Tratamiento</v>
          </cell>
        </row>
        <row r="812">
          <cell r="A812">
            <v>22383297</v>
          </cell>
          <cell r="B812" t="str">
            <v>Blanca yolanda</v>
          </cell>
          <cell r="C812" t="str">
            <v>Baranquilla</v>
          </cell>
          <cell r="D812" t="str">
            <v>Cra 8c # 93 -57 apto 1</v>
          </cell>
          <cell r="E812" t="str">
            <v xml:space="preserve">A un costado del colegio ines de esperanza jesus </v>
          </cell>
          <cell r="F812" t="str">
            <v>3004783362</v>
          </cell>
          <cell r="G812" t="str">
            <v/>
          </cell>
          <cell r="H812" t="str">
            <v>Tratamiento</v>
          </cell>
        </row>
        <row r="813">
          <cell r="A813">
            <v>22385229</v>
          </cell>
          <cell r="B813" t="str">
            <v>Nidia</v>
          </cell>
          <cell r="C813" t="str">
            <v>Baranquilla</v>
          </cell>
          <cell r="D813" t="str">
            <v>Calle 72# 7b-10</v>
          </cell>
          <cell r="E813" t="str">
            <v>Bajando la cruz roja</v>
          </cell>
          <cell r="F813" t="str">
            <v>3042722067</v>
          </cell>
          <cell r="G813" t="str">
            <v>3126788599</v>
          </cell>
          <cell r="H813" t="str">
            <v>Tratamiento</v>
          </cell>
        </row>
        <row r="814">
          <cell r="A814">
            <v>22393271</v>
          </cell>
          <cell r="B814" t="str">
            <v>Josefa maria</v>
          </cell>
          <cell r="C814" t="str">
            <v>Baranquilla</v>
          </cell>
          <cell r="D814" t="str">
            <v>Calle 65#9k-55</v>
          </cell>
          <cell r="E814" t="str">
            <v xml:space="preserve">A una cuadra de la tienda la campana </v>
          </cell>
          <cell r="F814" t="str">
            <v>3022650421</v>
          </cell>
          <cell r="G814" t="str">
            <v>3016817231</v>
          </cell>
          <cell r="H814" t="str">
            <v>Tratamiento</v>
          </cell>
        </row>
        <row r="815">
          <cell r="A815">
            <v>22414805</v>
          </cell>
          <cell r="B815" t="str">
            <v>Saray María</v>
          </cell>
          <cell r="C815" t="str">
            <v>Baranquilla</v>
          </cell>
          <cell r="D815" t="str">
            <v>Cr6b#73-56</v>
          </cell>
          <cell r="E815" t="str">
            <v/>
          </cell>
          <cell r="F815" t="str">
            <v>3024635645</v>
          </cell>
          <cell r="G815" t="str">
            <v>3014408543</v>
          </cell>
          <cell r="H815" t="str">
            <v>Tratamiento</v>
          </cell>
        </row>
        <row r="816">
          <cell r="A816">
            <v>22420818</v>
          </cell>
          <cell r="B816" t="str">
            <v>Maria</v>
          </cell>
          <cell r="C816" t="str">
            <v>Baranquilla</v>
          </cell>
          <cell r="D816" t="str">
            <v xml:space="preserve">Calle 61 # 9-04
</v>
          </cell>
          <cell r="E816" t="str">
            <v>Es la esquina  del arroyo</v>
          </cell>
          <cell r="F816" t="str">
            <v>3651196</v>
          </cell>
          <cell r="G816" t="str">
            <v>3156018069</v>
          </cell>
          <cell r="H816" t="str">
            <v>Tratamiento</v>
          </cell>
        </row>
        <row r="817">
          <cell r="A817">
            <v>22421041</v>
          </cell>
          <cell r="B817" t="str">
            <v xml:space="preserve">Mercedes </v>
          </cell>
          <cell r="C817" t="str">
            <v>Baranquilla</v>
          </cell>
          <cell r="D817" t="str">
            <v>Kra 8c #74a-26</v>
          </cell>
          <cell r="E817" t="str">
            <v xml:space="preserve">A una cuadra de la carcel del bosque </v>
          </cell>
          <cell r="F817" t="str">
            <v>3157197865</v>
          </cell>
          <cell r="G817" t="str">
            <v>3002361294</v>
          </cell>
          <cell r="H817" t="str">
            <v>Tratamiento</v>
          </cell>
        </row>
        <row r="818">
          <cell r="A818">
            <v>22440120</v>
          </cell>
          <cell r="B818" t="str">
            <v xml:space="preserve">RUTH MERCEDES </v>
          </cell>
          <cell r="C818" t="str">
            <v>Baranquilla</v>
          </cell>
          <cell r="D818" t="str">
            <v>Carrera 8C 73D 86</v>
          </cell>
          <cell r="E818" t="str">
            <v>Al lado de la tienda el Rubí</v>
          </cell>
          <cell r="F818" t="str">
            <v>3013981727</v>
          </cell>
          <cell r="G818" t="str">
            <v>3003890552</v>
          </cell>
          <cell r="H818" t="str">
            <v>Tratamiento</v>
          </cell>
        </row>
        <row r="819">
          <cell r="A819">
            <v>22446557</v>
          </cell>
          <cell r="B819" t="str">
            <v xml:space="preserve">Angelica </v>
          </cell>
          <cell r="C819" t="str">
            <v>Baranquilla</v>
          </cell>
          <cell r="D819" t="str">
            <v>Kra 6e #74-12</v>
          </cell>
          <cell r="E819" t="str">
            <v>Bajando 5 y 6</v>
          </cell>
          <cell r="F819" t="str">
            <v>3002431133</v>
          </cell>
          <cell r="G819" t="str">
            <v>3146678360</v>
          </cell>
          <cell r="H819" t="str">
            <v>Tratamiento</v>
          </cell>
        </row>
        <row r="820">
          <cell r="A820">
            <v>22446587</v>
          </cell>
          <cell r="B820" t="str">
            <v>Yomaira del socorro</v>
          </cell>
          <cell r="C820" t="str">
            <v>Baranquilla</v>
          </cell>
          <cell r="D820" t="str">
            <v>Cra 7d # 76-64 apto 1</v>
          </cell>
          <cell r="E820" t="str">
            <v xml:space="preserve">Diagonal al CDI del bosque </v>
          </cell>
          <cell r="F820" t="str">
            <v>3243692702</v>
          </cell>
          <cell r="G820" t="str">
            <v>3156322684</v>
          </cell>
          <cell r="H820" t="str">
            <v>Tratamiento</v>
          </cell>
        </row>
        <row r="821">
          <cell r="A821">
            <v>22467946</v>
          </cell>
          <cell r="B821" t="str">
            <v>Dora</v>
          </cell>
          <cell r="C821" t="str">
            <v>Baranquilla</v>
          </cell>
          <cell r="D821" t="str">
            <v>Kra 8g #87-40 apto interno</v>
          </cell>
          <cell r="E821" t="str">
            <v xml:space="preserve">Por tienda la carretera </v>
          </cell>
          <cell r="F821" t="str">
            <v>3244296698</v>
          </cell>
          <cell r="G821" t="str">
            <v>3044596837</v>
          </cell>
          <cell r="H821" t="str">
            <v>Tratamiento</v>
          </cell>
        </row>
        <row r="822">
          <cell r="A822">
            <v>22502121</v>
          </cell>
          <cell r="B822" t="str">
            <v>Ines del rocio</v>
          </cell>
          <cell r="C822" t="str">
            <v>Baranquilla</v>
          </cell>
          <cell r="D822" t="str">
            <v xml:space="preserve">Cr 9c # 75-45 </v>
          </cell>
          <cell r="E822" t="str">
            <v>Frente a la cancha la bombonera</v>
          </cell>
          <cell r="F822" t="str">
            <v>3025902878</v>
          </cell>
          <cell r="G822" t="str">
            <v>3205717986</v>
          </cell>
          <cell r="H822" t="str">
            <v>Tratamiento</v>
          </cell>
        </row>
        <row r="823">
          <cell r="A823">
            <v>22502647</v>
          </cell>
          <cell r="B823" t="str">
            <v>Elizabeth maria</v>
          </cell>
          <cell r="C823" t="str">
            <v>Baranquilla</v>
          </cell>
          <cell r="D823" t="str">
            <v>Kr 8c #73d-70</v>
          </cell>
          <cell r="E823" t="str">
            <v>Casa blanca, frente casa verde de murales</v>
          </cell>
          <cell r="F823" t="str">
            <v>3011335502</v>
          </cell>
          <cell r="G823" t="str">
            <v>3205488193</v>
          </cell>
          <cell r="H823" t="str">
            <v>Tratamiento</v>
          </cell>
        </row>
        <row r="824">
          <cell r="A824">
            <v>22503243</v>
          </cell>
          <cell r="B824" t="str">
            <v>Gloria</v>
          </cell>
          <cell r="C824" t="str">
            <v>Baranquilla</v>
          </cell>
          <cell r="D824" t="str">
            <v>Kra 9# 60-27</v>
          </cell>
          <cell r="E824" t="str">
            <v xml:space="preserve">Diagonal Val colegio amarillo </v>
          </cell>
          <cell r="F824" t="str">
            <v>3244920173</v>
          </cell>
          <cell r="G824" t="str">
            <v>3183095041</v>
          </cell>
          <cell r="H824" t="str">
            <v>Tratamiento</v>
          </cell>
        </row>
        <row r="825">
          <cell r="A825">
            <v>22505364</v>
          </cell>
          <cell r="B825" t="str">
            <v>Karen johana</v>
          </cell>
          <cell r="C825" t="str">
            <v>Baranquilla</v>
          </cell>
          <cell r="D825" t="str">
            <v>Dg64 # 9-26</v>
          </cell>
          <cell r="E825" t="str">
            <v>Al frente de casa grande amarilla</v>
          </cell>
          <cell r="F825" t="str">
            <v>3016113771</v>
          </cell>
          <cell r="G825" t="str">
            <v>3207124903</v>
          </cell>
          <cell r="H825" t="str">
            <v>Tratamiento</v>
          </cell>
        </row>
        <row r="826">
          <cell r="A826">
            <v>22518128</v>
          </cell>
          <cell r="B826" t="str">
            <v xml:space="preserve">Milagros </v>
          </cell>
          <cell r="C826" t="str">
            <v>Baranquilla</v>
          </cell>
          <cell r="D826" t="str">
            <v>Calle 776b74</v>
          </cell>
          <cell r="E826" t="str">
            <v/>
          </cell>
          <cell r="F826" t="str">
            <v>3128825557</v>
          </cell>
          <cell r="G826" t="str">
            <v>3005062813</v>
          </cell>
          <cell r="H826" t="str">
            <v>Tratamiento</v>
          </cell>
        </row>
        <row r="827">
          <cell r="A827">
            <v>22532457</v>
          </cell>
          <cell r="B827" t="str">
            <v xml:space="preserve">Miladis </v>
          </cell>
          <cell r="C827" t="str">
            <v>Baranquilla</v>
          </cell>
          <cell r="D827" t="str">
            <v>Kra 8c #73c-101 apt1</v>
          </cell>
          <cell r="E827" t="str">
            <v>La cancha San pio está detrás de la casa</v>
          </cell>
          <cell r="F827" t="str">
            <v>3123093463</v>
          </cell>
          <cell r="G827" t="str">
            <v>3205488193</v>
          </cell>
          <cell r="H827" t="str">
            <v>Tratamiento</v>
          </cell>
        </row>
        <row r="828">
          <cell r="A828">
            <v>22548648</v>
          </cell>
          <cell r="B828" t="str">
            <v xml:space="preserve">Enis </v>
          </cell>
          <cell r="C828" t="str">
            <v>Baranquilla</v>
          </cell>
          <cell r="D828" t="str">
            <v>Cr8g#60b58apto2</v>
          </cell>
          <cell r="E828" t="str">
            <v xml:space="preserve">Billares la platanera </v>
          </cell>
          <cell r="F828" t="str">
            <v>3023792613</v>
          </cell>
          <cell r="G828" t="str">
            <v>3012548866</v>
          </cell>
          <cell r="H828" t="str">
            <v>Tratamiento</v>
          </cell>
        </row>
        <row r="829">
          <cell r="A829">
            <v>22567435</v>
          </cell>
          <cell r="B829" t="str">
            <v xml:space="preserve">Rosalba </v>
          </cell>
          <cell r="C829" t="str">
            <v>Baranquilla</v>
          </cell>
          <cell r="D829" t="str">
            <v>Cr7b#80-10</v>
          </cell>
          <cell r="E829" t="str">
            <v/>
          </cell>
          <cell r="F829" t="str">
            <v>3184809996</v>
          </cell>
          <cell r="G829" t="str">
            <v>3187575989</v>
          </cell>
          <cell r="H829" t="str">
            <v>Tratamiento</v>
          </cell>
        </row>
        <row r="830">
          <cell r="A830">
            <v>22590461</v>
          </cell>
          <cell r="B830" t="str">
            <v>Diana</v>
          </cell>
          <cell r="C830" t="str">
            <v>Baranquilla</v>
          </cell>
          <cell r="D830" t="str">
            <v>Calle 88 #7e-14</v>
          </cell>
          <cell r="E830" t="str">
            <v>La tienda San Benito a dos cuadras</v>
          </cell>
          <cell r="F830" t="str">
            <v>3022172888</v>
          </cell>
          <cell r="G830" t="str">
            <v>3024244009</v>
          </cell>
          <cell r="H830" t="str">
            <v>Tratamiento</v>
          </cell>
        </row>
        <row r="831">
          <cell r="A831">
            <v>22645794</v>
          </cell>
          <cell r="B831" t="str">
            <v>Lizbeth</v>
          </cell>
          <cell r="C831" t="str">
            <v>Baranquilla</v>
          </cell>
          <cell r="D831" t="str">
            <v>Kr 8c #74-88 apartamento 1</v>
          </cell>
          <cell r="E831" t="str">
            <v xml:space="preserve">Árbol podado, al frente de tienda blanca </v>
          </cell>
          <cell r="F831" t="str">
            <v>3009411182</v>
          </cell>
          <cell r="G831" t="str">
            <v>3045594968</v>
          </cell>
          <cell r="H831" t="str">
            <v>Tratamiento</v>
          </cell>
        </row>
        <row r="832">
          <cell r="A832">
            <v>22646716</v>
          </cell>
          <cell r="B832" t="str">
            <v xml:space="preserve">Heidy yomaira </v>
          </cell>
          <cell r="C832" t="str">
            <v>Baranquilla</v>
          </cell>
          <cell r="D832" t="str">
            <v>Cr8a1#60b106</v>
          </cell>
          <cell r="E832" t="str">
            <v xml:space="preserve">Estadero el lobo </v>
          </cell>
          <cell r="F832" t="str">
            <v>3017688404</v>
          </cell>
          <cell r="G832" t="str">
            <v>3012014959</v>
          </cell>
          <cell r="H832" t="str">
            <v>Tratamiento</v>
          </cell>
        </row>
        <row r="833">
          <cell r="A833">
            <v>22648878</v>
          </cell>
          <cell r="B833" t="str">
            <v xml:space="preserve">Rosiris concepción </v>
          </cell>
          <cell r="C833" t="str">
            <v>Baranquilla</v>
          </cell>
          <cell r="D833" t="str">
            <v>Cll 87 # 9- 11</v>
          </cell>
          <cell r="E833" t="str">
            <v>Detrás de la pared de la carcel</v>
          </cell>
          <cell r="F833" t="str">
            <v>3012339520</v>
          </cell>
          <cell r="G833" t="str">
            <v>3008304664</v>
          </cell>
          <cell r="H833" t="str">
            <v>Tratamiento</v>
          </cell>
        </row>
        <row r="834">
          <cell r="A834">
            <v>22655403</v>
          </cell>
          <cell r="B834" t="str">
            <v>Yolima isabel</v>
          </cell>
          <cell r="C834" t="str">
            <v>Baranquilla</v>
          </cell>
          <cell r="D834" t="str">
            <v>Kra 8g # 60-21</v>
          </cell>
          <cell r="E834" t="str">
            <v>Al frente de una casa grande de rejas blancas</v>
          </cell>
          <cell r="F834" t="str">
            <v>3002221627</v>
          </cell>
          <cell r="G834" t="str">
            <v>3024104352</v>
          </cell>
          <cell r="H834" t="str">
            <v>Tratamiento</v>
          </cell>
        </row>
        <row r="835">
          <cell r="A835">
            <v>22703396</v>
          </cell>
          <cell r="B835" t="str">
            <v xml:space="preserve">Amalia </v>
          </cell>
          <cell r="C835" t="str">
            <v>Baranquilla</v>
          </cell>
          <cell r="D835" t="str">
            <v>Kra 9 #87-96</v>
          </cell>
          <cell r="E835" t="str">
            <v xml:space="preserve">A una cuadrade la carretera </v>
          </cell>
          <cell r="F835" t="str">
            <v>3003122416</v>
          </cell>
          <cell r="G835" t="str">
            <v>3043352972</v>
          </cell>
          <cell r="H835" t="str">
            <v>Tratamiento</v>
          </cell>
        </row>
        <row r="836">
          <cell r="A836">
            <v>22732410</v>
          </cell>
          <cell r="B836" t="str">
            <v>Monica liliana</v>
          </cell>
          <cell r="C836" t="str">
            <v>Baranquilla</v>
          </cell>
          <cell r="D836" t="str">
            <v>Carrera 7b 73 106</v>
          </cell>
          <cell r="E836" t="str">
            <v>Al lado de la casa de las monjas</v>
          </cell>
          <cell r="F836" t="str">
            <v>3004849636</v>
          </cell>
          <cell r="G836" t="str">
            <v xml:space="preserve">No tengo </v>
          </cell>
          <cell r="H836" t="str">
            <v>Tratamiento</v>
          </cell>
        </row>
        <row r="837">
          <cell r="A837">
            <v>22736024</v>
          </cell>
          <cell r="B837" t="str">
            <v xml:space="preserve">Karolay </v>
          </cell>
          <cell r="C837" t="str">
            <v>Baranquilla</v>
          </cell>
          <cell r="D837" t="str">
            <v>Cra 8c # 87- 16</v>
          </cell>
          <cell r="E837" t="str">
            <v>Cerca de la parelilla de la carcel</v>
          </cell>
          <cell r="F837" t="str">
            <v>3184501154</v>
          </cell>
          <cell r="G837" t="str">
            <v>3053114070</v>
          </cell>
          <cell r="H837" t="str">
            <v>Tratamiento</v>
          </cell>
        </row>
        <row r="838">
          <cell r="A838">
            <v>22744721</v>
          </cell>
          <cell r="B838" t="str">
            <v>Maria</v>
          </cell>
          <cell r="C838" t="str">
            <v>Baranquilla</v>
          </cell>
          <cell r="D838" t="str">
            <v>Kra 7e #75-48</v>
          </cell>
          <cell r="E838" t="str">
            <v xml:space="preserve">Por el arroyo </v>
          </cell>
          <cell r="F838" t="str">
            <v>3145728516</v>
          </cell>
          <cell r="G838" t="str">
            <v>3006525218</v>
          </cell>
          <cell r="H838" t="str">
            <v>Tratamiento</v>
          </cell>
        </row>
        <row r="839">
          <cell r="A839">
            <v>22845935</v>
          </cell>
          <cell r="B839" t="str">
            <v>Ana</v>
          </cell>
          <cell r="C839" t="str">
            <v>Baranquilla</v>
          </cell>
          <cell r="D839" t="str">
            <v>Calle 93 #8c-24</v>
          </cell>
          <cell r="E839" t="str">
            <v xml:space="preserve">Por la tienda la carretera </v>
          </cell>
          <cell r="F839" t="str">
            <v>3007284388</v>
          </cell>
          <cell r="G839" t="str">
            <v>3022920044</v>
          </cell>
          <cell r="H839" t="str">
            <v>Tratamiento</v>
          </cell>
        </row>
        <row r="840">
          <cell r="A840">
            <v>22954309</v>
          </cell>
          <cell r="B840" t="str">
            <v xml:space="preserve">Manuela </v>
          </cell>
          <cell r="C840" t="str">
            <v>Baranquilla</v>
          </cell>
          <cell r="D840" t="str">
            <v>CRA 86 #60B-131</v>
          </cell>
          <cell r="E840" t="str">
            <v>Casa azul, ventana marron</v>
          </cell>
          <cell r="F840" t="str">
            <v>3012620524</v>
          </cell>
          <cell r="G840" t="str">
            <v>3017688404</v>
          </cell>
          <cell r="H840" t="str">
            <v>Tratamiento</v>
          </cell>
        </row>
        <row r="841">
          <cell r="A841">
            <v>23070779</v>
          </cell>
          <cell r="B841" t="str">
            <v xml:space="preserve">GILBA TERESA </v>
          </cell>
          <cell r="C841" t="str">
            <v>Baranquilla</v>
          </cell>
          <cell r="D841" t="str">
            <v>Cl 61 9 51</v>
          </cell>
          <cell r="E841" t="str">
            <v xml:space="preserve">Casa de piso alto y árbol de Mango </v>
          </cell>
          <cell r="F841" t="str">
            <v>3013729211</v>
          </cell>
          <cell r="G841" t="str">
            <v>3204143216</v>
          </cell>
          <cell r="H841" t="str">
            <v>Tratamiento</v>
          </cell>
        </row>
        <row r="842">
          <cell r="A842">
            <v>23242735</v>
          </cell>
          <cell r="B842" t="str">
            <v>EMELINA ROSA</v>
          </cell>
          <cell r="C842" t="str">
            <v>Baranquilla</v>
          </cell>
          <cell r="D842" t="str">
            <v>KR 9 60 78 apto interno</v>
          </cell>
          <cell r="E842" t="str">
            <v xml:space="preserve">Frente la tienda los recuerdos de Elsa </v>
          </cell>
          <cell r="F842" t="str">
            <v>3017936115</v>
          </cell>
          <cell r="G842" t="str">
            <v>3023493434</v>
          </cell>
          <cell r="H842" t="str">
            <v>Tratamiento</v>
          </cell>
        </row>
        <row r="843">
          <cell r="A843">
            <v>24529522</v>
          </cell>
          <cell r="B843" t="str">
            <v>María Elena</v>
          </cell>
          <cell r="C843" t="str">
            <v>Cali</v>
          </cell>
          <cell r="D843" t="str">
            <v>MANZANA A CASA 18 ALTO DE LOS CHORROS</v>
          </cell>
          <cell r="E843" t="str">
            <v xml:space="preserve">Abajo de la cancha del sector indígena </v>
          </cell>
          <cell r="F843" t="str">
            <v>3173628824</v>
          </cell>
          <cell r="G843" t="str">
            <v>3116816857</v>
          </cell>
          <cell r="H843" t="str">
            <v>Tratamiento</v>
          </cell>
        </row>
        <row r="844">
          <cell r="A844">
            <v>24552101</v>
          </cell>
          <cell r="B844" t="str">
            <v>Liliana del Socorro</v>
          </cell>
          <cell r="C844" t="str">
            <v>Medellin</v>
          </cell>
          <cell r="D844" t="str">
            <v>Diagonal al metrosalud sol de oriente</v>
          </cell>
          <cell r="E844" t="str">
            <v/>
          </cell>
          <cell r="F844" t="str">
            <v>3105456023</v>
          </cell>
          <cell r="G844" t="str">
            <v>3137419403</v>
          </cell>
          <cell r="H844" t="str">
            <v>Tratamiento</v>
          </cell>
        </row>
        <row r="845">
          <cell r="A845">
            <v>24999258</v>
          </cell>
          <cell r="B845" t="str">
            <v>Argemiro Muñoz roldan</v>
          </cell>
          <cell r="C845" t="str">
            <v>Medellin</v>
          </cell>
          <cell r="D845" t="str">
            <v xml:space="preserve">Cerca a llanaditas </v>
          </cell>
          <cell r="E845" t="str">
            <v/>
          </cell>
          <cell r="F845" t="str">
            <v>3277362630</v>
          </cell>
          <cell r="G845" t="str">
            <v>3178125194</v>
          </cell>
          <cell r="H845" t="str">
            <v>Tratamiento</v>
          </cell>
        </row>
        <row r="846">
          <cell r="A846">
            <v>25036381</v>
          </cell>
          <cell r="B846" t="str">
            <v xml:space="preserve">Lucia </v>
          </cell>
          <cell r="C846" t="str">
            <v>Cali</v>
          </cell>
          <cell r="D846" t="str">
            <v>Cl 4D OESTE 70A 44</v>
          </cell>
          <cell r="E846" t="str">
            <v>Enseguida de maría Isabelina david</v>
          </cell>
          <cell r="F846" t="str">
            <v>3148577890</v>
          </cell>
          <cell r="G846" t="str">
            <v>3203563655</v>
          </cell>
          <cell r="H846" t="str">
            <v>Tratamiento</v>
          </cell>
        </row>
        <row r="847">
          <cell r="A847">
            <v>25097620</v>
          </cell>
          <cell r="B847" t="str">
            <v>Nency</v>
          </cell>
          <cell r="C847" t="str">
            <v>Cali</v>
          </cell>
          <cell r="D847" t="str">
            <v>Cr 74b oeste 4b 26  piso 1</v>
          </cell>
          <cell r="E847" t="str">
            <v>Canchas las minas  la subida de la tienda esquina</v>
          </cell>
          <cell r="F847" t="str">
            <v>3158380091</v>
          </cell>
          <cell r="G847" t="str">
            <v>3122413269</v>
          </cell>
          <cell r="H847" t="str">
            <v>Tratamiento</v>
          </cell>
        </row>
        <row r="848">
          <cell r="A848">
            <v>25340411</v>
          </cell>
          <cell r="B848" t="str">
            <v xml:space="preserve">Teresa </v>
          </cell>
          <cell r="C848" t="str">
            <v>Cali</v>
          </cell>
          <cell r="D848" t="str">
            <v>CL 4 B oeste 71 19</v>
          </cell>
          <cell r="E848" t="str">
            <v>Por la calle principal más arriba de la cancha de las minas</v>
          </cell>
          <cell r="F848" t="str">
            <v>3172660886</v>
          </cell>
          <cell r="G848" t="str">
            <v>3187258580</v>
          </cell>
          <cell r="H848" t="str">
            <v>Tratamiento</v>
          </cell>
        </row>
        <row r="849">
          <cell r="A849">
            <v>25340770</v>
          </cell>
          <cell r="B849" t="str">
            <v>Ismenia</v>
          </cell>
          <cell r="C849" t="str">
            <v>Cali</v>
          </cell>
          <cell r="D849" t="str">
            <v>Cr 70A OESTE 4D 28</v>
          </cell>
          <cell r="E849" t="str">
            <v>Preguntar por la Mz 5 es en la primera bajada terminando las gradas</v>
          </cell>
          <cell r="F849" t="str">
            <v>3167847280</v>
          </cell>
          <cell r="G849" t="str">
            <v>3106546523</v>
          </cell>
          <cell r="H849" t="str">
            <v>Tratamiento</v>
          </cell>
        </row>
        <row r="850">
          <cell r="A850">
            <v>25351368</v>
          </cell>
          <cell r="B850" t="str">
            <v xml:space="preserve">ROSA MARÍA </v>
          </cell>
          <cell r="C850" t="str">
            <v>Cali</v>
          </cell>
          <cell r="D850" t="str">
            <v>CL 4C OESTE 76B BIS - 03</v>
          </cell>
          <cell r="E850" t="str">
            <v xml:space="preserve">Por el jardín infantil cesoles </v>
          </cell>
          <cell r="F850" t="str">
            <v>3166642524</v>
          </cell>
          <cell r="G850" t="str">
            <v>3158347067</v>
          </cell>
          <cell r="H850" t="str">
            <v>Tratamiento</v>
          </cell>
        </row>
        <row r="851">
          <cell r="A851">
            <v>25492271</v>
          </cell>
          <cell r="B851" t="str">
            <v xml:space="preserve">MARÍA GRACIELA </v>
          </cell>
          <cell r="C851" t="str">
            <v>Cali</v>
          </cell>
          <cell r="D851" t="str">
            <v>CL 4 OESTE 74G-05</v>
          </cell>
          <cell r="E851" t="str">
            <v xml:space="preserve">Por Cesoles, hacia el camino las minas </v>
          </cell>
          <cell r="F851" t="str">
            <v>3163020761</v>
          </cell>
          <cell r="G851" t="str">
            <v>3117005133</v>
          </cell>
          <cell r="H851" t="str">
            <v>Tratamiento</v>
          </cell>
        </row>
        <row r="852">
          <cell r="A852">
            <v>25619493</v>
          </cell>
          <cell r="B852" t="str">
            <v>Carmen rosa</v>
          </cell>
          <cell r="C852" t="str">
            <v>Cali</v>
          </cell>
          <cell r="D852" t="str">
            <v>Cr 74 bis  4 23</v>
          </cell>
          <cell r="E852" t="str">
            <v xml:space="preserve">El comedor comunitario hacia arriba por la rampla </v>
          </cell>
          <cell r="F852" t="str">
            <v>3145732910</v>
          </cell>
          <cell r="G852" t="str">
            <v>3233970201</v>
          </cell>
          <cell r="H852" t="str">
            <v>Tratamiento</v>
          </cell>
        </row>
        <row r="853">
          <cell r="A853">
            <v>25683891</v>
          </cell>
          <cell r="B853" t="str">
            <v xml:space="preserve">Ana Cecilia </v>
          </cell>
          <cell r="C853" t="str">
            <v>Cali</v>
          </cell>
          <cell r="D853" t="str">
            <v>Casa 639 sector las fincas</v>
          </cell>
          <cell r="E853" t="str">
            <v>A 4 viviendas de la torre vía la reforma</v>
          </cell>
          <cell r="F853" t="str">
            <v>3116497483</v>
          </cell>
          <cell r="G853" t="str">
            <v/>
          </cell>
          <cell r="H853" t="str">
            <v>Tratamiento</v>
          </cell>
        </row>
        <row r="854">
          <cell r="A854">
            <v>25954420</v>
          </cell>
          <cell r="B854" t="str">
            <v>EDITH DEL CARMEN</v>
          </cell>
          <cell r="C854" t="str">
            <v>Baranquilla</v>
          </cell>
          <cell r="D854" t="str">
            <v>Cl 88 7C 33 Apto 1</v>
          </cell>
          <cell r="E854" t="str">
            <v xml:space="preserve">CERCA LA TIENDA BRISAS DE CARIBE </v>
          </cell>
          <cell r="F854" t="str">
            <v>3005942812</v>
          </cell>
          <cell r="G854" t="str">
            <v>3045256769</v>
          </cell>
          <cell r="H854" t="str">
            <v>Tratamiento</v>
          </cell>
        </row>
        <row r="855">
          <cell r="A855">
            <v>26256330</v>
          </cell>
          <cell r="B855" t="str">
            <v xml:space="preserve">MARLENY </v>
          </cell>
          <cell r="C855" t="str">
            <v>Cali</v>
          </cell>
          <cell r="D855" t="str">
            <v>Calle 4E OESTE 76Bis-21</v>
          </cell>
          <cell r="E855" t="str">
            <v xml:space="preserve">CERCA AL CONTROL DE LOS JEEPS DE LA CRUZ, VIA PRINCIPAL </v>
          </cell>
          <cell r="F855" t="str">
            <v>3174556622</v>
          </cell>
          <cell r="G855" t="str">
            <v xml:space="preserve">No dan información </v>
          </cell>
          <cell r="H855" t="str">
            <v>Tratamiento</v>
          </cell>
        </row>
        <row r="856">
          <cell r="A856">
            <v>26393898</v>
          </cell>
          <cell r="B856" t="str">
            <v xml:space="preserve">Martina Sara </v>
          </cell>
          <cell r="C856" t="str">
            <v>Medellin</v>
          </cell>
          <cell r="D856" t="str">
            <v xml:space="preserve">Colegio Gabriel García Márquez </v>
          </cell>
          <cell r="E856" t="str">
            <v/>
          </cell>
          <cell r="F856" t="str">
            <v>3206210058</v>
          </cell>
          <cell r="G856" t="str">
            <v>3235047805</v>
          </cell>
          <cell r="H856" t="str">
            <v>Tratamiento</v>
          </cell>
        </row>
        <row r="857">
          <cell r="A857">
            <v>26718435</v>
          </cell>
          <cell r="B857" t="str">
            <v>Aura helena</v>
          </cell>
          <cell r="C857" t="str">
            <v>Baranquilla</v>
          </cell>
          <cell r="D857" t="str">
            <v>Cr7ccalle75-27</v>
          </cell>
          <cell r="E857" t="str">
            <v>Cerca al cai</v>
          </cell>
          <cell r="F857" t="str">
            <v>3006712521</v>
          </cell>
          <cell r="G857" t="str">
            <v>3013115123</v>
          </cell>
          <cell r="H857" t="str">
            <v>Tratamiento</v>
          </cell>
        </row>
        <row r="858">
          <cell r="A858">
            <v>2699661</v>
          </cell>
          <cell r="B858" t="str">
            <v xml:space="preserve">GILBERTO </v>
          </cell>
          <cell r="C858" t="str">
            <v>Cali</v>
          </cell>
          <cell r="D858" t="str">
            <v>CRA 76 A OESTE 4E-78</v>
          </cell>
          <cell r="E858" t="str">
            <v xml:space="preserve">Por el callejón de la tienda de doña BERNARDITA </v>
          </cell>
          <cell r="F858" t="str">
            <v>3188988072</v>
          </cell>
          <cell r="G858" t="str">
            <v>3173209485</v>
          </cell>
          <cell r="H858" t="str">
            <v>Tratamiento</v>
          </cell>
        </row>
        <row r="859">
          <cell r="A859">
            <v>28588708</v>
          </cell>
          <cell r="B859" t="str">
            <v xml:space="preserve">Sandra Milena </v>
          </cell>
          <cell r="C859" t="str">
            <v>Cali</v>
          </cell>
          <cell r="D859" t="str">
            <v>Cr 74G 31</v>
          </cell>
          <cell r="E859" t="str">
            <v>Comedor de las minas</v>
          </cell>
          <cell r="F859" t="str">
            <v>3217759114</v>
          </cell>
          <cell r="G859" t="str">
            <v xml:space="preserve">No dan información </v>
          </cell>
          <cell r="H859" t="str">
            <v>Tratamiento</v>
          </cell>
        </row>
        <row r="860">
          <cell r="A860">
            <v>29119222</v>
          </cell>
          <cell r="B860" t="str">
            <v>Bella nery</v>
          </cell>
          <cell r="C860" t="str">
            <v>Cali</v>
          </cell>
          <cell r="D860" t="str">
            <v>Cra 71A oeste  # 4c 47</v>
          </cell>
          <cell r="E860" t="str">
            <v>La iglesia de la cruz  alto los chorros  cancha de la cruz</v>
          </cell>
          <cell r="F860" t="str">
            <v>3195389507</v>
          </cell>
          <cell r="G860" t="str">
            <v>3188669230</v>
          </cell>
          <cell r="H860" t="str">
            <v>Tratamiento</v>
          </cell>
        </row>
        <row r="861">
          <cell r="A861">
            <v>29179765</v>
          </cell>
          <cell r="B861" t="str">
            <v>Harlen</v>
          </cell>
          <cell r="C861" t="str">
            <v>Cali</v>
          </cell>
          <cell r="D861" t="str">
            <v>Cr 71 a bis  oeste 4 b 08</v>
          </cell>
          <cell r="E861" t="str">
            <v xml:space="preserve">Canchas de las minas  por la gallera </v>
          </cell>
          <cell r="F861" t="str">
            <v>3234462676</v>
          </cell>
          <cell r="G861" t="str">
            <v>3216215616</v>
          </cell>
          <cell r="H861" t="str">
            <v>Tratamiento</v>
          </cell>
        </row>
        <row r="862">
          <cell r="A862">
            <v>29346502</v>
          </cell>
          <cell r="B862" t="str">
            <v>Rossmira</v>
          </cell>
          <cell r="C862" t="str">
            <v>Cali</v>
          </cell>
          <cell r="D862" t="str">
            <v>Kr76D OESTE 4C 104</v>
          </cell>
          <cell r="E862" t="str">
            <v>A dos casa de la Tienda Yamile Urbano vía principal</v>
          </cell>
          <cell r="F862" t="str">
            <v>3175659002</v>
          </cell>
          <cell r="G862" t="str">
            <v>3205482553</v>
          </cell>
          <cell r="H862" t="str">
            <v>Tratamiento</v>
          </cell>
        </row>
        <row r="863">
          <cell r="A863">
            <v>29563232</v>
          </cell>
          <cell r="B863" t="str">
            <v xml:space="preserve">Aura María </v>
          </cell>
          <cell r="C863" t="str">
            <v>Cali</v>
          </cell>
          <cell r="D863" t="str">
            <v>Cr 73d  oeste 4 03</v>
          </cell>
          <cell r="E863" t="str">
            <v xml:space="preserve">La cancha de las minas cuatro esquina  callejón  </v>
          </cell>
          <cell r="F863" t="str">
            <v>3185151108</v>
          </cell>
          <cell r="G863" t="str">
            <v>3103206579</v>
          </cell>
          <cell r="H863" t="str">
            <v>Tratamiento</v>
          </cell>
        </row>
        <row r="864">
          <cell r="A864">
            <v>29563360</v>
          </cell>
          <cell r="B864" t="str">
            <v>Ana. Sofia</v>
          </cell>
          <cell r="C864" t="str">
            <v>Cali</v>
          </cell>
          <cell r="D864" t="str">
            <v xml:space="preserve">CL 4B oeste 73 103 </v>
          </cell>
          <cell r="E864" t="str">
            <v>Al frente de la cancha las minas</v>
          </cell>
          <cell r="F864" t="str">
            <v>3177008775</v>
          </cell>
          <cell r="G864" t="str">
            <v/>
          </cell>
          <cell r="H864" t="str">
            <v>Tratamiento</v>
          </cell>
        </row>
        <row r="865">
          <cell r="A865">
            <v>29686407</v>
          </cell>
          <cell r="B865" t="str">
            <v>ANA SENEIDA</v>
          </cell>
          <cell r="C865" t="str">
            <v>Cali</v>
          </cell>
          <cell r="D865" t="str">
            <v>CL 2F OESTE 76C 21 piso 1</v>
          </cell>
          <cell r="E865" t="str">
            <v>Diagonal a la ferretería Mery a la 3 casa</v>
          </cell>
          <cell r="F865" t="str">
            <v>3168453126</v>
          </cell>
          <cell r="G865" t="str">
            <v xml:space="preserve">No dan información </v>
          </cell>
          <cell r="H865" t="str">
            <v>Tratamiento</v>
          </cell>
        </row>
        <row r="866">
          <cell r="A866">
            <v>30402150</v>
          </cell>
          <cell r="B866" t="str">
            <v>Luz Dary</v>
          </cell>
          <cell r="C866" t="str">
            <v>Medellin</v>
          </cell>
          <cell r="D866" t="str">
            <v>Carrera 3 Este #55H-40</v>
          </cell>
          <cell r="E866" t="str">
            <v>Por el camino de la iglesia hay unos tubos amarillos las escalas más largas y más paradas</v>
          </cell>
          <cell r="F866" t="str">
            <v>3006724600</v>
          </cell>
          <cell r="G866" t="str">
            <v>3217876100</v>
          </cell>
          <cell r="H866" t="str">
            <v>Tratamiento</v>
          </cell>
        </row>
        <row r="867">
          <cell r="A867">
            <v>31214997</v>
          </cell>
          <cell r="B867" t="str">
            <v>Gregoria</v>
          </cell>
          <cell r="C867" t="str">
            <v>Cali</v>
          </cell>
          <cell r="D867" t="str">
            <v>Kr 76 D OESTE 4C 136</v>
          </cell>
          <cell r="E867" t="str">
            <v>Vía principal al lado de marroqueneria correa</v>
          </cell>
          <cell r="F867" t="str">
            <v>3174743448</v>
          </cell>
          <cell r="G867" t="str">
            <v>3128323371</v>
          </cell>
          <cell r="H867" t="str">
            <v>Tratamiento</v>
          </cell>
        </row>
        <row r="868">
          <cell r="A868">
            <v>31282345</v>
          </cell>
          <cell r="B868" t="str">
            <v xml:space="preserve">MARÍA ELENA </v>
          </cell>
          <cell r="C868" t="str">
            <v>Cali</v>
          </cell>
          <cell r="D868" t="str">
            <v>CL 4D OESTE 76B BIS 1-16</v>
          </cell>
          <cell r="E868" t="str">
            <v>Al frente de la tienda Don Luis</v>
          </cell>
          <cell r="F868" t="str">
            <v>3128413320</v>
          </cell>
          <cell r="G868" t="str">
            <v>3184374645</v>
          </cell>
          <cell r="H868" t="str">
            <v>Tratamiento</v>
          </cell>
        </row>
        <row r="869">
          <cell r="A869">
            <v>31288307</v>
          </cell>
          <cell r="B869" t="str">
            <v xml:space="preserve">MARÍA ELEUTERIA </v>
          </cell>
          <cell r="C869" t="str">
            <v>Cali</v>
          </cell>
          <cell r="D869" t="str">
            <v>CALLE 4 OESTE 76-40</v>
          </cell>
          <cell r="E869" t="str">
            <v xml:space="preserve">Antes del control de los jeeps, por la vía principal </v>
          </cell>
          <cell r="F869" t="str">
            <v>3170657218</v>
          </cell>
          <cell r="G869" t="str">
            <v>3117949936</v>
          </cell>
          <cell r="H869" t="str">
            <v>Tratamiento</v>
          </cell>
        </row>
        <row r="870">
          <cell r="A870">
            <v>31289498</v>
          </cell>
          <cell r="B870" t="str">
            <v xml:space="preserve">Laureano </v>
          </cell>
          <cell r="C870" t="str">
            <v>Cali</v>
          </cell>
          <cell r="D870" t="str">
            <v>C 4b oeste 62 a bis 08</v>
          </cell>
          <cell r="E870" t="str">
            <v xml:space="preserve"> Más arriba por la tienda de don cheo</v>
          </cell>
          <cell r="F870" t="str">
            <v>3225399989</v>
          </cell>
          <cell r="G870" t="str">
            <v>3103551931</v>
          </cell>
          <cell r="H870" t="str">
            <v>Tratamiento</v>
          </cell>
        </row>
        <row r="871">
          <cell r="A871">
            <v>31298525</v>
          </cell>
          <cell r="B871" t="str">
            <v>María Nubia</v>
          </cell>
          <cell r="C871" t="str">
            <v>Cali</v>
          </cell>
          <cell r="D871" t="str">
            <v>Cr 72 oeste 3 a 64</v>
          </cell>
          <cell r="E871" t="str">
            <v>Más arriba de las canchas. Por la entrada del bailadero del don lucho</v>
          </cell>
          <cell r="F871" t="str">
            <v>3165039780</v>
          </cell>
          <cell r="G871" t="str">
            <v>3185818072</v>
          </cell>
          <cell r="H871" t="str">
            <v>Tratamiento</v>
          </cell>
        </row>
        <row r="872">
          <cell r="A872">
            <v>31304801</v>
          </cell>
          <cell r="B872" t="str">
            <v>Aixa maria</v>
          </cell>
          <cell r="C872" t="str">
            <v>Cali</v>
          </cell>
          <cell r="D872" t="str">
            <v>CL 4 B oeste 73DBis 134</v>
          </cell>
          <cell r="E872" t="str">
            <v>Cerca al comedor de las minas</v>
          </cell>
          <cell r="F872" t="str">
            <v>3175834431</v>
          </cell>
          <cell r="G872" t="str">
            <v>3104251507</v>
          </cell>
          <cell r="H872" t="str">
            <v>Tratamiento</v>
          </cell>
        </row>
        <row r="873">
          <cell r="A873">
            <v>31445562</v>
          </cell>
          <cell r="B873" t="str">
            <v>Mariela</v>
          </cell>
          <cell r="C873" t="str">
            <v>Cali</v>
          </cell>
          <cell r="D873" t="str">
            <v>Cll 4b oeste # 73 24</v>
          </cell>
          <cell r="E873" t="str">
            <v>Tienda de  cheo. Al frente por unas gradas</v>
          </cell>
          <cell r="F873" t="str">
            <v>3107270652</v>
          </cell>
          <cell r="G873" t="str">
            <v xml:space="preserve">No dan información </v>
          </cell>
          <cell r="H873" t="str">
            <v>Tratamiento</v>
          </cell>
        </row>
        <row r="874">
          <cell r="A874">
            <v>31445743</v>
          </cell>
          <cell r="B874" t="str">
            <v>Sandra Milena</v>
          </cell>
          <cell r="C874" t="str">
            <v>Cali</v>
          </cell>
          <cell r="D874" t="str">
            <v>Kr 76 Dbis 4C bis 28</v>
          </cell>
          <cell r="E874" t="str">
            <v/>
          </cell>
          <cell r="F874" t="str">
            <v>3163243216</v>
          </cell>
          <cell r="G874" t="str">
            <v>3184613738</v>
          </cell>
          <cell r="H874" t="str">
            <v>Tratamiento</v>
          </cell>
        </row>
        <row r="875">
          <cell r="A875">
            <v>31446617</v>
          </cell>
          <cell r="B875" t="str">
            <v xml:space="preserve">Paulo cesar </v>
          </cell>
          <cell r="C875" t="str">
            <v>Cali</v>
          </cell>
          <cell r="D875" t="str">
            <v>MANZANA 8 CASA 5 SECTOR LAS MINAS</v>
          </cell>
          <cell r="E875" t="str">
            <v>De la cancha de las minas hacia arriba por las barandas amarillas</v>
          </cell>
          <cell r="F875" t="str">
            <v>3127622126</v>
          </cell>
          <cell r="G875" t="str">
            <v>3146462822</v>
          </cell>
          <cell r="H875" t="str">
            <v>Tratamiento</v>
          </cell>
        </row>
        <row r="876">
          <cell r="A876">
            <v>31449382</v>
          </cell>
          <cell r="B876" t="str">
            <v>Sandra milena</v>
          </cell>
          <cell r="C876" t="str">
            <v>Cali</v>
          </cell>
          <cell r="D876" t="str">
            <v>CL 4B OESTE 73-09 APTO 101</v>
          </cell>
          <cell r="E876" t="str">
            <v xml:space="preserve">Segunda bajada y 1 casa después de la tienda de Cheo </v>
          </cell>
          <cell r="F876" t="str">
            <v>3137214268</v>
          </cell>
          <cell r="G876" t="str">
            <v xml:space="preserve">No dan información </v>
          </cell>
          <cell r="H876" t="str">
            <v>Tratamiento</v>
          </cell>
        </row>
        <row r="877">
          <cell r="A877">
            <v>31524379</v>
          </cell>
          <cell r="B877" t="str">
            <v xml:space="preserve">GERARDINA </v>
          </cell>
          <cell r="C877" t="str">
            <v>Cali</v>
          </cell>
          <cell r="D877" t="str">
            <v>CL 4B OESTE 73 05</v>
          </cell>
          <cell r="E877" t="str">
            <v xml:space="preserve">En la tercera bajada después de la tienda de don Cheo primera casa </v>
          </cell>
          <cell r="F877" t="str">
            <v>3155583544</v>
          </cell>
          <cell r="G877" t="str">
            <v>3135041072</v>
          </cell>
          <cell r="H877" t="str">
            <v>Tratamiento</v>
          </cell>
        </row>
        <row r="878">
          <cell r="A878">
            <v>31525011</v>
          </cell>
          <cell r="B878" t="str">
            <v>María jesus</v>
          </cell>
          <cell r="C878" t="str">
            <v>Cali</v>
          </cell>
          <cell r="D878" t="str">
            <v>Cr 73a oeste 4a 16</v>
          </cell>
          <cell r="E878" t="str">
            <v xml:space="preserve">Por la bajada de la tienda de don cheo </v>
          </cell>
          <cell r="F878" t="str">
            <v>3146654929</v>
          </cell>
          <cell r="G878" t="str">
            <v>3122987513</v>
          </cell>
          <cell r="H878" t="str">
            <v>Tratamiento</v>
          </cell>
        </row>
        <row r="879">
          <cell r="A879">
            <v>31525413</v>
          </cell>
          <cell r="B879" t="str">
            <v>José argiro</v>
          </cell>
          <cell r="C879" t="str">
            <v>Cali</v>
          </cell>
          <cell r="D879" t="str">
            <v xml:space="preserve">Kr 74g cl 4b oeste </v>
          </cell>
          <cell r="E879" t="str">
            <v>Comedor las minas hacia arriba por la rampla</v>
          </cell>
          <cell r="F879" t="str">
            <v>3127708881</v>
          </cell>
          <cell r="G879" t="str">
            <v>3104399434</v>
          </cell>
          <cell r="H879" t="str">
            <v>Tratamiento</v>
          </cell>
        </row>
        <row r="880">
          <cell r="A880">
            <v>31534174</v>
          </cell>
          <cell r="B880" t="str">
            <v xml:space="preserve">Ana Milena </v>
          </cell>
          <cell r="C880" t="str">
            <v>Cali</v>
          </cell>
          <cell r="D880" t="str">
            <v>Kr 74 G oeste 4B 66</v>
          </cell>
          <cell r="E880" t="str">
            <v>Derecho arriba del comedor de las minas</v>
          </cell>
          <cell r="F880" t="str">
            <v>3182595869</v>
          </cell>
          <cell r="G880" t="str">
            <v>3137646246</v>
          </cell>
          <cell r="H880" t="str">
            <v>Tratamiento</v>
          </cell>
        </row>
        <row r="881">
          <cell r="A881">
            <v>31535355</v>
          </cell>
          <cell r="B881" t="str">
            <v>MONICA</v>
          </cell>
          <cell r="C881" t="str">
            <v>Cali</v>
          </cell>
          <cell r="D881" t="str">
            <v>Calle 4d 76Bis-54</v>
          </cell>
          <cell r="E881" t="str">
            <v>Por la vía a la cruz, por la panadería crispan</v>
          </cell>
          <cell r="F881" t="str">
            <v>3226221443</v>
          </cell>
          <cell r="G881" t="str">
            <v>3172784820</v>
          </cell>
          <cell r="H881" t="str">
            <v>Tratamiento</v>
          </cell>
        </row>
        <row r="882">
          <cell r="A882">
            <v>31537995</v>
          </cell>
          <cell r="B882" t="str">
            <v xml:space="preserve">LUZ ENEIDA </v>
          </cell>
          <cell r="C882" t="str">
            <v>Cali</v>
          </cell>
          <cell r="D882" t="str">
            <v>KR 76 OESTE 4D BIS 05</v>
          </cell>
          <cell r="E882" t="str">
            <v xml:space="preserve">Por el control de los jeeps de la cruz </v>
          </cell>
          <cell r="F882" t="str">
            <v>3126949360</v>
          </cell>
          <cell r="G882" t="str">
            <v xml:space="preserve">No dan información </v>
          </cell>
          <cell r="H882" t="str">
            <v>Tratamiento</v>
          </cell>
        </row>
        <row r="883">
          <cell r="A883">
            <v>31577413</v>
          </cell>
          <cell r="B883" t="str">
            <v xml:space="preserve">STELLA </v>
          </cell>
          <cell r="C883" t="str">
            <v>Cali</v>
          </cell>
          <cell r="D883" t="str">
            <v>CL 4W 76B-34</v>
          </cell>
          <cell r="E883" t="str">
            <v xml:space="preserve">Por cuatro esquinas las gradas a la derecha. </v>
          </cell>
          <cell r="F883" t="str">
            <v>3226376028</v>
          </cell>
          <cell r="G883" t="str">
            <v>3147582575</v>
          </cell>
          <cell r="H883" t="str">
            <v>Tratamiento</v>
          </cell>
        </row>
        <row r="884">
          <cell r="A884">
            <v>31578203</v>
          </cell>
          <cell r="B884" t="str">
            <v>Bersalina</v>
          </cell>
          <cell r="C884" t="str">
            <v>Cali</v>
          </cell>
          <cell r="D884" t="str">
            <v>CL 4A oeste 74G 63</v>
          </cell>
          <cell r="E884" t="str">
            <v/>
          </cell>
          <cell r="F884" t="str">
            <v>3155603762</v>
          </cell>
          <cell r="G884" t="str">
            <v>3015660573</v>
          </cell>
          <cell r="H884" t="str">
            <v>Tratamiento</v>
          </cell>
        </row>
        <row r="885">
          <cell r="A885">
            <v>31830427</v>
          </cell>
          <cell r="B885" t="str">
            <v>Marlene</v>
          </cell>
          <cell r="C885" t="str">
            <v>Cali</v>
          </cell>
          <cell r="D885" t="str">
            <v>Kr 76 D OESTE 4C 126</v>
          </cell>
          <cell r="E885" t="str">
            <v>Al lado de la tienda Yamile</v>
          </cell>
          <cell r="F885" t="str">
            <v>3104046873</v>
          </cell>
          <cell r="G885" t="str">
            <v>3165144919</v>
          </cell>
          <cell r="H885" t="str">
            <v>Tratamiento</v>
          </cell>
        </row>
        <row r="886">
          <cell r="A886">
            <v>31844574</v>
          </cell>
          <cell r="B886" t="str">
            <v xml:space="preserve">Luz marina </v>
          </cell>
          <cell r="C886" t="str">
            <v>Cali</v>
          </cell>
          <cell r="D886" t="str">
            <v>CL 4 oeste 74G 27</v>
          </cell>
          <cell r="E886" t="str">
            <v/>
          </cell>
          <cell r="F886" t="str">
            <v>3117344492</v>
          </cell>
          <cell r="G886" t="str">
            <v xml:space="preserve">No dan información </v>
          </cell>
          <cell r="H886" t="str">
            <v>Tratamiento</v>
          </cell>
        </row>
        <row r="887">
          <cell r="A887">
            <v>31871549</v>
          </cell>
          <cell r="B887" t="str">
            <v>Fanny</v>
          </cell>
          <cell r="C887" t="str">
            <v>Cali</v>
          </cell>
          <cell r="D887" t="str">
            <v>CL 4D oeste 76 26</v>
          </cell>
          <cell r="E887" t="str">
            <v/>
          </cell>
          <cell r="F887" t="str">
            <v>3197556319</v>
          </cell>
          <cell r="G887" t="str">
            <v>3117993997</v>
          </cell>
          <cell r="H887" t="str">
            <v>Tratamiento</v>
          </cell>
        </row>
        <row r="888">
          <cell r="A888">
            <v>31887694</v>
          </cell>
          <cell r="B888" t="str">
            <v>María Miller</v>
          </cell>
          <cell r="C888" t="str">
            <v>Cali</v>
          </cell>
          <cell r="D888" t="str">
            <v>CL 4E OESTE 76BIS 12</v>
          </cell>
          <cell r="E888" t="str">
            <v>AL LADO ES VENTA DE GAS DONDE DOÑA PATRICIA</v>
          </cell>
          <cell r="F888" t="str">
            <v>3178661266</v>
          </cell>
          <cell r="G888" t="str">
            <v xml:space="preserve">No dan información </v>
          </cell>
          <cell r="H888" t="str">
            <v>Tratamiento</v>
          </cell>
        </row>
        <row r="889">
          <cell r="A889">
            <v>31902498</v>
          </cell>
          <cell r="B889" t="str">
            <v xml:space="preserve">Lilia Marlene </v>
          </cell>
          <cell r="C889" t="str">
            <v>Cali</v>
          </cell>
          <cell r="D889" t="str">
            <v>Cl 4b oeste 73d 44</v>
          </cell>
          <cell r="E889" t="str">
            <v>Preguntar por la señora de los perros blancos  pi  hace yogures. Más abajo del comedor   queda en la carretera</v>
          </cell>
          <cell r="F889" t="str">
            <v>3205039836</v>
          </cell>
          <cell r="G889" t="str">
            <v>3216789507</v>
          </cell>
          <cell r="H889" t="str">
            <v>Tratamiento</v>
          </cell>
        </row>
        <row r="890">
          <cell r="A890">
            <v>31909149</v>
          </cell>
          <cell r="B890" t="str">
            <v>Ana elisa</v>
          </cell>
          <cell r="C890" t="str">
            <v>Cali</v>
          </cell>
          <cell r="D890" t="str">
            <v>MANZANA 30 CASA 08 SECTOR LAS MINAS</v>
          </cell>
          <cell r="E890" t="str">
            <v xml:space="preserve">Canchas las minas  hacia arriba </v>
          </cell>
          <cell r="F890" t="str">
            <v>3208326107</v>
          </cell>
          <cell r="G890" t="str">
            <v>3206672807</v>
          </cell>
          <cell r="H890" t="str">
            <v>Tratamiento</v>
          </cell>
        </row>
        <row r="891">
          <cell r="A891">
            <v>31923598</v>
          </cell>
          <cell r="B891" t="str">
            <v>Gladis stela</v>
          </cell>
          <cell r="C891" t="str">
            <v>Cali</v>
          </cell>
          <cell r="D891" t="str">
            <v>Cr 76b  oeste 2d bis 44</v>
          </cell>
          <cell r="E891" t="str">
            <v xml:space="preserve">Tienda don cheo.    Al frente de la tienda Nora </v>
          </cell>
          <cell r="F891" t="str">
            <v>3226161770</v>
          </cell>
          <cell r="G891" t="str">
            <v>3126638229</v>
          </cell>
          <cell r="H891" t="str">
            <v>Tratamiento</v>
          </cell>
        </row>
        <row r="892">
          <cell r="A892">
            <v>31929380</v>
          </cell>
          <cell r="B892" t="str">
            <v>GLORIA AMPARO</v>
          </cell>
          <cell r="C892" t="str">
            <v>Cali</v>
          </cell>
          <cell r="D892" t="str">
            <v>CL 4D OESTE 76B BIS 32</v>
          </cell>
          <cell r="E892" t="str">
            <v>Al frente de la Torre de energia</v>
          </cell>
          <cell r="F892" t="str">
            <v>3206134418</v>
          </cell>
          <cell r="G892" t="str">
            <v xml:space="preserve">No dan información </v>
          </cell>
          <cell r="H892" t="str">
            <v>Tratamiento</v>
          </cell>
        </row>
        <row r="893">
          <cell r="A893">
            <v>31959597</v>
          </cell>
          <cell r="B893" t="str">
            <v xml:space="preserve">Benilda </v>
          </cell>
          <cell r="C893" t="str">
            <v>Cali</v>
          </cell>
          <cell r="D893" t="str">
            <v>Kr 74g oeste 4B 05</v>
          </cell>
          <cell r="E893" t="str">
            <v>La escuela las minas</v>
          </cell>
          <cell r="F893" t="str">
            <v>3054330289</v>
          </cell>
          <cell r="G893" t="str">
            <v xml:space="preserve">No dan información </v>
          </cell>
          <cell r="H893" t="str">
            <v>Tratamiento</v>
          </cell>
        </row>
        <row r="894">
          <cell r="A894">
            <v>31972147</v>
          </cell>
          <cell r="B894" t="str">
            <v>Maricela</v>
          </cell>
          <cell r="C894" t="str">
            <v>Cali</v>
          </cell>
          <cell r="D894" t="str">
            <v>Cll 48 oeste cr 73 73 piso 1</v>
          </cell>
          <cell r="E894" t="str">
            <v>Más abajo de la tienda se don cheo</v>
          </cell>
          <cell r="F894" t="str">
            <v>3117222884</v>
          </cell>
          <cell r="G894" t="str">
            <v xml:space="preserve">No dan información </v>
          </cell>
          <cell r="H894" t="str">
            <v>Tratamiento</v>
          </cell>
        </row>
        <row r="895">
          <cell r="A895">
            <v>31981946</v>
          </cell>
          <cell r="B895" t="str">
            <v xml:space="preserve">Luz Marina </v>
          </cell>
          <cell r="C895" t="str">
            <v>Cali</v>
          </cell>
          <cell r="D895" t="str">
            <v>CL 3C BIS 76 C 27</v>
          </cell>
          <cell r="E895" t="str">
            <v>A tres viviendas de la tienda de alimentos de perros</v>
          </cell>
          <cell r="F895" t="str">
            <v>3145698122</v>
          </cell>
          <cell r="G895" t="str">
            <v>3163913256</v>
          </cell>
          <cell r="H895" t="str">
            <v>Tratamiento</v>
          </cell>
        </row>
        <row r="896">
          <cell r="A896">
            <v>31983781</v>
          </cell>
          <cell r="B896" t="str">
            <v xml:space="preserve">LEONOR </v>
          </cell>
          <cell r="C896" t="str">
            <v>Cali</v>
          </cell>
          <cell r="D896" t="str">
            <v>KR 76 A OESTE 4DBIS-09</v>
          </cell>
          <cell r="E896" t="str">
            <v xml:space="preserve">Enseguida del colegio fe y alegría la casa prefabricada de malla gris </v>
          </cell>
          <cell r="F896" t="str">
            <v>3183557208</v>
          </cell>
          <cell r="G896" t="str">
            <v>3008587529</v>
          </cell>
          <cell r="H896" t="str">
            <v>Tratamiento</v>
          </cell>
        </row>
        <row r="897">
          <cell r="A897">
            <v>31992224</v>
          </cell>
          <cell r="B897" t="str">
            <v xml:space="preserve">BLANCA INÉS </v>
          </cell>
          <cell r="C897" t="str">
            <v>Cali</v>
          </cell>
          <cell r="D897" t="str">
            <v>CALLE 4C OESTE 76B1-20</v>
          </cell>
          <cell r="E897" t="str">
            <v>Centro solidaridad la esperanza cesoles</v>
          </cell>
          <cell r="F897" t="str">
            <v>3216475217</v>
          </cell>
          <cell r="G897" t="str">
            <v>3147564530</v>
          </cell>
          <cell r="H897" t="str">
            <v>Tratamiento</v>
          </cell>
        </row>
        <row r="898">
          <cell r="A898">
            <v>31992747</v>
          </cell>
          <cell r="B898" t="str">
            <v xml:space="preserve">María  Lucinda </v>
          </cell>
          <cell r="C898" t="str">
            <v>Cali</v>
          </cell>
          <cell r="D898" t="str">
            <v>Kr 76 A oeste 4Dbis 15</v>
          </cell>
          <cell r="E898" t="str">
            <v>Al frente del colegio fe y alegria</v>
          </cell>
          <cell r="F898" t="str">
            <v>3207715491</v>
          </cell>
          <cell r="G898" t="str">
            <v>3207047117</v>
          </cell>
          <cell r="H898" t="str">
            <v>Tratamiento</v>
          </cell>
        </row>
        <row r="899">
          <cell r="A899">
            <v>32102790</v>
          </cell>
          <cell r="B899" t="str">
            <v xml:space="preserve">María Eugenia </v>
          </cell>
          <cell r="C899" t="str">
            <v>Medellin</v>
          </cell>
          <cell r="D899" t="str">
            <v xml:space="preserve">Calle 65#16DD 19 interior 1847 cerca terminal de Golondrinas </v>
          </cell>
          <cell r="E899" t="str">
            <v/>
          </cell>
          <cell r="F899" t="str">
            <v>3016317688</v>
          </cell>
          <cell r="G899" t="str">
            <v>3137864736</v>
          </cell>
          <cell r="H899" t="str">
            <v>Tratamiento</v>
          </cell>
        </row>
        <row r="900">
          <cell r="A900">
            <v>32118138</v>
          </cell>
          <cell r="B900" t="str">
            <v>John Jairo</v>
          </cell>
          <cell r="C900" t="str">
            <v>Medellin</v>
          </cell>
          <cell r="D900" t="str">
            <v>Carrera 17 a #56-8 int 1282</v>
          </cell>
          <cell r="E900" t="str">
            <v>De la junta de acción comunal bajan por las escaleras a media cuadra</v>
          </cell>
          <cell r="F900" t="str">
            <v>3244102864</v>
          </cell>
          <cell r="G900" t="str">
            <v xml:space="preserve">No dan información </v>
          </cell>
          <cell r="H900" t="str">
            <v>Tratamiento</v>
          </cell>
        </row>
        <row r="901">
          <cell r="A901">
            <v>32144313</v>
          </cell>
          <cell r="B901" t="str">
            <v>Yadys Patricia</v>
          </cell>
          <cell r="C901" t="str">
            <v>Medellin</v>
          </cell>
          <cell r="D901" t="str">
            <v>Arriba del vivero de pinares de oriente</v>
          </cell>
          <cell r="E901" t="str">
            <v/>
          </cell>
          <cell r="F901" t="str">
            <v>3226037691</v>
          </cell>
          <cell r="G901" t="str">
            <v>3017856834</v>
          </cell>
          <cell r="H901" t="str">
            <v>Tratamiento</v>
          </cell>
        </row>
        <row r="902">
          <cell r="A902">
            <v>32208850</v>
          </cell>
          <cell r="B902" t="str">
            <v xml:space="preserve">Sulinda Patricia </v>
          </cell>
          <cell r="C902" t="str">
            <v>Medellin</v>
          </cell>
          <cell r="D902" t="str">
            <v>Cerca la droguería al faro</v>
          </cell>
          <cell r="E902" t="str">
            <v/>
          </cell>
          <cell r="F902" t="str">
            <v>3504996590</v>
          </cell>
          <cell r="G902" t="str">
            <v>3043650877</v>
          </cell>
          <cell r="H902" t="str">
            <v>Tratamiento</v>
          </cell>
        </row>
        <row r="903">
          <cell r="A903">
            <v>32255448</v>
          </cell>
          <cell r="B903" t="str">
            <v xml:space="preserve">Gloria Amparo </v>
          </cell>
          <cell r="C903" t="str">
            <v>Medellin</v>
          </cell>
          <cell r="D903" t="str">
            <v xml:space="preserve">Cerca a la casa del vivero de pinares de oriente </v>
          </cell>
          <cell r="E903" t="str">
            <v/>
          </cell>
          <cell r="F903" t="str">
            <v>3003285816</v>
          </cell>
          <cell r="G903" t="str">
            <v>3017660230</v>
          </cell>
          <cell r="H903" t="str">
            <v>Tratamiento</v>
          </cell>
        </row>
        <row r="904">
          <cell r="A904">
            <v>32258550</v>
          </cell>
          <cell r="B904" t="str">
            <v xml:space="preserve">Omaira </v>
          </cell>
          <cell r="C904" t="str">
            <v>Medellin</v>
          </cell>
          <cell r="D904" t="str">
            <v>Carrera 4 este #55H 28</v>
          </cell>
          <cell r="E904" t="str">
            <v>De la iglesia sube por el filo, hasta casi el final de las escaleras</v>
          </cell>
          <cell r="F904" t="str">
            <v>3242386652</v>
          </cell>
          <cell r="G904" t="str">
            <v>3001213874</v>
          </cell>
          <cell r="H904" t="str">
            <v>Tratamiento</v>
          </cell>
        </row>
        <row r="905">
          <cell r="A905">
            <v>32285101</v>
          </cell>
          <cell r="B905" t="str">
            <v>Elida Rosa</v>
          </cell>
          <cell r="C905" t="str">
            <v>Cali</v>
          </cell>
          <cell r="D905" t="str">
            <v>Kr 76 E OESTE 4C BIS 38</v>
          </cell>
          <cell r="E905" t="str">
            <v>Al lado de la caseta comunal por la parte de arriba. O  dos casas de la cerrajería de la vía principal</v>
          </cell>
          <cell r="F905" t="str">
            <v>3159363447</v>
          </cell>
          <cell r="G905" t="str">
            <v>3127090484</v>
          </cell>
          <cell r="H905" t="str">
            <v>Tratamiento</v>
          </cell>
        </row>
        <row r="906">
          <cell r="A906">
            <v>32285912</v>
          </cell>
          <cell r="B906" t="str">
            <v>María Isabelina</v>
          </cell>
          <cell r="C906" t="str">
            <v>Cali</v>
          </cell>
          <cell r="D906" t="str">
            <v>CL 4D OESTE 70A 50</v>
          </cell>
          <cell r="E906" t="str">
            <v xml:space="preserve">Punto de chance de doña Ana es único </v>
          </cell>
          <cell r="F906" t="str">
            <v>3178664182</v>
          </cell>
          <cell r="G906" t="str">
            <v xml:space="preserve">No dan información </v>
          </cell>
          <cell r="H906" t="str">
            <v>Tratamiento</v>
          </cell>
        </row>
        <row r="907">
          <cell r="A907">
            <v>32358114</v>
          </cell>
          <cell r="B907" t="str">
            <v>Yarledys tatiana correa</v>
          </cell>
          <cell r="C907" t="str">
            <v>Medellin</v>
          </cell>
          <cell r="D907" t="str">
            <v>Cerca de la escuela sol de oriente</v>
          </cell>
          <cell r="E907" t="str">
            <v/>
          </cell>
          <cell r="F907" t="str">
            <v>3145385591</v>
          </cell>
          <cell r="G907" t="str">
            <v>3245013133</v>
          </cell>
          <cell r="H907" t="str">
            <v>Tratamiento</v>
          </cell>
        </row>
        <row r="908">
          <cell r="A908">
            <v>32358159</v>
          </cell>
          <cell r="B908" t="str">
            <v>Elena Rocio Torres Lozano</v>
          </cell>
          <cell r="C908" t="str">
            <v>Medellin</v>
          </cell>
          <cell r="D908" t="str">
            <v>Cerca al centro de salud sol de oriente</v>
          </cell>
          <cell r="E908" t="str">
            <v/>
          </cell>
          <cell r="F908" t="str">
            <v>3104456997</v>
          </cell>
          <cell r="G908" t="str">
            <v>3128196411</v>
          </cell>
          <cell r="H908" t="str">
            <v>Tratamiento</v>
          </cell>
        </row>
        <row r="909">
          <cell r="A909">
            <v>32409494</v>
          </cell>
          <cell r="B909" t="str">
            <v>Celina</v>
          </cell>
          <cell r="C909" t="str">
            <v>Medellin</v>
          </cell>
          <cell r="D909" t="str">
            <v>Carrera 10 Este # 44 AA -60</v>
          </cell>
          <cell r="E909" t="str">
            <v>Las escalas después del cai viejo</v>
          </cell>
          <cell r="F909" t="str">
            <v>3147172622</v>
          </cell>
          <cell r="G909" t="str">
            <v>3225261660</v>
          </cell>
          <cell r="H909" t="str">
            <v>Tratamiento</v>
          </cell>
        </row>
        <row r="910">
          <cell r="A910">
            <v>32422939</v>
          </cell>
          <cell r="B910" t="str">
            <v xml:space="preserve">Ana delfa </v>
          </cell>
          <cell r="C910" t="str">
            <v>Medellin</v>
          </cell>
          <cell r="D910" t="str">
            <v>Calle 4 este#53d 79 int 107</v>
          </cell>
          <cell r="E910" t="str">
            <v xml:space="preserve">Por el buen comienzo, bajan las escaleras y en el descanso a mano izquierda </v>
          </cell>
          <cell r="F910" t="str">
            <v>3245904146</v>
          </cell>
          <cell r="G910" t="str">
            <v>3137142964</v>
          </cell>
          <cell r="H910" t="str">
            <v>Tratamiento</v>
          </cell>
        </row>
        <row r="911">
          <cell r="A911">
            <v>32487899</v>
          </cell>
          <cell r="B911" t="str">
            <v xml:space="preserve">Maria Amparo </v>
          </cell>
          <cell r="C911" t="str">
            <v>Medellin</v>
          </cell>
          <cell r="D911" t="str">
            <v>Calle 7A este # 54AA - 35</v>
          </cell>
          <cell r="E911" t="str">
            <v xml:space="preserve"> una cuadra y media arriba de la iglesia la sierra por la principal </v>
          </cell>
          <cell r="F911" t="str">
            <v>3044491916</v>
          </cell>
          <cell r="G911" t="str">
            <v>3004146161</v>
          </cell>
          <cell r="H911" t="str">
            <v>Tratamiento</v>
          </cell>
        </row>
        <row r="912">
          <cell r="A912">
            <v>32500696</v>
          </cell>
          <cell r="B912" t="str">
            <v xml:space="preserve">Maria Teresa </v>
          </cell>
          <cell r="C912" t="str">
            <v>Medellin</v>
          </cell>
          <cell r="D912" t="str">
            <v>Carrera 9B este # 54B- 09</v>
          </cell>
          <cell r="E912" t="str">
            <v xml:space="preserve"> Erica al cai viejo</v>
          </cell>
          <cell r="F912" t="str">
            <v>3117738535</v>
          </cell>
          <cell r="G912" t="str">
            <v>3215478843</v>
          </cell>
          <cell r="H912" t="str">
            <v>Tratamiento</v>
          </cell>
        </row>
        <row r="913">
          <cell r="A913">
            <v>32519087</v>
          </cell>
          <cell r="B913" t="str">
            <v>Aura Cely</v>
          </cell>
          <cell r="C913" t="str">
            <v>Medellin</v>
          </cell>
          <cell r="D913" t="str">
            <v>Carrera 3 este # 55H - 31</v>
          </cell>
          <cell r="E913" t="str">
            <v>Subiendo por las escalas villa sierra</v>
          </cell>
          <cell r="F913" t="str">
            <v>3005167459</v>
          </cell>
          <cell r="G913" t="str">
            <v>3007035951</v>
          </cell>
          <cell r="H913" t="str">
            <v>Tratamiento</v>
          </cell>
        </row>
        <row r="914">
          <cell r="A914">
            <v>32529962</v>
          </cell>
          <cell r="B914" t="str">
            <v>Ana Felinda</v>
          </cell>
          <cell r="C914" t="str">
            <v>Medellin</v>
          </cell>
          <cell r="D914" t="str">
            <v>Cerca del depósito de benito</v>
          </cell>
          <cell r="E914" t="str">
            <v/>
          </cell>
          <cell r="F914" t="str">
            <v>3016113438</v>
          </cell>
          <cell r="G914" t="str">
            <v>3245139776</v>
          </cell>
          <cell r="H914" t="str">
            <v>Tratamiento</v>
          </cell>
        </row>
        <row r="915">
          <cell r="A915">
            <v>32531832</v>
          </cell>
          <cell r="B915" t="str">
            <v>Bertha Alicia</v>
          </cell>
          <cell r="C915" t="str">
            <v>Medellin</v>
          </cell>
          <cell r="D915" t="str">
            <v>Cerca del vivero</v>
          </cell>
          <cell r="E915" t="str">
            <v/>
          </cell>
          <cell r="F915" t="str">
            <v>3103890088</v>
          </cell>
          <cell r="G915" t="str">
            <v>3053263832</v>
          </cell>
          <cell r="H915" t="str">
            <v>Tratamiento</v>
          </cell>
        </row>
        <row r="916">
          <cell r="A916">
            <v>32533675</v>
          </cell>
          <cell r="B916" t="str">
            <v>Marleni del socorro</v>
          </cell>
          <cell r="C916" t="str">
            <v>Medellin</v>
          </cell>
          <cell r="D916" t="str">
            <v xml:space="preserve">Carrera 18#56EC-07
</v>
          </cell>
          <cell r="E916" t="str">
            <v>Cerca a la uva de sol de oriente esquina de abajo</v>
          </cell>
          <cell r="F916" t="str">
            <v>3122688017</v>
          </cell>
          <cell r="G916" t="str">
            <v>3122688017</v>
          </cell>
          <cell r="H916" t="str">
            <v>Tratamiento</v>
          </cell>
        </row>
        <row r="917">
          <cell r="A917">
            <v>32535369</v>
          </cell>
          <cell r="B917" t="str">
            <v xml:space="preserve">Ana Lilia </v>
          </cell>
          <cell r="C917" t="str">
            <v>Medellin</v>
          </cell>
          <cell r="D917" t="str">
            <v>Calle 56ef 18A26</v>
          </cell>
          <cell r="E917" t="str">
            <v>Desd ela uva llegamos a los pasamanos azules</v>
          </cell>
          <cell r="F917" t="str">
            <v>604-5459426</v>
          </cell>
          <cell r="G917" t="str">
            <v>3195945965</v>
          </cell>
          <cell r="H917" t="str">
            <v>Tratamiento</v>
          </cell>
        </row>
        <row r="918">
          <cell r="A918">
            <v>32580754</v>
          </cell>
          <cell r="B918" t="str">
            <v>JEYDI MARIA</v>
          </cell>
          <cell r="C918" t="str">
            <v>Baranquilla</v>
          </cell>
          <cell r="D918" t="str">
            <v>Cl 73D 8G 33</v>
          </cell>
          <cell r="E918" t="str">
            <v>Tienda la Estrella donde Ñaña</v>
          </cell>
          <cell r="F918" t="str">
            <v>3006626284</v>
          </cell>
          <cell r="G918" t="str">
            <v>3044920473</v>
          </cell>
          <cell r="H918" t="str">
            <v>Tratamiento</v>
          </cell>
        </row>
        <row r="919">
          <cell r="A919">
            <v>32612783</v>
          </cell>
          <cell r="B919" t="str">
            <v>Yarleni</v>
          </cell>
          <cell r="C919" t="str">
            <v>Baranquilla</v>
          </cell>
          <cell r="D919" t="str">
            <v xml:space="preserve">Carrera 7d 75 27 </v>
          </cell>
          <cell r="E919" t="str">
            <v xml:space="preserve">Cerca a la panaderia ricura del bosque </v>
          </cell>
          <cell r="F919" t="str">
            <v>3005137032</v>
          </cell>
          <cell r="G919" t="str">
            <v>3162794624</v>
          </cell>
          <cell r="H919" t="str">
            <v>Tratamiento</v>
          </cell>
        </row>
        <row r="920">
          <cell r="A920">
            <v>32613935</v>
          </cell>
          <cell r="B920" t="str">
            <v>NUBIA LUZ</v>
          </cell>
          <cell r="C920" t="str">
            <v>Baranquilla</v>
          </cell>
          <cell r="D920" t="str">
            <v>KR 9 93 20</v>
          </cell>
          <cell r="E920" t="str">
            <v>Cerca al estadero la Carreta</v>
          </cell>
          <cell r="F920" t="str">
            <v>3242607068</v>
          </cell>
          <cell r="G920" t="str">
            <v>3218372016</v>
          </cell>
          <cell r="H920" t="str">
            <v>Tratamiento</v>
          </cell>
        </row>
        <row r="921">
          <cell r="A921">
            <v>32623209</v>
          </cell>
          <cell r="B921" t="str">
            <v>Luisa julio</v>
          </cell>
          <cell r="C921" t="str">
            <v>Baranquilla</v>
          </cell>
          <cell r="D921" t="str">
            <v>Cll80#7c42</v>
          </cell>
          <cell r="E921" t="str">
            <v/>
          </cell>
          <cell r="F921" t="str">
            <v>3009413038</v>
          </cell>
          <cell r="G921" t="str">
            <v>3245071600</v>
          </cell>
          <cell r="H921" t="str">
            <v>Tratamiento</v>
          </cell>
        </row>
        <row r="922">
          <cell r="A922">
            <v>32629512</v>
          </cell>
          <cell r="B922" t="str">
            <v xml:space="preserve">Ana isabel </v>
          </cell>
          <cell r="C922" t="str">
            <v>Baranquilla</v>
          </cell>
          <cell r="D922" t="str">
            <v>Cll 61 # 9-31</v>
          </cell>
          <cell r="E922" t="str">
            <v xml:space="preserve">Casa de tabla </v>
          </cell>
          <cell r="F922" t="str">
            <v>3025064300</v>
          </cell>
          <cell r="G922" t="str">
            <v>3001734532</v>
          </cell>
          <cell r="H922" t="str">
            <v>Tratamiento</v>
          </cell>
        </row>
        <row r="923">
          <cell r="A923">
            <v>32634688</v>
          </cell>
          <cell r="B923" t="str">
            <v>Ana</v>
          </cell>
          <cell r="C923" t="str">
            <v>Baranquilla</v>
          </cell>
          <cell r="D923" t="str">
            <v>Cr8g94_38</v>
          </cell>
          <cell r="E923" t="str">
            <v/>
          </cell>
          <cell r="F923" t="str">
            <v>3006391505</v>
          </cell>
          <cell r="G923" t="str">
            <v>3022686266</v>
          </cell>
          <cell r="H923" t="str">
            <v>Tratamiento</v>
          </cell>
        </row>
        <row r="924">
          <cell r="A924">
            <v>32636575</v>
          </cell>
          <cell r="B924" t="str">
            <v xml:space="preserve">MARÍA CONCEPCIÓN </v>
          </cell>
          <cell r="C924" t="str">
            <v>Baranquilla</v>
          </cell>
          <cell r="D924" t="str">
            <v>KR 8G 93 139</v>
          </cell>
          <cell r="E924" t="str">
            <v>Cerca del D1</v>
          </cell>
          <cell r="F924" t="str">
            <v/>
          </cell>
          <cell r="G924" t="str">
            <v>3006877851</v>
          </cell>
          <cell r="H924" t="str">
            <v>Tratamiento</v>
          </cell>
        </row>
        <row r="925">
          <cell r="A925">
            <v>32639848</v>
          </cell>
          <cell r="B925" t="str">
            <v>Maria</v>
          </cell>
          <cell r="C925" t="str">
            <v>Baranquilla</v>
          </cell>
          <cell r="D925" t="str">
            <v>Calle 75 #7c-18</v>
          </cell>
          <cell r="E925" t="str">
            <v xml:space="preserve">Por la tienda la abundancia </v>
          </cell>
          <cell r="F925" t="str">
            <v>3007649220</v>
          </cell>
          <cell r="G925" t="str">
            <v>3006813248</v>
          </cell>
          <cell r="H925" t="str">
            <v>Tratamiento</v>
          </cell>
        </row>
        <row r="926">
          <cell r="A926">
            <v>32648994</v>
          </cell>
          <cell r="B926" t="str">
            <v>Berta ester</v>
          </cell>
          <cell r="C926" t="str">
            <v>Baranquilla</v>
          </cell>
          <cell r="D926" t="str">
            <v>Kra 9k #64b-29</v>
          </cell>
          <cell r="E926" t="str">
            <v xml:space="preserve">Al frente de la tienda la terraza </v>
          </cell>
          <cell r="F926" t="str">
            <v>3012989932</v>
          </cell>
          <cell r="G926" t="str">
            <v>3023488625</v>
          </cell>
          <cell r="H926" t="str">
            <v>Tratamiento</v>
          </cell>
        </row>
        <row r="927">
          <cell r="A927">
            <v>32650703</v>
          </cell>
          <cell r="B927" t="str">
            <v>Mara</v>
          </cell>
          <cell r="C927" t="str">
            <v>Baranquilla</v>
          </cell>
          <cell r="D927" t="str">
            <v>Calle 77 #6e-71 apto</v>
          </cell>
          <cell r="E927" t="str">
            <v>Bajando por la clínica San ingnacio</v>
          </cell>
          <cell r="F927" t="str">
            <v>32650703</v>
          </cell>
          <cell r="G927" t="str">
            <v>3146551197</v>
          </cell>
          <cell r="H927" t="str">
            <v>Tratamiento</v>
          </cell>
        </row>
        <row r="928">
          <cell r="A928">
            <v>32665786</v>
          </cell>
          <cell r="B928" t="str">
            <v xml:space="preserve">Héctor </v>
          </cell>
          <cell r="C928" t="str">
            <v>Baranquilla</v>
          </cell>
          <cell r="D928" t="str">
            <v>Calle 74 #6e-36</v>
          </cell>
          <cell r="E928" t="str">
            <v xml:space="preserve">A una cuadra de la tienda tres hermanos </v>
          </cell>
          <cell r="F928" t="str">
            <v>3146678360</v>
          </cell>
          <cell r="G928" t="str">
            <v>3002431133</v>
          </cell>
          <cell r="H928" t="str">
            <v>Tratamiento</v>
          </cell>
        </row>
        <row r="929">
          <cell r="A929">
            <v>32673448</v>
          </cell>
          <cell r="B929" t="str">
            <v>María mercedes</v>
          </cell>
          <cell r="C929" t="str">
            <v>Baranquilla</v>
          </cell>
          <cell r="D929" t="str">
            <v>Cll 87 # 9-06</v>
          </cell>
          <cell r="E929" t="str">
            <v>Casa verde de esquina, después de la carcel</v>
          </cell>
          <cell r="F929" t="str">
            <v>3105295934</v>
          </cell>
          <cell r="G929" t="str">
            <v>3135783313</v>
          </cell>
          <cell r="H929" t="str">
            <v>Tratamiento</v>
          </cell>
        </row>
        <row r="930">
          <cell r="A930">
            <v>32674359</v>
          </cell>
          <cell r="B930" t="str">
            <v>Rogelio daniel</v>
          </cell>
          <cell r="C930" t="str">
            <v>Baranquilla</v>
          </cell>
          <cell r="D930" t="str">
            <v>Cr 8g # 93- 187</v>
          </cell>
          <cell r="E930" t="str">
            <v xml:space="preserve">Cerca de mr tiburón </v>
          </cell>
          <cell r="F930" t="str">
            <v>3148965066</v>
          </cell>
          <cell r="G930" t="str">
            <v>3006877851</v>
          </cell>
          <cell r="H930" t="str">
            <v>Tratamiento</v>
          </cell>
        </row>
        <row r="931">
          <cell r="A931">
            <v>32674864</v>
          </cell>
          <cell r="B931" t="str">
            <v xml:space="preserve">Ana María </v>
          </cell>
          <cell r="C931" t="str">
            <v>Baranquilla</v>
          </cell>
          <cell r="D931" t="str">
            <v>Calle63a#9k25</v>
          </cell>
          <cell r="E931" t="str">
            <v>Bajando por billares el perro</v>
          </cell>
          <cell r="F931" t="str">
            <v>3013983100</v>
          </cell>
          <cell r="G931" t="str">
            <v>3153836291</v>
          </cell>
          <cell r="H931" t="str">
            <v>Tratamiento</v>
          </cell>
        </row>
        <row r="932">
          <cell r="A932">
            <v>32682939</v>
          </cell>
          <cell r="B932" t="str">
            <v>Maribel</v>
          </cell>
          <cell r="C932" t="str">
            <v>Baranquilla</v>
          </cell>
          <cell r="D932" t="str">
            <v>Kra 7h #77-39</v>
          </cell>
          <cell r="E932" t="str">
            <v>La parte de atrás de la carcel</v>
          </cell>
          <cell r="F932" t="str">
            <v>3244324193</v>
          </cell>
          <cell r="G932" t="str">
            <v>3017781809</v>
          </cell>
          <cell r="H932" t="str">
            <v>Tratamiento</v>
          </cell>
        </row>
        <row r="933">
          <cell r="A933">
            <v>32688218</v>
          </cell>
          <cell r="B933" t="str">
            <v>Luz helena</v>
          </cell>
          <cell r="C933" t="str">
            <v>Baranquilla</v>
          </cell>
          <cell r="D933" t="str">
            <v>Cr8g#60b63</v>
          </cell>
          <cell r="E933" t="str">
            <v>Billares el platanera</v>
          </cell>
          <cell r="F933" t="str">
            <v>3017189350</v>
          </cell>
          <cell r="G933" t="str">
            <v>3004172250</v>
          </cell>
          <cell r="H933" t="str">
            <v>Tratamiento</v>
          </cell>
        </row>
        <row r="934">
          <cell r="A934">
            <v>32688521</v>
          </cell>
          <cell r="B934" t="str">
            <v>Juana</v>
          </cell>
          <cell r="C934" t="str">
            <v>Baranquilla</v>
          </cell>
          <cell r="D934" t="str">
            <v>Calle 88 #7e-100</v>
          </cell>
          <cell r="E934" t="str">
            <v xml:space="preserve">Tienda San Benito </v>
          </cell>
          <cell r="F934" t="str">
            <v>0</v>
          </cell>
          <cell r="G934" t="str">
            <v>3022926689</v>
          </cell>
          <cell r="H934" t="str">
            <v>Tratamiento</v>
          </cell>
        </row>
        <row r="935">
          <cell r="A935">
            <v>32690815</v>
          </cell>
          <cell r="B935" t="str">
            <v xml:space="preserve">Sol teresa </v>
          </cell>
          <cell r="C935" t="str">
            <v>Baranquilla</v>
          </cell>
          <cell r="D935" t="str">
            <v>Calle65c#9k-181</v>
          </cell>
          <cell r="E935" t="str">
            <v>Billares el papi</v>
          </cell>
          <cell r="F935" t="str">
            <v>3042265421</v>
          </cell>
          <cell r="G935" t="str">
            <v>3004980098</v>
          </cell>
          <cell r="H935" t="str">
            <v>Tratamiento</v>
          </cell>
        </row>
        <row r="936">
          <cell r="A936">
            <v>32694200</v>
          </cell>
          <cell r="B936" t="str">
            <v>Lía esther</v>
          </cell>
          <cell r="C936" t="str">
            <v>Baranquilla</v>
          </cell>
          <cell r="D936" t="str">
            <v>Cr 6e # 73c 20</v>
          </cell>
          <cell r="E936" t="str">
            <v>Alado de un taller de soldadura</v>
          </cell>
          <cell r="F936" t="str">
            <v>3117580877</v>
          </cell>
          <cell r="G936" t="str">
            <v>3117580877</v>
          </cell>
          <cell r="H936" t="str">
            <v>Tratamiento</v>
          </cell>
        </row>
        <row r="937">
          <cell r="A937">
            <v>32707038</v>
          </cell>
          <cell r="B937" t="str">
            <v>Vilma isabel</v>
          </cell>
          <cell r="C937" t="str">
            <v>Baranquilla</v>
          </cell>
          <cell r="D937" t="str">
            <v>Cr 9 # 87- 35</v>
          </cell>
          <cell r="E937" t="str">
            <v>Casa alta, frente de una casa amarilla</v>
          </cell>
          <cell r="F937" t="str">
            <v>3005066545</v>
          </cell>
          <cell r="G937" t="str">
            <v>3132682819</v>
          </cell>
          <cell r="H937" t="str">
            <v>Tratamiento</v>
          </cell>
        </row>
        <row r="938">
          <cell r="A938">
            <v>32708738</v>
          </cell>
          <cell r="B938" t="str">
            <v>Miladys esther</v>
          </cell>
          <cell r="C938" t="str">
            <v>Baranquilla</v>
          </cell>
          <cell r="D938" t="str">
            <v>Diagonal 64b 9J1 13</v>
          </cell>
          <cell r="E938" t="str">
            <v>Diagonal al hospital del bosque</v>
          </cell>
          <cell r="F938" t="str">
            <v>3005938494</v>
          </cell>
          <cell r="G938" t="str">
            <v>3016426435</v>
          </cell>
          <cell r="H938" t="str">
            <v>Tratamiento</v>
          </cell>
        </row>
        <row r="939">
          <cell r="A939">
            <v>32709507</v>
          </cell>
          <cell r="B939" t="str">
            <v xml:space="preserve">GLORIA ESTHER </v>
          </cell>
          <cell r="C939" t="str">
            <v>Baranquilla</v>
          </cell>
          <cell r="D939" t="str">
            <v>Carrera 8C 74 32</v>
          </cell>
          <cell r="E939" t="str">
            <v>Frente la tienda Juniorista</v>
          </cell>
          <cell r="F939" t="str">
            <v>3242463910</v>
          </cell>
          <cell r="G939" t="str">
            <v>3216471526</v>
          </cell>
          <cell r="H939" t="str">
            <v>Tratamiento</v>
          </cell>
        </row>
        <row r="940">
          <cell r="A940">
            <v>32710701</v>
          </cell>
          <cell r="B940" t="str">
            <v xml:space="preserve">Carmen María </v>
          </cell>
          <cell r="C940" t="str">
            <v>Baranquilla</v>
          </cell>
          <cell r="D940" t="str">
            <v>Cr8c#73c-101</v>
          </cell>
          <cell r="E940" t="str">
            <v xml:space="preserve">El cai zona de la cárcel </v>
          </cell>
          <cell r="F940" t="str">
            <v>3205488193</v>
          </cell>
          <cell r="G940" t="str">
            <v>3123093463</v>
          </cell>
          <cell r="H940" t="str">
            <v>Tratamiento</v>
          </cell>
        </row>
        <row r="941">
          <cell r="A941">
            <v>32712481</v>
          </cell>
          <cell r="B941" t="str">
            <v xml:space="preserve">JUDITH CECILIA </v>
          </cell>
          <cell r="C941" t="str">
            <v>Baranquilla</v>
          </cell>
          <cell r="D941" t="str">
            <v>DG 64A 9 90</v>
          </cell>
          <cell r="E941" t="str">
            <v xml:space="preserve">Detrás de casa de la cultura </v>
          </cell>
          <cell r="F941" t="str">
            <v>3187036843</v>
          </cell>
          <cell r="G941" t="str">
            <v>3244282810</v>
          </cell>
          <cell r="H941" t="str">
            <v>Tratamiento</v>
          </cell>
        </row>
        <row r="942">
          <cell r="A942">
            <v>32716378</v>
          </cell>
          <cell r="B942" t="str">
            <v>Enilda</v>
          </cell>
          <cell r="C942" t="str">
            <v>Baranquilla</v>
          </cell>
          <cell r="D942" t="str">
            <v>Calle 73 c#7-54</v>
          </cell>
          <cell r="E942" t="str">
            <v>Carpinteria ojitos</v>
          </cell>
          <cell r="F942" t="str">
            <v>3136388637</v>
          </cell>
          <cell r="G942" t="str">
            <v>3196996958</v>
          </cell>
          <cell r="H942" t="str">
            <v>Tratamiento</v>
          </cell>
        </row>
        <row r="943">
          <cell r="A943">
            <v>32717266</v>
          </cell>
          <cell r="B943" t="str">
            <v xml:space="preserve">Dorelis patricia </v>
          </cell>
          <cell r="C943" t="str">
            <v>Baranquilla</v>
          </cell>
          <cell r="D943" t="str">
            <v>Cll 63a # 9 37 apto 1</v>
          </cell>
          <cell r="E943" t="str">
            <v>Subiendo por mercaditos la 9</v>
          </cell>
          <cell r="F943" t="str">
            <v>3003993671</v>
          </cell>
          <cell r="G943" t="str">
            <v>3043414347</v>
          </cell>
          <cell r="H943" t="str">
            <v>Tratamiento</v>
          </cell>
        </row>
        <row r="944">
          <cell r="A944">
            <v>32727855</v>
          </cell>
          <cell r="B944" t="str">
            <v xml:space="preserve">YUDIS ISABEL </v>
          </cell>
          <cell r="C944" t="str">
            <v>Baranquilla</v>
          </cell>
          <cell r="D944" t="str">
            <v>KR 8G 94 38 apto 1</v>
          </cell>
          <cell r="E944" t="str">
            <v xml:space="preserve">Frente a Mr TIBURÓN </v>
          </cell>
          <cell r="F944" t="str">
            <v>3022686266</v>
          </cell>
          <cell r="G944" t="str">
            <v>3185446030</v>
          </cell>
          <cell r="H944" t="str">
            <v>Tratamiento</v>
          </cell>
        </row>
        <row r="945">
          <cell r="A945">
            <v>32733938</v>
          </cell>
          <cell r="B945" t="str">
            <v xml:space="preserve">Teresa </v>
          </cell>
          <cell r="C945" t="str">
            <v>Baranquilla</v>
          </cell>
          <cell r="D945" t="str">
            <v>Kra 9 #60-66</v>
          </cell>
          <cell r="E945" t="str">
            <v>Al frente de la tienda los recuerdos de elsa</v>
          </cell>
          <cell r="F945" t="str">
            <v>3218390390</v>
          </cell>
          <cell r="G945" t="str">
            <v>3218738189</v>
          </cell>
          <cell r="H945" t="str">
            <v>Tratamiento</v>
          </cell>
        </row>
        <row r="946">
          <cell r="A946">
            <v>32734044</v>
          </cell>
          <cell r="B946" t="str">
            <v>Elsa Regina</v>
          </cell>
          <cell r="C946" t="str">
            <v>Baranquilla</v>
          </cell>
          <cell r="D946" t="str">
            <v>Cr9#60-78</v>
          </cell>
          <cell r="E946" t="str">
            <v xml:space="preserve">La loma del peligro </v>
          </cell>
          <cell r="F946" t="str">
            <v>3042004586</v>
          </cell>
          <cell r="G946" t="str">
            <v>3042250675</v>
          </cell>
          <cell r="H946" t="str">
            <v>Tratamiento</v>
          </cell>
        </row>
        <row r="947">
          <cell r="A947">
            <v>32736975</v>
          </cell>
          <cell r="B947" t="str">
            <v>Nancy esther</v>
          </cell>
          <cell r="C947" t="str">
            <v>Baranquilla</v>
          </cell>
          <cell r="D947" t="str">
            <v>Cll 77 6e-101</v>
          </cell>
          <cell r="E947" t="str">
            <v>Frente de la tienda los girasoles</v>
          </cell>
          <cell r="F947" t="str">
            <v>3046046699</v>
          </cell>
          <cell r="G947" t="str">
            <v>3042631019</v>
          </cell>
          <cell r="H947" t="str">
            <v>Tratamiento</v>
          </cell>
        </row>
        <row r="948">
          <cell r="A948">
            <v>32740221</v>
          </cell>
          <cell r="B948" t="str">
            <v>Ofelia</v>
          </cell>
          <cell r="C948" t="str">
            <v>Baranquilla</v>
          </cell>
          <cell r="D948" t="str">
            <v>Cr8g#60b89</v>
          </cell>
          <cell r="E948" t="str">
            <v>Billares la platanera</v>
          </cell>
          <cell r="F948" t="str">
            <v>3235339925</v>
          </cell>
          <cell r="G948" t="str">
            <v>3244512519</v>
          </cell>
          <cell r="H948" t="str">
            <v>Tratamiento</v>
          </cell>
        </row>
        <row r="949">
          <cell r="A949">
            <v>32740999</v>
          </cell>
          <cell r="B949" t="str">
            <v>Mara judith</v>
          </cell>
          <cell r="C949" t="str">
            <v>Baranquilla</v>
          </cell>
          <cell r="D949" t="str">
            <v>Diag 64b9j05</v>
          </cell>
          <cell r="E949" t="str">
            <v>Frente al camino del bosque María</v>
          </cell>
          <cell r="F949" t="str">
            <v>3002594926</v>
          </cell>
          <cell r="G949" t="str">
            <v>3242355015</v>
          </cell>
          <cell r="H949" t="str">
            <v>Tratamiento</v>
          </cell>
        </row>
        <row r="950">
          <cell r="A950">
            <v>32741994</v>
          </cell>
          <cell r="B950" t="str">
            <v>Manuela ester</v>
          </cell>
          <cell r="C950" t="str">
            <v>Baranquilla</v>
          </cell>
          <cell r="D950" t="str">
            <v>Cr7e#7320</v>
          </cell>
          <cell r="E950" t="str">
            <v xml:space="preserve">Iglesia pio </v>
          </cell>
          <cell r="F950" t="str">
            <v>3012528443</v>
          </cell>
          <cell r="G950" t="str">
            <v>3044291097</v>
          </cell>
          <cell r="H950" t="str">
            <v>Tratamiento</v>
          </cell>
        </row>
        <row r="951">
          <cell r="A951">
            <v>32744428</v>
          </cell>
          <cell r="B951" t="str">
            <v xml:space="preserve">Ingrid enid </v>
          </cell>
          <cell r="C951" t="str">
            <v>Baranquilla</v>
          </cell>
          <cell r="D951" t="str">
            <v>Kr7c#77-16</v>
          </cell>
          <cell r="E951" t="str">
            <v>Tienda las mañanitas</v>
          </cell>
          <cell r="F951" t="str">
            <v>3017241442</v>
          </cell>
          <cell r="G951" t="str">
            <v>3233111231</v>
          </cell>
          <cell r="H951" t="str">
            <v>Tratamiento</v>
          </cell>
        </row>
        <row r="952">
          <cell r="A952">
            <v>32752555</v>
          </cell>
          <cell r="B952" t="str">
            <v xml:space="preserve">ENEDITH DEL CARMEN </v>
          </cell>
          <cell r="C952" t="str">
            <v>Baranquilla</v>
          </cell>
          <cell r="D952" t="str">
            <v>KR 9 58 26</v>
          </cell>
          <cell r="E952" t="str">
            <v xml:space="preserve">Loma el Peligro </v>
          </cell>
          <cell r="F952" t="str">
            <v>3014661702</v>
          </cell>
          <cell r="G952" t="str">
            <v/>
          </cell>
          <cell r="H952" t="str">
            <v>Tratamiento</v>
          </cell>
        </row>
        <row r="953">
          <cell r="A953">
            <v>32764598</v>
          </cell>
          <cell r="B953" t="str">
            <v>Dalys</v>
          </cell>
          <cell r="C953" t="str">
            <v>Baranquilla</v>
          </cell>
          <cell r="D953" t="str">
            <v>Calle 61 #9-62</v>
          </cell>
          <cell r="E953" t="str">
            <v xml:space="preserve">Por la y del bosque </v>
          </cell>
          <cell r="F953" t="str">
            <v>3004186179,</v>
          </cell>
          <cell r="G953" t="str">
            <v>3045593855</v>
          </cell>
          <cell r="H953" t="str">
            <v>Tratamiento</v>
          </cell>
        </row>
        <row r="954">
          <cell r="A954">
            <v>32772911</v>
          </cell>
          <cell r="B954" t="str">
            <v>Patricia yanet</v>
          </cell>
          <cell r="C954" t="str">
            <v>Baranquilla</v>
          </cell>
          <cell r="D954" t="str">
            <v>Cr9#58-34</v>
          </cell>
          <cell r="E954" t="str">
            <v xml:space="preserve">La loma del peligro </v>
          </cell>
          <cell r="F954" t="str">
            <v>3045478656</v>
          </cell>
          <cell r="G954" t="str">
            <v>3007268894</v>
          </cell>
          <cell r="H954" t="str">
            <v>Tratamiento</v>
          </cell>
        </row>
        <row r="955">
          <cell r="A955">
            <v>32778590</v>
          </cell>
          <cell r="B955" t="str">
            <v xml:space="preserve">Piedad 
</v>
          </cell>
          <cell r="C955" t="str">
            <v>Baranquilla</v>
          </cell>
          <cell r="D955" t="str">
            <v>Carrera 8c#93-57 apartamento 1</v>
          </cell>
          <cell r="E955" t="str">
            <v xml:space="preserve">Casa amarilla frente al colegio </v>
          </cell>
          <cell r="F955" t="str">
            <v>3004783361</v>
          </cell>
          <cell r="G955" t="str">
            <v>3027293679</v>
          </cell>
          <cell r="H955" t="str">
            <v>Tratamiento</v>
          </cell>
        </row>
        <row r="956">
          <cell r="A956">
            <v>32779874</v>
          </cell>
          <cell r="B956" t="str">
            <v>Eufemia</v>
          </cell>
          <cell r="C956" t="str">
            <v>Baranquilla</v>
          </cell>
          <cell r="D956" t="str">
            <v>Kra 9 #72a-68 apto1</v>
          </cell>
          <cell r="E956" t="str">
            <v>A 3 cuadras del tintan</v>
          </cell>
          <cell r="F956" t="str">
            <v>3005255412</v>
          </cell>
          <cell r="G956" t="str">
            <v>3225119413</v>
          </cell>
          <cell r="H956" t="str">
            <v>Tratamiento</v>
          </cell>
        </row>
        <row r="957">
          <cell r="A957">
            <v>32783129</v>
          </cell>
          <cell r="B957" t="str">
            <v>GALINA ISABEL</v>
          </cell>
          <cell r="C957" t="str">
            <v>Baranquilla</v>
          </cell>
          <cell r="D957" t="str">
            <v>Dg 65 9K 58</v>
          </cell>
          <cell r="E957" t="str">
            <v>Casa con palmeras frente a casa</v>
          </cell>
          <cell r="F957" t="str">
            <v>3022953937</v>
          </cell>
          <cell r="G957" t="str">
            <v>3126849727</v>
          </cell>
          <cell r="H957" t="str">
            <v>Tratamiento</v>
          </cell>
        </row>
        <row r="958">
          <cell r="A958">
            <v>32783797</v>
          </cell>
          <cell r="B958" t="str">
            <v xml:space="preserve">Yolanda </v>
          </cell>
          <cell r="C958" t="str">
            <v>Baranquilla</v>
          </cell>
          <cell r="D958" t="str">
            <v>Kra 8g #87-40</v>
          </cell>
          <cell r="E958" t="str">
            <v xml:space="preserve">Por la  tienda la carretera </v>
          </cell>
          <cell r="F958" t="str">
            <v>3044596837</v>
          </cell>
          <cell r="G958" t="str">
            <v>3001302802</v>
          </cell>
          <cell r="H958" t="str">
            <v>Tratamiento</v>
          </cell>
        </row>
        <row r="959">
          <cell r="A959">
            <v>32785097</v>
          </cell>
          <cell r="B959" t="str">
            <v>Virina</v>
          </cell>
          <cell r="C959" t="str">
            <v>Baranquilla</v>
          </cell>
          <cell r="D959" t="str">
            <v>Cr8g#60b140</v>
          </cell>
          <cell r="E959" t="str">
            <v/>
          </cell>
          <cell r="F959" t="str">
            <v>300456977</v>
          </cell>
          <cell r="G959" t="str">
            <v>3022380386</v>
          </cell>
          <cell r="H959" t="str">
            <v>Tratamiento</v>
          </cell>
        </row>
        <row r="960">
          <cell r="A960">
            <v>32790051</v>
          </cell>
          <cell r="B960" t="str">
            <v>Doris</v>
          </cell>
          <cell r="C960" t="str">
            <v>Baranquilla</v>
          </cell>
          <cell r="D960" t="str">
            <v>Calle 77#7B-59</v>
          </cell>
          <cell r="E960" t="str">
            <v>Apartamento 1, color blanco, frente de casa verde</v>
          </cell>
          <cell r="F960" t="str">
            <v>3007037012</v>
          </cell>
          <cell r="G960" t="str">
            <v>3042356495</v>
          </cell>
          <cell r="H960" t="str">
            <v>Tratamiento</v>
          </cell>
        </row>
        <row r="961">
          <cell r="A961">
            <v>32796944</v>
          </cell>
          <cell r="B961" t="str">
            <v>Gilama rosa</v>
          </cell>
          <cell r="C961" t="str">
            <v>Baranquilla</v>
          </cell>
          <cell r="D961" t="str">
            <v>Kra 8c #73d-26</v>
          </cell>
          <cell r="E961" t="str">
            <v xml:space="preserve">Dos cuadra del parque San pio </v>
          </cell>
          <cell r="F961" t="str">
            <v>3008249098</v>
          </cell>
          <cell r="G961" t="str">
            <v>3052280810</v>
          </cell>
          <cell r="H961" t="str">
            <v>Tratamiento</v>
          </cell>
        </row>
        <row r="962">
          <cell r="A962">
            <v>32797627</v>
          </cell>
          <cell r="B962" t="str">
            <v>Nelci</v>
          </cell>
          <cell r="C962" t="str">
            <v>Baranquilla</v>
          </cell>
          <cell r="D962" t="str">
            <v>Carrera 7D #76-48</v>
          </cell>
          <cell r="E962" t="str">
            <v>Frente a una guardería casa blsnca</v>
          </cell>
          <cell r="F962" t="str">
            <v>3246530407</v>
          </cell>
          <cell r="G962" t="str">
            <v>3015809806</v>
          </cell>
          <cell r="H962" t="str">
            <v>Tratamiento</v>
          </cell>
        </row>
        <row r="963">
          <cell r="A963">
            <v>32800662</v>
          </cell>
          <cell r="B963" t="str">
            <v xml:space="preserve">Luisa </v>
          </cell>
          <cell r="C963" t="str">
            <v>Baranquilla</v>
          </cell>
          <cell r="D963" t="str">
            <v>Cll72a # 8a 36</v>
          </cell>
          <cell r="E963" t="str">
            <v>Bajando una loma cerca del arroyo</v>
          </cell>
          <cell r="F963" t="str">
            <v/>
          </cell>
          <cell r="G963" t="str">
            <v>3117625266</v>
          </cell>
          <cell r="H963" t="str">
            <v>Tratamiento</v>
          </cell>
        </row>
        <row r="964">
          <cell r="A964">
            <v>32802610</v>
          </cell>
          <cell r="B964" t="str">
            <v>Tulia</v>
          </cell>
          <cell r="C964" t="str">
            <v>Baranquilla</v>
          </cell>
          <cell r="D964" t="str">
            <v>Kra 8g #87-20 apto1</v>
          </cell>
          <cell r="E964" t="str">
            <v xml:space="preserve">Tienda la carretera </v>
          </cell>
          <cell r="F964" t="str">
            <v>3042391354</v>
          </cell>
          <cell r="G964" t="str">
            <v>3014122468</v>
          </cell>
          <cell r="H964" t="str">
            <v>Tratamiento</v>
          </cell>
        </row>
        <row r="965">
          <cell r="A965">
            <v>32803448</v>
          </cell>
          <cell r="B965" t="str">
            <v>CAROLINA ESTHER</v>
          </cell>
          <cell r="C965" t="str">
            <v>Baranquilla</v>
          </cell>
          <cell r="D965" t="str">
            <v>KR 8G 94 50 apto</v>
          </cell>
          <cell r="E965" t="str">
            <v>Cerca ferretería Torcoroma</v>
          </cell>
          <cell r="F965" t="str">
            <v>3014489717</v>
          </cell>
          <cell r="G965" t="str">
            <v>3234174711</v>
          </cell>
          <cell r="H965" t="str">
            <v>Tratamiento</v>
          </cell>
        </row>
        <row r="966">
          <cell r="A966">
            <v>32803484</v>
          </cell>
          <cell r="B966" t="str">
            <v xml:space="preserve">Sonia Isabel </v>
          </cell>
          <cell r="C966" t="str">
            <v>Baranquilla</v>
          </cell>
          <cell r="D966" t="str">
            <v>Calle777c-44</v>
          </cell>
          <cell r="E966" t="str">
            <v/>
          </cell>
          <cell r="F966" t="str">
            <v>3042107244</v>
          </cell>
          <cell r="G966" t="str">
            <v>3024269517</v>
          </cell>
          <cell r="H966" t="str">
            <v>Tratamiento</v>
          </cell>
        </row>
        <row r="967">
          <cell r="A967">
            <v>32810131</v>
          </cell>
          <cell r="B967" t="str">
            <v>FIDELINA MARIA</v>
          </cell>
          <cell r="C967" t="str">
            <v>Baranquilla</v>
          </cell>
          <cell r="D967" t="str">
            <v xml:space="preserve">KR 6E 74 16 apto </v>
          </cell>
          <cell r="E967" t="str">
            <v xml:space="preserve">Detrás del Colegio Pies Descalzo </v>
          </cell>
          <cell r="F967" t="str">
            <v xml:space="preserve">No tiene </v>
          </cell>
          <cell r="G967" t="str">
            <v>3146678360</v>
          </cell>
          <cell r="H967" t="str">
            <v>Tratamiento</v>
          </cell>
        </row>
        <row r="968">
          <cell r="A968">
            <v>32812129</v>
          </cell>
          <cell r="B968" t="str">
            <v>DIANA ESTHER</v>
          </cell>
          <cell r="C968" t="str">
            <v>Baranquilla</v>
          </cell>
          <cell r="D968" t="str">
            <v>CL 71 7B 14</v>
          </cell>
          <cell r="E968" t="str">
            <v xml:space="preserve">Calle los Magníficos </v>
          </cell>
          <cell r="F968" t="str">
            <v/>
          </cell>
          <cell r="G968" t="str">
            <v>3170652356</v>
          </cell>
          <cell r="H968" t="str">
            <v>Tratamiento</v>
          </cell>
        </row>
        <row r="969">
          <cell r="A969">
            <v>32812890</v>
          </cell>
          <cell r="B969" t="str">
            <v>Rosalba</v>
          </cell>
          <cell r="C969" t="str">
            <v>Baranquilla</v>
          </cell>
          <cell r="D969" t="str">
            <v>Cra 7d # 75-27</v>
          </cell>
          <cell r="E969" t="str">
            <v>Cerca de la panadería ricuras del bosque</v>
          </cell>
          <cell r="F969" t="str">
            <v>3162794624</v>
          </cell>
          <cell r="G969" t="str">
            <v>3106166224</v>
          </cell>
          <cell r="H969" t="str">
            <v>Tratamiento</v>
          </cell>
        </row>
        <row r="970">
          <cell r="A970">
            <v>32840396</v>
          </cell>
          <cell r="B970" t="str">
            <v xml:space="preserve">Ingrid Esther </v>
          </cell>
          <cell r="C970" t="str">
            <v>Baranquilla</v>
          </cell>
          <cell r="D970" t="str">
            <v>KR 8C 93 69</v>
          </cell>
          <cell r="E970" t="str">
            <v>Frente al Colegio Esperanza del Sur</v>
          </cell>
          <cell r="F970" t="str">
            <v>3023541288</v>
          </cell>
          <cell r="G970" t="str">
            <v>3027293679</v>
          </cell>
          <cell r="H970" t="str">
            <v>Tratamiento</v>
          </cell>
        </row>
        <row r="971">
          <cell r="A971">
            <v>32843980</v>
          </cell>
          <cell r="B971" t="str">
            <v xml:space="preserve">Esperanza </v>
          </cell>
          <cell r="C971" t="str">
            <v>Baranquilla</v>
          </cell>
          <cell r="D971" t="str">
            <v>Cr8g#60b73</v>
          </cell>
          <cell r="E971" t="str">
            <v>Billares el platanera</v>
          </cell>
          <cell r="F971" t="str">
            <v>3022380386</v>
          </cell>
          <cell r="G971" t="str">
            <v>3006465485</v>
          </cell>
          <cell r="H971" t="str">
            <v>Tratamiento</v>
          </cell>
        </row>
        <row r="972">
          <cell r="A972">
            <v>32850495</v>
          </cell>
          <cell r="B972" t="str">
            <v>Elena</v>
          </cell>
          <cell r="C972" t="str">
            <v>Baranquilla</v>
          </cell>
          <cell r="D972" t="str">
            <v>Calle 80 #7e-47</v>
          </cell>
          <cell r="E972" t="str">
            <v>Frente de cárcel distrital del bosque</v>
          </cell>
          <cell r="F972" t="str">
            <v>3011084500</v>
          </cell>
          <cell r="G972" t="str">
            <v>3022990127</v>
          </cell>
          <cell r="H972" t="str">
            <v>Tratamiento</v>
          </cell>
        </row>
        <row r="973">
          <cell r="A973">
            <v>32884029</v>
          </cell>
          <cell r="B973" t="str">
            <v xml:space="preserve">MONICA PATRICIA </v>
          </cell>
          <cell r="C973" t="str">
            <v>Baranquilla</v>
          </cell>
          <cell r="D973" t="str">
            <v>DG 64 9K 07 Apartamento 1</v>
          </cell>
          <cell r="E973" t="str">
            <v>Frente a la tienda el Gran Punto de la 64</v>
          </cell>
          <cell r="F973" t="str">
            <v>3242797753</v>
          </cell>
          <cell r="G973" t="str">
            <v>3022504244</v>
          </cell>
          <cell r="H973" t="str">
            <v>Tratamiento</v>
          </cell>
        </row>
        <row r="974">
          <cell r="A974">
            <v>32884556</v>
          </cell>
          <cell r="B974" t="str">
            <v xml:space="preserve">Mabel Esther </v>
          </cell>
          <cell r="C974" t="str">
            <v>Baranquilla</v>
          </cell>
          <cell r="D974" t="str">
            <v>Cl 88 7 54</v>
          </cell>
          <cell r="E974" t="str">
            <v>Cerca a la tienda la Bendición de Dios</v>
          </cell>
          <cell r="F974" t="str">
            <v>3104403702</v>
          </cell>
          <cell r="G974" t="str">
            <v>3106941456</v>
          </cell>
          <cell r="H974" t="str">
            <v>Tratamiento</v>
          </cell>
        </row>
        <row r="975">
          <cell r="A975">
            <v>32884723</v>
          </cell>
          <cell r="B975" t="str">
            <v>Francia elena</v>
          </cell>
          <cell r="C975" t="str">
            <v>Baranquilla</v>
          </cell>
          <cell r="D975" t="str">
            <v>Cll 60e # 8a1 7</v>
          </cell>
          <cell r="E975" t="str">
            <v>En la esquina hay una carnicería</v>
          </cell>
          <cell r="F975" t="str">
            <v>3026350603</v>
          </cell>
          <cell r="G975" t="str">
            <v>3006197653</v>
          </cell>
          <cell r="H975" t="str">
            <v>Tratamiento</v>
          </cell>
        </row>
        <row r="976">
          <cell r="A976">
            <v>32893688</v>
          </cell>
          <cell r="B976" t="str">
            <v>aida luz</v>
          </cell>
          <cell r="C976" t="str">
            <v>Baranquilla</v>
          </cell>
          <cell r="D976" t="str">
            <v>Kr 8c #74 -88</v>
          </cell>
          <cell r="E976" t="str">
            <v xml:space="preserve">Frente a una bajada, casa verde </v>
          </cell>
          <cell r="F976" t="str">
            <v>3009411182</v>
          </cell>
          <cell r="G976" t="str">
            <v>3004381214</v>
          </cell>
          <cell r="H976" t="str">
            <v>Tratamiento</v>
          </cell>
        </row>
        <row r="977">
          <cell r="A977">
            <v>32894006</v>
          </cell>
          <cell r="B977" t="str">
            <v>Dilsa maria</v>
          </cell>
          <cell r="C977" t="str">
            <v>Baranquilla</v>
          </cell>
          <cell r="D977" t="str">
            <v>Carrera 8c 74 A 22</v>
          </cell>
          <cell r="E977" t="str">
            <v>Diagonal a la tienda la preferida</v>
          </cell>
          <cell r="F977" t="str">
            <v>3043185416</v>
          </cell>
          <cell r="G977" t="str">
            <v>3002359185</v>
          </cell>
          <cell r="H977" t="str">
            <v>Tratamiento</v>
          </cell>
        </row>
        <row r="978">
          <cell r="A978">
            <v>33255246</v>
          </cell>
          <cell r="B978" t="str">
            <v>Jerly Cristina</v>
          </cell>
          <cell r="C978" t="str">
            <v>Medellin</v>
          </cell>
          <cell r="D978" t="str">
            <v>Cerca a la casa vivero en pinares de oriente</v>
          </cell>
          <cell r="E978" t="str">
            <v/>
          </cell>
          <cell r="F978" t="str">
            <v>3053263832</v>
          </cell>
          <cell r="G978" t="str">
            <v>3053263832</v>
          </cell>
          <cell r="H978" t="str">
            <v>Tratamiento</v>
          </cell>
        </row>
        <row r="979">
          <cell r="A979">
            <v>34400184</v>
          </cell>
          <cell r="B979" t="str">
            <v>Ilda maria</v>
          </cell>
          <cell r="C979" t="str">
            <v>Cali</v>
          </cell>
          <cell r="D979" t="str">
            <v>Kr 74 G oeste 4 12</v>
          </cell>
          <cell r="E979" t="str">
            <v>Cerca al comedor comunitario las.minas</v>
          </cell>
          <cell r="F979" t="str">
            <v>3116071609</v>
          </cell>
          <cell r="G979" t="str">
            <v xml:space="preserve">3147991838 </v>
          </cell>
          <cell r="H979" t="str">
            <v>Tratamiento</v>
          </cell>
        </row>
        <row r="980">
          <cell r="A980">
            <v>34503573</v>
          </cell>
          <cell r="B980" t="str">
            <v>Fabiola</v>
          </cell>
          <cell r="C980" t="str">
            <v>Cali</v>
          </cell>
          <cell r="D980" t="str">
            <v>C 4 oeste 74 G 06</v>
          </cell>
          <cell r="E980" t="str">
            <v/>
          </cell>
          <cell r="F980" t="str">
            <v>3117742368</v>
          </cell>
          <cell r="G980" t="str">
            <v>3206504533</v>
          </cell>
          <cell r="H980" t="str">
            <v>Tratamiento</v>
          </cell>
        </row>
        <row r="981">
          <cell r="A981">
            <v>34515416</v>
          </cell>
          <cell r="B981" t="str">
            <v>Olga</v>
          </cell>
          <cell r="C981" t="str">
            <v>Cali</v>
          </cell>
          <cell r="D981" t="str">
            <v>CL 4B oeste 73D 14</v>
          </cell>
          <cell r="E981" t="str">
            <v>Sector los minas  el comedor comunrioa de doña erminia</v>
          </cell>
          <cell r="F981" t="str">
            <v>3156604920</v>
          </cell>
          <cell r="G981" t="str">
            <v>3185288407</v>
          </cell>
          <cell r="H981" t="str">
            <v>Tratamiento</v>
          </cell>
        </row>
        <row r="982">
          <cell r="A982">
            <v>34572562</v>
          </cell>
          <cell r="B982" t="str">
            <v>Asuncion</v>
          </cell>
          <cell r="C982" t="str">
            <v>Cali</v>
          </cell>
          <cell r="D982" t="str">
            <v>CALLE 4D OESTE 82-28</v>
          </cell>
          <cell r="E982" t="str">
            <v>Al frente de la cancha de la.cruz</v>
          </cell>
          <cell r="F982" t="str">
            <v>3136521758</v>
          </cell>
          <cell r="G982" t="str">
            <v xml:space="preserve">No dan información </v>
          </cell>
          <cell r="H982" t="str">
            <v>Tratamiento</v>
          </cell>
        </row>
        <row r="983">
          <cell r="A983">
            <v>34573715</v>
          </cell>
          <cell r="B983" t="str">
            <v>María Jesus</v>
          </cell>
          <cell r="C983" t="str">
            <v>Cali</v>
          </cell>
          <cell r="D983" t="str">
            <v>CL 4E OESTE 76 BIS 05</v>
          </cell>
          <cell r="E983" t="str">
            <v>Al frente de calzado Cordoba</v>
          </cell>
          <cell r="F983" t="str">
            <v>31276381930</v>
          </cell>
          <cell r="G983" t="str">
            <v>0</v>
          </cell>
          <cell r="H983" t="str">
            <v>Tratamiento</v>
          </cell>
        </row>
        <row r="984">
          <cell r="A984">
            <v>34690139</v>
          </cell>
          <cell r="B984" t="str">
            <v>Aleida</v>
          </cell>
          <cell r="C984" t="str">
            <v>Cali</v>
          </cell>
          <cell r="D984" t="str">
            <v>Cr 71 oeste 4b 04</v>
          </cell>
          <cell r="E984" t="str">
            <v>Cancha de las minas  más arriba por una subida</v>
          </cell>
          <cell r="F984" t="str">
            <v>3233510980</v>
          </cell>
          <cell r="G984" t="str">
            <v xml:space="preserve">No dan información </v>
          </cell>
          <cell r="H984" t="str">
            <v>Tratamiento</v>
          </cell>
        </row>
        <row r="985">
          <cell r="A985">
            <v>34977363</v>
          </cell>
          <cell r="B985" t="str">
            <v>Ana</v>
          </cell>
          <cell r="C985" t="str">
            <v>Baranquilla</v>
          </cell>
          <cell r="D985" t="str">
            <v>Kra 9 #60-24</v>
          </cell>
          <cell r="E985" t="str">
            <v>Bajando por ricoson 3 cuadras</v>
          </cell>
          <cell r="F985" t="str">
            <v>3234895703</v>
          </cell>
          <cell r="G985" t="str">
            <v>3218738189</v>
          </cell>
          <cell r="H985" t="str">
            <v>Tratamiento</v>
          </cell>
        </row>
        <row r="986">
          <cell r="A986">
            <v>35546366</v>
          </cell>
          <cell r="B986" t="str">
            <v>Bacilia</v>
          </cell>
          <cell r="C986" t="str">
            <v>Cali</v>
          </cell>
          <cell r="D986" t="str">
            <v>Cll 4b oeste. 73b bis 126</v>
          </cell>
          <cell r="E986" t="str">
            <v>Comedor de las minas  diagonal</v>
          </cell>
          <cell r="F986" t="str">
            <v>3128472306</v>
          </cell>
          <cell r="G986" t="str">
            <v>3242332571</v>
          </cell>
          <cell r="H986" t="str">
            <v>Tratamiento</v>
          </cell>
        </row>
        <row r="987">
          <cell r="A987">
            <v>3569578</v>
          </cell>
          <cell r="B987" t="str">
            <v>Marcelino</v>
          </cell>
          <cell r="C987" t="str">
            <v>Medellin</v>
          </cell>
          <cell r="D987" t="str">
            <v>Calle 56 Ef #18a 44</v>
          </cell>
          <cell r="E987" t="str">
            <v>Por la uva en derecho por el pasamanos en las escaleras azules</v>
          </cell>
          <cell r="F987" t="str">
            <v>3116020778</v>
          </cell>
          <cell r="G987" t="str">
            <v>604 2270971</v>
          </cell>
          <cell r="H987" t="str">
            <v>Tratamiento</v>
          </cell>
        </row>
        <row r="988">
          <cell r="A988">
            <v>3575338</v>
          </cell>
          <cell r="B988" t="str">
            <v xml:space="preserve">Luis Arturo </v>
          </cell>
          <cell r="C988" t="str">
            <v>Medellin</v>
          </cell>
          <cell r="D988" t="str">
            <v>Calle 55 G # 3 este - 73</v>
          </cell>
          <cell r="E988" t="str">
            <v>Cerca a la empresarial</v>
          </cell>
          <cell r="F988" t="str">
            <v>3147102838</v>
          </cell>
          <cell r="G988" t="str">
            <v>3014170597</v>
          </cell>
          <cell r="H988" t="str">
            <v>Tratamiento</v>
          </cell>
        </row>
        <row r="989">
          <cell r="A989">
            <v>35990267</v>
          </cell>
          <cell r="B989" t="str">
            <v xml:space="preserve">Maria Luz </v>
          </cell>
          <cell r="C989" t="str">
            <v>Cali</v>
          </cell>
          <cell r="D989" t="str">
            <v xml:space="preserve">No dan información </v>
          </cell>
          <cell r="E989" t="str">
            <v xml:space="preserve">Como a 15 viviendas de la cancha indígena </v>
          </cell>
          <cell r="F989" t="str">
            <v>3234987545</v>
          </cell>
          <cell r="G989" t="str">
            <v>3113834021</v>
          </cell>
          <cell r="H989" t="str">
            <v>Tratamiento</v>
          </cell>
        </row>
        <row r="990">
          <cell r="A990">
            <v>37075013</v>
          </cell>
          <cell r="B990" t="str">
            <v>Ninfa maria</v>
          </cell>
          <cell r="C990" t="str">
            <v>Cali</v>
          </cell>
          <cell r="D990" t="str">
            <v>Cr 74g #oeste 4 10</v>
          </cell>
          <cell r="E990" t="str">
            <v>La caseta comunal. El comedor del  sector de las minas</v>
          </cell>
          <cell r="F990" t="str">
            <v>3215376848</v>
          </cell>
          <cell r="G990" t="str">
            <v>3104791775</v>
          </cell>
          <cell r="H990" t="str">
            <v>Tratamiento</v>
          </cell>
        </row>
        <row r="991">
          <cell r="A991">
            <v>37253427</v>
          </cell>
          <cell r="B991" t="str">
            <v xml:space="preserve">OBDULIA </v>
          </cell>
          <cell r="C991" t="str">
            <v>Cali</v>
          </cell>
          <cell r="D991" t="str">
            <v xml:space="preserve">No dan información </v>
          </cell>
          <cell r="E991" t="str">
            <v xml:space="preserve">Por la iglesia católica a una cuadra del control de los jeeps de la cruz </v>
          </cell>
          <cell r="F991" t="str">
            <v>3135739636</v>
          </cell>
          <cell r="G991" t="str">
            <v xml:space="preserve">No dan información </v>
          </cell>
          <cell r="H991" t="str">
            <v>Tratamiento</v>
          </cell>
        </row>
        <row r="992">
          <cell r="A992">
            <v>37926108</v>
          </cell>
          <cell r="B992" t="str">
            <v xml:space="preserve">MARIA DE LAD MERCEDES </v>
          </cell>
          <cell r="C992" t="str">
            <v>Baranquilla</v>
          </cell>
          <cell r="D992" t="str">
            <v>CL 88 7E 92</v>
          </cell>
          <cell r="E992" t="str">
            <v>Diagonal a miscelánea Mireya</v>
          </cell>
          <cell r="F992" t="str">
            <v>3207232570</v>
          </cell>
          <cell r="G992" t="str">
            <v>3022926689</v>
          </cell>
          <cell r="H992" t="str">
            <v>Tratamiento</v>
          </cell>
        </row>
        <row r="993">
          <cell r="A993">
            <v>38601290</v>
          </cell>
          <cell r="B993" t="str">
            <v>Sandra liliana</v>
          </cell>
          <cell r="C993" t="str">
            <v>Cali</v>
          </cell>
          <cell r="D993" t="str">
            <v>CR 70A OESTE 4B 04</v>
          </cell>
          <cell r="E993" t="str">
            <v>Tienda chana</v>
          </cell>
          <cell r="F993" t="str">
            <v>3107183689</v>
          </cell>
          <cell r="G993" t="str">
            <v xml:space="preserve">No dan información </v>
          </cell>
          <cell r="H993" t="str">
            <v>Tratamiento</v>
          </cell>
        </row>
        <row r="994">
          <cell r="A994">
            <v>38642608</v>
          </cell>
          <cell r="B994" t="str">
            <v>Ana nolfi</v>
          </cell>
          <cell r="C994" t="str">
            <v>Cali</v>
          </cell>
          <cell r="D994" t="str">
            <v>CL 4B OESTE 73-09 APTO 102</v>
          </cell>
          <cell r="E994" t="str">
            <v>Al lado de Sandra milena victoria hermana</v>
          </cell>
          <cell r="F994" t="str">
            <v>3165740915</v>
          </cell>
          <cell r="G994" t="str">
            <v>3133546069</v>
          </cell>
          <cell r="H994" t="str">
            <v>Tratamiento</v>
          </cell>
        </row>
        <row r="995">
          <cell r="A995">
            <v>38665695</v>
          </cell>
          <cell r="B995" t="str">
            <v xml:space="preserve">RUSBITA </v>
          </cell>
          <cell r="C995" t="str">
            <v>Cali</v>
          </cell>
          <cell r="D995" t="str">
            <v>MANZANA 4 CASA 177 SECTOR OASIS</v>
          </cell>
          <cell r="E995" t="str">
            <v>Jardín de cesoles al fondo sube las segúndas gradas y en la segunda casa mano derecha palo de mango</v>
          </cell>
          <cell r="F995" t="str">
            <v>3185473733</v>
          </cell>
          <cell r="G995" t="str">
            <v>3117534560</v>
          </cell>
          <cell r="H995" t="str">
            <v>Tratamiento</v>
          </cell>
        </row>
        <row r="996">
          <cell r="A996">
            <v>38668909</v>
          </cell>
          <cell r="B996" t="str">
            <v>Martha Isabel</v>
          </cell>
          <cell r="C996" t="str">
            <v>Cali</v>
          </cell>
          <cell r="D996" t="str">
            <v>Kr 74G 4-44</v>
          </cell>
          <cell r="E996" t="str">
            <v>Cerca al comedor comunitario de la minas</v>
          </cell>
          <cell r="F996" t="str">
            <v>3218752141</v>
          </cell>
          <cell r="G996" t="str">
            <v xml:space="preserve">No dan información </v>
          </cell>
          <cell r="H996" t="str">
            <v>Tratamiento</v>
          </cell>
        </row>
        <row r="997">
          <cell r="A997">
            <v>38671487</v>
          </cell>
          <cell r="B997" t="str">
            <v>Sandra vicky</v>
          </cell>
          <cell r="C997" t="str">
            <v>Cali</v>
          </cell>
          <cell r="D997" t="str">
            <v>Cr 74 G oeste 4B 31</v>
          </cell>
          <cell r="E997" t="str">
            <v/>
          </cell>
          <cell r="F997" t="str">
            <v>3213415922</v>
          </cell>
          <cell r="G997" t="str">
            <v>3185120132</v>
          </cell>
          <cell r="H997" t="str">
            <v>Tratamiento</v>
          </cell>
        </row>
        <row r="998">
          <cell r="A998">
            <v>38973256</v>
          </cell>
          <cell r="B998" t="str">
            <v xml:space="preserve">ASCENETH </v>
          </cell>
          <cell r="C998" t="str">
            <v>Cali</v>
          </cell>
          <cell r="D998" t="str">
            <v>CRA 76B OESTE 4C-62</v>
          </cell>
          <cell r="E998" t="str">
            <v xml:space="preserve">La tienda de Doña marina </v>
          </cell>
          <cell r="F998" t="str">
            <v>3166815308</v>
          </cell>
          <cell r="G998" t="str">
            <v>3146629618</v>
          </cell>
          <cell r="H998" t="str">
            <v>Tratamiento</v>
          </cell>
        </row>
        <row r="999">
          <cell r="A999">
            <v>38992016</v>
          </cell>
          <cell r="B999" t="str">
            <v xml:space="preserve">PASTORA </v>
          </cell>
          <cell r="C999" t="str">
            <v>Cali</v>
          </cell>
          <cell r="D999" t="str">
            <v xml:space="preserve">No dan información </v>
          </cell>
          <cell r="E999" t="str">
            <v xml:space="preserve">Subiendo a la cancha </v>
          </cell>
          <cell r="F999" t="str">
            <v>3167902676</v>
          </cell>
          <cell r="G999" t="str">
            <v xml:space="preserve">No dan información </v>
          </cell>
          <cell r="H999" t="str">
            <v>Tratamiento</v>
          </cell>
        </row>
        <row r="1000">
          <cell r="A1000">
            <v>39268214</v>
          </cell>
          <cell r="B1000" t="str">
            <v>Dora helena Cardona hernandez</v>
          </cell>
          <cell r="C1000" t="str">
            <v>Medellin</v>
          </cell>
          <cell r="D1000" t="str">
            <v>Cerca al centro de salud</v>
          </cell>
          <cell r="E1000" t="str">
            <v/>
          </cell>
          <cell r="F1000" t="str">
            <v>3005679167</v>
          </cell>
          <cell r="G1000" t="str">
            <v>3013058447</v>
          </cell>
          <cell r="H1000" t="str">
            <v>Tratamiento</v>
          </cell>
        </row>
        <row r="1001">
          <cell r="A1001">
            <v>39384513</v>
          </cell>
          <cell r="B1001" t="str">
            <v>Morelia de Jesus</v>
          </cell>
          <cell r="C1001" t="str">
            <v>Medellin</v>
          </cell>
          <cell r="D1001" t="str">
            <v>De la terminal de los buses suben por el parquecito y terminan de subir las escalas</v>
          </cell>
          <cell r="E1001" t="str">
            <v/>
          </cell>
          <cell r="F1001" t="str">
            <v>3016299448</v>
          </cell>
          <cell r="G1001" t="str">
            <v>No tiene</v>
          </cell>
          <cell r="H1001" t="str">
            <v>Tratamiento</v>
          </cell>
        </row>
        <row r="1002">
          <cell r="A1002">
            <v>41632550</v>
          </cell>
          <cell r="B1002" t="str">
            <v>Luz Marina</v>
          </cell>
          <cell r="C1002" t="str">
            <v>Medellin</v>
          </cell>
          <cell r="D1002" t="str">
            <v>Calle 65#18B 129</v>
          </cell>
          <cell r="E1002" t="str">
            <v xml:space="preserve">En la y casa verde en la esquina </v>
          </cell>
          <cell r="F1002" t="str">
            <v>6042543040</v>
          </cell>
          <cell r="G1002" t="str">
            <v>3008366304</v>
          </cell>
          <cell r="H1002" t="str">
            <v>Tratamiento</v>
          </cell>
        </row>
        <row r="1003">
          <cell r="A1003">
            <v>42061051</v>
          </cell>
          <cell r="B1003" t="str">
            <v>María</v>
          </cell>
          <cell r="C1003" t="str">
            <v>Cali</v>
          </cell>
          <cell r="D1003" t="str">
            <v>Cr 70A OESTE 4D 04</v>
          </cell>
          <cell r="E1003" t="str">
            <v>En toda la curva en la tercera casa</v>
          </cell>
          <cell r="F1003" t="str">
            <v>3167093788</v>
          </cell>
          <cell r="G1003" t="str">
            <v>3188848452</v>
          </cell>
          <cell r="H1003" t="str">
            <v>Tratamiento</v>
          </cell>
        </row>
        <row r="1004">
          <cell r="A1004">
            <v>42128788</v>
          </cell>
          <cell r="B1004" t="str">
            <v>Luz Jhaneth</v>
          </cell>
          <cell r="C1004" t="str">
            <v>Medellin</v>
          </cell>
          <cell r="D1004" t="str">
            <v>Bajando toda la principal del empresarial, por la carretera nueva</v>
          </cell>
          <cell r="E1004" t="str">
            <v/>
          </cell>
          <cell r="F1004" t="str">
            <v>3183851737</v>
          </cell>
          <cell r="G1004" t="str">
            <v>3103849196</v>
          </cell>
          <cell r="H1004" t="str">
            <v>Tratamiento</v>
          </cell>
        </row>
        <row r="1005">
          <cell r="A1005">
            <v>42271248</v>
          </cell>
          <cell r="B1005" t="str">
            <v xml:space="preserve"> Jhoel </v>
          </cell>
          <cell r="C1005" t="str">
            <v>Baranquilla</v>
          </cell>
          <cell r="D1005" t="str">
            <v>Cr8c74a-57</v>
          </cell>
          <cell r="E1005" t="str">
            <v>Dónde pachin el chef (restaurante)</v>
          </cell>
          <cell r="F1005" t="str">
            <v>3058031075</v>
          </cell>
          <cell r="G1005" t="str">
            <v>3175350910</v>
          </cell>
          <cell r="H1005" t="str">
            <v>Tratamiento</v>
          </cell>
        </row>
        <row r="1006">
          <cell r="A1006">
            <v>42701708</v>
          </cell>
          <cell r="B1006" t="str">
            <v>Cruz berarda Morales Morales</v>
          </cell>
          <cell r="C1006" t="str">
            <v>Medellin</v>
          </cell>
          <cell r="D1006" t="str">
            <v>Frente al restaurante doña esther</v>
          </cell>
          <cell r="E1006" t="str">
            <v/>
          </cell>
          <cell r="F1006" t="str">
            <v>3117546919</v>
          </cell>
          <cell r="G1006" t="str">
            <v>3025922154</v>
          </cell>
          <cell r="H1006" t="str">
            <v>Tratamiento</v>
          </cell>
        </row>
        <row r="1007">
          <cell r="A1007">
            <v>42767896</v>
          </cell>
          <cell r="B1007" t="str">
            <v>María Consuelo parra ospina</v>
          </cell>
          <cell r="C1007" t="str">
            <v>Medellin</v>
          </cell>
          <cell r="D1007" t="str">
            <v xml:space="preserve"> L56 ex 18a02</v>
          </cell>
          <cell r="E1007" t="str">
            <v>Cerca a ka uva sol de oriente</v>
          </cell>
          <cell r="F1007" t="str">
            <v>3013825174</v>
          </cell>
          <cell r="G1007" t="str">
            <v>3008925867</v>
          </cell>
          <cell r="H1007" t="str">
            <v>Tratamiento</v>
          </cell>
        </row>
        <row r="1008">
          <cell r="A1008">
            <v>42772039</v>
          </cell>
          <cell r="B1008" t="str">
            <v>Argelis</v>
          </cell>
          <cell r="C1008" t="str">
            <v>Medellin</v>
          </cell>
          <cell r="D1008" t="str">
            <v>Carrera 9 Este #54B -76</v>
          </cell>
          <cell r="E1008" t="str">
            <v>Bajando por el Caí nuevo la segunda tienda bajando por las escalas</v>
          </cell>
          <cell r="F1008" t="str">
            <v>3023635132</v>
          </cell>
          <cell r="G1008" t="str">
            <v>3014650764</v>
          </cell>
          <cell r="H1008" t="str">
            <v>Tratamiento</v>
          </cell>
        </row>
        <row r="1009">
          <cell r="A1009">
            <v>42884497</v>
          </cell>
          <cell r="B1009" t="str">
            <v>Amparo de Jesús higuita echavarria</v>
          </cell>
          <cell r="C1009" t="str">
            <v>Medellin</v>
          </cell>
          <cell r="D1009" t="str">
            <v>Cerca acción comunal golondrinas</v>
          </cell>
          <cell r="E1009" t="str">
            <v/>
          </cell>
          <cell r="F1009" t="str">
            <v>3094457422</v>
          </cell>
          <cell r="G1009" t="str">
            <v>4146528809</v>
          </cell>
          <cell r="H1009" t="str">
            <v>Tratamiento</v>
          </cell>
        </row>
        <row r="1010">
          <cell r="A1010">
            <v>42973581</v>
          </cell>
          <cell r="B1010" t="str">
            <v xml:space="preserve">Luz Miriam </v>
          </cell>
          <cell r="C1010" t="str">
            <v>Medellin</v>
          </cell>
          <cell r="D1010" t="str">
            <v>Calle 54A # 4 este - 24</v>
          </cell>
          <cell r="E1010" t="str">
            <v>Entrando por el empresarial</v>
          </cell>
          <cell r="F1010" t="str">
            <v>3136522169</v>
          </cell>
          <cell r="G1010" t="str">
            <v>3116793347</v>
          </cell>
          <cell r="H1010" t="str">
            <v>Tratamiento</v>
          </cell>
        </row>
        <row r="1011">
          <cell r="A1011">
            <v>42977679</v>
          </cell>
          <cell r="B1011" t="str">
            <v xml:space="preserve">Jhoana Marcela </v>
          </cell>
          <cell r="C1011" t="str">
            <v>Medellin</v>
          </cell>
          <cell r="D1011" t="str">
            <v>Calle 55ha #7-28</v>
          </cell>
          <cell r="E1011" t="str">
            <v xml:space="preserve">Desde el colegio Villa turbay y subir hasta alto bonito </v>
          </cell>
          <cell r="F1011" t="str">
            <v>3003561290</v>
          </cell>
          <cell r="G1011" t="str">
            <v xml:space="preserve">No dan información </v>
          </cell>
          <cell r="H1011" t="str">
            <v>Tratamiento</v>
          </cell>
        </row>
        <row r="1012">
          <cell r="A1012">
            <v>42991676</v>
          </cell>
          <cell r="B1012" t="str">
            <v>Ángela Gloria</v>
          </cell>
          <cell r="C1012" t="str">
            <v>Medellin</v>
          </cell>
          <cell r="D1012" t="str">
            <v>Bajando las escaleras de la estación</v>
          </cell>
          <cell r="E1012" t="str">
            <v/>
          </cell>
          <cell r="F1012" t="str">
            <v>3128382959</v>
          </cell>
          <cell r="G1012" t="str">
            <v>3148505104</v>
          </cell>
          <cell r="H1012" t="str">
            <v>Tratamiento</v>
          </cell>
        </row>
        <row r="1013">
          <cell r="A1013">
            <v>42995862</v>
          </cell>
          <cell r="B1013" t="str">
            <v xml:space="preserve">Edilma de Jesús </v>
          </cell>
          <cell r="C1013" t="str">
            <v>Medellin</v>
          </cell>
          <cell r="D1013" t="str">
            <v>Carrera 8este #54e 62</v>
          </cell>
          <cell r="E1013" t="str">
            <v xml:space="preserve">Por las escaleras nuevas </v>
          </cell>
          <cell r="F1013" t="str">
            <v>3045646378</v>
          </cell>
          <cell r="G1013" t="str">
            <v>3217797888</v>
          </cell>
          <cell r="H1013" t="str">
            <v>Tratamiento</v>
          </cell>
        </row>
        <row r="1014">
          <cell r="A1014">
            <v>43034542</v>
          </cell>
          <cell r="B1014" t="str">
            <v>Manuel José montaya muñoz</v>
          </cell>
          <cell r="C1014" t="str">
            <v>Medellin</v>
          </cell>
          <cell r="D1014" t="str">
            <v>Cerca al barrio sucre</v>
          </cell>
          <cell r="E1014" t="str">
            <v/>
          </cell>
          <cell r="F1014" t="str">
            <v>3104395734</v>
          </cell>
          <cell r="G1014" t="str">
            <v>3006735539</v>
          </cell>
          <cell r="H1014" t="str">
            <v>Tratamiento</v>
          </cell>
        </row>
        <row r="1015">
          <cell r="A1015">
            <v>43057779</v>
          </cell>
          <cell r="B1015" t="str">
            <v xml:space="preserve">Luz Marina del socorro </v>
          </cell>
          <cell r="C1015" t="str">
            <v>Medellin</v>
          </cell>
          <cell r="D1015" t="str">
            <v>Carrera 17 A #56H 08 cede comunal</v>
          </cell>
          <cell r="E1015" t="str">
            <v/>
          </cell>
          <cell r="F1015" t="str">
            <v xml:space="preserve">  3013355682</v>
          </cell>
          <cell r="G1015" t="str">
            <v>3023413732</v>
          </cell>
          <cell r="H1015" t="str">
            <v>Tratamiento</v>
          </cell>
        </row>
        <row r="1016">
          <cell r="A1016">
            <v>43062092</v>
          </cell>
          <cell r="B1016" t="str">
            <v>María sobeiba Martínez marin</v>
          </cell>
          <cell r="C1016" t="str">
            <v>Medellin</v>
          </cell>
          <cell r="D1016" t="str">
            <v>Cerca del supermercado la rramada</v>
          </cell>
          <cell r="E1016" t="str">
            <v/>
          </cell>
          <cell r="F1016" t="str">
            <v>3054202076</v>
          </cell>
          <cell r="G1016" t="str">
            <v>3014435725</v>
          </cell>
          <cell r="H1016" t="str">
            <v>Tratamiento</v>
          </cell>
        </row>
        <row r="1017">
          <cell r="A1017">
            <v>43066859</v>
          </cell>
          <cell r="B1017" t="str">
            <v>María Araceli</v>
          </cell>
          <cell r="C1017" t="str">
            <v>Medellin</v>
          </cell>
          <cell r="D1017" t="str">
            <v>Carrera  8 este #54aa 05</v>
          </cell>
          <cell r="E1017" t="str">
            <v xml:space="preserve">Por donde era el teléfono público, en lo último de las escalas </v>
          </cell>
          <cell r="F1017" t="str">
            <v>3217509031</v>
          </cell>
          <cell r="G1017" t="str">
            <v>3053818415</v>
          </cell>
          <cell r="H1017" t="str">
            <v>Tratamiento</v>
          </cell>
        </row>
        <row r="1018">
          <cell r="A1018">
            <v>43069093</v>
          </cell>
          <cell r="B1018" t="str">
            <v xml:space="preserve">Maria Alba Luz </v>
          </cell>
          <cell r="C1018" t="str">
            <v>Medellin</v>
          </cell>
          <cell r="D1018" t="str">
            <v>Carrera 4 este # 55 HH - 12</v>
          </cell>
          <cell r="E1018" t="str">
            <v>Subiendo por las escalas de la iglesia la sierra</v>
          </cell>
          <cell r="F1018" t="str">
            <v>3148190476</v>
          </cell>
          <cell r="G1018" t="str">
            <v>3113417622</v>
          </cell>
          <cell r="H1018" t="str">
            <v>Tratamiento</v>
          </cell>
        </row>
        <row r="1019">
          <cell r="A1019">
            <v>43070884</v>
          </cell>
          <cell r="B1019" t="str">
            <v>María Dolores</v>
          </cell>
          <cell r="C1019" t="str">
            <v>Medellin</v>
          </cell>
          <cell r="D1019" t="str">
            <v>Calle 56EF #18A-19</v>
          </cell>
          <cell r="E1019" t="str">
            <v>Llegamos a la uva seguimos derecho luego llegamos a los pasamanos y bajamos hasta media cuadra</v>
          </cell>
          <cell r="F1019" t="str">
            <v>3013981557</v>
          </cell>
          <cell r="G1019" t="str">
            <v xml:space="preserve">No dan información </v>
          </cell>
          <cell r="H1019" t="str">
            <v>Tratamiento</v>
          </cell>
        </row>
        <row r="1020">
          <cell r="A1020">
            <v>43075851</v>
          </cell>
          <cell r="B1020" t="str">
            <v>Ofelia</v>
          </cell>
          <cell r="C1020" t="str">
            <v>Medellin</v>
          </cell>
          <cell r="D1020" t="str">
            <v>La panadería el faro</v>
          </cell>
          <cell r="E1020" t="str">
            <v/>
          </cell>
          <cell r="F1020" t="str">
            <v>3143907111</v>
          </cell>
          <cell r="G1020" t="str">
            <v>3143907111</v>
          </cell>
          <cell r="H1020" t="str">
            <v>Tratamiento</v>
          </cell>
        </row>
        <row r="1021">
          <cell r="A1021">
            <v>43085637</v>
          </cell>
          <cell r="B1021" t="str">
            <v>María Ninfa Higuita</v>
          </cell>
          <cell r="C1021" t="str">
            <v>Medellin</v>
          </cell>
          <cell r="D1021" t="str">
            <v>Cerca al centro de salud</v>
          </cell>
          <cell r="E1021" t="str">
            <v/>
          </cell>
          <cell r="F1021" t="str">
            <v>3105101236</v>
          </cell>
          <cell r="G1021" t="str">
            <v>3217961603</v>
          </cell>
          <cell r="H1021" t="str">
            <v>Tratamiento</v>
          </cell>
        </row>
        <row r="1022">
          <cell r="A1022">
            <v>43100739</v>
          </cell>
          <cell r="B1022" t="str">
            <v>Dasney Maria</v>
          </cell>
          <cell r="C1022" t="str">
            <v>Medellin</v>
          </cell>
          <cell r="D1022" t="str">
            <v>Cl 56 EG # 18a - 31 piso 2</v>
          </cell>
          <cell r="E1022" t="str">
            <v>Cerca de la uva sol de oriente</v>
          </cell>
          <cell r="F1022" t="str">
            <v>3197532950</v>
          </cell>
          <cell r="G1022" t="str">
            <v>3242528283</v>
          </cell>
          <cell r="H1022" t="str">
            <v>Tratamiento</v>
          </cell>
        </row>
        <row r="1023">
          <cell r="A1023">
            <v>43101586</v>
          </cell>
          <cell r="B1023" t="str">
            <v>Elizabeth del Socorro</v>
          </cell>
          <cell r="C1023" t="str">
            <v>Medellin</v>
          </cell>
          <cell r="D1023" t="str">
            <v>Por la carretera nueva, a mano derecha de las escaleras con puentes amarillos</v>
          </cell>
          <cell r="E1023" t="str">
            <v/>
          </cell>
          <cell r="F1023" t="str">
            <v>3244998602</v>
          </cell>
          <cell r="G1023" t="str">
            <v>3245456887</v>
          </cell>
          <cell r="H1023" t="str">
            <v>Tratamiento</v>
          </cell>
        </row>
        <row r="1024">
          <cell r="A1024">
            <v>43141643</v>
          </cell>
          <cell r="B1024" t="str">
            <v xml:space="preserve">Argel María </v>
          </cell>
          <cell r="C1024" t="str">
            <v>Medellin</v>
          </cell>
          <cell r="D1024" t="str">
            <v>Calle 64#17-38 int 102</v>
          </cell>
          <cell r="E1024" t="str">
            <v>Abajo del parquesito</v>
          </cell>
          <cell r="F1024" t="str">
            <v>3136539769</v>
          </cell>
          <cell r="G1024" t="str">
            <v>3147484290</v>
          </cell>
          <cell r="H1024" t="str">
            <v>Tratamiento</v>
          </cell>
        </row>
        <row r="1025">
          <cell r="A1025">
            <v>43150064</v>
          </cell>
          <cell r="B1025" t="str">
            <v>Luz margod Montoya mesa</v>
          </cell>
          <cell r="C1025" t="str">
            <v>Medellin</v>
          </cell>
          <cell r="D1025" t="str">
            <v>CL 56ed 18a20</v>
          </cell>
          <cell r="E1025" t="str">
            <v>Cerca a la uva sol de oriente</v>
          </cell>
          <cell r="F1025" t="str">
            <v>4146654292</v>
          </cell>
          <cell r="G1025" t="str">
            <v>3017931942</v>
          </cell>
          <cell r="H1025" t="str">
            <v>Tratamiento</v>
          </cell>
        </row>
        <row r="1026">
          <cell r="A1026">
            <v>43152836</v>
          </cell>
          <cell r="B1026" t="str">
            <v>Maria Dilbia</v>
          </cell>
          <cell r="C1026" t="str">
            <v>Medellin</v>
          </cell>
          <cell r="D1026" t="str">
            <v>Carrera 7 este # 54 AA - 51</v>
          </cell>
          <cell r="E1026" t="str">
            <v>Cerca a la panadería de la sierra</v>
          </cell>
          <cell r="F1026" t="str">
            <v>313649657</v>
          </cell>
          <cell r="G1026" t="str">
            <v>3118771759</v>
          </cell>
          <cell r="H1026" t="str">
            <v>Tratamiento</v>
          </cell>
        </row>
        <row r="1027">
          <cell r="A1027">
            <v>43203228</v>
          </cell>
          <cell r="B1027" t="str">
            <v>Victoria Eugenia</v>
          </cell>
          <cell r="C1027" t="str">
            <v>Medellin</v>
          </cell>
          <cell r="D1027" t="str">
            <v>Carrera 8 Este #54B-55</v>
          </cell>
          <cell r="E1027" t="str">
            <v>Bajando derecho por el Caí escalas nuevas</v>
          </cell>
          <cell r="F1027" t="str">
            <v>3188798802</v>
          </cell>
          <cell r="G1027" t="str">
            <v>3043839443</v>
          </cell>
          <cell r="H1027" t="str">
            <v>Tratamiento</v>
          </cell>
        </row>
        <row r="1028">
          <cell r="A1028">
            <v>43251278</v>
          </cell>
          <cell r="B1028" t="str">
            <v>Rosa Delfa</v>
          </cell>
          <cell r="C1028" t="str">
            <v>Medellin</v>
          </cell>
          <cell r="D1028" t="str">
            <v>Carrera 18 A # 56 EC - 21</v>
          </cell>
          <cell r="E1028" t="str">
            <v>Cerca a la uva sol de oriente</v>
          </cell>
          <cell r="F1028" t="str">
            <v>3105952558</v>
          </cell>
          <cell r="G1028" t="str">
            <v>3105952558</v>
          </cell>
          <cell r="H1028" t="str">
            <v>Tratamiento</v>
          </cell>
        </row>
        <row r="1029">
          <cell r="A1029">
            <v>43259030</v>
          </cell>
          <cell r="B1029" t="str">
            <v>María Noelia</v>
          </cell>
          <cell r="C1029" t="str">
            <v>Medellin</v>
          </cell>
          <cell r="D1029" t="str">
            <v>Calle 56EF #18A 20</v>
          </cell>
          <cell r="E1029" t="str">
            <v>Uva sol de oriente</v>
          </cell>
          <cell r="F1029" t="str">
            <v>3014024378</v>
          </cell>
          <cell r="G1029" t="str">
            <v>3014024378</v>
          </cell>
          <cell r="H1029" t="str">
            <v>Tratamiento</v>
          </cell>
        </row>
        <row r="1030">
          <cell r="A1030">
            <v>43268570</v>
          </cell>
          <cell r="B1030" t="str">
            <v>Viviana Edith</v>
          </cell>
          <cell r="C1030" t="str">
            <v>Medellin</v>
          </cell>
          <cell r="D1030" t="str">
            <v>Carrera 5A # 55H - 86</v>
          </cell>
          <cell r="E1030" t="str">
            <v>Entrando a mano izquierda por la iglesia la sierra</v>
          </cell>
          <cell r="F1030" t="str">
            <v>3124753105</v>
          </cell>
          <cell r="G1030" t="str">
            <v>3113049917</v>
          </cell>
          <cell r="H1030" t="str">
            <v>Tratamiento</v>
          </cell>
        </row>
        <row r="1031">
          <cell r="A1031">
            <v>43269156</v>
          </cell>
          <cell r="B1031" t="str">
            <v>Isabel</v>
          </cell>
          <cell r="C1031" t="str">
            <v>Medellin</v>
          </cell>
          <cell r="D1031" t="str">
            <v>Cr 18a 56e C 42</v>
          </cell>
          <cell r="E1031" t="str">
            <v>Al lado de la uva sol de oriente</v>
          </cell>
          <cell r="F1031" t="str">
            <v>3006337305</v>
          </cell>
          <cell r="G1031" t="str">
            <v>3238048817</v>
          </cell>
          <cell r="H1031" t="str">
            <v>Tratamiento</v>
          </cell>
        </row>
        <row r="1032">
          <cell r="A1032">
            <v>43275340</v>
          </cell>
          <cell r="B1032" t="str">
            <v>María Nelly</v>
          </cell>
          <cell r="C1032" t="str">
            <v>Medellin</v>
          </cell>
          <cell r="D1032" t="str">
            <v>Al lado de la uva sol de oriente</v>
          </cell>
          <cell r="E1032" t="str">
            <v/>
          </cell>
          <cell r="F1032" t="str">
            <v>3135067134</v>
          </cell>
          <cell r="G1032" t="str">
            <v>3043532651</v>
          </cell>
          <cell r="H1032" t="str">
            <v>Tratamiento</v>
          </cell>
        </row>
        <row r="1033">
          <cell r="A1033">
            <v>43279706</v>
          </cell>
          <cell r="B1033" t="str">
            <v>Astrid elena vallejo</v>
          </cell>
          <cell r="C1033" t="str">
            <v>Medellin</v>
          </cell>
          <cell r="D1033" t="str">
            <v>Abajo de la estacion</v>
          </cell>
          <cell r="E1033" t="str">
            <v/>
          </cell>
          <cell r="F1033" t="str">
            <v>3148505101</v>
          </cell>
          <cell r="G1033" t="str">
            <v>3015153708</v>
          </cell>
          <cell r="H1033" t="str">
            <v>Tratamiento</v>
          </cell>
        </row>
        <row r="1034">
          <cell r="A1034">
            <v>43286202</v>
          </cell>
          <cell r="B1034" t="str">
            <v xml:space="preserve">Luzeida del Socorro </v>
          </cell>
          <cell r="C1034" t="str">
            <v>Medellin</v>
          </cell>
          <cell r="D1034" t="str">
            <v>Llega a la finquita, por una loma tiene que bajar toda la falda completa</v>
          </cell>
          <cell r="E1034" t="str">
            <v/>
          </cell>
          <cell r="F1034" t="str">
            <v>3203679092</v>
          </cell>
          <cell r="G1034" t="str">
            <v xml:space="preserve">No dan información </v>
          </cell>
          <cell r="H1034" t="str">
            <v>Tratamiento</v>
          </cell>
        </row>
        <row r="1035">
          <cell r="A1035">
            <v>4335238</v>
          </cell>
          <cell r="B1035" t="str">
            <v>Fabio de jesus</v>
          </cell>
          <cell r="C1035" t="str">
            <v>Cali</v>
          </cell>
          <cell r="D1035" t="str">
            <v>Cr 74 g oeste 4b 63 casa 2</v>
          </cell>
          <cell r="E1035" t="str">
            <v>Comedor las minas. Hacia arriba por la loma</v>
          </cell>
          <cell r="F1035" t="str">
            <v>3245724207</v>
          </cell>
          <cell r="G1035" t="str">
            <v>3185749690</v>
          </cell>
          <cell r="H1035" t="str">
            <v>Tratamiento</v>
          </cell>
        </row>
        <row r="1036">
          <cell r="A1036">
            <v>43380042</v>
          </cell>
          <cell r="B1036" t="str">
            <v xml:space="preserve">Graciela </v>
          </cell>
          <cell r="C1036" t="str">
            <v>Medellin</v>
          </cell>
          <cell r="D1036" t="str">
            <v>Carrera 17 B #56EE int 141 cerca de Isabel</v>
          </cell>
          <cell r="E1036" t="str">
            <v/>
          </cell>
          <cell r="F1036" t="str">
            <v>3146007349</v>
          </cell>
          <cell r="G1036" t="str">
            <v>3146492065</v>
          </cell>
          <cell r="H1036" t="str">
            <v>Tratamiento</v>
          </cell>
        </row>
        <row r="1037">
          <cell r="A1037">
            <v>43380718</v>
          </cell>
          <cell r="B1037" t="str">
            <v>Maria Rosalba</v>
          </cell>
          <cell r="C1037" t="str">
            <v>Medellin</v>
          </cell>
          <cell r="D1037" t="str">
            <v>Cerca al parque el pacifico</v>
          </cell>
          <cell r="E1037" t="str">
            <v/>
          </cell>
          <cell r="F1037" t="str">
            <v>3008093366</v>
          </cell>
          <cell r="G1037" t="str">
            <v>3154149210</v>
          </cell>
          <cell r="H1037" t="str">
            <v>Tratamiento</v>
          </cell>
        </row>
        <row r="1038">
          <cell r="A1038">
            <v>43381458</v>
          </cell>
          <cell r="B1038" t="str">
            <v>Miriam</v>
          </cell>
          <cell r="C1038" t="str">
            <v>Medellin</v>
          </cell>
          <cell r="D1038" t="str">
            <v>Al frente del parque pinares de oriente</v>
          </cell>
          <cell r="E1038" t="str">
            <v/>
          </cell>
          <cell r="F1038" t="str">
            <v>3147722415</v>
          </cell>
          <cell r="G1038" t="str">
            <v>3226419307</v>
          </cell>
          <cell r="H1038" t="str">
            <v>Tratamiento</v>
          </cell>
        </row>
        <row r="1039">
          <cell r="A1039">
            <v>43381830</v>
          </cell>
          <cell r="B1039" t="str">
            <v>Luz dari</v>
          </cell>
          <cell r="C1039" t="str">
            <v>Medellin</v>
          </cell>
          <cell r="D1039" t="str">
            <v xml:space="preserve">Llegan por los buses, y suben toda la loma en una casa de un 2 piso </v>
          </cell>
          <cell r="E1039" t="str">
            <v/>
          </cell>
          <cell r="F1039" t="str">
            <v>3113805999</v>
          </cell>
          <cell r="G1039" t="str">
            <v>3218495695</v>
          </cell>
          <cell r="H1039" t="str">
            <v>Tratamiento</v>
          </cell>
        </row>
        <row r="1040">
          <cell r="A1040">
            <v>43382433</v>
          </cell>
          <cell r="B1040" t="str">
            <v>Rocio Orozco Munoz</v>
          </cell>
          <cell r="C1040" t="str">
            <v>Medellin</v>
          </cell>
          <cell r="D1040" t="str">
            <v>Cerca al centro de salud</v>
          </cell>
          <cell r="E1040" t="str">
            <v/>
          </cell>
          <cell r="F1040" t="str">
            <v>3234583840</v>
          </cell>
          <cell r="G1040" t="str">
            <v>3011100344</v>
          </cell>
          <cell r="H1040" t="str">
            <v>Tratamiento</v>
          </cell>
        </row>
        <row r="1041">
          <cell r="A1041">
            <v>43441449</v>
          </cell>
          <cell r="B1041" t="str">
            <v>Luz Mirian Del Socorro Mesa Tamayo</v>
          </cell>
          <cell r="C1041" t="str">
            <v>Medellin</v>
          </cell>
          <cell r="D1041" t="str">
            <v>Cerca al colegio sol de oriente</v>
          </cell>
          <cell r="E1041" t="str">
            <v/>
          </cell>
          <cell r="F1041" t="str">
            <v>3122824575</v>
          </cell>
          <cell r="G1041" t="str">
            <v>3117292722</v>
          </cell>
          <cell r="H1041" t="str">
            <v>Tratamiento</v>
          </cell>
        </row>
        <row r="1042">
          <cell r="A1042">
            <v>43485410</v>
          </cell>
          <cell r="B1042" t="str">
            <v>Ester Marina</v>
          </cell>
          <cell r="C1042" t="str">
            <v>Medellin</v>
          </cell>
          <cell r="D1042" t="str">
            <v>Carrera 17.ª #56h08 int 1125</v>
          </cell>
          <cell r="E1042" t="str">
            <v>Haciendo una u desde la junta de acción comunal</v>
          </cell>
          <cell r="F1042" t="str">
            <v>3008709624</v>
          </cell>
          <cell r="G1042" t="str">
            <v>3023389428 numero del nieto</v>
          </cell>
          <cell r="H1042" t="str">
            <v>Tratamiento</v>
          </cell>
        </row>
        <row r="1043">
          <cell r="A1043">
            <v>43489779</v>
          </cell>
          <cell r="B1043" t="str">
            <v>Isabel</v>
          </cell>
          <cell r="C1043" t="str">
            <v>Medellin</v>
          </cell>
          <cell r="D1043" t="str">
            <v>Cerca de metrosalud sol de oriente</v>
          </cell>
          <cell r="E1043" t="str">
            <v/>
          </cell>
          <cell r="F1043" t="str">
            <v>3136731346</v>
          </cell>
          <cell r="G1043" t="str">
            <v>3234046304</v>
          </cell>
          <cell r="H1043" t="str">
            <v>Tratamiento</v>
          </cell>
        </row>
        <row r="1044">
          <cell r="A1044">
            <v>43533488</v>
          </cell>
          <cell r="B1044" t="str">
            <v>María nubia</v>
          </cell>
          <cell r="C1044" t="str">
            <v>Medellin</v>
          </cell>
          <cell r="D1044" t="str">
            <v>Terminando de bajar todas las escaleras de la estación Villa sierra, en una casa tipo finca</v>
          </cell>
          <cell r="E1044" t="str">
            <v/>
          </cell>
          <cell r="F1044" t="str">
            <v>3234052820</v>
          </cell>
          <cell r="G1044" t="str">
            <v>3125900777</v>
          </cell>
          <cell r="H1044" t="str">
            <v>Tratamiento</v>
          </cell>
        </row>
        <row r="1045">
          <cell r="A1045">
            <v>43535348</v>
          </cell>
          <cell r="B1045" t="str">
            <v>Monica María</v>
          </cell>
          <cell r="C1045" t="str">
            <v>Medellin</v>
          </cell>
          <cell r="D1045" t="str">
            <v>Está abajo de la sierra en el sector las mirlas</v>
          </cell>
          <cell r="E1045" t="str">
            <v/>
          </cell>
          <cell r="F1045" t="str">
            <v>3024221927</v>
          </cell>
          <cell r="G1045" t="str">
            <v>3004106448</v>
          </cell>
          <cell r="H1045" t="str">
            <v>Tratamiento</v>
          </cell>
        </row>
        <row r="1046">
          <cell r="A1046">
            <v>43542284</v>
          </cell>
          <cell r="B1046" t="str">
            <v>Alba Inés</v>
          </cell>
          <cell r="C1046" t="str">
            <v>Medellin</v>
          </cell>
          <cell r="D1046" t="str">
            <v>Cr 18a 56ec 28</v>
          </cell>
          <cell r="E1046" t="str">
            <v>Abajo de la uva por las barandas azules</v>
          </cell>
          <cell r="F1046" t="str">
            <v>3242123054</v>
          </cell>
          <cell r="G1046" t="str">
            <v>3022646683</v>
          </cell>
          <cell r="H1046" t="str">
            <v>Tratamiento</v>
          </cell>
        </row>
        <row r="1047">
          <cell r="A1047">
            <v>43566435</v>
          </cell>
          <cell r="B1047" t="str">
            <v xml:space="preserve">Gildardo Antonio </v>
          </cell>
          <cell r="C1047" t="str">
            <v>Medellin</v>
          </cell>
          <cell r="D1047" t="str">
            <v>Carrera 5 este # 54B -73</v>
          </cell>
          <cell r="E1047" t="str">
            <v>Cerca a la iglesia la sierra</v>
          </cell>
          <cell r="F1047" t="str">
            <v>3127815257</v>
          </cell>
          <cell r="G1047" t="str">
            <v>3104030497</v>
          </cell>
          <cell r="H1047" t="str">
            <v>Tratamiento</v>
          </cell>
        </row>
        <row r="1048">
          <cell r="A1048">
            <v>43567075</v>
          </cell>
          <cell r="B1048" t="str">
            <v>Etergiria del Socorro</v>
          </cell>
          <cell r="C1048" t="str">
            <v>Medellin</v>
          </cell>
          <cell r="D1048" t="str">
            <v>El despachador de los carros blancos de cootransvi</v>
          </cell>
          <cell r="E1048" t="str">
            <v/>
          </cell>
          <cell r="F1048" t="str">
            <v>3053642789</v>
          </cell>
          <cell r="G1048" t="str">
            <v>3127686916</v>
          </cell>
          <cell r="H1048" t="str">
            <v>Tratamiento</v>
          </cell>
        </row>
        <row r="1049">
          <cell r="A1049">
            <v>43570005</v>
          </cell>
          <cell r="B1049" t="str">
            <v>María del rosario</v>
          </cell>
          <cell r="C1049" t="str">
            <v>Medellin</v>
          </cell>
          <cell r="D1049" t="str">
            <v>La calle nueva, bajando del colegio</v>
          </cell>
          <cell r="E1049" t="str">
            <v/>
          </cell>
          <cell r="F1049" t="str">
            <v>3135793369</v>
          </cell>
          <cell r="G1049" t="str">
            <v xml:space="preserve">No dan información </v>
          </cell>
          <cell r="H1049" t="str">
            <v>Tratamiento</v>
          </cell>
        </row>
        <row r="1050">
          <cell r="A1050">
            <v>43582831</v>
          </cell>
          <cell r="B1050" t="str">
            <v>Luz ella</v>
          </cell>
          <cell r="C1050" t="str">
            <v>Medellin</v>
          </cell>
          <cell r="D1050" t="str">
            <v>Cl 62 18b61</v>
          </cell>
          <cell r="E1050" t="str">
            <v>Mosdiria la 63 el plan de moncada</v>
          </cell>
          <cell r="F1050" t="str">
            <v>3215401934</v>
          </cell>
          <cell r="G1050" t="str">
            <v>3015004266</v>
          </cell>
          <cell r="H1050" t="str">
            <v>Tratamiento</v>
          </cell>
        </row>
        <row r="1051">
          <cell r="A1051">
            <v>43594778</v>
          </cell>
          <cell r="B1051" t="str">
            <v>Luz Marina buitrago</v>
          </cell>
          <cell r="C1051" t="str">
            <v>Medellin</v>
          </cell>
          <cell r="D1051" t="str">
            <v>Cerca a la estación la sierra</v>
          </cell>
          <cell r="E1051" t="str">
            <v/>
          </cell>
          <cell r="F1051" t="str">
            <v>3006193298</v>
          </cell>
          <cell r="G1051" t="str">
            <v>3107015042</v>
          </cell>
          <cell r="H1051" t="str">
            <v>Tratamiento</v>
          </cell>
        </row>
        <row r="1052">
          <cell r="A1052">
            <v>43597042</v>
          </cell>
          <cell r="B1052" t="str">
            <v>Claudia  Solena</v>
          </cell>
          <cell r="C1052" t="str">
            <v>Medellin</v>
          </cell>
          <cell r="D1052" t="str">
            <v>Cerca de la terminal cootransvi</v>
          </cell>
          <cell r="E1052" t="str">
            <v/>
          </cell>
          <cell r="F1052" t="str">
            <v>3015619184</v>
          </cell>
          <cell r="G1052" t="str">
            <v>3136004373</v>
          </cell>
          <cell r="H1052" t="str">
            <v>Tratamiento</v>
          </cell>
        </row>
        <row r="1053">
          <cell r="A1053">
            <v>43600211</v>
          </cell>
          <cell r="B1053" t="str">
            <v>Margo Borja Echavarria</v>
          </cell>
          <cell r="C1053" t="str">
            <v>Medellin</v>
          </cell>
          <cell r="D1053" t="str">
            <v>Cerca al parque tinajas</v>
          </cell>
          <cell r="E1053" t="str">
            <v/>
          </cell>
          <cell r="F1053" t="str">
            <v>3013836356</v>
          </cell>
          <cell r="G1053" t="str">
            <v>3232727629</v>
          </cell>
          <cell r="H1053" t="str">
            <v>Tratamiento</v>
          </cell>
        </row>
        <row r="1054">
          <cell r="A1054">
            <v>43600567</v>
          </cell>
          <cell r="B1054" t="str">
            <v xml:space="preserve">María Emilce </v>
          </cell>
          <cell r="C1054" t="str">
            <v>Medellin</v>
          </cell>
          <cell r="D1054" t="str">
            <v>La terminal de buses de las perlas en una casa de dos pisos</v>
          </cell>
          <cell r="E1054" t="str">
            <v/>
          </cell>
          <cell r="F1054" t="str">
            <v>3205723372</v>
          </cell>
          <cell r="G1054" t="str">
            <v>30237778393</v>
          </cell>
          <cell r="H1054" t="str">
            <v>Tratamiento</v>
          </cell>
        </row>
        <row r="1055">
          <cell r="A1055">
            <v>43605902</v>
          </cell>
          <cell r="B1055" t="str">
            <v xml:space="preserve">Ana del Carmen </v>
          </cell>
          <cell r="C1055" t="str">
            <v>Medellin</v>
          </cell>
          <cell r="D1055" t="str">
            <v>Llega a la sede social por la terminal de buses y sube todas las escaleras</v>
          </cell>
          <cell r="E1055" t="str">
            <v/>
          </cell>
          <cell r="F1055" t="str">
            <v>3006421187</v>
          </cell>
          <cell r="G1055" t="str">
            <v>3002817408</v>
          </cell>
          <cell r="H1055" t="str">
            <v>Tratamiento</v>
          </cell>
        </row>
        <row r="1056">
          <cell r="A1056">
            <v>43607068</v>
          </cell>
          <cell r="B1056" t="str">
            <v xml:space="preserve">Susana </v>
          </cell>
          <cell r="C1056" t="str">
            <v>Medellin</v>
          </cell>
          <cell r="D1056" t="str">
            <v>Carrera 9B Este #54B 52</v>
          </cell>
          <cell r="E1056" t="str">
            <v xml:space="preserve">Llega a la tienda de los pachitos en la sierra, de ahí sube por las escalas hasta el final una casa amarilla </v>
          </cell>
          <cell r="F1056" t="str">
            <v>3122148395</v>
          </cell>
          <cell r="G1056" t="str">
            <v>3188070971</v>
          </cell>
          <cell r="H1056" t="str">
            <v>Tratamiento</v>
          </cell>
        </row>
        <row r="1057">
          <cell r="A1057">
            <v>43611767</v>
          </cell>
          <cell r="B1057" t="str">
            <v>Blanca nubia Muñoz Garcia</v>
          </cell>
          <cell r="C1057" t="str">
            <v>Medellin</v>
          </cell>
          <cell r="D1057" t="str">
            <v>CL 56ed 18a36</v>
          </cell>
          <cell r="E1057" t="str">
            <v>Cerca a la uva sol de oriente</v>
          </cell>
          <cell r="F1057" t="str">
            <v>3114644465</v>
          </cell>
          <cell r="G1057" t="str">
            <v>3215445517</v>
          </cell>
          <cell r="H1057" t="str">
            <v>Tratamiento</v>
          </cell>
        </row>
        <row r="1058">
          <cell r="A1058">
            <v>43613777</v>
          </cell>
          <cell r="B1058" t="str">
            <v xml:space="preserve">Diana María </v>
          </cell>
          <cell r="C1058" t="str">
            <v>Medellin</v>
          </cell>
          <cell r="D1058" t="str">
            <v>Calle 54AA #7este28</v>
          </cell>
          <cell r="E1058" t="str">
            <v xml:space="preserve">Por el divino niño en la casa de la esquina </v>
          </cell>
          <cell r="F1058" t="str">
            <v>3226219093</v>
          </cell>
          <cell r="G1058" t="str">
            <v xml:space="preserve">No dan información </v>
          </cell>
          <cell r="H1058" t="str">
            <v>Tratamiento</v>
          </cell>
        </row>
        <row r="1059">
          <cell r="A1059">
            <v>43615569</v>
          </cell>
          <cell r="B1059" t="str">
            <v>Jorge enrrique corre zerna</v>
          </cell>
          <cell r="C1059" t="str">
            <v>Medellin</v>
          </cell>
          <cell r="D1059" t="str">
            <v>Cerca de la terminal de buses cotrasvi</v>
          </cell>
          <cell r="E1059" t="str">
            <v/>
          </cell>
          <cell r="F1059" t="str">
            <v>3148499831</v>
          </cell>
          <cell r="G1059" t="str">
            <v>3246336792</v>
          </cell>
          <cell r="H1059" t="str">
            <v>Tratamiento</v>
          </cell>
        </row>
        <row r="1060">
          <cell r="A1060">
            <v>43634284</v>
          </cell>
          <cell r="B1060" t="str">
            <v xml:space="preserve">Astrid Yuveine </v>
          </cell>
          <cell r="C1060" t="str">
            <v>Medellin</v>
          </cell>
          <cell r="D1060" t="str">
            <v>Carrera 4 este #53D63</v>
          </cell>
          <cell r="E1060" t="str">
            <v xml:space="preserve">Por la guardería por la parte de atrás las escaleras al final e el plan a mano derecha </v>
          </cell>
          <cell r="F1060" t="str">
            <v>3005350432</v>
          </cell>
          <cell r="G1060" t="str">
            <v xml:space="preserve">No dan información </v>
          </cell>
          <cell r="H1060" t="str">
            <v>Tratamiento</v>
          </cell>
        </row>
        <row r="1061">
          <cell r="A1061">
            <v>43639779</v>
          </cell>
          <cell r="B1061" t="str">
            <v>Jhon Mario</v>
          </cell>
          <cell r="C1061" t="str">
            <v>Medellin</v>
          </cell>
          <cell r="D1061" t="str">
            <v>Colegio San Francisco de Asís panadería Peter pan</v>
          </cell>
          <cell r="E1061" t="str">
            <v/>
          </cell>
          <cell r="F1061" t="str">
            <v>3016925203</v>
          </cell>
          <cell r="G1061" t="str">
            <v>3004208996</v>
          </cell>
          <cell r="H1061" t="str">
            <v>Tratamiento</v>
          </cell>
        </row>
        <row r="1062">
          <cell r="A1062">
            <v>43640603</v>
          </cell>
          <cell r="B1062" t="str">
            <v>Lidis del carmen</v>
          </cell>
          <cell r="C1062" t="str">
            <v>Medellin</v>
          </cell>
          <cell r="D1062" t="str">
            <v>Calle54 aa#7 este 28</v>
          </cell>
          <cell r="E1062" t="str">
            <v xml:space="preserve">De la panadería hacia abajo </v>
          </cell>
          <cell r="F1062" t="str">
            <v>3217196323</v>
          </cell>
          <cell r="G1062" t="str">
            <v xml:space="preserve">No dan información </v>
          </cell>
          <cell r="H1062" t="str">
            <v>Tratamiento</v>
          </cell>
        </row>
        <row r="1063">
          <cell r="A1063">
            <v>43681503</v>
          </cell>
          <cell r="B1063" t="str">
            <v>Maria Estrella del Socorro</v>
          </cell>
          <cell r="C1063" t="str">
            <v>Medellin</v>
          </cell>
          <cell r="D1063" t="str">
            <v>Cerca a la droguería servifarm</v>
          </cell>
          <cell r="E1063" t="str">
            <v/>
          </cell>
          <cell r="F1063" t="str">
            <v>3138759750</v>
          </cell>
          <cell r="G1063" t="str">
            <v>3147123570</v>
          </cell>
          <cell r="H1063" t="str">
            <v>Tratamiento</v>
          </cell>
        </row>
        <row r="1064">
          <cell r="A1064">
            <v>43750015</v>
          </cell>
          <cell r="B1064" t="str">
            <v>Marleny de Jesús</v>
          </cell>
          <cell r="C1064" t="str">
            <v>Medellin</v>
          </cell>
          <cell r="D1064" t="str">
            <v>Calle 54 AA # 7A este -33 interior 103</v>
          </cell>
          <cell r="E1064" t="str">
            <v>Cerca al divino niño</v>
          </cell>
          <cell r="F1064" t="str">
            <v>3105981851</v>
          </cell>
          <cell r="G1064" t="str">
            <v>3127586212</v>
          </cell>
          <cell r="H1064" t="str">
            <v>Tratamiento</v>
          </cell>
        </row>
        <row r="1065">
          <cell r="A1065">
            <v>43752818</v>
          </cell>
          <cell r="B1065" t="str">
            <v>María Yolanda</v>
          </cell>
          <cell r="C1065" t="str">
            <v>Medellin</v>
          </cell>
          <cell r="D1065" t="str">
            <v>Calle 54AA #7A Este 52 Int 104</v>
          </cell>
          <cell r="E1065" t="str">
            <v>Sector Divino niño</v>
          </cell>
          <cell r="F1065" t="str">
            <v>3207588252</v>
          </cell>
          <cell r="G1065" t="str">
            <v>3207588252</v>
          </cell>
          <cell r="H1065" t="str">
            <v>Tratamiento</v>
          </cell>
        </row>
        <row r="1066">
          <cell r="A1066">
            <v>43755833</v>
          </cell>
          <cell r="B1066" t="str">
            <v>Lidia María</v>
          </cell>
          <cell r="C1066" t="str">
            <v>Medellin</v>
          </cell>
          <cell r="D1066" t="str">
            <v>Cerca de la uva sol de oriente</v>
          </cell>
          <cell r="E1066" t="str">
            <v/>
          </cell>
          <cell r="F1066" t="str">
            <v>3225791147</v>
          </cell>
          <cell r="G1066" t="str">
            <v>3012038358</v>
          </cell>
          <cell r="H1066" t="str">
            <v>Tratamiento</v>
          </cell>
        </row>
        <row r="1067">
          <cell r="A1067">
            <v>43905793</v>
          </cell>
          <cell r="B1067" t="str">
            <v xml:space="preserve">Diana María </v>
          </cell>
          <cell r="C1067" t="str">
            <v>Medellin</v>
          </cell>
          <cell r="D1067" t="str">
            <v>Llegan a la panadería y luego bajan por las barandas amarillas hasta u poste por ese a la izquierda entran hasta el fondo</v>
          </cell>
          <cell r="E1067" t="str">
            <v/>
          </cell>
          <cell r="F1067" t="str">
            <v>3014922437</v>
          </cell>
          <cell r="G1067" t="str">
            <v>3127995758</v>
          </cell>
          <cell r="H1067" t="str">
            <v>Tratamiento</v>
          </cell>
        </row>
        <row r="1068">
          <cell r="A1068">
            <v>43973029</v>
          </cell>
          <cell r="B1068" t="str">
            <v>Viviana maria</v>
          </cell>
          <cell r="C1068" t="str">
            <v>Medellin</v>
          </cell>
          <cell r="D1068" t="str">
            <v>CR17 C  56eg 5</v>
          </cell>
          <cell r="E1068" t="str">
            <v>Cerca a la uva sol de oriente</v>
          </cell>
          <cell r="F1068" t="str">
            <v>3215806448</v>
          </cell>
          <cell r="G1068" t="str">
            <v>3243654183</v>
          </cell>
          <cell r="H1068" t="str">
            <v>Tratamiento</v>
          </cell>
        </row>
        <row r="1069">
          <cell r="A1069">
            <v>44003061</v>
          </cell>
          <cell r="B1069" t="str">
            <v>Viviana del Carmen</v>
          </cell>
          <cell r="C1069" t="str">
            <v>Medellin</v>
          </cell>
          <cell r="D1069" t="str">
            <v>Cl 56 EG # 18A -33</v>
          </cell>
          <cell r="E1069" t="str">
            <v>Cerca la uva sol de oriente</v>
          </cell>
          <cell r="F1069" t="str">
            <v>3022932777</v>
          </cell>
          <cell r="G1069" t="str">
            <v>3244023456</v>
          </cell>
          <cell r="H1069" t="str">
            <v>Tratamiento</v>
          </cell>
        </row>
        <row r="1070">
          <cell r="A1070">
            <v>45578869</v>
          </cell>
          <cell r="B1070" t="str">
            <v>Farine</v>
          </cell>
          <cell r="C1070" t="str">
            <v>Baranquilla</v>
          </cell>
          <cell r="D1070" t="str">
            <v>Carrera 8g#60b-80</v>
          </cell>
          <cell r="E1070" t="str">
            <v xml:space="preserve">Color amarillo ,piso de cuadros </v>
          </cell>
          <cell r="F1070" t="str">
            <v>3013568236</v>
          </cell>
          <cell r="G1070" t="str">
            <v>3006784741</v>
          </cell>
          <cell r="H1070" t="str">
            <v>Tratamiento</v>
          </cell>
        </row>
        <row r="1071">
          <cell r="A1071">
            <v>45584758</v>
          </cell>
          <cell r="B1071" t="str">
            <v>Danith</v>
          </cell>
          <cell r="C1071" t="str">
            <v>Baranquilla</v>
          </cell>
          <cell r="D1071" t="str">
            <v>Calle72-8a-09</v>
          </cell>
          <cell r="E1071" t="str">
            <v>Diagonal a la iglesia San pio buscando el arrollo</v>
          </cell>
          <cell r="F1071" t="str">
            <v>3117625266</v>
          </cell>
          <cell r="G1071" t="str">
            <v>3108927516</v>
          </cell>
          <cell r="H1071" t="str">
            <v>Tratamiento</v>
          </cell>
        </row>
        <row r="1072">
          <cell r="A1072">
            <v>4698774</v>
          </cell>
          <cell r="B1072" t="str">
            <v xml:space="preserve">Bolívar </v>
          </cell>
          <cell r="C1072" t="str">
            <v>Cali</v>
          </cell>
          <cell r="D1072" t="str">
            <v xml:space="preserve">Kr 77C Oeste 4C OESTE 25 </v>
          </cell>
          <cell r="E1072" t="str">
            <v xml:space="preserve">Al frente de la. Cancha de los indígenas </v>
          </cell>
          <cell r="F1072" t="str">
            <v>3113903410</v>
          </cell>
          <cell r="G1072" t="str">
            <v>3128900716</v>
          </cell>
          <cell r="H1072" t="str">
            <v>Tratamiento</v>
          </cell>
        </row>
        <row r="1073">
          <cell r="A1073">
            <v>4721794</v>
          </cell>
          <cell r="B1073" t="str">
            <v>Basilio</v>
          </cell>
          <cell r="C1073" t="str">
            <v>Cali</v>
          </cell>
          <cell r="D1073" t="str">
            <v xml:space="preserve">No dan información </v>
          </cell>
          <cell r="E1073" t="str">
            <v>Cancha la minas  esquina puerta negra</v>
          </cell>
          <cell r="F1073" t="str">
            <v>3136362147</v>
          </cell>
          <cell r="G1073" t="str">
            <v>3112000049</v>
          </cell>
          <cell r="H1073" t="str">
            <v>Tratamiento</v>
          </cell>
        </row>
        <row r="1074">
          <cell r="A1074">
            <v>48612619</v>
          </cell>
          <cell r="B1074" t="str">
            <v>María oliva</v>
          </cell>
          <cell r="C1074" t="str">
            <v>Cali</v>
          </cell>
          <cell r="D1074" t="str">
            <v>Cll 4 oeste. 73 58</v>
          </cell>
          <cell r="E1074" t="str">
            <v xml:space="preserve"> Cancha las minas  hacia arriba</v>
          </cell>
          <cell r="F1074" t="str">
            <v>48612619</v>
          </cell>
          <cell r="G1074" t="str">
            <v xml:space="preserve">No dan información </v>
          </cell>
          <cell r="H1074" t="str">
            <v>Tratamiento</v>
          </cell>
        </row>
        <row r="1075">
          <cell r="A1075">
            <v>48614162</v>
          </cell>
          <cell r="B1075" t="str">
            <v xml:space="preserve">Amelia </v>
          </cell>
          <cell r="C1075" t="str">
            <v>Cali</v>
          </cell>
          <cell r="D1075" t="str">
            <v>CL 4B oeste 73 119</v>
          </cell>
          <cell r="E1075" t="str">
            <v>Bajando por la cancha de las minas</v>
          </cell>
          <cell r="F1075" t="str">
            <v>3207256456</v>
          </cell>
          <cell r="G1075" t="str">
            <v>3126449972</v>
          </cell>
          <cell r="H1075" t="str">
            <v>Tratamiento</v>
          </cell>
        </row>
        <row r="1076">
          <cell r="A1076">
            <v>49670234</v>
          </cell>
          <cell r="B1076" t="str">
            <v xml:space="preserve">Ruth Bibiana </v>
          </cell>
          <cell r="C1076" t="str">
            <v>Medellin</v>
          </cell>
          <cell r="D1076" t="str">
            <v xml:space="preserve">Por a panadería baja y donde terminan los pasamanos amarillos a la izquierda por un sendero </v>
          </cell>
          <cell r="E1076" t="str">
            <v/>
          </cell>
          <cell r="F1076" t="str">
            <v>3007561062</v>
          </cell>
          <cell r="G1076" t="str">
            <v xml:space="preserve">No dan información </v>
          </cell>
          <cell r="H1076" t="str">
            <v>Tratamiento</v>
          </cell>
        </row>
        <row r="1077">
          <cell r="A1077">
            <v>49691954</v>
          </cell>
          <cell r="B1077" t="str">
            <v xml:space="preserve">Judy Mercedes </v>
          </cell>
          <cell r="C1077" t="str">
            <v>Medellin</v>
          </cell>
          <cell r="D1077" t="str">
            <v>Sol de oriente subiendo por el parquesito</v>
          </cell>
          <cell r="E1077" t="str">
            <v/>
          </cell>
          <cell r="F1077" t="str">
            <v>3012820604</v>
          </cell>
          <cell r="G1077" t="str">
            <v>3046624453</v>
          </cell>
          <cell r="H1077" t="str">
            <v>Tratamiento</v>
          </cell>
        </row>
        <row r="1078">
          <cell r="A1078">
            <v>50947411</v>
          </cell>
          <cell r="B1078" t="str">
            <v>Armando Antonio</v>
          </cell>
          <cell r="C1078" t="str">
            <v>Medellin</v>
          </cell>
          <cell r="D1078" t="str">
            <v>Por la carretera principal, en la segunda entrada, por la loma</v>
          </cell>
          <cell r="E1078" t="str">
            <v/>
          </cell>
          <cell r="F1078" t="str">
            <v>3122202276</v>
          </cell>
          <cell r="G1078" t="str">
            <v xml:space="preserve">No dan información </v>
          </cell>
          <cell r="H1078" t="str">
            <v>Tratamiento</v>
          </cell>
        </row>
        <row r="1079">
          <cell r="A1079">
            <v>5122512</v>
          </cell>
          <cell r="B1079" t="str">
            <v xml:space="preserve">Argemiro Manuel </v>
          </cell>
          <cell r="C1079" t="str">
            <v>Baranquilla</v>
          </cell>
          <cell r="D1079" t="str">
            <v>Cr70#76_67</v>
          </cell>
          <cell r="E1079" t="str">
            <v/>
          </cell>
          <cell r="F1079" t="str">
            <v>3144544622</v>
          </cell>
          <cell r="G1079" t="str">
            <v>3004745168</v>
          </cell>
          <cell r="H1079" t="str">
            <v>Tratamiento</v>
          </cell>
        </row>
        <row r="1080">
          <cell r="A1080">
            <v>52136819</v>
          </cell>
          <cell r="B1080" t="str">
            <v xml:space="preserve">XIOMARA </v>
          </cell>
          <cell r="C1080" t="str">
            <v>Baranquilla</v>
          </cell>
          <cell r="D1080" t="str">
            <v>Cl 64B 9k 34</v>
          </cell>
          <cell r="E1080" t="str">
            <v xml:space="preserve">Via del paso al Bosque </v>
          </cell>
          <cell r="F1080" t="str">
            <v>3013264995</v>
          </cell>
          <cell r="G1080" t="str">
            <v>3043975356</v>
          </cell>
          <cell r="H1080" t="str">
            <v>Tratamiento</v>
          </cell>
        </row>
        <row r="1081">
          <cell r="A1081">
            <v>5217736</v>
          </cell>
          <cell r="B1081" t="str">
            <v>Bolivar</v>
          </cell>
          <cell r="C1081" t="str">
            <v>Cali</v>
          </cell>
          <cell r="D1081" t="str">
            <v>MANZANA 1 CASA 54 SECTOR LAS MINAS</v>
          </cell>
          <cell r="E1081" t="str">
            <v/>
          </cell>
          <cell r="F1081" t="str">
            <v>3205441920</v>
          </cell>
          <cell r="G1081" t="str">
            <v>3117515089</v>
          </cell>
          <cell r="H1081" t="str">
            <v>Tratamiento</v>
          </cell>
        </row>
        <row r="1082">
          <cell r="A1082">
            <v>55231073</v>
          </cell>
          <cell r="B1082" t="str">
            <v xml:space="preserve">Luz </v>
          </cell>
          <cell r="C1082" t="str">
            <v>Baranquilla</v>
          </cell>
          <cell r="D1082" t="str">
            <v>Kra 9# 58-14</v>
          </cell>
          <cell r="E1082" t="str">
            <v xml:space="preserve">Bajando la loma el peligro </v>
          </cell>
          <cell r="F1082" t="str">
            <v>3028369373</v>
          </cell>
          <cell r="G1082" t="str">
            <v>3014305103</v>
          </cell>
          <cell r="H1082" t="str">
            <v>Tratamiento</v>
          </cell>
        </row>
        <row r="1083">
          <cell r="A1083">
            <v>55232316</v>
          </cell>
          <cell r="B1083" t="str">
            <v xml:space="preserve">Zoila </v>
          </cell>
          <cell r="C1083" t="str">
            <v>Baranquilla</v>
          </cell>
          <cell r="D1083" t="str">
            <v>Kra 7e$ 75-48 apto1</v>
          </cell>
          <cell r="E1083" t="str">
            <v xml:space="preserve">A media cuadra del bulevar de la 76
</v>
          </cell>
          <cell r="F1083" t="str">
            <v>322731156</v>
          </cell>
          <cell r="G1083" t="str">
            <v>3014356007</v>
          </cell>
          <cell r="H1083" t="str">
            <v>Tratamiento</v>
          </cell>
        </row>
        <row r="1084">
          <cell r="A1084">
            <v>57304740</v>
          </cell>
          <cell r="B1084" t="str">
            <v xml:space="preserve">CLAUDIA </v>
          </cell>
          <cell r="C1084" t="str">
            <v>Baranquilla</v>
          </cell>
          <cell r="D1084" t="str">
            <v>KR 7H 80 13</v>
          </cell>
          <cell r="E1084" t="str">
            <v xml:space="preserve">Cerca de la cárcel </v>
          </cell>
          <cell r="F1084" t="str">
            <v xml:space="preserve">No tiene </v>
          </cell>
          <cell r="G1084" t="str">
            <v>3181809996</v>
          </cell>
          <cell r="H1084" t="str">
            <v>Tratamiento</v>
          </cell>
        </row>
        <row r="1085">
          <cell r="A1085">
            <v>6307220</v>
          </cell>
          <cell r="B1085" t="str">
            <v>Gerardo</v>
          </cell>
          <cell r="C1085" t="str">
            <v>Cali</v>
          </cell>
          <cell r="D1085" t="str">
            <v>CL 4D OESTE 71-32</v>
          </cell>
          <cell r="E1085" t="str">
            <v>Al frente de la iglesia católica de  la Cruz</v>
          </cell>
          <cell r="F1085" t="str">
            <v>3161891824</v>
          </cell>
          <cell r="G1085" t="str">
            <v>3128568968</v>
          </cell>
          <cell r="H1085" t="str">
            <v>Tratamiento</v>
          </cell>
        </row>
        <row r="1086">
          <cell r="A1086">
            <v>64558825</v>
          </cell>
          <cell r="B1086" t="str">
            <v>Rosalba</v>
          </cell>
          <cell r="C1086" t="str">
            <v>Baranquilla</v>
          </cell>
          <cell r="D1086" t="str">
            <v>Kra 7h#80-23</v>
          </cell>
          <cell r="E1086" t="str">
            <v xml:space="preserve">Tienda San Benito </v>
          </cell>
          <cell r="F1086" t="str">
            <v>3122602747</v>
          </cell>
          <cell r="G1086" t="str">
            <v>3181809996</v>
          </cell>
          <cell r="H1086" t="str">
            <v>Tratamiento</v>
          </cell>
        </row>
        <row r="1087">
          <cell r="A1087">
            <v>65815427</v>
          </cell>
          <cell r="B1087" t="str">
            <v xml:space="preserve">BERNARDITA </v>
          </cell>
          <cell r="C1087" t="str">
            <v>Cali</v>
          </cell>
          <cell r="D1087" t="str">
            <v>CALLE 4E 76-04 BIS</v>
          </cell>
          <cell r="E1087" t="str">
            <v>Donde reparan calzado, variedades YADI</v>
          </cell>
          <cell r="F1087" t="str">
            <v>3233793027</v>
          </cell>
          <cell r="G1087" t="str">
            <v>3132589976</v>
          </cell>
          <cell r="H1087" t="str">
            <v>Tratamiento</v>
          </cell>
        </row>
        <row r="1088">
          <cell r="A1088">
            <v>66819007</v>
          </cell>
          <cell r="B1088" t="str">
            <v xml:space="preserve">PASTORA </v>
          </cell>
          <cell r="C1088" t="str">
            <v>Cali</v>
          </cell>
          <cell r="D1088" t="str">
            <v>CRA 76B OESTE 4C-06</v>
          </cell>
          <cell r="E1088" t="str">
            <v>N/A</v>
          </cell>
          <cell r="F1088" t="str">
            <v>3108471665</v>
          </cell>
          <cell r="G1088" t="str">
            <v>3163215306</v>
          </cell>
          <cell r="H1088" t="str">
            <v>Tratamiento</v>
          </cell>
        </row>
        <row r="1089">
          <cell r="A1089">
            <v>66826171</v>
          </cell>
          <cell r="B1089" t="str">
            <v>María rosario</v>
          </cell>
          <cell r="C1089" t="str">
            <v>Cali</v>
          </cell>
          <cell r="D1089" t="str">
            <v>Cl 4e 73d 45</v>
          </cell>
          <cell r="E1089" t="str">
            <v xml:space="preserve">
Comedor de las minas casa blanca con verde hacia alfrente de comedor </v>
          </cell>
          <cell r="F1089" t="str">
            <v>3127510036</v>
          </cell>
          <cell r="G1089" t="str">
            <v xml:space="preserve">No dan información </v>
          </cell>
          <cell r="H1089" t="str">
            <v>Tratamiento</v>
          </cell>
        </row>
        <row r="1090">
          <cell r="A1090">
            <v>66850119</v>
          </cell>
          <cell r="B1090" t="str">
            <v>Cecilia yasmin</v>
          </cell>
          <cell r="C1090" t="str">
            <v>Cali</v>
          </cell>
          <cell r="D1090" t="str">
            <v>CL 4E OESTE 76 21</v>
          </cell>
          <cell r="E1090" t="str">
            <v>Al lado de la iglesia Alcanzando lo imposible</v>
          </cell>
          <cell r="F1090" t="str">
            <v>3045844131</v>
          </cell>
          <cell r="G1090" t="str">
            <v/>
          </cell>
          <cell r="H1090" t="str">
            <v>Tratamiento</v>
          </cell>
        </row>
        <row r="1091">
          <cell r="A1091">
            <v>66865510</v>
          </cell>
          <cell r="B1091" t="str">
            <v xml:space="preserve">Argenis </v>
          </cell>
          <cell r="C1091" t="str">
            <v>Cali</v>
          </cell>
          <cell r="D1091" t="str">
            <v>MANZANA 5 CASA 195 SECTOR LA CRUZ</v>
          </cell>
          <cell r="E1091" t="str">
            <v/>
          </cell>
          <cell r="F1091" t="str">
            <v>3163920170</v>
          </cell>
          <cell r="G1091" t="str">
            <v>3206841181</v>
          </cell>
          <cell r="H1091" t="str">
            <v>Tratamiento</v>
          </cell>
        </row>
        <row r="1092">
          <cell r="A1092">
            <v>66865714</v>
          </cell>
          <cell r="B1092" t="str">
            <v>Martha Ines</v>
          </cell>
          <cell r="C1092" t="str">
            <v>Cali</v>
          </cell>
          <cell r="D1092" t="str">
            <v>Kr 74 G oeste 4B 45</v>
          </cell>
          <cell r="E1092" t="str">
            <v>Restaurante comunal las minas</v>
          </cell>
          <cell r="F1092" t="str">
            <v>3217166794</v>
          </cell>
          <cell r="G1092" t="str">
            <v xml:space="preserve">No dan información </v>
          </cell>
          <cell r="H1092" t="str">
            <v>Tratamiento</v>
          </cell>
        </row>
        <row r="1093">
          <cell r="A1093">
            <v>66900125</v>
          </cell>
          <cell r="B1093" t="str">
            <v>Ferney</v>
          </cell>
          <cell r="C1093" t="str">
            <v>Cali</v>
          </cell>
          <cell r="D1093" t="str">
            <v>Cl 4b  oeste 73 d bis 130</v>
          </cell>
          <cell r="E1093" t="str">
            <v>Comedor comunitario. Diagonal</v>
          </cell>
          <cell r="F1093" t="str">
            <v>3233238866</v>
          </cell>
          <cell r="G1093" t="str">
            <v>3217270289</v>
          </cell>
          <cell r="H1093" t="str">
            <v>Tratamiento</v>
          </cell>
        </row>
        <row r="1094">
          <cell r="A1094">
            <v>66908388</v>
          </cell>
          <cell r="B1094" t="str">
            <v>Omar Alberto</v>
          </cell>
          <cell r="C1094" t="str">
            <v>Cali</v>
          </cell>
          <cell r="D1094" t="str">
            <v>Cll 4 g oeste 74 53</v>
          </cell>
          <cell r="E1094" t="str">
            <v xml:space="preserve">Comedor las minas por la subida parada.   Rampla </v>
          </cell>
          <cell r="F1094" t="str">
            <v>3145680921</v>
          </cell>
          <cell r="G1094" t="str">
            <v>3127895601</v>
          </cell>
          <cell r="H1094" t="str">
            <v>Tratamiento</v>
          </cell>
        </row>
        <row r="1095">
          <cell r="A1095">
            <v>66908980</v>
          </cell>
          <cell r="B1095" t="str">
            <v>Mariela</v>
          </cell>
          <cell r="C1095" t="str">
            <v>Cali</v>
          </cell>
          <cell r="D1095" t="str">
            <v>CL 4a oeste 74G 57</v>
          </cell>
          <cell r="E1095" t="str">
            <v/>
          </cell>
          <cell r="F1095" t="str">
            <v>3174436878</v>
          </cell>
          <cell r="G1095" t="str">
            <v xml:space="preserve">No dan información </v>
          </cell>
          <cell r="H1095" t="str">
            <v>Tratamiento</v>
          </cell>
        </row>
        <row r="1096">
          <cell r="A1096">
            <v>66914158</v>
          </cell>
          <cell r="B1096" t="str">
            <v xml:space="preserve">Dilía Franky </v>
          </cell>
          <cell r="C1096" t="str">
            <v>Cali</v>
          </cell>
          <cell r="D1096" t="str">
            <v>CL 4 C OESTE 76C 61</v>
          </cell>
          <cell r="E1096" t="str">
            <v>A 7 viviendas del shut de basura</v>
          </cell>
          <cell r="F1096" t="str">
            <v>3137402468</v>
          </cell>
          <cell r="G1096" t="str">
            <v>3215888260</v>
          </cell>
          <cell r="H1096" t="str">
            <v>Tratamiento</v>
          </cell>
        </row>
        <row r="1097">
          <cell r="A1097">
            <v>66914781</v>
          </cell>
          <cell r="B1097" t="str">
            <v>GLORIA OLAYA DE JESUS</v>
          </cell>
          <cell r="C1097" t="str">
            <v>Cali</v>
          </cell>
          <cell r="D1097" t="str">
            <v>CALLE 4D BIS OESTE 76A-21</v>
          </cell>
          <cell r="E1097" t="str">
            <v xml:space="preserve">Por la caseta Comunal de la cruz </v>
          </cell>
          <cell r="F1097" t="str">
            <v>3104633547</v>
          </cell>
          <cell r="G1097" t="str">
            <v>3208121249</v>
          </cell>
          <cell r="H1097" t="str">
            <v>Tratamiento</v>
          </cell>
        </row>
        <row r="1098">
          <cell r="A1098">
            <v>66922979</v>
          </cell>
          <cell r="B1098" t="str">
            <v>Martha cecilia</v>
          </cell>
          <cell r="C1098" t="str">
            <v>Cali</v>
          </cell>
          <cell r="D1098" t="str">
            <v>CL 4E OESTE 76 17</v>
          </cell>
          <cell r="E1098" t="str">
            <v>Enseguida del comedor de los motoristas</v>
          </cell>
          <cell r="F1098" t="str">
            <v>3136812264</v>
          </cell>
          <cell r="G1098" t="str">
            <v/>
          </cell>
          <cell r="H1098" t="str">
            <v>Tratamiento</v>
          </cell>
        </row>
        <row r="1099">
          <cell r="A1099">
            <v>66983263</v>
          </cell>
          <cell r="B1099" t="str">
            <v xml:space="preserve">CARMEN ALICIA </v>
          </cell>
          <cell r="C1099" t="str">
            <v>Cali</v>
          </cell>
          <cell r="D1099" t="str">
            <v>KR 74G OESTE 4B-86</v>
          </cell>
          <cell r="E1099" t="str">
            <v xml:space="preserve">Por Cesoces al fondo hacia el oasis sector Las Minas </v>
          </cell>
          <cell r="F1099" t="str">
            <v>3173598248</v>
          </cell>
          <cell r="G1099" t="str">
            <v>3245656374</v>
          </cell>
          <cell r="H1099" t="str">
            <v>Tratamiento</v>
          </cell>
        </row>
        <row r="1100">
          <cell r="A1100">
            <v>66993543</v>
          </cell>
          <cell r="B1100" t="str">
            <v>ERMILA</v>
          </cell>
          <cell r="C1100" t="str">
            <v>Cali</v>
          </cell>
          <cell r="D1100" t="str">
            <v>Cr 76A BIS OESTE 4E-07</v>
          </cell>
          <cell r="E1100" t="str">
            <v>Diagonal a la tienda doña marina el primer callejón bajando segunda vivienda</v>
          </cell>
          <cell r="F1100" t="str">
            <v>3216478912</v>
          </cell>
          <cell r="G1100" t="str">
            <v>3182693858</v>
          </cell>
          <cell r="H1100" t="str">
            <v>Tratamiento</v>
          </cell>
        </row>
        <row r="1101">
          <cell r="A1101">
            <v>66996132</v>
          </cell>
          <cell r="B1101" t="str">
            <v xml:space="preserve">AURA ELENA </v>
          </cell>
          <cell r="C1101" t="str">
            <v>Cali</v>
          </cell>
          <cell r="D1101" t="str">
            <v>CL 4D OESTE 72-08</v>
          </cell>
          <cell r="E1101" t="str">
            <v xml:space="preserve">Por el control de los jeeps de la cruz </v>
          </cell>
          <cell r="F1101" t="str">
            <v>3105455926</v>
          </cell>
          <cell r="G1101" t="str">
            <v>3146760645</v>
          </cell>
          <cell r="H1101" t="str">
            <v>Tratamiento</v>
          </cell>
        </row>
        <row r="1102">
          <cell r="A1102">
            <v>67014284</v>
          </cell>
          <cell r="B1102" t="str">
            <v>María mercedes</v>
          </cell>
          <cell r="C1102" t="str">
            <v>Cali</v>
          </cell>
          <cell r="D1102" t="str">
            <v>Ck74g 4b oeste mz 19 46 casa 04</v>
          </cell>
          <cell r="E1102" t="str">
            <v>Escuela las minas. Dónde don Héctor hacia arriba  palo de papaya</v>
          </cell>
          <cell r="F1102" t="str">
            <v>3215461593</v>
          </cell>
          <cell r="G1102" t="str">
            <v xml:space="preserve">No dan información </v>
          </cell>
          <cell r="H1102" t="str">
            <v>Tratamiento</v>
          </cell>
        </row>
        <row r="1103">
          <cell r="A1103">
            <v>67021030</v>
          </cell>
          <cell r="B1103" t="str">
            <v>María luz dalia</v>
          </cell>
          <cell r="C1103" t="str">
            <v>Cali</v>
          </cell>
          <cell r="D1103" t="str">
            <v>Cr 74G oeste 74-51</v>
          </cell>
          <cell r="E1103" t="str">
            <v>Cr 74G oeste 74-51</v>
          </cell>
          <cell r="F1103" t="str">
            <v>3203611755</v>
          </cell>
          <cell r="G1103" t="str">
            <v xml:space="preserve">No dan información </v>
          </cell>
          <cell r="H1103" t="str">
            <v>Tratamiento</v>
          </cell>
        </row>
        <row r="1104">
          <cell r="A1104">
            <v>670254</v>
          </cell>
          <cell r="B1104" t="str">
            <v xml:space="preserve">Francisco Eliseo </v>
          </cell>
          <cell r="C1104" t="str">
            <v>Medellin</v>
          </cell>
          <cell r="D1104" t="str">
            <v>Carrera 7 # 55 AG - 151</v>
          </cell>
          <cell r="E1104" t="str">
            <v xml:space="preserve">Cerca a la cancha alto bonito </v>
          </cell>
          <cell r="F1104" t="str">
            <v>3218152431</v>
          </cell>
          <cell r="G1104" t="str">
            <v>3215574904</v>
          </cell>
          <cell r="H1104" t="str">
            <v>Tratamiento</v>
          </cell>
        </row>
        <row r="1105">
          <cell r="A1105">
            <v>67033667</v>
          </cell>
          <cell r="B1105" t="str">
            <v>Sandra Marlem</v>
          </cell>
          <cell r="C1105" t="str">
            <v>Cali</v>
          </cell>
          <cell r="D1105" t="str">
            <v>Kr 76 C OESTE 3Bis 08</v>
          </cell>
          <cell r="E1105" t="str">
            <v>Al lado de la tienda Mixta</v>
          </cell>
          <cell r="F1105" t="str">
            <v>3113441701</v>
          </cell>
          <cell r="G1105" t="str">
            <v xml:space="preserve">No dan información </v>
          </cell>
          <cell r="H1105" t="str">
            <v>Tratamiento</v>
          </cell>
        </row>
        <row r="1106">
          <cell r="A1106">
            <v>70432281</v>
          </cell>
          <cell r="B1106" t="str">
            <v xml:space="preserve">Walter Antonio </v>
          </cell>
          <cell r="C1106" t="str">
            <v>Medellin</v>
          </cell>
          <cell r="D1106" t="str">
            <v>Carrera 5A # 56AA -95</v>
          </cell>
          <cell r="E1106" t="str">
            <v>Cerca al ecoparque</v>
          </cell>
          <cell r="F1106" t="str">
            <v>3134731878</v>
          </cell>
          <cell r="G1106" t="str">
            <v>3025678623</v>
          </cell>
          <cell r="H1106" t="str">
            <v>Tratamiento</v>
          </cell>
        </row>
        <row r="1107">
          <cell r="A1107">
            <v>70540124</v>
          </cell>
          <cell r="B1107" t="str">
            <v xml:space="preserve">Lucas </v>
          </cell>
          <cell r="C1107" t="str">
            <v>Medellin</v>
          </cell>
          <cell r="D1107" t="str">
            <v>Cerca a la acción comunal sede el pacifico</v>
          </cell>
          <cell r="E1107" t="str">
            <v/>
          </cell>
          <cell r="F1107" t="str">
            <v>3015017213</v>
          </cell>
          <cell r="G1107" t="str">
            <v>3104954477</v>
          </cell>
          <cell r="H1107" t="str">
            <v>Tratamiento</v>
          </cell>
        </row>
        <row r="1108">
          <cell r="A1108">
            <v>70663173</v>
          </cell>
          <cell r="B1108" t="str">
            <v xml:space="preserve">Rodrigo Andrés </v>
          </cell>
          <cell r="C1108" t="str">
            <v>Medellin</v>
          </cell>
          <cell r="D1108" t="str">
            <v>Suben por el parquecito derecho, todas las escaleras</v>
          </cell>
          <cell r="E1108" t="str">
            <v/>
          </cell>
          <cell r="F1108" t="str">
            <v>3042456421</v>
          </cell>
          <cell r="G1108" t="str">
            <v xml:space="preserve">No dan información </v>
          </cell>
          <cell r="H1108" t="str">
            <v>Tratamiento</v>
          </cell>
        </row>
        <row r="1109">
          <cell r="A1109">
            <v>70721342</v>
          </cell>
          <cell r="B1109" t="str">
            <v>Juan de Jesus</v>
          </cell>
          <cell r="C1109" t="str">
            <v>Medellin</v>
          </cell>
          <cell r="D1109" t="str">
            <v xml:space="preserve">Cerca al parque de pinares de oriente </v>
          </cell>
          <cell r="E1109" t="str">
            <v/>
          </cell>
          <cell r="F1109" t="str">
            <v>3013326380</v>
          </cell>
          <cell r="G1109" t="str">
            <v>3013326380</v>
          </cell>
          <cell r="H1109" t="str">
            <v>Tratamiento</v>
          </cell>
        </row>
        <row r="1110">
          <cell r="A1110">
            <v>71276975</v>
          </cell>
          <cell r="B1110" t="str">
            <v>Andrés Mauricio Vasquez</v>
          </cell>
          <cell r="C1110" t="str">
            <v>Medellin</v>
          </cell>
          <cell r="D1110" t="str">
            <v>Cerca de la acción comunal villa tina</v>
          </cell>
          <cell r="E1110" t="str">
            <v/>
          </cell>
          <cell r="F1110" t="str">
            <v>3023471694</v>
          </cell>
          <cell r="G1110" t="str">
            <v>3107728424</v>
          </cell>
          <cell r="H1110" t="str">
            <v>Tratamiento</v>
          </cell>
        </row>
        <row r="1111">
          <cell r="A1111">
            <v>71314870</v>
          </cell>
          <cell r="B1111" t="str">
            <v xml:space="preserve">Carlos Fernando </v>
          </cell>
          <cell r="C1111" t="str">
            <v>Medellin</v>
          </cell>
          <cell r="D1111" t="str">
            <v xml:space="preserve">Por el parquecito derecho por todas la escalas </v>
          </cell>
          <cell r="E1111" t="str">
            <v/>
          </cell>
          <cell r="F1111" t="str">
            <v>3217998750</v>
          </cell>
          <cell r="G1111" t="str">
            <v xml:space="preserve">No dan información </v>
          </cell>
          <cell r="H1111" t="str">
            <v>Tratamiento</v>
          </cell>
        </row>
        <row r="1112">
          <cell r="A1112">
            <v>71376919</v>
          </cell>
          <cell r="B1112" t="str">
            <v xml:space="preserve">Eduard </v>
          </cell>
          <cell r="C1112" t="str">
            <v>Medellin</v>
          </cell>
          <cell r="D1112" t="str">
            <v xml:space="preserve">Desde la panadería el faro, que derecho hasta donde terminan las barrancas </v>
          </cell>
          <cell r="E1112" t="str">
            <v/>
          </cell>
          <cell r="F1112" t="str">
            <v>3113268719</v>
          </cell>
          <cell r="G1112" t="str">
            <v xml:space="preserve">No dan información </v>
          </cell>
          <cell r="H1112" t="str">
            <v>Tratamiento</v>
          </cell>
        </row>
        <row r="1113">
          <cell r="A1113">
            <v>71645240</v>
          </cell>
          <cell r="B1113" t="str">
            <v>Jorge Nelson</v>
          </cell>
          <cell r="C1113" t="str">
            <v>Medellin</v>
          </cell>
          <cell r="D1113" t="str">
            <v>Caí de policía villatina.iglesia Torcoroma</v>
          </cell>
          <cell r="E1113" t="str">
            <v/>
          </cell>
          <cell r="F1113" t="str">
            <v>3162962268</v>
          </cell>
          <cell r="G1113" t="str">
            <v>3242892498</v>
          </cell>
          <cell r="H1113" t="str">
            <v>Tratamiento</v>
          </cell>
        </row>
        <row r="1114">
          <cell r="A1114">
            <v>71681839</v>
          </cell>
          <cell r="B1114" t="str">
            <v>León Dario</v>
          </cell>
          <cell r="C1114" t="str">
            <v>Medellin</v>
          </cell>
          <cell r="D1114" t="str">
            <v>Calle 55H #2 Este 07</v>
          </cell>
          <cell r="E1114" t="str">
            <v>Por la iglesia de la sierra al lado de villa willy</v>
          </cell>
          <cell r="F1114" t="str">
            <v>3135705762</v>
          </cell>
          <cell r="G1114" t="str">
            <v>3015402349</v>
          </cell>
          <cell r="H1114" t="str">
            <v>Tratamiento</v>
          </cell>
        </row>
        <row r="1115">
          <cell r="A1115">
            <v>71728862</v>
          </cell>
          <cell r="B1115" t="str">
            <v>Javier Alonso Perez</v>
          </cell>
          <cell r="C1115" t="str">
            <v>Medellin</v>
          </cell>
          <cell r="D1115" t="str">
            <v>Cerca a la estación y la escuela Empresarial de educacion</v>
          </cell>
          <cell r="E1115" t="str">
            <v/>
          </cell>
          <cell r="F1115" t="str">
            <v>3215200163</v>
          </cell>
          <cell r="G1115" t="str">
            <v>3122929914</v>
          </cell>
          <cell r="H1115" t="str">
            <v>Tratamiento</v>
          </cell>
        </row>
        <row r="1116">
          <cell r="A1116">
            <v>71763215</v>
          </cell>
          <cell r="B1116" t="str">
            <v>Rubén Dario</v>
          </cell>
          <cell r="C1116" t="str">
            <v>Medellin</v>
          </cell>
          <cell r="D1116" t="str">
            <v>Carrera 18 A 56 EC 12 int 201</v>
          </cell>
          <cell r="E1116" t="str">
            <v>Bajando por la uva sol de oriente</v>
          </cell>
          <cell r="F1116" t="str">
            <v>3146910990</v>
          </cell>
          <cell r="G1116" t="str">
            <v>3108315376</v>
          </cell>
          <cell r="H1116" t="str">
            <v>Tratamiento</v>
          </cell>
        </row>
        <row r="1117">
          <cell r="A1117">
            <v>72042663</v>
          </cell>
          <cell r="B1117" t="str">
            <v xml:space="preserve">Julio </v>
          </cell>
          <cell r="C1117" t="str">
            <v>Baranquilla</v>
          </cell>
          <cell r="D1117" t="str">
            <v>Calle 76#7c-54</v>
          </cell>
          <cell r="E1117" t="str">
            <v>Casa blanca, frente al instituto olguita</v>
          </cell>
          <cell r="F1117" t="str">
            <v>3236354482</v>
          </cell>
          <cell r="G1117" t="str">
            <v>3142633973</v>
          </cell>
          <cell r="H1117" t="str">
            <v>Tratamiento</v>
          </cell>
        </row>
        <row r="1118">
          <cell r="A1118">
            <v>72129785</v>
          </cell>
          <cell r="B1118" t="str">
            <v>Jose</v>
          </cell>
          <cell r="C1118" t="str">
            <v>Baranquilla</v>
          </cell>
          <cell r="D1118" t="str">
            <v>Kra 9 #60-54</v>
          </cell>
          <cell r="E1118" t="str">
            <v>Diagonal a la tienda los 2 hermnos</v>
          </cell>
          <cell r="F1118" t="str">
            <v>3243850758</v>
          </cell>
          <cell r="G1118" t="str">
            <v>3043301751</v>
          </cell>
          <cell r="H1118" t="str">
            <v>Tratamiento</v>
          </cell>
        </row>
        <row r="1119">
          <cell r="A1119">
            <v>72132483</v>
          </cell>
          <cell r="B1119" t="str">
            <v xml:space="preserve">Francisco </v>
          </cell>
          <cell r="C1119" t="str">
            <v>Baranquilla</v>
          </cell>
          <cell r="D1119" t="str">
            <v>Calle 88# 7-38</v>
          </cell>
          <cell r="E1119" t="str">
            <v xml:space="preserve">Cerca de San Martin </v>
          </cell>
          <cell r="F1119" t="str">
            <v>3172162206</v>
          </cell>
          <cell r="G1119" t="str">
            <v>3106941456</v>
          </cell>
          <cell r="H1119" t="str">
            <v>Tratamiento</v>
          </cell>
        </row>
        <row r="1120">
          <cell r="A1120">
            <v>72144157</v>
          </cell>
          <cell r="B1120" t="str">
            <v xml:space="preserve">Erlen </v>
          </cell>
          <cell r="C1120" t="str">
            <v>Baranquilla</v>
          </cell>
          <cell r="D1120" t="str">
            <v>Calle 73 9k04</v>
          </cell>
          <cell r="E1120" t="str">
            <v xml:space="preserve">El taconazo </v>
          </cell>
          <cell r="F1120" t="str">
            <v>3009441723</v>
          </cell>
          <cell r="G1120" t="str">
            <v>3004186179</v>
          </cell>
          <cell r="H1120" t="str">
            <v>Tratamiento</v>
          </cell>
        </row>
        <row r="1121">
          <cell r="A1121">
            <v>72145817</v>
          </cell>
          <cell r="B1121" t="str">
            <v xml:space="preserve">Javier </v>
          </cell>
          <cell r="C1121" t="str">
            <v>Baranquilla</v>
          </cell>
          <cell r="D1121" t="str">
            <v>Calle72a8c122</v>
          </cell>
          <cell r="E1121" t="str">
            <v>Tienda la 72</v>
          </cell>
          <cell r="F1121" t="str">
            <v>3107230753</v>
          </cell>
          <cell r="G1121" t="str">
            <v>3116213158</v>
          </cell>
          <cell r="H1121" t="str">
            <v>Tratamiento</v>
          </cell>
        </row>
        <row r="1122">
          <cell r="A1122">
            <v>72146737</v>
          </cell>
          <cell r="B1122" t="str">
            <v>Marcelino de jesus</v>
          </cell>
          <cell r="C1122" t="str">
            <v>Baranquilla</v>
          </cell>
          <cell r="D1122" t="str">
            <v>Kr 9b dg 64b 50 apto 1</v>
          </cell>
          <cell r="E1122" t="str">
            <v>Cerca de la casa cultural de bosque</v>
          </cell>
          <cell r="F1122" t="str">
            <v>3142737084</v>
          </cell>
          <cell r="G1122" t="str">
            <v>3145937267</v>
          </cell>
          <cell r="H1122" t="str">
            <v>Tratamiento</v>
          </cell>
        </row>
        <row r="1123">
          <cell r="A1123">
            <v>72178853</v>
          </cell>
          <cell r="B1123" t="str">
            <v xml:space="preserve">YOFAY LUIS </v>
          </cell>
          <cell r="C1123" t="str">
            <v>Baranquilla</v>
          </cell>
          <cell r="D1123" t="str">
            <v>KR 8G 60B 120</v>
          </cell>
          <cell r="E1123" t="str">
            <v>Cerca del Billar el Platanal</v>
          </cell>
          <cell r="F1123" t="str">
            <v>3008820943</v>
          </cell>
          <cell r="G1123" t="str">
            <v>3126322670</v>
          </cell>
          <cell r="H1123" t="str">
            <v>Tratamiento</v>
          </cell>
        </row>
        <row r="1124">
          <cell r="A1124">
            <v>72180833</v>
          </cell>
          <cell r="B1124" t="str">
            <v>Rafael</v>
          </cell>
          <cell r="C1124" t="str">
            <v>Baranquilla</v>
          </cell>
          <cell r="D1124" t="str">
            <v>Cr7c#73c-07</v>
          </cell>
          <cell r="E1124" t="str">
            <v>Cr7c#73c-07</v>
          </cell>
          <cell r="F1124" t="str">
            <v>3046413856</v>
          </cell>
          <cell r="G1124" t="str">
            <v>3127876409</v>
          </cell>
          <cell r="H1124" t="str">
            <v>Tratamiento</v>
          </cell>
        </row>
        <row r="1125">
          <cell r="A1125">
            <v>72182204</v>
          </cell>
          <cell r="B1125" t="str">
            <v xml:space="preserve">Adolfo </v>
          </cell>
          <cell r="C1125" t="str">
            <v>Baranquilla</v>
          </cell>
          <cell r="D1125" t="str">
            <v>Kra 9k #61-47</v>
          </cell>
          <cell r="E1125" t="str">
            <v>Por la tienda el paramo</v>
          </cell>
          <cell r="F1125" t="str">
            <v>3001734513</v>
          </cell>
          <cell r="G1125" t="str">
            <v>3242261257</v>
          </cell>
          <cell r="H1125" t="str">
            <v>Tratamiento</v>
          </cell>
        </row>
        <row r="1126">
          <cell r="A1126">
            <v>72200209</v>
          </cell>
          <cell r="B1126" t="str">
            <v xml:space="preserve">Wilmer José </v>
          </cell>
          <cell r="C1126" t="str">
            <v>Baranquilla</v>
          </cell>
          <cell r="D1126" t="str">
            <v>Cr8c73d96</v>
          </cell>
          <cell r="E1126" t="str">
            <v xml:space="preserve">Tienda la preferida </v>
          </cell>
          <cell r="F1126" t="str">
            <v>3013456924</v>
          </cell>
          <cell r="G1126" t="str">
            <v>3013125719</v>
          </cell>
          <cell r="H1126" t="str">
            <v>Tratamiento</v>
          </cell>
        </row>
        <row r="1127">
          <cell r="A1127">
            <v>72210592</v>
          </cell>
          <cell r="B1127" t="str">
            <v xml:space="preserve">TONY ANIBAL </v>
          </cell>
          <cell r="C1127" t="str">
            <v>Baranquilla</v>
          </cell>
          <cell r="D1127" t="str">
            <v>Cara 8C 74 97</v>
          </cell>
          <cell r="E1127" t="str">
            <v>Casa Blanca</v>
          </cell>
          <cell r="F1127" t="str">
            <v xml:space="preserve"> 3170191518</v>
          </cell>
          <cell r="G1127" t="str">
            <v>3009411182</v>
          </cell>
          <cell r="H1127" t="str">
            <v>Tratamiento</v>
          </cell>
        </row>
        <row r="1128">
          <cell r="A1128">
            <v>72212320</v>
          </cell>
          <cell r="B1128" t="str">
            <v xml:space="preserve">César </v>
          </cell>
          <cell r="C1128" t="str">
            <v>Baranquilla</v>
          </cell>
          <cell r="D1128" t="str">
            <v>Cl 73 C 7E 27</v>
          </cell>
          <cell r="E1128" t="str">
            <v xml:space="preserve">Cerca del Cai y frente al taller Ojitos </v>
          </cell>
          <cell r="F1128" t="str">
            <v>3148404870</v>
          </cell>
          <cell r="G1128" t="str">
            <v>3245896828</v>
          </cell>
          <cell r="H1128" t="str">
            <v>Tratamiento</v>
          </cell>
        </row>
        <row r="1129">
          <cell r="A1129">
            <v>72214776</v>
          </cell>
          <cell r="B1129" t="str">
            <v xml:space="preserve"> Luis Daniel </v>
          </cell>
          <cell r="C1129" t="str">
            <v>Baranquilla</v>
          </cell>
          <cell r="D1129" t="str">
            <v>Cr8g93-97</v>
          </cell>
          <cell r="E1129" t="str">
            <v xml:space="preserve">Tiendas d1 </v>
          </cell>
          <cell r="F1129" t="str">
            <v>3013614530</v>
          </cell>
          <cell r="G1129" t="str">
            <v>3006026090</v>
          </cell>
          <cell r="H1129" t="str">
            <v>Tratamiento</v>
          </cell>
        </row>
        <row r="1130">
          <cell r="A1130">
            <v>72227073</v>
          </cell>
          <cell r="B1130" t="str">
            <v>Jesus rafael</v>
          </cell>
          <cell r="C1130" t="str">
            <v>Baranquilla</v>
          </cell>
          <cell r="D1130" t="str">
            <v>Cll 73c # 7e-93</v>
          </cell>
          <cell r="E1130" t="str">
            <v>Frente al caí san pio</v>
          </cell>
          <cell r="F1130" t="str">
            <v>3005327839</v>
          </cell>
          <cell r="G1130" t="str">
            <v>3148404870</v>
          </cell>
          <cell r="H1130" t="str">
            <v>Tratamiento</v>
          </cell>
        </row>
        <row r="1131">
          <cell r="A1131">
            <v>72227387</v>
          </cell>
          <cell r="B1131" t="str">
            <v xml:space="preserve">Rodolfo </v>
          </cell>
          <cell r="C1131" t="str">
            <v>Baranquilla</v>
          </cell>
          <cell r="D1131" t="str">
            <v>Cr8g#60-17</v>
          </cell>
          <cell r="E1131" t="str">
            <v xml:space="preserve">La calle de los negros </v>
          </cell>
          <cell r="F1131" t="str">
            <v>3003252613</v>
          </cell>
          <cell r="G1131" t="str">
            <v>3242549149</v>
          </cell>
          <cell r="H1131" t="str">
            <v>Tratamiento</v>
          </cell>
        </row>
        <row r="1132">
          <cell r="A1132">
            <v>72239164</v>
          </cell>
          <cell r="B1132" t="str">
            <v xml:space="preserve">Cesar Cristóbal </v>
          </cell>
          <cell r="C1132" t="str">
            <v>Baranquilla</v>
          </cell>
          <cell r="D1132" t="str">
            <v>Cl 73D 8G 15</v>
          </cell>
          <cell r="E1132" t="str">
            <v xml:space="preserve">DG a la tienda la estrella </v>
          </cell>
          <cell r="F1132" t="str">
            <v>3006577121</v>
          </cell>
          <cell r="G1132" t="str">
            <v>3012014971</v>
          </cell>
          <cell r="H1132" t="str">
            <v>Tratamiento</v>
          </cell>
        </row>
        <row r="1133">
          <cell r="A1133">
            <v>72298484</v>
          </cell>
          <cell r="B1133" t="str">
            <v>Ostaciano</v>
          </cell>
          <cell r="C1133" t="str">
            <v>Baranquilla</v>
          </cell>
          <cell r="D1133" t="str">
            <v>Carrera 6b #72-63</v>
          </cell>
          <cell r="E1133" t="str">
            <v>Frente al poste que dice feliz navidad</v>
          </cell>
          <cell r="F1133" t="str">
            <v xml:space="preserve">3013488981
</v>
          </cell>
          <cell r="G1133" t="str">
            <v>3224957585</v>
          </cell>
          <cell r="H1133" t="str">
            <v>Tratamiento</v>
          </cell>
        </row>
        <row r="1134">
          <cell r="A1134">
            <v>73226383</v>
          </cell>
          <cell r="B1134" t="str">
            <v xml:space="preserve">Juan José </v>
          </cell>
          <cell r="C1134" t="str">
            <v>Baranquilla</v>
          </cell>
          <cell r="D1134" t="str">
            <v>Cl 63 9k 223</v>
          </cell>
          <cell r="E1134" t="str">
            <v xml:space="preserve">Cerca del Taconazo </v>
          </cell>
          <cell r="F1134" t="str">
            <v>3045552957</v>
          </cell>
          <cell r="G1134" t="str">
            <v>3013712870</v>
          </cell>
          <cell r="H1134" t="str">
            <v>Tratamiento</v>
          </cell>
        </row>
        <row r="1135">
          <cell r="A1135">
            <v>7444585</v>
          </cell>
          <cell r="B1135" t="str">
            <v xml:space="preserve">Victor José </v>
          </cell>
          <cell r="C1135" t="str">
            <v>Baranquilla</v>
          </cell>
          <cell r="D1135" t="str">
            <v>Cr7b#72-04</v>
          </cell>
          <cell r="E1135" t="str">
            <v>Tienda Richar ( mono papa)</v>
          </cell>
          <cell r="F1135" t="str">
            <v>3216974528</v>
          </cell>
          <cell r="G1135" t="str">
            <v>3202117105</v>
          </cell>
          <cell r="H1135" t="str">
            <v>Tratamiento</v>
          </cell>
        </row>
        <row r="1136">
          <cell r="A1136">
            <v>7454371</v>
          </cell>
          <cell r="B1136" t="str">
            <v>Hugo alfredo</v>
          </cell>
          <cell r="C1136" t="str">
            <v>Baranquilla</v>
          </cell>
          <cell r="D1136" t="str">
            <v>Cra 8c # 87- 26</v>
          </cell>
          <cell r="E1136" t="str">
            <v xml:space="preserve">Cerca de la cárcel del bosque </v>
          </cell>
          <cell r="F1136" t="str">
            <v>3242876354</v>
          </cell>
          <cell r="G1136" t="str">
            <v>3244494621</v>
          </cell>
          <cell r="H1136" t="str">
            <v>Tratamiento</v>
          </cell>
        </row>
        <row r="1137">
          <cell r="A1137">
            <v>7474428</v>
          </cell>
          <cell r="B1137" t="str">
            <v>Cristobal maria</v>
          </cell>
          <cell r="C1137" t="str">
            <v>Baranquilla</v>
          </cell>
          <cell r="D1137" t="str">
            <v>Cr 6e # 73c 71</v>
          </cell>
          <cell r="E1137" t="str">
            <v xml:space="preserve">Casa alta en obra negra </v>
          </cell>
          <cell r="F1137" t="str">
            <v>3207121023</v>
          </cell>
          <cell r="G1137" t="str">
            <v>3008303079</v>
          </cell>
          <cell r="H1137" t="str">
            <v>Tratamiento</v>
          </cell>
        </row>
        <row r="1138">
          <cell r="A1138">
            <v>7476537</v>
          </cell>
          <cell r="B1138" t="str">
            <v xml:space="preserve">LACIDES </v>
          </cell>
          <cell r="C1138" t="str">
            <v>Baranquilla</v>
          </cell>
          <cell r="D1138" t="str">
            <v>KR 8B 93 43</v>
          </cell>
          <cell r="E1138" t="str">
            <v xml:space="preserve">Cerca colegio cultural </v>
          </cell>
          <cell r="F1138" t="str">
            <v>3114106462</v>
          </cell>
          <cell r="G1138" t="str">
            <v>3003112709</v>
          </cell>
          <cell r="H1138" t="str">
            <v>Tratamiento</v>
          </cell>
        </row>
        <row r="1139">
          <cell r="A1139">
            <v>7476784</v>
          </cell>
          <cell r="B1139" t="str">
            <v>Alvaro</v>
          </cell>
          <cell r="C1139" t="str">
            <v>Baranquilla</v>
          </cell>
          <cell r="D1139" t="str">
            <v>Cr6b73-50</v>
          </cell>
          <cell r="E1139" t="str">
            <v/>
          </cell>
          <cell r="F1139" t="str">
            <v>3006561243</v>
          </cell>
          <cell r="G1139" t="str">
            <v>3005016070</v>
          </cell>
          <cell r="H1139" t="str">
            <v>Tratamiento</v>
          </cell>
        </row>
        <row r="1140">
          <cell r="A1140">
            <v>76047511</v>
          </cell>
          <cell r="B1140" t="str">
            <v xml:space="preserve">Mauricio </v>
          </cell>
          <cell r="C1140" t="str">
            <v>Cali</v>
          </cell>
          <cell r="D1140" t="str">
            <v>Cr 74g oeste 4b 76</v>
          </cell>
          <cell r="E1140" t="str">
            <v xml:space="preserve"> Comedor las minas. Por la rampla hacia arriba</v>
          </cell>
          <cell r="F1140" t="str">
            <v>3105308371</v>
          </cell>
          <cell r="G1140" t="str">
            <v xml:space="preserve">No dan información </v>
          </cell>
          <cell r="H1140" t="str">
            <v>Tratamiento</v>
          </cell>
        </row>
        <row r="1141">
          <cell r="A1141">
            <v>761321</v>
          </cell>
          <cell r="B1141" t="str">
            <v>Jesús Antonio</v>
          </cell>
          <cell r="C1141" t="str">
            <v>Medellin</v>
          </cell>
          <cell r="D1141" t="str">
            <v>Llegan al cuadrado y se suben</v>
          </cell>
          <cell r="E1141" t="str">
            <v/>
          </cell>
          <cell r="F1141" t="str">
            <v>3113805999</v>
          </cell>
          <cell r="G1141" t="str">
            <v xml:space="preserve">No dan información </v>
          </cell>
          <cell r="H1141" t="str">
            <v>Tratamiento</v>
          </cell>
        </row>
        <row r="1142">
          <cell r="A1142">
            <v>76324402</v>
          </cell>
          <cell r="B1142" t="str">
            <v xml:space="preserve">JESÚS FRANCO </v>
          </cell>
          <cell r="C1142" t="str">
            <v>Cali</v>
          </cell>
          <cell r="D1142" t="str">
            <v>CRA 76C OESTE 4B 35</v>
          </cell>
          <cell r="E1142" t="str">
            <v xml:space="preserve">Junto a la Virgen </v>
          </cell>
          <cell r="F1142" t="str">
            <v>3177561526</v>
          </cell>
          <cell r="G1142" t="str">
            <v>3186368160</v>
          </cell>
          <cell r="H1142" t="str">
            <v>Tratamiento</v>
          </cell>
        </row>
        <row r="1143">
          <cell r="A1143">
            <v>76336138</v>
          </cell>
          <cell r="B1143" t="str">
            <v xml:space="preserve">Laurido  Hernán </v>
          </cell>
          <cell r="C1143" t="str">
            <v>Cali</v>
          </cell>
          <cell r="D1143" t="str">
            <v>CL 4A oeste 74 G 38</v>
          </cell>
          <cell r="E1143" t="str">
            <v/>
          </cell>
          <cell r="F1143" t="str">
            <v>3117104646</v>
          </cell>
          <cell r="G1143" t="str">
            <v>3186987505</v>
          </cell>
          <cell r="H1143" t="str">
            <v>Tratamiento</v>
          </cell>
        </row>
        <row r="1144">
          <cell r="A1144">
            <v>832608</v>
          </cell>
          <cell r="B1144" t="str">
            <v xml:space="preserve">Luis </v>
          </cell>
          <cell r="C1144" t="str">
            <v>Baranquilla</v>
          </cell>
          <cell r="D1144" t="str">
            <v>Kra 6b #73-32</v>
          </cell>
          <cell r="E1144" t="str">
            <v>A dos cuadras de la cruz</v>
          </cell>
          <cell r="F1144" t="str">
            <v>3005016070</v>
          </cell>
          <cell r="G1144" t="str">
            <v>3022974692</v>
          </cell>
          <cell r="H1144" t="str">
            <v>Tratamiento</v>
          </cell>
        </row>
        <row r="1145">
          <cell r="A1145">
            <v>8664032</v>
          </cell>
          <cell r="B1145" t="str">
            <v xml:space="preserve">Sergio </v>
          </cell>
          <cell r="C1145" t="str">
            <v>Baranquilla</v>
          </cell>
          <cell r="D1145" t="str">
            <v>Calle 93 #87-105</v>
          </cell>
          <cell r="E1145" t="str">
            <v xml:space="preserve">Frente a la tienda la carreta </v>
          </cell>
          <cell r="F1145" t="str">
            <v>3022920044</v>
          </cell>
          <cell r="G1145" t="str">
            <v>3007284388</v>
          </cell>
          <cell r="H1145" t="str">
            <v>Tratamiento</v>
          </cell>
        </row>
        <row r="1146">
          <cell r="A1146">
            <v>8672765</v>
          </cell>
          <cell r="B1146" t="str">
            <v xml:space="preserve">Abimael </v>
          </cell>
          <cell r="C1146" t="str">
            <v>Baranquilla</v>
          </cell>
          <cell r="D1146" t="str">
            <v>Calle 9B 75 112</v>
          </cell>
          <cell r="E1146" t="str">
            <v xml:space="preserve">Cerca a la tienda el Proveedor </v>
          </cell>
          <cell r="F1146" t="str">
            <v>3244941605</v>
          </cell>
          <cell r="G1146" t="str">
            <v>3244941479</v>
          </cell>
          <cell r="H1146" t="str">
            <v>Tratamiento</v>
          </cell>
        </row>
        <row r="1147">
          <cell r="A1147">
            <v>8681506</v>
          </cell>
          <cell r="B1147" t="str">
            <v xml:space="preserve">IVÁN ENRIQUE </v>
          </cell>
          <cell r="C1147" t="str">
            <v>Baranquilla</v>
          </cell>
          <cell r="D1147" t="str">
            <v>K 7H  77 51</v>
          </cell>
          <cell r="E1147" t="str">
            <v xml:space="preserve">Cerca de la cárcel </v>
          </cell>
          <cell r="F1147" t="str">
            <v>3184908858</v>
          </cell>
          <cell r="G1147" t="str">
            <v>3244324193</v>
          </cell>
          <cell r="H1147" t="str">
            <v>Tratamiento</v>
          </cell>
        </row>
        <row r="1148">
          <cell r="A1148">
            <v>8686374</v>
          </cell>
          <cell r="B1148" t="str">
            <v xml:space="preserve">Agustin alselmo </v>
          </cell>
          <cell r="C1148" t="str">
            <v>Baranquilla</v>
          </cell>
          <cell r="D1148" t="str">
            <v>Cll 77 # 7c-40</v>
          </cell>
          <cell r="E1148" t="str">
            <v xml:space="preserve">Casa grande, frente de unos apartamentos de dos pisos </v>
          </cell>
          <cell r="F1148" t="str">
            <v>3052847845</v>
          </cell>
          <cell r="G1148" t="str">
            <v>3043600866</v>
          </cell>
          <cell r="H1148" t="str">
            <v>Tratamiento</v>
          </cell>
        </row>
        <row r="1149">
          <cell r="A1149">
            <v>8719594</v>
          </cell>
          <cell r="B1149" t="str">
            <v>Juan</v>
          </cell>
          <cell r="C1149" t="str">
            <v>Baranquilla</v>
          </cell>
          <cell r="D1149" t="str">
            <v>Cr7#7e-67</v>
          </cell>
          <cell r="E1149" t="str">
            <v>Detrás de la iglesia San pio</v>
          </cell>
          <cell r="F1149" t="str">
            <v>3216974061</v>
          </cell>
          <cell r="G1149" t="str">
            <v>3128687354</v>
          </cell>
          <cell r="H1149" t="str">
            <v>Tratamiento</v>
          </cell>
        </row>
        <row r="1150">
          <cell r="A1150">
            <v>8724214</v>
          </cell>
          <cell r="B1150" t="str">
            <v>Celso</v>
          </cell>
          <cell r="C1150" t="str">
            <v>Baranquilla</v>
          </cell>
          <cell r="D1150" t="str">
            <v>Cll 64b # 9j1 14</v>
          </cell>
          <cell r="E1150" t="str">
            <v xml:space="preserve">Cerca del hospital del bosque </v>
          </cell>
          <cell r="F1150" t="str">
            <v>3043915009</v>
          </cell>
          <cell r="G1150" t="str">
            <v>3145937267</v>
          </cell>
          <cell r="H1150" t="str">
            <v>Tratamiento</v>
          </cell>
        </row>
        <row r="1151">
          <cell r="A1151">
            <v>8734568</v>
          </cell>
          <cell r="B1151" t="str">
            <v>Ricardo Alfredo</v>
          </cell>
          <cell r="C1151" t="str">
            <v>Baranquilla</v>
          </cell>
          <cell r="D1151" t="str">
            <v>Calle61#9k-21</v>
          </cell>
          <cell r="E1151" t="str">
            <v>La loma del peligro</v>
          </cell>
          <cell r="F1151" t="str">
            <v>3044181384</v>
          </cell>
          <cell r="G1151" t="str">
            <v>3178612508</v>
          </cell>
          <cell r="H1151" t="str">
            <v>Tratamiento</v>
          </cell>
        </row>
        <row r="1152">
          <cell r="A1152">
            <v>8737489</v>
          </cell>
          <cell r="B1152" t="str">
            <v>Pedro de jesus</v>
          </cell>
          <cell r="C1152" t="str">
            <v>Baranquilla</v>
          </cell>
          <cell r="D1152" t="str">
            <v>Dg 64b # 9j1 39</v>
          </cell>
          <cell r="E1152" t="str">
            <v>Frente a la iglesia pentecostal</v>
          </cell>
          <cell r="F1152" t="str">
            <v>3117596918</v>
          </cell>
          <cell r="G1152" t="str">
            <v>3005938494</v>
          </cell>
          <cell r="H1152" t="str">
            <v>Tratamiento</v>
          </cell>
        </row>
        <row r="1153">
          <cell r="A1153">
            <v>87430106</v>
          </cell>
          <cell r="B1153" t="str">
            <v xml:space="preserve">Gerardo </v>
          </cell>
          <cell r="C1153" t="str">
            <v>Cali</v>
          </cell>
          <cell r="D1153" t="str">
            <v>Cr 74g 4b15</v>
          </cell>
          <cell r="E1153" t="str">
            <v xml:space="preserve">Comedor las minas. Escuelita  por la subida Rampla </v>
          </cell>
          <cell r="F1153" t="str">
            <v>3226684880</v>
          </cell>
          <cell r="G1153" t="str">
            <v>3134608923</v>
          </cell>
          <cell r="H1153" t="str">
            <v>Tratamiento</v>
          </cell>
        </row>
        <row r="1154">
          <cell r="A1154">
            <v>8754897</v>
          </cell>
          <cell r="B1154" t="str">
            <v xml:space="preserve">Apolinar </v>
          </cell>
          <cell r="C1154" t="str">
            <v>Baranquilla</v>
          </cell>
          <cell r="D1154" t="str">
            <v>Kra 9a #75-17</v>
          </cell>
          <cell r="E1154" t="str">
            <v xml:space="preserve">Frente al colegio amarillo del bosque </v>
          </cell>
          <cell r="F1154" t="str">
            <v>3135815645</v>
          </cell>
          <cell r="G1154" t="str">
            <v>3106027296</v>
          </cell>
          <cell r="H1154" t="str">
            <v>Tratamiento</v>
          </cell>
        </row>
        <row r="1155">
          <cell r="A1155">
            <v>8758157</v>
          </cell>
          <cell r="B1155" t="str">
            <v xml:space="preserve">WILFRIDO RAFAEL </v>
          </cell>
          <cell r="C1155" t="str">
            <v>Baranquilla</v>
          </cell>
          <cell r="D1155" t="str">
            <v>KR 8C 87 70</v>
          </cell>
          <cell r="E1155" t="str">
            <v xml:space="preserve">Cerca a la penitenciaria el Bosque </v>
          </cell>
          <cell r="F1155" t="str">
            <v>3016428246</v>
          </cell>
          <cell r="G1155" t="str">
            <v>3016885070</v>
          </cell>
          <cell r="H1155" t="str">
            <v>Tratamiento</v>
          </cell>
        </row>
        <row r="1156">
          <cell r="A1156">
            <v>8779085</v>
          </cell>
          <cell r="B1156" t="str">
            <v>Rafael</v>
          </cell>
          <cell r="C1156" t="str">
            <v>Baranquilla</v>
          </cell>
          <cell r="D1156" t="str">
            <v>Kra 7d #74-45</v>
          </cell>
          <cell r="E1156" t="str">
            <v>Por dónde rosendo</v>
          </cell>
          <cell r="F1156" t="str">
            <v>3023035589</v>
          </cell>
          <cell r="G1156" t="str">
            <v>3016065430</v>
          </cell>
          <cell r="H1156" t="str">
            <v>Tratamiento</v>
          </cell>
        </row>
        <row r="1157">
          <cell r="A1157">
            <v>8799243</v>
          </cell>
          <cell r="B1157" t="str">
            <v xml:space="preserve">José Luis </v>
          </cell>
          <cell r="C1157" t="str">
            <v>Baranquilla</v>
          </cell>
          <cell r="D1157" t="str">
            <v>Calle77cr6e-64</v>
          </cell>
          <cell r="E1157" t="str">
            <v/>
          </cell>
          <cell r="F1157" t="str">
            <v>3016472287</v>
          </cell>
          <cell r="G1157" t="str">
            <v>3242223096</v>
          </cell>
          <cell r="H1157" t="str">
            <v>Tratamiento</v>
          </cell>
        </row>
        <row r="1158">
          <cell r="A1158">
            <v>94225090</v>
          </cell>
          <cell r="B1158" t="str">
            <v>Medardo</v>
          </cell>
          <cell r="C1158" t="str">
            <v>Cali</v>
          </cell>
          <cell r="D1158" t="str">
            <v>Cl 4b oeste 73 d bis 38</v>
          </cell>
          <cell r="E1158" t="str">
            <v>Cuatro esquina y pregunta dónde es las minas  más abajo de la cancha</v>
          </cell>
          <cell r="F1158" t="str">
            <v>3167775780</v>
          </cell>
          <cell r="G1158" t="str">
            <v xml:space="preserve">No dan información </v>
          </cell>
          <cell r="H1158" t="str">
            <v>Tratamiento</v>
          </cell>
        </row>
        <row r="1159">
          <cell r="A1159">
            <v>94459917</v>
          </cell>
          <cell r="B1159" t="str">
            <v>Leonardo</v>
          </cell>
          <cell r="C1159" t="str">
            <v>Cali</v>
          </cell>
          <cell r="D1159" t="str">
            <v>Cr 74g bis oeste 4 11</v>
          </cell>
          <cell r="E1159" t="str">
            <v xml:space="preserve"> Comedor las minas   serca</v>
          </cell>
          <cell r="F1159" t="str">
            <v>3116094694</v>
          </cell>
          <cell r="G1159" t="str">
            <v>3177584914</v>
          </cell>
          <cell r="H1159" t="str">
            <v>Tratamiento</v>
          </cell>
        </row>
        <row r="1160">
          <cell r="A1160">
            <v>94494784</v>
          </cell>
          <cell r="B1160" t="str">
            <v>Didier</v>
          </cell>
          <cell r="C1160" t="str">
            <v>Cali</v>
          </cell>
          <cell r="D1160" t="str">
            <v>Cl 4 B oeste 73Dbis 60</v>
          </cell>
          <cell r="E1160" t="str">
            <v/>
          </cell>
          <cell r="F1160" t="str">
            <v>3117711800</v>
          </cell>
          <cell r="G1160" t="str">
            <v>3177584914</v>
          </cell>
          <cell r="H1160" t="str">
            <v>Tratamiento</v>
          </cell>
        </row>
        <row r="1161">
          <cell r="A1161">
            <v>94513261</v>
          </cell>
          <cell r="B1161" t="str">
            <v xml:space="preserve">CESAR AUGUSTO </v>
          </cell>
          <cell r="C1161" t="str">
            <v>Cali</v>
          </cell>
          <cell r="D1161" t="str">
            <v xml:space="preserve">No dan información </v>
          </cell>
          <cell r="E1161" t="str">
            <v xml:space="preserve">Vecino del lado derecho de MAYRA MUÑOZ </v>
          </cell>
          <cell r="F1161" t="str">
            <v>3177210488</v>
          </cell>
          <cell r="G1161" t="str">
            <v xml:space="preserve">No dan información </v>
          </cell>
          <cell r="H1161" t="str">
            <v>Tratamiento</v>
          </cell>
        </row>
        <row r="1162">
          <cell r="A1162">
            <v>94540935</v>
          </cell>
          <cell r="B1162" t="str">
            <v xml:space="preserve">Emilio José </v>
          </cell>
          <cell r="C1162" t="str">
            <v>Cali</v>
          </cell>
          <cell r="D1162" t="str">
            <v>Cr 4 bbbis # 73a70</v>
          </cell>
          <cell r="E1162" t="str">
            <v xml:space="preserve">Las canchas las minas   </v>
          </cell>
          <cell r="F1162" t="str">
            <v>3174764675</v>
          </cell>
          <cell r="G1162" t="str">
            <v>3186560565</v>
          </cell>
          <cell r="H1162" t="str">
            <v>Tratamiento</v>
          </cell>
        </row>
        <row r="1163">
          <cell r="A1163">
            <v>94550202</v>
          </cell>
          <cell r="B1163" t="str">
            <v>Geiver</v>
          </cell>
          <cell r="C1163" t="str">
            <v>Cali</v>
          </cell>
          <cell r="D1163" t="str">
            <v>CL 4B oeste 73Dbis 114</v>
          </cell>
          <cell r="E1163" t="str">
            <v>Cerca al comedor de las minas</v>
          </cell>
          <cell r="F1163" t="str">
            <v>3176543327</v>
          </cell>
          <cell r="G1163" t="str">
            <v xml:space="preserve">No dan información </v>
          </cell>
          <cell r="H1163" t="str">
            <v>Tratamiento</v>
          </cell>
        </row>
        <row r="1164">
          <cell r="A1164">
            <v>98638636</v>
          </cell>
          <cell r="B1164" t="str">
            <v>Pedro José Bustamante Ortiz</v>
          </cell>
          <cell r="C1164" t="str">
            <v>Medellin</v>
          </cell>
          <cell r="D1164" t="str">
            <v>Cerca centro salud</v>
          </cell>
          <cell r="E1164" t="str">
            <v/>
          </cell>
          <cell r="F1164" t="str">
            <v>3006120828</v>
          </cell>
          <cell r="G1164" t="str">
            <v>3127977231</v>
          </cell>
          <cell r="H1164" t="str">
            <v>Tratamiento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800B-66FC-471A-98B8-734AA66E3D84}">
  <dimension ref="A1"/>
  <sheetViews>
    <sheetView workbookViewId="0">
      <selection activeCell="O12" sqref="O1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4545-8A2B-4769-B9D2-694B15A3A1CB}">
  <dimension ref="A1:I1164"/>
  <sheetViews>
    <sheetView tabSelected="1" workbookViewId="0">
      <selection activeCell="J16" sqref="J16"/>
    </sheetView>
  </sheetViews>
  <sheetFormatPr baseColWidth="10" defaultRowHeight="14.4" x14ac:dyDescent="0.3"/>
  <cols>
    <col min="1" max="1" width="5" bestFit="1" customWidth="1"/>
    <col min="2" max="2" width="11.5546875" style="6"/>
    <col min="8" max="8" width="11.5546875" style="3"/>
    <col min="9" max="9" width="11.5546875" style="6"/>
  </cols>
  <sheetData>
    <row r="1" spans="1:9" ht="24.6" x14ac:dyDescent="0.3">
      <c r="A1" s="1" t="s">
        <v>3954</v>
      </c>
      <c r="B1" s="1" t="s">
        <v>0</v>
      </c>
      <c r="C1" s="1" t="s">
        <v>3948</v>
      </c>
      <c r="D1" s="1" t="s">
        <v>3949</v>
      </c>
      <c r="E1" s="1" t="s">
        <v>3950</v>
      </c>
      <c r="F1" s="1" t="s">
        <v>3951</v>
      </c>
      <c r="G1" s="1" t="s">
        <v>3952</v>
      </c>
      <c r="H1" s="4" t="s">
        <v>3953</v>
      </c>
      <c r="I1" s="1" t="s">
        <v>3946</v>
      </c>
    </row>
    <row r="2" spans="1:9" x14ac:dyDescent="0.3">
      <c r="A2">
        <v>1</v>
      </c>
      <c r="B2" s="6">
        <v>1000193972</v>
      </c>
      <c r="C2" t="str">
        <f>VLOOKUP(B2,[1]BD_FINAL!$A:$H,2,FALSE)</f>
        <v>Juan Pablo</v>
      </c>
      <c r="D2" t="str">
        <f>VLOOKUP(B2,[1]BD_FINAL!$A:$H,3,FALSE)</f>
        <v>Medellin</v>
      </c>
      <c r="E2" t="str">
        <f>VLOOKUP(B2,[1]BD_FINAL!$A:$H,8,FALSE)</f>
        <v>Control</v>
      </c>
      <c r="F2" s="2">
        <f>IF(E2="CONTROL",0,1)</f>
        <v>0</v>
      </c>
      <c r="G2">
        <f>IF(D2="Medellin",1,IF(D2="Cali",2,IF(D2="Baranquilla",3,0)))</f>
        <v>1</v>
      </c>
      <c r="H2" s="3" t="s">
        <v>3955</v>
      </c>
      <c r="I2" s="6" t="str">
        <f>_xlfn.CONCAT(0,F2,0,G2,H2)</f>
        <v>00010001</v>
      </c>
    </row>
    <row r="3" spans="1:9" x14ac:dyDescent="0.3">
      <c r="A3">
        <v>2</v>
      </c>
      <c r="B3" s="6">
        <v>1000292440</v>
      </c>
      <c r="C3" t="str">
        <f>VLOOKUP(B3,[1]BD_FINAL!$A:$H,2,FALSE)</f>
        <v xml:space="preserve">Yerson </v>
      </c>
      <c r="D3" t="str">
        <f>VLOOKUP(B3,[1]BD_FINAL!$A:$H,3,FALSE)</f>
        <v>Medellin</v>
      </c>
      <c r="E3" t="str">
        <f>VLOOKUP(B3,[1]BD_FINAL!$A:$H,8,FALSE)</f>
        <v>Control</v>
      </c>
      <c r="F3" s="2">
        <f t="shared" ref="F3:F66" si="0">IF(E3="CONTROL",0,1)</f>
        <v>0</v>
      </c>
      <c r="G3">
        <f t="shared" ref="G3:G66" si="1">IF(D3="Medellin",1,IF(D3="Cali",2,IF(D3="Baranquilla",3,0)))</f>
        <v>1</v>
      </c>
      <c r="H3" s="3" t="s">
        <v>3956</v>
      </c>
      <c r="I3" s="6" t="str">
        <f t="shared" ref="I3:I66" si="2">_xlfn.CONCAT(0,F3,0,G3,H3)</f>
        <v>00010002</v>
      </c>
    </row>
    <row r="4" spans="1:9" x14ac:dyDescent="0.3">
      <c r="A4">
        <v>3</v>
      </c>
      <c r="B4" s="6">
        <v>1000438461</v>
      </c>
      <c r="C4" t="str">
        <f>VLOOKUP(B4,[1]BD_FINAL!$A:$H,2,FALSE)</f>
        <v xml:space="preserve">Juana santa </v>
      </c>
      <c r="D4" t="str">
        <f>VLOOKUP(B4,[1]BD_FINAL!$A:$H,3,FALSE)</f>
        <v>Medellin</v>
      </c>
      <c r="E4" t="str">
        <f>VLOOKUP(B4,[1]BD_FINAL!$A:$H,8,FALSE)</f>
        <v>Control</v>
      </c>
      <c r="F4" s="2">
        <f t="shared" si="0"/>
        <v>0</v>
      </c>
      <c r="G4">
        <f t="shared" si="1"/>
        <v>1</v>
      </c>
      <c r="H4" s="3" t="s">
        <v>3957</v>
      </c>
      <c r="I4" s="6" t="str">
        <f t="shared" si="2"/>
        <v>00010003</v>
      </c>
    </row>
    <row r="5" spans="1:9" x14ac:dyDescent="0.3">
      <c r="A5">
        <v>4</v>
      </c>
      <c r="B5" s="6">
        <v>1000536137</v>
      </c>
      <c r="C5" t="str">
        <f>VLOOKUP(B5,[1]BD_FINAL!$A:$H,2,FALSE)</f>
        <v xml:space="preserve">Jenifer Andrea </v>
      </c>
      <c r="D5" t="str">
        <f>VLOOKUP(B5,[1]BD_FINAL!$A:$H,3,FALSE)</f>
        <v>Medellin</v>
      </c>
      <c r="E5" t="str">
        <f>VLOOKUP(B5,[1]BD_FINAL!$A:$H,8,FALSE)</f>
        <v>Tratamiento</v>
      </c>
      <c r="F5" s="2">
        <f t="shared" si="0"/>
        <v>1</v>
      </c>
      <c r="G5">
        <f t="shared" si="1"/>
        <v>1</v>
      </c>
      <c r="H5" s="3" t="s">
        <v>3958</v>
      </c>
      <c r="I5" s="6" t="str">
        <f t="shared" si="2"/>
        <v>01010004</v>
      </c>
    </row>
    <row r="6" spans="1:9" x14ac:dyDescent="0.3">
      <c r="A6">
        <v>5</v>
      </c>
      <c r="B6" s="6">
        <v>1000538215</v>
      </c>
      <c r="C6" t="str">
        <f>VLOOKUP(B6,[1]BD_FINAL!$A:$H,2,FALSE)</f>
        <v>Shirley Tatiana</v>
      </c>
      <c r="D6" t="str">
        <f>VLOOKUP(B6,[1]BD_FINAL!$A:$H,3,FALSE)</f>
        <v>Medellin</v>
      </c>
      <c r="E6" t="str">
        <f>VLOOKUP(B6,[1]BD_FINAL!$A:$H,8,FALSE)</f>
        <v>Tratamiento</v>
      </c>
      <c r="F6" s="2">
        <f t="shared" si="0"/>
        <v>1</v>
      </c>
      <c r="G6">
        <f t="shared" si="1"/>
        <v>1</v>
      </c>
      <c r="H6" s="3" t="s">
        <v>3959</v>
      </c>
      <c r="I6" s="6" t="str">
        <f t="shared" si="2"/>
        <v>01010005</v>
      </c>
    </row>
    <row r="7" spans="1:9" x14ac:dyDescent="0.3">
      <c r="A7">
        <v>6</v>
      </c>
      <c r="B7" s="6">
        <v>1000638664</v>
      </c>
      <c r="C7" t="str">
        <f>VLOOKUP(B7,[1]BD_FINAL!$A:$H,2,FALSE)</f>
        <v xml:space="preserve">Isabel Cristina </v>
      </c>
      <c r="D7" t="str">
        <f>VLOOKUP(B7,[1]BD_FINAL!$A:$H,3,FALSE)</f>
        <v>Medellin</v>
      </c>
      <c r="E7" t="str">
        <f>VLOOKUP(B7,[1]BD_FINAL!$A:$H,8,FALSE)</f>
        <v>Tratamiento</v>
      </c>
      <c r="F7" s="2">
        <f t="shared" si="0"/>
        <v>1</v>
      </c>
      <c r="G7">
        <f t="shared" si="1"/>
        <v>1</v>
      </c>
      <c r="H7" s="3" t="s">
        <v>3960</v>
      </c>
      <c r="I7" s="6" t="str">
        <f t="shared" si="2"/>
        <v>01010006</v>
      </c>
    </row>
    <row r="8" spans="1:9" x14ac:dyDescent="0.3">
      <c r="A8">
        <v>7</v>
      </c>
      <c r="B8" s="6">
        <v>1000643548</v>
      </c>
      <c r="C8" t="str">
        <f>VLOOKUP(B8,[1]BD_FINAL!$A:$H,2,FALSE)</f>
        <v>Tatiana Inés</v>
      </c>
      <c r="D8" t="str">
        <f>VLOOKUP(B8,[1]BD_FINAL!$A:$H,3,FALSE)</f>
        <v>Medellin</v>
      </c>
      <c r="E8" t="str">
        <f>VLOOKUP(B8,[1]BD_FINAL!$A:$H,8,FALSE)</f>
        <v>Tratamiento</v>
      </c>
      <c r="F8" s="2">
        <f t="shared" si="0"/>
        <v>1</v>
      </c>
      <c r="G8">
        <f t="shared" si="1"/>
        <v>1</v>
      </c>
      <c r="H8" s="3" t="s">
        <v>3961</v>
      </c>
      <c r="I8" s="6" t="str">
        <f t="shared" si="2"/>
        <v>01010007</v>
      </c>
    </row>
    <row r="9" spans="1:9" x14ac:dyDescent="0.3">
      <c r="A9">
        <v>8</v>
      </c>
      <c r="B9" s="6">
        <v>1000871711</v>
      </c>
      <c r="C9" t="str">
        <f>VLOOKUP(B9,[1]BD_FINAL!$A:$H,2,FALSE)</f>
        <v>Luz Eneida</v>
      </c>
      <c r="D9" t="str">
        <f>VLOOKUP(B9,[1]BD_FINAL!$A:$H,3,FALSE)</f>
        <v>Medellin</v>
      </c>
      <c r="E9" t="str">
        <f>VLOOKUP(B9,[1]BD_FINAL!$A:$H,8,FALSE)</f>
        <v>Tratamiento</v>
      </c>
      <c r="F9" s="2">
        <f t="shared" si="0"/>
        <v>1</v>
      </c>
      <c r="G9">
        <f t="shared" si="1"/>
        <v>1</v>
      </c>
      <c r="H9" s="3" t="s">
        <v>3962</v>
      </c>
      <c r="I9" s="6" t="str">
        <f t="shared" si="2"/>
        <v>01010008</v>
      </c>
    </row>
    <row r="10" spans="1:9" x14ac:dyDescent="0.3">
      <c r="A10">
        <v>9</v>
      </c>
      <c r="B10" s="6">
        <v>1001033236</v>
      </c>
      <c r="C10" t="str">
        <f>VLOOKUP(B10,[1]BD_FINAL!$A:$H,2,FALSE)</f>
        <v>Cintia Carolina</v>
      </c>
      <c r="D10" t="str">
        <f>VLOOKUP(B10,[1]BD_FINAL!$A:$H,3,FALSE)</f>
        <v>Medellin</v>
      </c>
      <c r="E10" t="str">
        <f>VLOOKUP(B10,[1]BD_FINAL!$A:$H,8,FALSE)</f>
        <v>Control</v>
      </c>
      <c r="F10" s="2">
        <f t="shared" si="0"/>
        <v>0</v>
      </c>
      <c r="G10">
        <f t="shared" si="1"/>
        <v>1</v>
      </c>
      <c r="H10" s="3" t="s">
        <v>3963</v>
      </c>
      <c r="I10" s="6" t="str">
        <f t="shared" si="2"/>
        <v>00010009</v>
      </c>
    </row>
    <row r="11" spans="1:9" x14ac:dyDescent="0.3">
      <c r="A11">
        <v>10</v>
      </c>
      <c r="B11" s="6">
        <v>1001139233</v>
      </c>
      <c r="C11" t="str">
        <f>VLOOKUP(B11,[1]BD_FINAL!$A:$H,2,FALSE)</f>
        <v xml:space="preserve">David Alexander
</v>
      </c>
      <c r="D11" t="str">
        <f>VLOOKUP(B11,[1]BD_FINAL!$A:$H,3,FALSE)</f>
        <v>Medellin</v>
      </c>
      <c r="E11" t="str">
        <f>VLOOKUP(B11,[1]BD_FINAL!$A:$H,8,FALSE)</f>
        <v>Control</v>
      </c>
      <c r="F11" s="2">
        <f t="shared" si="0"/>
        <v>0</v>
      </c>
      <c r="G11">
        <f t="shared" si="1"/>
        <v>1</v>
      </c>
      <c r="H11" s="3" t="s">
        <v>3964</v>
      </c>
      <c r="I11" s="6" t="str">
        <f t="shared" si="2"/>
        <v>00010010</v>
      </c>
    </row>
    <row r="12" spans="1:9" x14ac:dyDescent="0.3">
      <c r="A12">
        <v>11</v>
      </c>
      <c r="B12" s="6">
        <v>1001235015</v>
      </c>
      <c r="C12" t="str">
        <f>VLOOKUP(B12,[1]BD_FINAL!$A:$H,2,FALSE)</f>
        <v>Santiago</v>
      </c>
      <c r="D12" t="str">
        <f>VLOOKUP(B12,[1]BD_FINAL!$A:$H,3,FALSE)</f>
        <v>Medellin</v>
      </c>
      <c r="E12" t="str">
        <f>VLOOKUP(B12,[1]BD_FINAL!$A:$H,8,FALSE)</f>
        <v>Control</v>
      </c>
      <c r="F12" s="2">
        <f t="shared" si="0"/>
        <v>0</v>
      </c>
      <c r="G12">
        <f t="shared" si="1"/>
        <v>1</v>
      </c>
      <c r="H12" s="3" t="s">
        <v>3965</v>
      </c>
      <c r="I12" s="6" t="str">
        <f t="shared" si="2"/>
        <v>00010011</v>
      </c>
    </row>
    <row r="13" spans="1:9" x14ac:dyDescent="0.3">
      <c r="A13">
        <v>12</v>
      </c>
      <c r="B13" s="6">
        <v>1001359510</v>
      </c>
      <c r="C13" t="str">
        <f>VLOOKUP(B13,[1]BD_FINAL!$A:$H,2,FALSE)</f>
        <v>Margarita Isabel</v>
      </c>
      <c r="D13" t="str">
        <f>VLOOKUP(B13,[1]BD_FINAL!$A:$H,3,FALSE)</f>
        <v>Medellin</v>
      </c>
      <c r="E13" t="str">
        <f>VLOOKUP(B13,[1]BD_FINAL!$A:$H,8,FALSE)</f>
        <v>Tratamiento</v>
      </c>
      <c r="F13" s="2">
        <f t="shared" si="0"/>
        <v>1</v>
      </c>
      <c r="G13">
        <f t="shared" si="1"/>
        <v>1</v>
      </c>
      <c r="H13" s="3" t="s">
        <v>3966</v>
      </c>
      <c r="I13" s="6" t="str">
        <f t="shared" si="2"/>
        <v>01010012</v>
      </c>
    </row>
    <row r="14" spans="1:9" x14ac:dyDescent="0.3">
      <c r="A14">
        <v>13</v>
      </c>
      <c r="B14" s="6">
        <v>1001851457</v>
      </c>
      <c r="C14" t="str">
        <f>VLOOKUP(B14,[1]BD_FINAL!$A:$H,2,FALSE)</f>
        <v>Hilde cecilia</v>
      </c>
      <c r="D14" t="str">
        <f>VLOOKUP(B14,[1]BD_FINAL!$A:$H,3,FALSE)</f>
        <v>Baranquilla</v>
      </c>
      <c r="E14" t="str">
        <f>VLOOKUP(B14,[1]BD_FINAL!$A:$H,8,FALSE)</f>
        <v>Tratamiento</v>
      </c>
      <c r="F14" s="2">
        <f t="shared" si="0"/>
        <v>1</v>
      </c>
      <c r="G14">
        <f t="shared" si="1"/>
        <v>3</v>
      </c>
      <c r="H14" s="3" t="s">
        <v>3967</v>
      </c>
      <c r="I14" s="6" t="str">
        <f t="shared" si="2"/>
        <v>01030013</v>
      </c>
    </row>
    <row r="15" spans="1:9" x14ac:dyDescent="0.3">
      <c r="A15">
        <v>14</v>
      </c>
      <c r="B15" s="6">
        <v>1002022185</v>
      </c>
      <c r="C15" t="str">
        <f>VLOOKUP(B15,[1]BD_FINAL!$A:$H,2,FALSE)</f>
        <v xml:space="preserve">María del Carmen </v>
      </c>
      <c r="D15" t="str">
        <f>VLOOKUP(B15,[1]BD_FINAL!$A:$H,3,FALSE)</f>
        <v>Baranquilla</v>
      </c>
      <c r="E15" t="str">
        <f>VLOOKUP(B15,[1]BD_FINAL!$A:$H,8,FALSE)</f>
        <v>Control</v>
      </c>
      <c r="F15" s="2">
        <f t="shared" si="0"/>
        <v>0</v>
      </c>
      <c r="G15">
        <f t="shared" si="1"/>
        <v>3</v>
      </c>
      <c r="H15" s="3" t="s">
        <v>3968</v>
      </c>
      <c r="I15" s="6" t="str">
        <f t="shared" si="2"/>
        <v>00030014</v>
      </c>
    </row>
    <row r="16" spans="1:9" x14ac:dyDescent="0.3">
      <c r="A16">
        <v>15</v>
      </c>
      <c r="B16" s="6">
        <v>1002026183</v>
      </c>
      <c r="C16" t="str">
        <f>VLOOKUP(B16,[1]BD_FINAL!$A:$H,2,FALSE)</f>
        <v xml:space="preserve">Yoileth </v>
      </c>
      <c r="D16" t="str">
        <f>VLOOKUP(B16,[1]BD_FINAL!$A:$H,3,FALSE)</f>
        <v>Baranquilla</v>
      </c>
      <c r="E16" t="str">
        <f>VLOOKUP(B16,[1]BD_FINAL!$A:$H,8,FALSE)</f>
        <v>Control</v>
      </c>
      <c r="F16" s="2">
        <f t="shared" si="0"/>
        <v>0</v>
      </c>
      <c r="G16">
        <f t="shared" si="1"/>
        <v>3</v>
      </c>
      <c r="H16" s="3" t="s">
        <v>3969</v>
      </c>
      <c r="I16" s="6" t="str">
        <f t="shared" si="2"/>
        <v>00030015</v>
      </c>
    </row>
    <row r="17" spans="1:9" x14ac:dyDescent="0.3">
      <c r="A17">
        <v>16</v>
      </c>
      <c r="B17" s="6">
        <v>1002034065</v>
      </c>
      <c r="C17" t="str">
        <f>VLOOKUP(B17,[1]BD_FINAL!$A:$H,2,FALSE)</f>
        <v xml:space="preserve">Nazly </v>
      </c>
      <c r="D17" t="str">
        <f>VLOOKUP(B17,[1]BD_FINAL!$A:$H,3,FALSE)</f>
        <v>Baranquilla</v>
      </c>
      <c r="E17" t="str">
        <f>VLOOKUP(B17,[1]BD_FINAL!$A:$H,8,FALSE)</f>
        <v>Control</v>
      </c>
      <c r="F17" s="2">
        <f t="shared" si="0"/>
        <v>0</v>
      </c>
      <c r="G17">
        <f t="shared" si="1"/>
        <v>3</v>
      </c>
      <c r="H17" s="3" t="s">
        <v>3970</v>
      </c>
      <c r="I17" s="6" t="str">
        <f t="shared" si="2"/>
        <v>00030016</v>
      </c>
    </row>
    <row r="18" spans="1:9" x14ac:dyDescent="0.3">
      <c r="A18">
        <v>17</v>
      </c>
      <c r="B18" s="6">
        <v>1002130477</v>
      </c>
      <c r="C18" t="str">
        <f>VLOOKUP(B18,[1]BD_FINAL!$A:$H,2,FALSE)</f>
        <v>Edgar junior</v>
      </c>
      <c r="D18" t="str">
        <f>VLOOKUP(B18,[1]BD_FINAL!$A:$H,3,FALSE)</f>
        <v>Baranquilla</v>
      </c>
      <c r="E18" t="str">
        <f>VLOOKUP(B18,[1]BD_FINAL!$A:$H,8,FALSE)</f>
        <v>Tratamiento</v>
      </c>
      <c r="F18" s="2">
        <f t="shared" si="0"/>
        <v>1</v>
      </c>
      <c r="G18">
        <f t="shared" si="1"/>
        <v>3</v>
      </c>
      <c r="H18" s="3" t="s">
        <v>3971</v>
      </c>
      <c r="I18" s="6" t="str">
        <f t="shared" si="2"/>
        <v>01030017</v>
      </c>
    </row>
    <row r="19" spans="1:9" x14ac:dyDescent="0.3">
      <c r="A19">
        <v>18</v>
      </c>
      <c r="B19" s="6">
        <v>1002155243</v>
      </c>
      <c r="C19" t="str">
        <f>VLOOKUP(B19,[1]BD_FINAL!$A:$H,2,FALSE)</f>
        <v xml:space="preserve">Monica mercedes </v>
      </c>
      <c r="D19" t="str">
        <f>VLOOKUP(B19,[1]BD_FINAL!$A:$H,3,FALSE)</f>
        <v>Baranquilla</v>
      </c>
      <c r="E19" t="str">
        <f>VLOOKUP(B19,[1]BD_FINAL!$A:$H,8,FALSE)</f>
        <v>Tratamiento</v>
      </c>
      <c r="F19" s="2">
        <f t="shared" si="0"/>
        <v>1</v>
      </c>
      <c r="G19">
        <f t="shared" si="1"/>
        <v>3</v>
      </c>
      <c r="H19" s="3" t="s">
        <v>3972</v>
      </c>
      <c r="I19" s="6" t="str">
        <f t="shared" si="2"/>
        <v>01030018</v>
      </c>
    </row>
    <row r="20" spans="1:9" x14ac:dyDescent="0.3">
      <c r="A20">
        <v>19</v>
      </c>
      <c r="B20" s="6">
        <v>1002163129</v>
      </c>
      <c r="C20" t="str">
        <f>VLOOKUP(B20,[1]BD_FINAL!$A:$H,2,FALSE)</f>
        <v xml:space="preserve">José Manuel </v>
      </c>
      <c r="D20" t="str">
        <f>VLOOKUP(B20,[1]BD_FINAL!$A:$H,3,FALSE)</f>
        <v>Baranquilla</v>
      </c>
      <c r="E20" t="str">
        <f>VLOOKUP(B20,[1]BD_FINAL!$A:$H,8,FALSE)</f>
        <v>Control</v>
      </c>
      <c r="F20" s="2">
        <f t="shared" si="0"/>
        <v>0</v>
      </c>
      <c r="G20">
        <f t="shared" si="1"/>
        <v>3</v>
      </c>
      <c r="H20" s="3" t="s">
        <v>3973</v>
      </c>
      <c r="I20" s="6" t="str">
        <f t="shared" si="2"/>
        <v>00030019</v>
      </c>
    </row>
    <row r="21" spans="1:9" x14ac:dyDescent="0.3">
      <c r="A21">
        <v>20</v>
      </c>
      <c r="B21" s="6">
        <v>1002793265</v>
      </c>
      <c r="C21" t="str">
        <f>VLOOKUP(B21,[1]BD_FINAL!$A:$H,2,FALSE)</f>
        <v>YAMILE</v>
      </c>
      <c r="D21" t="str">
        <f>VLOOKUP(B21,[1]BD_FINAL!$A:$H,3,FALSE)</f>
        <v>Cali</v>
      </c>
      <c r="E21" t="str">
        <f>VLOOKUP(B21,[1]BD_FINAL!$A:$H,8,FALSE)</f>
        <v>Tratamiento</v>
      </c>
      <c r="F21" s="2">
        <f t="shared" si="0"/>
        <v>1</v>
      </c>
      <c r="G21">
        <f t="shared" si="1"/>
        <v>2</v>
      </c>
      <c r="H21" s="3" t="s">
        <v>3974</v>
      </c>
      <c r="I21" s="6" t="str">
        <f t="shared" si="2"/>
        <v>01020020</v>
      </c>
    </row>
    <row r="22" spans="1:9" x14ac:dyDescent="0.3">
      <c r="A22">
        <v>21</v>
      </c>
      <c r="B22" s="6">
        <v>100306195</v>
      </c>
      <c r="C22" t="str">
        <f>VLOOKUP(B22,[1]BD_FINAL!$A:$H,2,FALSE)</f>
        <v>Freider Mario</v>
      </c>
      <c r="D22" t="str">
        <f>VLOOKUP(B22,[1]BD_FINAL!$A:$H,3,FALSE)</f>
        <v>Medellin</v>
      </c>
      <c r="E22" t="str">
        <f>VLOOKUP(B22,[1]BD_FINAL!$A:$H,8,FALSE)</f>
        <v>Control</v>
      </c>
      <c r="F22" s="2">
        <f t="shared" si="0"/>
        <v>0</v>
      </c>
      <c r="G22">
        <f t="shared" si="1"/>
        <v>1</v>
      </c>
      <c r="H22" s="3" t="s">
        <v>3975</v>
      </c>
      <c r="I22" s="6" t="str">
        <f t="shared" si="2"/>
        <v>00010021</v>
      </c>
    </row>
    <row r="23" spans="1:9" x14ac:dyDescent="0.3">
      <c r="A23">
        <v>22</v>
      </c>
      <c r="B23" s="6">
        <v>1005706694</v>
      </c>
      <c r="C23" t="str">
        <f>VLOOKUP(B23,[1]BD_FINAL!$A:$H,2,FALSE)</f>
        <v xml:space="preserve">Mileydi </v>
      </c>
      <c r="D23" t="str">
        <f>VLOOKUP(B23,[1]BD_FINAL!$A:$H,3,FALSE)</f>
        <v>Cali</v>
      </c>
      <c r="E23" t="str">
        <f>VLOOKUP(B23,[1]BD_FINAL!$A:$H,8,FALSE)</f>
        <v>Control</v>
      </c>
      <c r="F23" s="2">
        <f t="shared" si="0"/>
        <v>0</v>
      </c>
      <c r="G23">
        <f t="shared" si="1"/>
        <v>2</v>
      </c>
      <c r="H23" s="3" t="s">
        <v>3976</v>
      </c>
      <c r="I23" s="6" t="str">
        <f t="shared" si="2"/>
        <v>00020022</v>
      </c>
    </row>
    <row r="24" spans="1:9" x14ac:dyDescent="0.3">
      <c r="A24">
        <v>23</v>
      </c>
      <c r="B24" s="6">
        <v>1005873832</v>
      </c>
      <c r="C24" t="str">
        <f>VLOOKUP(B24,[1]BD_FINAL!$A:$H,2,FALSE)</f>
        <v xml:space="preserve">Jennifer </v>
      </c>
      <c r="D24" t="str">
        <f>VLOOKUP(B24,[1]BD_FINAL!$A:$H,3,FALSE)</f>
        <v>Cali</v>
      </c>
      <c r="E24" t="str">
        <f>VLOOKUP(B24,[1]BD_FINAL!$A:$H,8,FALSE)</f>
        <v>Tratamiento</v>
      </c>
      <c r="F24" s="2">
        <f t="shared" si="0"/>
        <v>1</v>
      </c>
      <c r="G24">
        <f t="shared" si="1"/>
        <v>2</v>
      </c>
      <c r="H24" s="3" t="s">
        <v>3977</v>
      </c>
      <c r="I24" s="6" t="str">
        <f t="shared" si="2"/>
        <v>01020023</v>
      </c>
    </row>
    <row r="25" spans="1:9" x14ac:dyDescent="0.3">
      <c r="A25">
        <v>24</v>
      </c>
      <c r="B25" s="6">
        <v>1005934818</v>
      </c>
      <c r="C25" t="str">
        <f>VLOOKUP(B25,[1]BD_FINAL!$A:$H,2,FALSE)</f>
        <v xml:space="preserve">DIANA MARCELA </v>
      </c>
      <c r="D25" t="str">
        <f>VLOOKUP(B25,[1]BD_FINAL!$A:$H,3,FALSE)</f>
        <v>Cali</v>
      </c>
      <c r="E25" t="str">
        <f>VLOOKUP(B25,[1]BD_FINAL!$A:$H,8,FALSE)</f>
        <v>Control</v>
      </c>
      <c r="F25" s="2">
        <f t="shared" si="0"/>
        <v>0</v>
      </c>
      <c r="G25">
        <f t="shared" si="1"/>
        <v>2</v>
      </c>
      <c r="H25" s="3" t="s">
        <v>3978</v>
      </c>
      <c r="I25" s="6" t="str">
        <f t="shared" si="2"/>
        <v>00020024</v>
      </c>
    </row>
    <row r="26" spans="1:9" x14ac:dyDescent="0.3">
      <c r="A26">
        <v>25</v>
      </c>
      <c r="B26" s="6">
        <v>1006233749</v>
      </c>
      <c r="C26" t="str">
        <f>VLOOKUP(B26,[1]BD_FINAL!$A:$H,2,FALSE)</f>
        <v>Laura natali</v>
      </c>
      <c r="D26" t="str">
        <f>VLOOKUP(B26,[1]BD_FINAL!$A:$H,3,FALSE)</f>
        <v>Cali</v>
      </c>
      <c r="E26" t="str">
        <f>VLOOKUP(B26,[1]BD_FINAL!$A:$H,8,FALSE)</f>
        <v>Tratamiento</v>
      </c>
      <c r="F26" s="2">
        <f t="shared" si="0"/>
        <v>1</v>
      </c>
      <c r="G26">
        <f t="shared" si="1"/>
        <v>2</v>
      </c>
      <c r="H26" s="3" t="s">
        <v>3979</v>
      </c>
      <c r="I26" s="6" t="str">
        <f t="shared" si="2"/>
        <v>01020025</v>
      </c>
    </row>
    <row r="27" spans="1:9" x14ac:dyDescent="0.3">
      <c r="A27">
        <v>26</v>
      </c>
      <c r="B27" s="6">
        <v>10068285</v>
      </c>
      <c r="C27" t="str">
        <f>VLOOKUP(B27,[1]BD_FINAL!$A:$H,2,FALSE)</f>
        <v>ARISTIDES</v>
      </c>
      <c r="D27" t="str">
        <f>VLOOKUP(B27,[1]BD_FINAL!$A:$H,3,FALSE)</f>
        <v>Cali</v>
      </c>
      <c r="E27" t="str">
        <f>VLOOKUP(B27,[1]BD_FINAL!$A:$H,8,FALSE)</f>
        <v>Control</v>
      </c>
      <c r="F27" s="2">
        <f t="shared" si="0"/>
        <v>0</v>
      </c>
      <c r="G27">
        <f t="shared" si="1"/>
        <v>2</v>
      </c>
      <c r="H27" s="3" t="s">
        <v>3980</v>
      </c>
      <c r="I27" s="6" t="str">
        <f t="shared" si="2"/>
        <v>00020026</v>
      </c>
    </row>
    <row r="28" spans="1:9" x14ac:dyDescent="0.3">
      <c r="A28">
        <v>27</v>
      </c>
      <c r="B28" s="6">
        <v>1007132436</v>
      </c>
      <c r="C28" t="str">
        <f>VLOOKUP(B28,[1]BD_FINAL!$A:$H,2,FALSE)</f>
        <v>BRAYAN JOSÉ</v>
      </c>
      <c r="D28" t="str">
        <f>VLOOKUP(B28,[1]BD_FINAL!$A:$H,3,FALSE)</f>
        <v>Baranquilla</v>
      </c>
      <c r="E28" t="str">
        <f>VLOOKUP(B28,[1]BD_FINAL!$A:$H,8,FALSE)</f>
        <v>Tratamiento</v>
      </c>
      <c r="F28" s="2">
        <f t="shared" si="0"/>
        <v>1</v>
      </c>
      <c r="G28">
        <f t="shared" si="1"/>
        <v>3</v>
      </c>
      <c r="H28" s="3" t="s">
        <v>3981</v>
      </c>
      <c r="I28" s="6" t="str">
        <f t="shared" si="2"/>
        <v>01030027</v>
      </c>
    </row>
    <row r="29" spans="1:9" x14ac:dyDescent="0.3">
      <c r="A29">
        <v>28</v>
      </c>
      <c r="B29" s="6">
        <v>1007175950</v>
      </c>
      <c r="C29" t="str">
        <f>VLOOKUP(B29,[1]BD_FINAL!$A:$H,2,FALSE)</f>
        <v>ANDRES FELIPE</v>
      </c>
      <c r="D29" t="str">
        <f>VLOOKUP(B29,[1]BD_FINAL!$A:$H,3,FALSE)</f>
        <v>Baranquilla</v>
      </c>
      <c r="E29" t="str">
        <f>VLOOKUP(B29,[1]BD_FINAL!$A:$H,8,FALSE)</f>
        <v>Tratamiento</v>
      </c>
      <c r="F29" s="2">
        <f t="shared" si="0"/>
        <v>1</v>
      </c>
      <c r="G29">
        <f t="shared" si="1"/>
        <v>3</v>
      </c>
      <c r="H29" s="3" t="s">
        <v>3982</v>
      </c>
      <c r="I29" s="6" t="str">
        <f t="shared" si="2"/>
        <v>01030028</v>
      </c>
    </row>
    <row r="30" spans="1:9" x14ac:dyDescent="0.3">
      <c r="A30">
        <v>29</v>
      </c>
      <c r="B30" s="6">
        <v>1007908804</v>
      </c>
      <c r="C30" t="str">
        <f>VLOOKUP(B30,[1]BD_FINAL!$A:$H,2,FALSE)</f>
        <v xml:space="preserve">Nelson </v>
      </c>
      <c r="D30" t="str">
        <f>VLOOKUP(B30,[1]BD_FINAL!$A:$H,3,FALSE)</f>
        <v>Baranquilla</v>
      </c>
      <c r="E30" t="str">
        <f>VLOOKUP(B30,[1]BD_FINAL!$A:$H,8,FALSE)</f>
        <v>Control</v>
      </c>
      <c r="F30" s="2">
        <f t="shared" si="0"/>
        <v>0</v>
      </c>
      <c r="G30">
        <f t="shared" si="1"/>
        <v>3</v>
      </c>
      <c r="H30" s="3" t="s">
        <v>3983</v>
      </c>
      <c r="I30" s="6" t="str">
        <f t="shared" si="2"/>
        <v>00030029</v>
      </c>
    </row>
    <row r="31" spans="1:9" x14ac:dyDescent="0.3">
      <c r="A31">
        <v>30</v>
      </c>
      <c r="B31" s="6">
        <v>1010032037</v>
      </c>
      <c r="C31" t="str">
        <f>VLOOKUP(B31,[1]BD_FINAL!$A:$H,2,FALSE)</f>
        <v xml:space="preserve">Doralba </v>
      </c>
      <c r="D31" t="str">
        <f>VLOOKUP(B31,[1]BD_FINAL!$A:$H,3,FALSE)</f>
        <v>Medellin</v>
      </c>
      <c r="E31" t="str">
        <f>VLOOKUP(B31,[1]BD_FINAL!$A:$H,8,FALSE)</f>
        <v>Tratamiento</v>
      </c>
      <c r="F31" s="2">
        <f t="shared" si="0"/>
        <v>1</v>
      </c>
      <c r="G31">
        <f t="shared" si="1"/>
        <v>1</v>
      </c>
      <c r="H31" s="3" t="s">
        <v>3984</v>
      </c>
      <c r="I31" s="6" t="str">
        <f t="shared" si="2"/>
        <v>01010030</v>
      </c>
    </row>
    <row r="32" spans="1:9" x14ac:dyDescent="0.3">
      <c r="A32">
        <v>31</v>
      </c>
      <c r="B32" s="6">
        <v>1010119253</v>
      </c>
      <c r="C32" t="str">
        <f>VLOOKUP(B32,[1]BD_FINAL!$A:$H,2,FALSE)</f>
        <v>Karina Maria</v>
      </c>
      <c r="D32" t="str">
        <f>VLOOKUP(B32,[1]BD_FINAL!$A:$H,3,FALSE)</f>
        <v>Baranquilla</v>
      </c>
      <c r="E32" t="str">
        <f>VLOOKUP(B32,[1]BD_FINAL!$A:$H,8,FALSE)</f>
        <v>Tratamiento</v>
      </c>
      <c r="F32" s="2">
        <f t="shared" si="0"/>
        <v>1</v>
      </c>
      <c r="G32">
        <f t="shared" si="1"/>
        <v>3</v>
      </c>
      <c r="H32" s="3" t="s">
        <v>3985</v>
      </c>
      <c r="I32" s="6" t="str">
        <f t="shared" si="2"/>
        <v>01030031</v>
      </c>
    </row>
    <row r="33" spans="1:9" x14ac:dyDescent="0.3">
      <c r="A33">
        <v>32</v>
      </c>
      <c r="B33" s="6">
        <v>10122125</v>
      </c>
      <c r="C33" t="str">
        <f>VLOOKUP(B33,[1]BD_FINAL!$A:$H,2,FALSE)</f>
        <v xml:space="preserve">JAIRO ANTONIO </v>
      </c>
      <c r="D33" t="str">
        <f>VLOOKUP(B33,[1]BD_FINAL!$A:$H,3,FALSE)</f>
        <v>Baranquilla</v>
      </c>
      <c r="E33" t="str">
        <f>VLOOKUP(B33,[1]BD_FINAL!$A:$H,8,FALSE)</f>
        <v>Tratamiento</v>
      </c>
      <c r="F33" s="2">
        <f t="shared" si="0"/>
        <v>1</v>
      </c>
      <c r="G33">
        <f t="shared" si="1"/>
        <v>3</v>
      </c>
      <c r="H33" s="3" t="s">
        <v>3986</v>
      </c>
      <c r="I33" s="6" t="str">
        <f t="shared" si="2"/>
        <v>01030032</v>
      </c>
    </row>
    <row r="34" spans="1:9" x14ac:dyDescent="0.3">
      <c r="A34">
        <v>33</v>
      </c>
      <c r="B34" s="6">
        <v>1015186975</v>
      </c>
      <c r="C34" t="str">
        <f>VLOOKUP(B34,[1]BD_FINAL!$A:$H,2,FALSE)</f>
        <v>Daniel Esmirt</v>
      </c>
      <c r="D34" t="str">
        <f>VLOOKUP(B34,[1]BD_FINAL!$A:$H,3,FALSE)</f>
        <v>Medellin</v>
      </c>
      <c r="E34" t="str">
        <f>VLOOKUP(B34,[1]BD_FINAL!$A:$H,8,FALSE)</f>
        <v>Tratamiento</v>
      </c>
      <c r="F34" s="2">
        <f t="shared" si="0"/>
        <v>1</v>
      </c>
      <c r="G34">
        <f t="shared" si="1"/>
        <v>1</v>
      </c>
      <c r="H34" s="3" t="s">
        <v>3987</v>
      </c>
      <c r="I34" s="6" t="str">
        <f t="shared" si="2"/>
        <v>01010033</v>
      </c>
    </row>
    <row r="35" spans="1:9" x14ac:dyDescent="0.3">
      <c r="A35">
        <v>34</v>
      </c>
      <c r="B35" s="6">
        <v>1015193737</v>
      </c>
      <c r="C35" t="str">
        <f>VLOOKUP(B35,[1]BD_FINAL!$A:$H,2,FALSE)</f>
        <v xml:space="preserve">Maria Carlina </v>
      </c>
      <c r="D35" t="str">
        <f>VLOOKUP(B35,[1]BD_FINAL!$A:$H,3,FALSE)</f>
        <v>Medellin</v>
      </c>
      <c r="E35" t="str">
        <f>VLOOKUP(B35,[1]BD_FINAL!$A:$H,8,FALSE)</f>
        <v>Control</v>
      </c>
      <c r="F35" s="2">
        <f t="shared" si="0"/>
        <v>0</v>
      </c>
      <c r="G35">
        <f t="shared" si="1"/>
        <v>1</v>
      </c>
      <c r="H35" s="3" t="s">
        <v>3988</v>
      </c>
      <c r="I35" s="6" t="str">
        <f t="shared" si="2"/>
        <v>00010034</v>
      </c>
    </row>
    <row r="36" spans="1:9" x14ac:dyDescent="0.3">
      <c r="A36">
        <v>35</v>
      </c>
      <c r="B36" s="6">
        <v>1017135726</v>
      </c>
      <c r="C36" t="str">
        <f>VLOOKUP(B36,[1]BD_FINAL!$A:$H,2,FALSE)</f>
        <v>Lady  Yulieth</v>
      </c>
      <c r="D36" t="str">
        <f>VLOOKUP(B36,[1]BD_FINAL!$A:$H,3,FALSE)</f>
        <v>Medellin</v>
      </c>
      <c r="E36" t="str">
        <f>VLOOKUP(B36,[1]BD_FINAL!$A:$H,8,FALSE)</f>
        <v>Tratamiento</v>
      </c>
      <c r="F36" s="2">
        <f t="shared" si="0"/>
        <v>1</v>
      </c>
      <c r="G36">
        <f t="shared" si="1"/>
        <v>1</v>
      </c>
      <c r="H36" s="3" t="s">
        <v>3989</v>
      </c>
      <c r="I36" s="6" t="str">
        <f t="shared" si="2"/>
        <v>01010035</v>
      </c>
    </row>
    <row r="37" spans="1:9" x14ac:dyDescent="0.3">
      <c r="A37">
        <v>36</v>
      </c>
      <c r="B37" s="6">
        <v>1017152403</v>
      </c>
      <c r="C37" t="str">
        <f>VLOOKUP(B37,[1]BD_FINAL!$A:$H,2,FALSE)</f>
        <v>Víctor Hugo</v>
      </c>
      <c r="D37" t="str">
        <f>VLOOKUP(B37,[1]BD_FINAL!$A:$H,3,FALSE)</f>
        <v>Medellin</v>
      </c>
      <c r="E37" t="str">
        <f>VLOOKUP(B37,[1]BD_FINAL!$A:$H,8,FALSE)</f>
        <v>Tratamiento</v>
      </c>
      <c r="F37" s="2">
        <f t="shared" si="0"/>
        <v>1</v>
      </c>
      <c r="G37">
        <f t="shared" si="1"/>
        <v>1</v>
      </c>
      <c r="H37" s="3" t="s">
        <v>3990</v>
      </c>
      <c r="I37" s="6" t="str">
        <f t="shared" si="2"/>
        <v>01010036</v>
      </c>
    </row>
    <row r="38" spans="1:9" x14ac:dyDescent="0.3">
      <c r="A38">
        <v>37</v>
      </c>
      <c r="B38" s="6">
        <v>1017154497</v>
      </c>
      <c r="C38" t="str">
        <f>VLOOKUP(B38,[1]BD_FINAL!$A:$H,2,FALSE)</f>
        <v>Olga Lucia</v>
      </c>
      <c r="D38" t="str">
        <f>VLOOKUP(B38,[1]BD_FINAL!$A:$H,3,FALSE)</f>
        <v>Medellin</v>
      </c>
      <c r="E38" t="str">
        <f>VLOOKUP(B38,[1]BD_FINAL!$A:$H,8,FALSE)</f>
        <v>Control</v>
      </c>
      <c r="F38" s="2">
        <f t="shared" si="0"/>
        <v>0</v>
      </c>
      <c r="G38">
        <f t="shared" si="1"/>
        <v>1</v>
      </c>
      <c r="H38" s="3" t="s">
        <v>3991</v>
      </c>
      <c r="I38" s="6" t="str">
        <f t="shared" si="2"/>
        <v>00010037</v>
      </c>
    </row>
    <row r="39" spans="1:9" x14ac:dyDescent="0.3">
      <c r="A39">
        <v>38</v>
      </c>
      <c r="B39" s="6">
        <v>1017179652</v>
      </c>
      <c r="C39" t="str">
        <f>VLOOKUP(B39,[1]BD_FINAL!$A:$H,2,FALSE)</f>
        <v>Luisa Fernanda Jaramillo Jaramillo</v>
      </c>
      <c r="D39" t="str">
        <f>VLOOKUP(B39,[1]BD_FINAL!$A:$H,3,FALSE)</f>
        <v>Medellin</v>
      </c>
      <c r="E39" t="str">
        <f>VLOOKUP(B39,[1]BD_FINAL!$A:$H,8,FALSE)</f>
        <v>Tratamiento</v>
      </c>
      <c r="F39" s="2">
        <f t="shared" si="0"/>
        <v>1</v>
      </c>
      <c r="G39">
        <f t="shared" si="1"/>
        <v>1</v>
      </c>
      <c r="H39" s="3" t="s">
        <v>3992</v>
      </c>
      <c r="I39" s="6" t="str">
        <f t="shared" si="2"/>
        <v>01010038</v>
      </c>
    </row>
    <row r="40" spans="1:9" x14ac:dyDescent="0.3">
      <c r="A40">
        <v>39</v>
      </c>
      <c r="B40" s="6">
        <v>1017179966</v>
      </c>
      <c r="C40" t="str">
        <f>VLOOKUP(B40,[1]BD_FINAL!$A:$H,2,FALSE)</f>
        <v xml:space="preserve">Jenifer Marcela </v>
      </c>
      <c r="D40" t="str">
        <f>VLOOKUP(B40,[1]BD_FINAL!$A:$H,3,FALSE)</f>
        <v>Medellin</v>
      </c>
      <c r="E40" t="str">
        <f>VLOOKUP(B40,[1]BD_FINAL!$A:$H,8,FALSE)</f>
        <v>Tratamiento</v>
      </c>
      <c r="F40" s="2">
        <f t="shared" si="0"/>
        <v>1</v>
      </c>
      <c r="G40">
        <f t="shared" si="1"/>
        <v>1</v>
      </c>
      <c r="H40" s="3" t="s">
        <v>3993</v>
      </c>
      <c r="I40" s="6" t="str">
        <f t="shared" si="2"/>
        <v>01010039</v>
      </c>
    </row>
    <row r="41" spans="1:9" x14ac:dyDescent="0.3">
      <c r="A41">
        <v>40</v>
      </c>
      <c r="B41" s="6">
        <v>1017190314</v>
      </c>
      <c r="C41" t="str">
        <f>VLOOKUP(B41,[1]BD_FINAL!$A:$H,2,FALSE)</f>
        <v>Keila Andrea</v>
      </c>
      <c r="D41" t="str">
        <f>VLOOKUP(B41,[1]BD_FINAL!$A:$H,3,FALSE)</f>
        <v>Medellin</v>
      </c>
      <c r="E41" t="str">
        <f>VLOOKUP(B41,[1]BD_FINAL!$A:$H,8,FALSE)</f>
        <v>Tratamiento</v>
      </c>
      <c r="F41" s="2">
        <f t="shared" si="0"/>
        <v>1</v>
      </c>
      <c r="G41">
        <f t="shared" si="1"/>
        <v>1</v>
      </c>
      <c r="H41" s="3" t="s">
        <v>3994</v>
      </c>
      <c r="I41" s="6" t="str">
        <f t="shared" si="2"/>
        <v>01010040</v>
      </c>
    </row>
    <row r="42" spans="1:9" x14ac:dyDescent="0.3">
      <c r="A42">
        <v>41</v>
      </c>
      <c r="B42" s="6">
        <v>1017192472</v>
      </c>
      <c r="C42" t="str">
        <f>VLOOKUP(B42,[1]BD_FINAL!$A:$H,2,FALSE)</f>
        <v>Carolina del carmen</v>
      </c>
      <c r="D42" t="str">
        <f>VLOOKUP(B42,[1]BD_FINAL!$A:$H,3,FALSE)</f>
        <v>Medellin</v>
      </c>
      <c r="E42" t="str">
        <f>VLOOKUP(B42,[1]BD_FINAL!$A:$H,8,FALSE)</f>
        <v>Tratamiento</v>
      </c>
      <c r="F42" s="2">
        <f t="shared" si="0"/>
        <v>1</v>
      </c>
      <c r="G42">
        <f t="shared" si="1"/>
        <v>1</v>
      </c>
      <c r="H42" s="3" t="s">
        <v>3995</v>
      </c>
      <c r="I42" s="6" t="str">
        <f t="shared" si="2"/>
        <v>01010041</v>
      </c>
    </row>
    <row r="43" spans="1:9" x14ac:dyDescent="0.3">
      <c r="A43">
        <v>42</v>
      </c>
      <c r="B43" s="6">
        <v>1017206637</v>
      </c>
      <c r="C43" t="str">
        <f>VLOOKUP(B43,[1]BD_FINAL!$A:$H,2,FALSE)</f>
        <v>Gloria Gisela</v>
      </c>
      <c r="D43" t="str">
        <f>VLOOKUP(B43,[1]BD_FINAL!$A:$H,3,FALSE)</f>
        <v>Medellin</v>
      </c>
      <c r="E43" t="str">
        <f>VLOOKUP(B43,[1]BD_FINAL!$A:$H,8,FALSE)</f>
        <v>Tratamiento</v>
      </c>
      <c r="F43" s="2">
        <f t="shared" si="0"/>
        <v>1</v>
      </c>
      <c r="G43">
        <f t="shared" si="1"/>
        <v>1</v>
      </c>
      <c r="H43" s="3" t="s">
        <v>3996</v>
      </c>
      <c r="I43" s="6" t="str">
        <f t="shared" si="2"/>
        <v>01010042</v>
      </c>
    </row>
    <row r="44" spans="1:9" x14ac:dyDescent="0.3">
      <c r="A44">
        <v>43</v>
      </c>
      <c r="B44" s="6">
        <v>1017212544</v>
      </c>
      <c r="C44" t="str">
        <f>VLOOKUP(B44,[1]BD_FINAL!$A:$H,2,FALSE)</f>
        <v>Jessica Stefania</v>
      </c>
      <c r="D44" t="str">
        <f>VLOOKUP(B44,[1]BD_FINAL!$A:$H,3,FALSE)</f>
        <v>Medellin</v>
      </c>
      <c r="E44" t="str">
        <f>VLOOKUP(B44,[1]BD_FINAL!$A:$H,8,FALSE)</f>
        <v>Tratamiento</v>
      </c>
      <c r="F44" s="2">
        <f t="shared" si="0"/>
        <v>1</v>
      </c>
      <c r="G44">
        <f t="shared" si="1"/>
        <v>1</v>
      </c>
      <c r="H44" s="3" t="s">
        <v>3997</v>
      </c>
      <c r="I44" s="6" t="str">
        <f t="shared" si="2"/>
        <v>01010043</v>
      </c>
    </row>
    <row r="45" spans="1:9" x14ac:dyDescent="0.3">
      <c r="A45">
        <v>44</v>
      </c>
      <c r="B45" s="6">
        <v>1017216558</v>
      </c>
      <c r="C45" t="str">
        <f>VLOOKUP(B45,[1]BD_FINAL!$A:$H,2,FALSE)</f>
        <v xml:space="preserve">Duvan Alexis </v>
      </c>
      <c r="D45" t="str">
        <f>VLOOKUP(B45,[1]BD_FINAL!$A:$H,3,FALSE)</f>
        <v>Medellin</v>
      </c>
      <c r="E45" t="str">
        <f>VLOOKUP(B45,[1]BD_FINAL!$A:$H,8,FALSE)</f>
        <v>Tratamiento</v>
      </c>
      <c r="F45" s="2">
        <f t="shared" si="0"/>
        <v>1</v>
      </c>
      <c r="G45">
        <f t="shared" si="1"/>
        <v>1</v>
      </c>
      <c r="H45" s="3" t="s">
        <v>3998</v>
      </c>
      <c r="I45" s="6" t="str">
        <f t="shared" si="2"/>
        <v>01010044</v>
      </c>
    </row>
    <row r="46" spans="1:9" x14ac:dyDescent="0.3">
      <c r="A46">
        <v>45</v>
      </c>
      <c r="B46" s="6">
        <v>1017233148</v>
      </c>
      <c r="C46" t="str">
        <f>VLOOKUP(B46,[1]BD_FINAL!$A:$H,2,FALSE)</f>
        <v>Blanca Aliria</v>
      </c>
      <c r="D46" t="str">
        <f>VLOOKUP(B46,[1]BD_FINAL!$A:$H,3,FALSE)</f>
        <v>Medellin</v>
      </c>
      <c r="E46" t="str">
        <f>VLOOKUP(B46,[1]BD_FINAL!$A:$H,8,FALSE)</f>
        <v>Tratamiento</v>
      </c>
      <c r="F46" s="2">
        <f t="shared" si="0"/>
        <v>1</v>
      </c>
      <c r="G46">
        <f t="shared" si="1"/>
        <v>1</v>
      </c>
      <c r="H46" s="3" t="s">
        <v>3999</v>
      </c>
      <c r="I46" s="6" t="str">
        <f t="shared" si="2"/>
        <v>01010045</v>
      </c>
    </row>
    <row r="47" spans="1:9" x14ac:dyDescent="0.3">
      <c r="A47">
        <v>46</v>
      </c>
      <c r="B47" s="6">
        <v>1017239115</v>
      </c>
      <c r="C47" t="str">
        <f>VLOOKUP(B47,[1]BD_FINAL!$A:$H,2,FALSE)</f>
        <v>Sergio Alberto</v>
      </c>
      <c r="D47" t="str">
        <f>VLOOKUP(B47,[1]BD_FINAL!$A:$H,3,FALSE)</f>
        <v>Medellin</v>
      </c>
      <c r="E47" t="str">
        <f>VLOOKUP(B47,[1]BD_FINAL!$A:$H,8,FALSE)</f>
        <v>Tratamiento</v>
      </c>
      <c r="F47" s="2">
        <f t="shared" si="0"/>
        <v>1</v>
      </c>
      <c r="G47">
        <f t="shared" si="1"/>
        <v>1</v>
      </c>
      <c r="H47" s="3" t="s">
        <v>4000</v>
      </c>
      <c r="I47" s="6" t="str">
        <f t="shared" si="2"/>
        <v>01010046</v>
      </c>
    </row>
    <row r="48" spans="1:9" x14ac:dyDescent="0.3">
      <c r="A48">
        <v>47</v>
      </c>
      <c r="B48" s="6">
        <v>1017247299</v>
      </c>
      <c r="C48" t="str">
        <f>VLOOKUP(B48,[1]BD_FINAL!$A:$H,2,FALSE)</f>
        <v xml:space="preserve">Claudia Patricia </v>
      </c>
      <c r="D48" t="str">
        <f>VLOOKUP(B48,[1]BD_FINAL!$A:$H,3,FALSE)</f>
        <v>Medellin</v>
      </c>
      <c r="E48" t="str">
        <f>VLOOKUP(B48,[1]BD_FINAL!$A:$H,8,FALSE)</f>
        <v>Tratamiento</v>
      </c>
      <c r="F48" s="2">
        <f t="shared" si="0"/>
        <v>1</v>
      </c>
      <c r="G48">
        <f t="shared" si="1"/>
        <v>1</v>
      </c>
      <c r="H48" s="3" t="s">
        <v>4001</v>
      </c>
      <c r="I48" s="6" t="str">
        <f t="shared" si="2"/>
        <v>01010047</v>
      </c>
    </row>
    <row r="49" spans="1:9" x14ac:dyDescent="0.3">
      <c r="A49">
        <v>48</v>
      </c>
      <c r="B49" s="6">
        <v>1017248051</v>
      </c>
      <c r="C49" t="str">
        <f>VLOOKUP(B49,[1]BD_FINAL!$A:$H,2,FALSE)</f>
        <v>Hernán de Jesús</v>
      </c>
      <c r="D49" t="str">
        <f>VLOOKUP(B49,[1]BD_FINAL!$A:$H,3,FALSE)</f>
        <v>Medellin</v>
      </c>
      <c r="E49" t="str">
        <f>VLOOKUP(B49,[1]BD_FINAL!$A:$H,8,FALSE)</f>
        <v>Tratamiento</v>
      </c>
      <c r="F49" s="2">
        <f t="shared" si="0"/>
        <v>1</v>
      </c>
      <c r="G49">
        <f t="shared" si="1"/>
        <v>1</v>
      </c>
      <c r="H49" s="3" t="s">
        <v>4002</v>
      </c>
      <c r="I49" s="6" t="str">
        <f t="shared" si="2"/>
        <v>01010048</v>
      </c>
    </row>
    <row r="50" spans="1:9" x14ac:dyDescent="0.3">
      <c r="A50">
        <v>49</v>
      </c>
      <c r="B50" s="6">
        <v>1017266133</v>
      </c>
      <c r="C50" t="str">
        <f>VLOOKUP(B50,[1]BD_FINAL!$A:$H,2,FALSE)</f>
        <v>Marco Tulio</v>
      </c>
      <c r="D50" t="str">
        <f>VLOOKUP(B50,[1]BD_FINAL!$A:$H,3,FALSE)</f>
        <v>Medellin</v>
      </c>
      <c r="E50" t="str">
        <f>VLOOKUP(B50,[1]BD_FINAL!$A:$H,8,FALSE)</f>
        <v>Tratamiento</v>
      </c>
      <c r="F50" s="2">
        <f t="shared" si="0"/>
        <v>1</v>
      </c>
      <c r="G50">
        <f t="shared" si="1"/>
        <v>1</v>
      </c>
      <c r="H50" s="3" t="s">
        <v>4003</v>
      </c>
      <c r="I50" s="6" t="str">
        <f t="shared" si="2"/>
        <v>01010049</v>
      </c>
    </row>
    <row r="51" spans="1:9" x14ac:dyDescent="0.3">
      <c r="A51">
        <v>50</v>
      </c>
      <c r="B51" s="6">
        <v>1017269447</v>
      </c>
      <c r="C51" t="str">
        <f>VLOOKUP(B51,[1]BD_FINAL!$A:$H,2,FALSE)</f>
        <v>Cristián David</v>
      </c>
      <c r="D51" t="str">
        <f>VLOOKUP(B51,[1]BD_FINAL!$A:$H,3,FALSE)</f>
        <v>Medellin</v>
      </c>
      <c r="E51" t="str">
        <f>VLOOKUP(B51,[1]BD_FINAL!$A:$H,8,FALSE)</f>
        <v>Tratamiento</v>
      </c>
      <c r="F51" s="2">
        <f t="shared" si="0"/>
        <v>1</v>
      </c>
      <c r="G51">
        <f t="shared" si="1"/>
        <v>1</v>
      </c>
      <c r="H51" s="3" t="s">
        <v>4004</v>
      </c>
      <c r="I51" s="6" t="str">
        <f t="shared" si="2"/>
        <v>01010050</v>
      </c>
    </row>
    <row r="52" spans="1:9" x14ac:dyDescent="0.3">
      <c r="A52">
        <v>51</v>
      </c>
      <c r="B52" s="6">
        <v>1017269998</v>
      </c>
      <c r="C52" t="str">
        <f>VLOOKUP(B52,[1]BD_FINAL!$A:$H,2,FALSE)</f>
        <v>José Alberto</v>
      </c>
      <c r="D52" t="str">
        <f>VLOOKUP(B52,[1]BD_FINAL!$A:$H,3,FALSE)</f>
        <v>Medellin</v>
      </c>
      <c r="E52" t="str">
        <f>VLOOKUP(B52,[1]BD_FINAL!$A:$H,8,FALSE)</f>
        <v>Tratamiento</v>
      </c>
      <c r="F52" s="2">
        <f t="shared" si="0"/>
        <v>1</v>
      </c>
      <c r="G52">
        <f t="shared" si="1"/>
        <v>1</v>
      </c>
      <c r="H52" s="3" t="s">
        <v>4005</v>
      </c>
      <c r="I52" s="6" t="str">
        <f t="shared" si="2"/>
        <v>01010051</v>
      </c>
    </row>
    <row r="53" spans="1:9" x14ac:dyDescent="0.3">
      <c r="A53">
        <v>52</v>
      </c>
      <c r="B53" s="6">
        <v>1020450299</v>
      </c>
      <c r="C53" t="str">
        <f>VLOOKUP(B53,[1]BD_FINAL!$A:$H,2,FALSE)</f>
        <v>Rosalbina</v>
      </c>
      <c r="D53" t="str">
        <f>VLOOKUP(B53,[1]BD_FINAL!$A:$H,3,FALSE)</f>
        <v>Medellin</v>
      </c>
      <c r="E53" t="str">
        <f>VLOOKUP(B53,[1]BD_FINAL!$A:$H,8,FALSE)</f>
        <v>Control</v>
      </c>
      <c r="F53" s="2">
        <f t="shared" si="0"/>
        <v>0</v>
      </c>
      <c r="G53">
        <f t="shared" si="1"/>
        <v>1</v>
      </c>
      <c r="H53" s="3" t="s">
        <v>4006</v>
      </c>
      <c r="I53" s="6" t="str">
        <f t="shared" si="2"/>
        <v>00010052</v>
      </c>
    </row>
    <row r="54" spans="1:9" x14ac:dyDescent="0.3">
      <c r="A54">
        <v>53</v>
      </c>
      <c r="B54" s="6">
        <v>1020482801</v>
      </c>
      <c r="C54" t="str">
        <f>VLOOKUP(B54,[1]BD_FINAL!$A:$H,2,FALSE)</f>
        <v xml:space="preserve">Karen </v>
      </c>
      <c r="D54" t="str">
        <f>VLOOKUP(B54,[1]BD_FINAL!$A:$H,3,FALSE)</f>
        <v>Medellin</v>
      </c>
      <c r="E54" t="str">
        <f>VLOOKUP(B54,[1]BD_FINAL!$A:$H,8,FALSE)</f>
        <v>Tratamiento</v>
      </c>
      <c r="F54" s="2">
        <f t="shared" si="0"/>
        <v>1</v>
      </c>
      <c r="G54">
        <f t="shared" si="1"/>
        <v>1</v>
      </c>
      <c r="H54" s="3" t="s">
        <v>4007</v>
      </c>
      <c r="I54" s="6" t="str">
        <f t="shared" si="2"/>
        <v>01010053</v>
      </c>
    </row>
    <row r="55" spans="1:9" x14ac:dyDescent="0.3">
      <c r="A55">
        <v>54</v>
      </c>
      <c r="B55" s="6">
        <v>1022094431</v>
      </c>
      <c r="C55" t="str">
        <f>VLOOKUP(B55,[1]BD_FINAL!$A:$H,2,FALSE)</f>
        <v>Edimer</v>
      </c>
      <c r="D55" t="str">
        <f>VLOOKUP(B55,[1]BD_FINAL!$A:$H,3,FALSE)</f>
        <v>Medellin</v>
      </c>
      <c r="E55" t="str">
        <f>VLOOKUP(B55,[1]BD_FINAL!$A:$H,8,FALSE)</f>
        <v>Control</v>
      </c>
      <c r="F55" s="2">
        <f t="shared" si="0"/>
        <v>0</v>
      </c>
      <c r="G55">
        <f t="shared" si="1"/>
        <v>1</v>
      </c>
      <c r="H55" s="3" t="s">
        <v>4008</v>
      </c>
      <c r="I55" s="6" t="str">
        <f t="shared" si="2"/>
        <v>00010054</v>
      </c>
    </row>
    <row r="56" spans="1:9" x14ac:dyDescent="0.3">
      <c r="A56">
        <v>55</v>
      </c>
      <c r="B56" s="6">
        <v>1022124557</v>
      </c>
      <c r="C56" t="str">
        <f>VLOOKUP(B56,[1]BD_FINAL!$A:$H,2,FALSE)</f>
        <v>Pablo Andrés</v>
      </c>
      <c r="D56" t="str">
        <f>VLOOKUP(B56,[1]BD_FINAL!$A:$H,3,FALSE)</f>
        <v>Medellin</v>
      </c>
      <c r="E56" t="str">
        <f>VLOOKUP(B56,[1]BD_FINAL!$A:$H,8,FALSE)</f>
        <v>Tratamiento</v>
      </c>
      <c r="F56" s="2">
        <f t="shared" si="0"/>
        <v>1</v>
      </c>
      <c r="G56">
        <f t="shared" si="1"/>
        <v>1</v>
      </c>
      <c r="H56" s="3" t="s">
        <v>4009</v>
      </c>
      <c r="I56" s="6" t="str">
        <f t="shared" si="2"/>
        <v>01010055</v>
      </c>
    </row>
    <row r="57" spans="1:9" x14ac:dyDescent="0.3">
      <c r="A57">
        <v>56</v>
      </c>
      <c r="B57" s="6">
        <v>1022125326</v>
      </c>
      <c r="C57" t="str">
        <f>VLOOKUP(B57,[1]BD_FINAL!$A:$H,2,FALSE)</f>
        <v>Jorge Alberto</v>
      </c>
      <c r="D57" t="str">
        <f>VLOOKUP(B57,[1]BD_FINAL!$A:$H,3,FALSE)</f>
        <v>Medellin</v>
      </c>
      <c r="E57" t="str">
        <f>VLOOKUP(B57,[1]BD_FINAL!$A:$H,8,FALSE)</f>
        <v>Tratamiento</v>
      </c>
      <c r="F57" s="2">
        <f t="shared" si="0"/>
        <v>1</v>
      </c>
      <c r="G57">
        <f t="shared" si="1"/>
        <v>1</v>
      </c>
      <c r="H57" s="3" t="s">
        <v>4010</v>
      </c>
      <c r="I57" s="6" t="str">
        <f t="shared" si="2"/>
        <v>01010056</v>
      </c>
    </row>
    <row r="58" spans="1:9" x14ac:dyDescent="0.3">
      <c r="A58">
        <v>57</v>
      </c>
      <c r="B58" s="6">
        <v>1023626536</v>
      </c>
      <c r="C58" t="str">
        <f>VLOOKUP(B58,[1]BD_FINAL!$A:$H,2,FALSE)</f>
        <v>Paola Alexandra</v>
      </c>
      <c r="D58" t="str">
        <f>VLOOKUP(B58,[1]BD_FINAL!$A:$H,3,FALSE)</f>
        <v>Medellin</v>
      </c>
      <c r="E58" t="str">
        <f>VLOOKUP(B58,[1]BD_FINAL!$A:$H,8,FALSE)</f>
        <v>Control</v>
      </c>
      <c r="F58" s="2">
        <f t="shared" si="0"/>
        <v>0</v>
      </c>
      <c r="G58">
        <f t="shared" si="1"/>
        <v>1</v>
      </c>
      <c r="H58" s="3" t="s">
        <v>4011</v>
      </c>
      <c r="I58" s="6" t="str">
        <f t="shared" si="2"/>
        <v>00010057</v>
      </c>
    </row>
    <row r="59" spans="1:9" x14ac:dyDescent="0.3">
      <c r="A59">
        <v>58</v>
      </c>
      <c r="B59" s="6">
        <v>10239436</v>
      </c>
      <c r="C59" t="str">
        <f>VLOOKUP(B59,[1]BD_FINAL!$A:$H,2,FALSE)</f>
        <v>Nelson de Jesús Sánchez grisales</v>
      </c>
      <c r="D59" t="str">
        <f>VLOOKUP(B59,[1]BD_FINAL!$A:$H,3,FALSE)</f>
        <v>Medellin</v>
      </c>
      <c r="E59" t="str">
        <f>VLOOKUP(B59,[1]BD_FINAL!$A:$H,8,FALSE)</f>
        <v>Control</v>
      </c>
      <c r="F59" s="2">
        <f t="shared" si="0"/>
        <v>0</v>
      </c>
      <c r="G59">
        <f t="shared" si="1"/>
        <v>1</v>
      </c>
      <c r="H59" s="3" t="s">
        <v>4012</v>
      </c>
      <c r="I59" s="6" t="str">
        <f t="shared" si="2"/>
        <v>00010058</v>
      </c>
    </row>
    <row r="60" spans="1:9" x14ac:dyDescent="0.3">
      <c r="A60">
        <v>59</v>
      </c>
      <c r="B60" s="6">
        <v>1025640590</v>
      </c>
      <c r="C60" t="str">
        <f>VLOOKUP(B60,[1]BD_FINAL!$A:$H,2,FALSE)</f>
        <v xml:space="preserve">Evelin Tatiana </v>
      </c>
      <c r="D60" t="str">
        <f>VLOOKUP(B60,[1]BD_FINAL!$A:$H,3,FALSE)</f>
        <v>Medellin</v>
      </c>
      <c r="E60" t="str">
        <f>VLOOKUP(B60,[1]BD_FINAL!$A:$H,8,FALSE)</f>
        <v>Tratamiento</v>
      </c>
      <c r="F60" s="2">
        <f t="shared" si="0"/>
        <v>1</v>
      </c>
      <c r="G60">
        <f t="shared" si="1"/>
        <v>1</v>
      </c>
      <c r="H60" s="3" t="s">
        <v>4013</v>
      </c>
      <c r="I60" s="6" t="str">
        <f t="shared" si="2"/>
        <v>01010059</v>
      </c>
    </row>
    <row r="61" spans="1:9" x14ac:dyDescent="0.3">
      <c r="A61">
        <v>60</v>
      </c>
      <c r="B61" s="6">
        <v>1025665487</v>
      </c>
      <c r="C61" t="str">
        <f>VLOOKUP(B61,[1]BD_FINAL!$A:$H,2,FALSE)</f>
        <v>Meilyn  paola</v>
      </c>
      <c r="D61" t="str">
        <f>VLOOKUP(B61,[1]BD_FINAL!$A:$H,3,FALSE)</f>
        <v>Medellin</v>
      </c>
      <c r="E61" t="str">
        <f>VLOOKUP(B61,[1]BD_FINAL!$A:$H,8,FALSE)</f>
        <v>Tratamiento</v>
      </c>
      <c r="F61" s="2">
        <f t="shared" si="0"/>
        <v>1</v>
      </c>
      <c r="G61">
        <f t="shared" si="1"/>
        <v>1</v>
      </c>
      <c r="H61" s="3" t="s">
        <v>4014</v>
      </c>
      <c r="I61" s="6" t="str">
        <f t="shared" si="2"/>
        <v>01010060</v>
      </c>
    </row>
    <row r="62" spans="1:9" x14ac:dyDescent="0.3">
      <c r="A62">
        <v>61</v>
      </c>
      <c r="B62" s="6">
        <v>1026145865</v>
      </c>
      <c r="C62" t="str">
        <f>VLOOKUP(B62,[1]BD_FINAL!$A:$H,2,FALSE)</f>
        <v xml:space="preserve">Natalia </v>
      </c>
      <c r="D62" t="str">
        <f>VLOOKUP(B62,[1]BD_FINAL!$A:$H,3,FALSE)</f>
        <v>Medellin</v>
      </c>
      <c r="E62" t="str">
        <f>VLOOKUP(B62,[1]BD_FINAL!$A:$H,8,FALSE)</f>
        <v>Tratamiento</v>
      </c>
      <c r="F62" s="2">
        <f t="shared" si="0"/>
        <v>1</v>
      </c>
      <c r="G62">
        <f t="shared" si="1"/>
        <v>1</v>
      </c>
      <c r="H62" s="3" t="s">
        <v>4015</v>
      </c>
      <c r="I62" s="6" t="str">
        <f t="shared" si="2"/>
        <v>01010061</v>
      </c>
    </row>
    <row r="63" spans="1:9" x14ac:dyDescent="0.3">
      <c r="A63">
        <v>62</v>
      </c>
      <c r="B63" s="6">
        <v>1032421813</v>
      </c>
      <c r="C63" t="str">
        <f>VLOOKUP(B63,[1]BD_FINAL!$A:$H,2,FALSE)</f>
        <v>Dioselina María</v>
      </c>
      <c r="D63" t="str">
        <f>VLOOKUP(B63,[1]BD_FINAL!$A:$H,3,FALSE)</f>
        <v>Medellin</v>
      </c>
      <c r="E63" t="str">
        <f>VLOOKUP(B63,[1]BD_FINAL!$A:$H,8,FALSE)</f>
        <v>Control</v>
      </c>
      <c r="F63" s="2">
        <f t="shared" si="0"/>
        <v>0</v>
      </c>
      <c r="G63">
        <f t="shared" si="1"/>
        <v>1</v>
      </c>
      <c r="H63" s="3" t="s">
        <v>4016</v>
      </c>
      <c r="I63" s="6" t="str">
        <f t="shared" si="2"/>
        <v>00010062</v>
      </c>
    </row>
    <row r="64" spans="1:9" x14ac:dyDescent="0.3">
      <c r="A64">
        <v>63</v>
      </c>
      <c r="B64" s="6">
        <v>1033176878</v>
      </c>
      <c r="C64" t="str">
        <f>VLOOKUP(B64,[1]BD_FINAL!$A:$H,2,FALSE)</f>
        <v xml:space="preserve">Dora Ines </v>
      </c>
      <c r="D64" t="str">
        <f>VLOOKUP(B64,[1]BD_FINAL!$A:$H,3,FALSE)</f>
        <v>Medellin</v>
      </c>
      <c r="E64" t="str">
        <f>VLOOKUP(B64,[1]BD_FINAL!$A:$H,8,FALSE)</f>
        <v>Control</v>
      </c>
      <c r="F64" s="2">
        <f t="shared" si="0"/>
        <v>0</v>
      </c>
      <c r="G64">
        <f t="shared" si="1"/>
        <v>1</v>
      </c>
      <c r="H64" s="3" t="s">
        <v>4017</v>
      </c>
      <c r="I64" s="6" t="str">
        <f t="shared" si="2"/>
        <v>00010063</v>
      </c>
    </row>
    <row r="65" spans="1:9" x14ac:dyDescent="0.3">
      <c r="A65">
        <v>64</v>
      </c>
      <c r="B65" s="6">
        <v>1035228839</v>
      </c>
      <c r="C65" t="str">
        <f>VLOOKUP(B65,[1]BD_FINAL!$A:$H,2,FALSE)</f>
        <v>Carlos Augusto</v>
      </c>
      <c r="D65" t="str">
        <f>VLOOKUP(B65,[1]BD_FINAL!$A:$H,3,FALSE)</f>
        <v>Medellin</v>
      </c>
      <c r="E65" t="str">
        <f>VLOOKUP(B65,[1]BD_FINAL!$A:$H,8,FALSE)</f>
        <v>Control</v>
      </c>
      <c r="F65" s="2">
        <f t="shared" si="0"/>
        <v>0</v>
      </c>
      <c r="G65">
        <f t="shared" si="1"/>
        <v>1</v>
      </c>
      <c r="H65" s="3" t="s">
        <v>4018</v>
      </c>
      <c r="I65" s="6" t="str">
        <f t="shared" si="2"/>
        <v>00010064</v>
      </c>
    </row>
    <row r="66" spans="1:9" x14ac:dyDescent="0.3">
      <c r="A66">
        <v>65</v>
      </c>
      <c r="B66" s="6">
        <v>1035921080</v>
      </c>
      <c r="C66" t="str">
        <f>VLOOKUP(B66,[1]BD_FINAL!$A:$H,2,FALSE)</f>
        <v>María Rubiela</v>
      </c>
      <c r="D66" t="str">
        <f>VLOOKUP(B66,[1]BD_FINAL!$A:$H,3,FALSE)</f>
        <v>Medellin</v>
      </c>
      <c r="E66" t="str">
        <f>VLOOKUP(B66,[1]BD_FINAL!$A:$H,8,FALSE)</f>
        <v>Control</v>
      </c>
      <c r="F66" s="2">
        <f t="shared" si="0"/>
        <v>0</v>
      </c>
      <c r="G66">
        <f t="shared" si="1"/>
        <v>1</v>
      </c>
      <c r="H66" s="3" t="s">
        <v>4019</v>
      </c>
      <c r="I66" s="6" t="str">
        <f t="shared" si="2"/>
        <v>00010065</v>
      </c>
    </row>
    <row r="67" spans="1:9" x14ac:dyDescent="0.3">
      <c r="A67">
        <v>66</v>
      </c>
      <c r="B67" s="6">
        <v>1036601648</v>
      </c>
      <c r="C67" t="str">
        <f>VLOOKUP(B67,[1]BD_FINAL!$A:$H,2,FALSE)</f>
        <v>Carlos Arturo</v>
      </c>
      <c r="D67" t="str">
        <f>VLOOKUP(B67,[1]BD_FINAL!$A:$H,3,FALSE)</f>
        <v>Medellin</v>
      </c>
      <c r="E67" t="str">
        <f>VLOOKUP(B67,[1]BD_FINAL!$A:$H,8,FALSE)</f>
        <v>Tratamiento</v>
      </c>
      <c r="F67" s="2">
        <f t="shared" ref="F67:F130" si="3">IF(E67="CONTROL",0,1)</f>
        <v>1</v>
      </c>
      <c r="G67">
        <f t="shared" ref="G67:G130" si="4">IF(D67="Medellin",1,IF(D67="Cali",2,IF(D67="Baranquilla",3,0)))</f>
        <v>1</v>
      </c>
      <c r="H67" s="3" t="s">
        <v>4020</v>
      </c>
      <c r="I67" s="6" t="str">
        <f t="shared" ref="I67:I130" si="5">_xlfn.CONCAT(0,F67,0,G67,H67)</f>
        <v>01010066</v>
      </c>
    </row>
    <row r="68" spans="1:9" x14ac:dyDescent="0.3">
      <c r="A68">
        <v>67</v>
      </c>
      <c r="B68" s="6">
        <v>1036615312</v>
      </c>
      <c r="C68" t="str">
        <f>VLOOKUP(B68,[1]BD_FINAL!$A:$H,2,FALSE)</f>
        <v>Katerina Andrea</v>
      </c>
      <c r="D68" t="str">
        <f>VLOOKUP(B68,[1]BD_FINAL!$A:$H,3,FALSE)</f>
        <v>Medellin</v>
      </c>
      <c r="E68" t="str">
        <f>VLOOKUP(B68,[1]BD_FINAL!$A:$H,8,FALSE)</f>
        <v>Control</v>
      </c>
      <c r="F68" s="2">
        <f t="shared" si="3"/>
        <v>0</v>
      </c>
      <c r="G68">
        <f t="shared" si="4"/>
        <v>1</v>
      </c>
      <c r="H68" s="3" t="s">
        <v>4021</v>
      </c>
      <c r="I68" s="6" t="str">
        <f t="shared" si="5"/>
        <v>00010067</v>
      </c>
    </row>
    <row r="69" spans="1:9" x14ac:dyDescent="0.3">
      <c r="A69">
        <v>68</v>
      </c>
      <c r="B69" s="6">
        <v>1036617115</v>
      </c>
      <c r="C69" t="str">
        <f>VLOOKUP(B69,[1]BD_FINAL!$A:$H,2,FALSE)</f>
        <v>Isabel Cristina</v>
      </c>
      <c r="D69" t="str">
        <f>VLOOKUP(B69,[1]BD_FINAL!$A:$H,3,FALSE)</f>
        <v>Medellin</v>
      </c>
      <c r="E69" t="str">
        <f>VLOOKUP(B69,[1]BD_FINAL!$A:$H,8,FALSE)</f>
        <v>Control</v>
      </c>
      <c r="F69" s="2">
        <f t="shared" si="3"/>
        <v>0</v>
      </c>
      <c r="G69">
        <f t="shared" si="4"/>
        <v>1</v>
      </c>
      <c r="H69" s="3" t="s">
        <v>4022</v>
      </c>
      <c r="I69" s="6" t="str">
        <f t="shared" si="5"/>
        <v>00010068</v>
      </c>
    </row>
    <row r="70" spans="1:9" x14ac:dyDescent="0.3">
      <c r="A70">
        <v>69</v>
      </c>
      <c r="B70" s="6">
        <v>1036631758</v>
      </c>
      <c r="C70" t="str">
        <f>VLOOKUP(B70,[1]BD_FINAL!$A:$H,2,FALSE)</f>
        <v>Leidy Tatiana</v>
      </c>
      <c r="D70" t="str">
        <f>VLOOKUP(B70,[1]BD_FINAL!$A:$H,3,FALSE)</f>
        <v>Medellin</v>
      </c>
      <c r="E70" t="str">
        <f>VLOOKUP(B70,[1]BD_FINAL!$A:$H,8,FALSE)</f>
        <v>Control</v>
      </c>
      <c r="F70" s="2">
        <f t="shared" si="3"/>
        <v>0</v>
      </c>
      <c r="G70">
        <f t="shared" si="4"/>
        <v>1</v>
      </c>
      <c r="H70" s="3" t="s">
        <v>4023</v>
      </c>
      <c r="I70" s="6" t="str">
        <f t="shared" si="5"/>
        <v>00010069</v>
      </c>
    </row>
    <row r="71" spans="1:9" x14ac:dyDescent="0.3">
      <c r="A71">
        <v>70</v>
      </c>
      <c r="B71" s="6">
        <v>1036934154</v>
      </c>
      <c r="C71" t="str">
        <f>VLOOKUP(B71,[1]BD_FINAL!$A:$H,2,FALSE)</f>
        <v>Jenifer julier calle parias</v>
      </c>
      <c r="D71" t="str">
        <f>VLOOKUP(B71,[1]BD_FINAL!$A:$H,3,FALSE)</f>
        <v>Medellin</v>
      </c>
      <c r="E71" t="str">
        <f>VLOOKUP(B71,[1]BD_FINAL!$A:$H,8,FALSE)</f>
        <v>Tratamiento</v>
      </c>
      <c r="F71" s="2">
        <f t="shared" si="3"/>
        <v>1</v>
      </c>
      <c r="G71">
        <f t="shared" si="4"/>
        <v>1</v>
      </c>
      <c r="H71" s="3" t="s">
        <v>4024</v>
      </c>
      <c r="I71" s="6" t="str">
        <f t="shared" si="5"/>
        <v>01010070</v>
      </c>
    </row>
    <row r="72" spans="1:9" x14ac:dyDescent="0.3">
      <c r="A72">
        <v>71</v>
      </c>
      <c r="B72" s="6">
        <v>1037263422</v>
      </c>
      <c r="C72" t="str">
        <f>VLOOKUP(B72,[1]BD_FINAL!$A:$H,2,FALSE)</f>
        <v>Flor Enid Sánchez molina</v>
      </c>
      <c r="D72" t="str">
        <f>VLOOKUP(B72,[1]BD_FINAL!$A:$H,3,FALSE)</f>
        <v>Medellin</v>
      </c>
      <c r="E72" t="str">
        <f>VLOOKUP(B72,[1]BD_FINAL!$A:$H,8,FALSE)</f>
        <v>Tratamiento</v>
      </c>
      <c r="F72" s="2">
        <f t="shared" si="3"/>
        <v>1</v>
      </c>
      <c r="G72">
        <f t="shared" si="4"/>
        <v>1</v>
      </c>
      <c r="H72" s="3" t="s">
        <v>4025</v>
      </c>
      <c r="I72" s="6" t="str">
        <f t="shared" si="5"/>
        <v>01010071</v>
      </c>
    </row>
    <row r="73" spans="1:9" x14ac:dyDescent="0.3">
      <c r="A73">
        <v>72</v>
      </c>
      <c r="B73" s="6">
        <v>10375239</v>
      </c>
      <c r="C73" t="str">
        <f>VLOOKUP(B73,[1]BD_FINAL!$A:$H,2,FALSE)</f>
        <v>José nain</v>
      </c>
      <c r="D73" t="str">
        <f>VLOOKUP(B73,[1]BD_FINAL!$A:$H,3,FALSE)</f>
        <v>Cali</v>
      </c>
      <c r="E73" t="str">
        <f>VLOOKUP(B73,[1]BD_FINAL!$A:$H,8,FALSE)</f>
        <v>Tratamiento</v>
      </c>
      <c r="F73" s="2">
        <f t="shared" si="3"/>
        <v>1</v>
      </c>
      <c r="G73">
        <f t="shared" si="4"/>
        <v>2</v>
      </c>
      <c r="H73" s="3" t="s">
        <v>4026</v>
      </c>
      <c r="I73" s="6" t="str">
        <f t="shared" si="5"/>
        <v>01020072</v>
      </c>
    </row>
    <row r="74" spans="1:9" x14ac:dyDescent="0.3">
      <c r="A74">
        <v>73</v>
      </c>
      <c r="B74" s="6">
        <v>1037570230</v>
      </c>
      <c r="C74" t="str">
        <f>VLOOKUP(B74,[1]BD_FINAL!$A:$H,2,FALSE)</f>
        <v xml:space="preserve">María Nubia </v>
      </c>
      <c r="D74" t="str">
        <f>VLOOKUP(B74,[1]BD_FINAL!$A:$H,3,FALSE)</f>
        <v>Medellin</v>
      </c>
      <c r="E74" t="str">
        <f>VLOOKUP(B74,[1]BD_FINAL!$A:$H,8,FALSE)</f>
        <v>Tratamiento</v>
      </c>
      <c r="F74" s="2">
        <f t="shared" si="3"/>
        <v>1</v>
      </c>
      <c r="G74">
        <f t="shared" si="4"/>
        <v>1</v>
      </c>
      <c r="H74" s="3" t="s">
        <v>4027</v>
      </c>
      <c r="I74" s="6" t="str">
        <f t="shared" si="5"/>
        <v>01010073</v>
      </c>
    </row>
    <row r="75" spans="1:9" x14ac:dyDescent="0.3">
      <c r="A75">
        <v>74</v>
      </c>
      <c r="B75" s="6">
        <v>1037584599</v>
      </c>
      <c r="C75" t="str">
        <f>VLOOKUP(B75,[1]BD_FINAL!$A:$H,2,FALSE)</f>
        <v>Hamilton</v>
      </c>
      <c r="D75" t="str">
        <f>VLOOKUP(B75,[1]BD_FINAL!$A:$H,3,FALSE)</f>
        <v>Medellin</v>
      </c>
      <c r="E75" t="str">
        <f>VLOOKUP(B75,[1]BD_FINAL!$A:$H,8,FALSE)</f>
        <v>Control</v>
      </c>
      <c r="F75" s="2">
        <f t="shared" si="3"/>
        <v>0</v>
      </c>
      <c r="G75">
        <f t="shared" si="4"/>
        <v>1</v>
      </c>
      <c r="H75" s="3" t="s">
        <v>4028</v>
      </c>
      <c r="I75" s="6" t="str">
        <f t="shared" si="5"/>
        <v>00010074</v>
      </c>
    </row>
    <row r="76" spans="1:9" x14ac:dyDescent="0.3">
      <c r="A76">
        <v>75</v>
      </c>
      <c r="B76" s="6">
        <v>1037613164</v>
      </c>
      <c r="C76" t="str">
        <f>VLOOKUP(B76,[1]BD_FINAL!$A:$H,2,FALSE)</f>
        <v>Anderson</v>
      </c>
      <c r="D76" t="str">
        <f>VLOOKUP(B76,[1]BD_FINAL!$A:$H,3,FALSE)</f>
        <v>Medellin</v>
      </c>
      <c r="E76" t="str">
        <f>VLOOKUP(B76,[1]BD_FINAL!$A:$H,8,FALSE)</f>
        <v>Control</v>
      </c>
      <c r="F76" s="2">
        <f t="shared" si="3"/>
        <v>0</v>
      </c>
      <c r="G76">
        <f t="shared" si="4"/>
        <v>1</v>
      </c>
      <c r="H76" s="3" t="s">
        <v>4029</v>
      </c>
      <c r="I76" s="6" t="str">
        <f t="shared" si="5"/>
        <v>00010075</v>
      </c>
    </row>
    <row r="77" spans="1:9" x14ac:dyDescent="0.3">
      <c r="A77">
        <v>76</v>
      </c>
      <c r="B77" s="6">
        <v>1039285463</v>
      </c>
      <c r="C77" t="str">
        <f>VLOOKUP(B77,[1]BD_FINAL!$A:$H,2,FALSE)</f>
        <v xml:space="preserve">Mario Humberto </v>
      </c>
      <c r="D77" t="str">
        <f>VLOOKUP(B77,[1]BD_FINAL!$A:$H,3,FALSE)</f>
        <v>Medellin</v>
      </c>
      <c r="E77" t="str">
        <f>VLOOKUP(B77,[1]BD_FINAL!$A:$H,8,FALSE)</f>
        <v>Tratamiento</v>
      </c>
      <c r="F77" s="2">
        <f t="shared" si="3"/>
        <v>1</v>
      </c>
      <c r="G77">
        <f t="shared" si="4"/>
        <v>1</v>
      </c>
      <c r="H77" s="3" t="s">
        <v>4030</v>
      </c>
      <c r="I77" s="6" t="str">
        <f t="shared" si="5"/>
        <v>01010076</v>
      </c>
    </row>
    <row r="78" spans="1:9" x14ac:dyDescent="0.3">
      <c r="A78">
        <v>77</v>
      </c>
      <c r="B78" s="6">
        <v>1039460475</v>
      </c>
      <c r="C78" t="str">
        <f>VLOOKUP(B78,[1]BD_FINAL!$A:$H,2,FALSE)</f>
        <v>Francisco luis</v>
      </c>
      <c r="D78" t="str">
        <f>VLOOKUP(B78,[1]BD_FINAL!$A:$H,3,FALSE)</f>
        <v>Medellin</v>
      </c>
      <c r="E78" t="str">
        <f>VLOOKUP(B78,[1]BD_FINAL!$A:$H,8,FALSE)</f>
        <v>Control</v>
      </c>
      <c r="F78" s="2">
        <f t="shared" si="3"/>
        <v>0</v>
      </c>
      <c r="G78">
        <f t="shared" si="4"/>
        <v>1</v>
      </c>
      <c r="H78" s="3" t="s">
        <v>4031</v>
      </c>
      <c r="I78" s="6" t="str">
        <f t="shared" si="5"/>
        <v>00010077</v>
      </c>
    </row>
    <row r="79" spans="1:9" x14ac:dyDescent="0.3">
      <c r="A79">
        <v>78</v>
      </c>
      <c r="B79" s="6">
        <v>1040749440</v>
      </c>
      <c r="C79" t="str">
        <f>VLOOKUP(B79,[1]BD_FINAL!$A:$H,2,FALSE)</f>
        <v>Yuly Tatiana</v>
      </c>
      <c r="D79" t="str">
        <f>VLOOKUP(B79,[1]BD_FINAL!$A:$H,3,FALSE)</f>
        <v>Medellin</v>
      </c>
      <c r="E79" t="str">
        <f>VLOOKUP(B79,[1]BD_FINAL!$A:$H,8,FALSE)</f>
        <v>Tratamiento</v>
      </c>
      <c r="F79" s="2">
        <f t="shared" si="3"/>
        <v>1</v>
      </c>
      <c r="G79">
        <f t="shared" si="4"/>
        <v>1</v>
      </c>
      <c r="H79" s="3" t="s">
        <v>4032</v>
      </c>
      <c r="I79" s="6" t="str">
        <f t="shared" si="5"/>
        <v>01010078</v>
      </c>
    </row>
    <row r="80" spans="1:9" x14ac:dyDescent="0.3">
      <c r="A80">
        <v>79</v>
      </c>
      <c r="B80" s="6">
        <v>1042064849</v>
      </c>
      <c r="C80" t="str">
        <f>VLOOKUP(B80,[1]BD_FINAL!$A:$H,2,FALSE)</f>
        <v>Yesica Alejandra</v>
      </c>
      <c r="D80" t="str">
        <f>VLOOKUP(B80,[1]BD_FINAL!$A:$H,3,FALSE)</f>
        <v>Medellin</v>
      </c>
      <c r="E80" t="str">
        <f>VLOOKUP(B80,[1]BD_FINAL!$A:$H,8,FALSE)</f>
        <v>Tratamiento</v>
      </c>
      <c r="F80" s="2">
        <f t="shared" si="3"/>
        <v>1</v>
      </c>
      <c r="G80">
        <f t="shared" si="4"/>
        <v>1</v>
      </c>
      <c r="H80" s="3" t="s">
        <v>4033</v>
      </c>
      <c r="I80" s="6" t="str">
        <f t="shared" si="5"/>
        <v>01010079</v>
      </c>
    </row>
    <row r="81" spans="1:9" x14ac:dyDescent="0.3">
      <c r="A81">
        <v>80</v>
      </c>
      <c r="B81" s="6">
        <v>1043435114</v>
      </c>
      <c r="C81" t="str">
        <f>VLOOKUP(B81,[1]BD_FINAL!$A:$H,2,FALSE)</f>
        <v>Greicy patricia</v>
      </c>
      <c r="D81" t="str">
        <f>VLOOKUP(B81,[1]BD_FINAL!$A:$H,3,FALSE)</f>
        <v>Baranquilla</v>
      </c>
      <c r="E81" t="str">
        <f>VLOOKUP(B81,[1]BD_FINAL!$A:$H,8,FALSE)</f>
        <v>Tratamiento</v>
      </c>
      <c r="F81" s="2">
        <f t="shared" si="3"/>
        <v>1</v>
      </c>
      <c r="G81">
        <f t="shared" si="4"/>
        <v>3</v>
      </c>
      <c r="H81" s="3" t="s">
        <v>4034</v>
      </c>
      <c r="I81" s="6" t="str">
        <f t="shared" si="5"/>
        <v>01030080</v>
      </c>
    </row>
    <row r="82" spans="1:9" x14ac:dyDescent="0.3">
      <c r="A82">
        <v>81</v>
      </c>
      <c r="B82" s="6">
        <v>1043665208</v>
      </c>
      <c r="C82" t="str">
        <f>VLOOKUP(B82,[1]BD_FINAL!$A:$H,2,FALSE)</f>
        <v>PAULA ANDREA</v>
      </c>
      <c r="D82" t="str">
        <f>VLOOKUP(B82,[1]BD_FINAL!$A:$H,3,FALSE)</f>
        <v>Baranquilla</v>
      </c>
      <c r="E82" t="str">
        <f>VLOOKUP(B82,[1]BD_FINAL!$A:$H,8,FALSE)</f>
        <v>Tratamiento</v>
      </c>
      <c r="F82" s="2">
        <f t="shared" si="3"/>
        <v>1</v>
      </c>
      <c r="G82">
        <f t="shared" si="4"/>
        <v>3</v>
      </c>
      <c r="H82" s="3" t="s">
        <v>4035</v>
      </c>
      <c r="I82" s="6" t="str">
        <f t="shared" si="5"/>
        <v>01030081</v>
      </c>
    </row>
    <row r="83" spans="1:9" x14ac:dyDescent="0.3">
      <c r="A83">
        <v>82</v>
      </c>
      <c r="B83" s="6">
        <v>1043873936</v>
      </c>
      <c r="C83" t="str">
        <f>VLOOKUP(B83,[1]BD_FINAL!$A:$H,2,FALSE)</f>
        <v xml:space="preserve">Yurleidys </v>
      </c>
      <c r="D83" t="str">
        <f>VLOOKUP(B83,[1]BD_FINAL!$A:$H,3,FALSE)</f>
        <v>Baranquilla</v>
      </c>
      <c r="E83" t="str">
        <f>VLOOKUP(B83,[1]BD_FINAL!$A:$H,8,FALSE)</f>
        <v>Control</v>
      </c>
      <c r="F83" s="2">
        <f t="shared" si="3"/>
        <v>0</v>
      </c>
      <c r="G83">
        <f t="shared" si="4"/>
        <v>3</v>
      </c>
      <c r="H83" s="3" t="s">
        <v>4036</v>
      </c>
      <c r="I83" s="6" t="str">
        <f t="shared" si="5"/>
        <v>00030082</v>
      </c>
    </row>
    <row r="84" spans="1:9" x14ac:dyDescent="0.3">
      <c r="A84">
        <v>83</v>
      </c>
      <c r="B84" s="6">
        <v>1044150889</v>
      </c>
      <c r="C84" t="str">
        <f>VLOOKUP(B84,[1]BD_FINAL!$A:$H,2,FALSE)</f>
        <v>Leonardo Alonso</v>
      </c>
      <c r="D84" t="str">
        <f>VLOOKUP(B84,[1]BD_FINAL!$A:$H,3,FALSE)</f>
        <v>Medellin</v>
      </c>
      <c r="E84" t="str">
        <f>VLOOKUP(B84,[1]BD_FINAL!$A:$H,8,FALSE)</f>
        <v>Tratamiento</v>
      </c>
      <c r="F84" s="2">
        <f t="shared" si="3"/>
        <v>1</v>
      </c>
      <c r="G84">
        <f t="shared" si="4"/>
        <v>1</v>
      </c>
      <c r="H84" s="3" t="s">
        <v>4037</v>
      </c>
      <c r="I84" s="6" t="str">
        <f t="shared" si="5"/>
        <v>01010083</v>
      </c>
    </row>
    <row r="85" spans="1:9" x14ac:dyDescent="0.3">
      <c r="A85">
        <v>84</v>
      </c>
      <c r="B85" s="6">
        <v>1044618006</v>
      </c>
      <c r="C85" t="str">
        <f>VLOOKUP(B85,[1]BD_FINAL!$A:$H,2,FALSE)</f>
        <v>Alana Patricia</v>
      </c>
      <c r="D85" t="str">
        <f>VLOOKUP(B85,[1]BD_FINAL!$A:$H,3,FALSE)</f>
        <v>Baranquilla</v>
      </c>
      <c r="E85" t="str">
        <f>VLOOKUP(B85,[1]BD_FINAL!$A:$H,8,FALSE)</f>
        <v>Control</v>
      </c>
      <c r="F85" s="2">
        <f t="shared" si="3"/>
        <v>0</v>
      </c>
      <c r="G85">
        <f t="shared" si="4"/>
        <v>3</v>
      </c>
      <c r="H85" s="3" t="s">
        <v>4038</v>
      </c>
      <c r="I85" s="6" t="str">
        <f t="shared" si="5"/>
        <v>00030084</v>
      </c>
    </row>
    <row r="86" spans="1:9" x14ac:dyDescent="0.3">
      <c r="A86">
        <v>85</v>
      </c>
      <c r="B86" s="6">
        <v>1045674075</v>
      </c>
      <c r="C86" t="str">
        <f>VLOOKUP(B86,[1]BD_FINAL!$A:$H,2,FALSE)</f>
        <v>Isis de los angeles</v>
      </c>
      <c r="D86" t="str">
        <f>VLOOKUP(B86,[1]BD_FINAL!$A:$H,3,FALSE)</f>
        <v>Baranquilla</v>
      </c>
      <c r="E86" t="str">
        <f>VLOOKUP(B86,[1]BD_FINAL!$A:$H,8,FALSE)</f>
        <v>Control</v>
      </c>
      <c r="F86" s="2">
        <f t="shared" si="3"/>
        <v>0</v>
      </c>
      <c r="G86">
        <f t="shared" si="4"/>
        <v>3</v>
      </c>
      <c r="H86" s="3" t="s">
        <v>4039</v>
      </c>
      <c r="I86" s="6" t="str">
        <f t="shared" si="5"/>
        <v>00030085</v>
      </c>
    </row>
    <row r="87" spans="1:9" x14ac:dyDescent="0.3">
      <c r="A87">
        <v>86</v>
      </c>
      <c r="B87" s="6">
        <v>1045675162</v>
      </c>
      <c r="C87" t="str">
        <f>VLOOKUP(B87,[1]BD_FINAL!$A:$H,2,FALSE)</f>
        <v>Yulibeth</v>
      </c>
      <c r="D87" t="str">
        <f>VLOOKUP(B87,[1]BD_FINAL!$A:$H,3,FALSE)</f>
        <v>Baranquilla</v>
      </c>
      <c r="E87" t="str">
        <f>VLOOKUP(B87,[1]BD_FINAL!$A:$H,8,FALSE)</f>
        <v>Control</v>
      </c>
      <c r="F87" s="2">
        <f t="shared" si="3"/>
        <v>0</v>
      </c>
      <c r="G87">
        <f t="shared" si="4"/>
        <v>3</v>
      </c>
      <c r="H87" s="3" t="s">
        <v>4040</v>
      </c>
      <c r="I87" s="6" t="str">
        <f t="shared" si="5"/>
        <v>00030086</v>
      </c>
    </row>
    <row r="88" spans="1:9" x14ac:dyDescent="0.3">
      <c r="A88">
        <v>87</v>
      </c>
      <c r="B88" s="6">
        <v>1045677797</v>
      </c>
      <c r="C88" t="str">
        <f>VLOOKUP(B88,[1]BD_FINAL!$A:$H,2,FALSE)</f>
        <v xml:space="preserve">Edgar </v>
      </c>
      <c r="D88" t="str">
        <f>VLOOKUP(B88,[1]BD_FINAL!$A:$H,3,FALSE)</f>
        <v>Baranquilla</v>
      </c>
      <c r="E88" t="str">
        <f>VLOOKUP(B88,[1]BD_FINAL!$A:$H,8,FALSE)</f>
        <v>Tratamiento</v>
      </c>
      <c r="F88" s="2">
        <f t="shared" si="3"/>
        <v>1</v>
      </c>
      <c r="G88">
        <f t="shared" si="4"/>
        <v>3</v>
      </c>
      <c r="H88" s="3" t="s">
        <v>4041</v>
      </c>
      <c r="I88" s="6" t="str">
        <f t="shared" si="5"/>
        <v>01030087</v>
      </c>
    </row>
    <row r="89" spans="1:9" x14ac:dyDescent="0.3">
      <c r="A89">
        <v>88</v>
      </c>
      <c r="B89" s="6">
        <v>1045678951</v>
      </c>
      <c r="C89" t="str">
        <f>VLOOKUP(B89,[1]BD_FINAL!$A:$H,2,FALSE)</f>
        <v xml:space="preserve">FRANCISCO JAVIER </v>
      </c>
      <c r="D89" t="str">
        <f>VLOOKUP(B89,[1]BD_FINAL!$A:$H,3,FALSE)</f>
        <v>Baranquilla</v>
      </c>
      <c r="E89" t="str">
        <f>VLOOKUP(B89,[1]BD_FINAL!$A:$H,8,FALSE)</f>
        <v>Tratamiento</v>
      </c>
      <c r="F89" s="2">
        <f t="shared" si="3"/>
        <v>1</v>
      </c>
      <c r="G89">
        <f t="shared" si="4"/>
        <v>3</v>
      </c>
      <c r="H89" s="3" t="s">
        <v>4042</v>
      </c>
      <c r="I89" s="6" t="str">
        <f t="shared" si="5"/>
        <v>01030088</v>
      </c>
    </row>
    <row r="90" spans="1:9" x14ac:dyDescent="0.3">
      <c r="A90">
        <v>89</v>
      </c>
      <c r="B90" s="6">
        <v>1045679578</v>
      </c>
      <c r="C90" t="str">
        <f>VLOOKUP(B90,[1]BD_FINAL!$A:$H,2,FALSE)</f>
        <v>Erides maria</v>
      </c>
      <c r="D90" t="str">
        <f>VLOOKUP(B90,[1]BD_FINAL!$A:$H,3,FALSE)</f>
        <v>Baranquilla</v>
      </c>
      <c r="E90" t="str">
        <f>VLOOKUP(B90,[1]BD_FINAL!$A:$H,8,FALSE)</f>
        <v>Tratamiento</v>
      </c>
      <c r="F90" s="2">
        <f t="shared" si="3"/>
        <v>1</v>
      </c>
      <c r="G90">
        <f t="shared" si="4"/>
        <v>3</v>
      </c>
      <c r="H90" s="3" t="s">
        <v>4043</v>
      </c>
      <c r="I90" s="6" t="str">
        <f t="shared" si="5"/>
        <v>01030089</v>
      </c>
    </row>
    <row r="91" spans="1:9" x14ac:dyDescent="0.3">
      <c r="A91">
        <v>90</v>
      </c>
      <c r="B91" s="6">
        <v>1045683391</v>
      </c>
      <c r="C91" t="str">
        <f>VLOOKUP(B91,[1]BD_FINAL!$A:$H,2,FALSE)</f>
        <v>Holadys</v>
      </c>
      <c r="D91" t="str">
        <f>VLOOKUP(B91,[1]BD_FINAL!$A:$H,3,FALSE)</f>
        <v>Baranquilla</v>
      </c>
      <c r="E91" t="str">
        <f>VLOOKUP(B91,[1]BD_FINAL!$A:$H,8,FALSE)</f>
        <v>Tratamiento</v>
      </c>
      <c r="F91" s="2">
        <f t="shared" si="3"/>
        <v>1</v>
      </c>
      <c r="G91">
        <f t="shared" si="4"/>
        <v>3</v>
      </c>
      <c r="H91" s="3" t="s">
        <v>4044</v>
      </c>
      <c r="I91" s="6" t="str">
        <f t="shared" si="5"/>
        <v>01030090</v>
      </c>
    </row>
    <row r="92" spans="1:9" x14ac:dyDescent="0.3">
      <c r="A92">
        <v>91</v>
      </c>
      <c r="B92" s="6">
        <v>1045684410</v>
      </c>
      <c r="C92" t="str">
        <f>VLOOKUP(B92,[1]BD_FINAL!$A:$H,2,FALSE)</f>
        <v xml:space="preserve">Yuranis </v>
      </c>
      <c r="D92" t="str">
        <f>VLOOKUP(B92,[1]BD_FINAL!$A:$H,3,FALSE)</f>
        <v>Baranquilla</v>
      </c>
      <c r="E92" t="str">
        <f>VLOOKUP(B92,[1]BD_FINAL!$A:$H,8,FALSE)</f>
        <v>Tratamiento</v>
      </c>
      <c r="F92" s="2">
        <f t="shared" si="3"/>
        <v>1</v>
      </c>
      <c r="G92">
        <f t="shared" si="4"/>
        <v>3</v>
      </c>
      <c r="H92" s="3" t="s">
        <v>4045</v>
      </c>
      <c r="I92" s="6" t="str">
        <f t="shared" si="5"/>
        <v>01030091</v>
      </c>
    </row>
    <row r="93" spans="1:9" x14ac:dyDescent="0.3">
      <c r="A93">
        <v>92</v>
      </c>
      <c r="B93" s="6">
        <v>1045685911</v>
      </c>
      <c r="C93" t="str">
        <f>VLOOKUP(B93,[1]BD_FINAL!$A:$H,2,FALSE)</f>
        <v>Lizeth de</v>
      </c>
      <c r="D93" t="str">
        <f>VLOOKUP(B93,[1]BD_FINAL!$A:$H,3,FALSE)</f>
        <v>Baranquilla</v>
      </c>
      <c r="E93" t="str">
        <f>VLOOKUP(B93,[1]BD_FINAL!$A:$H,8,FALSE)</f>
        <v>Tratamiento</v>
      </c>
      <c r="F93" s="2">
        <f t="shared" si="3"/>
        <v>1</v>
      </c>
      <c r="G93">
        <f t="shared" si="4"/>
        <v>3</v>
      </c>
      <c r="H93" s="3" t="s">
        <v>4046</v>
      </c>
      <c r="I93" s="6" t="str">
        <f t="shared" si="5"/>
        <v>01030092</v>
      </c>
    </row>
    <row r="94" spans="1:9" x14ac:dyDescent="0.3">
      <c r="A94">
        <v>93</v>
      </c>
      <c r="B94" s="6">
        <v>1045691917</v>
      </c>
      <c r="C94" t="str">
        <f>VLOOKUP(B94,[1]BD_FINAL!$A:$H,2,FALSE)</f>
        <v>Alidis</v>
      </c>
      <c r="D94" t="str">
        <f>VLOOKUP(B94,[1]BD_FINAL!$A:$H,3,FALSE)</f>
        <v>Baranquilla</v>
      </c>
      <c r="E94" t="str">
        <f>VLOOKUP(B94,[1]BD_FINAL!$A:$H,8,FALSE)</f>
        <v>Tratamiento</v>
      </c>
      <c r="F94" s="2">
        <f t="shared" si="3"/>
        <v>1</v>
      </c>
      <c r="G94">
        <f t="shared" si="4"/>
        <v>3</v>
      </c>
      <c r="H94" s="3" t="s">
        <v>4047</v>
      </c>
      <c r="I94" s="6" t="str">
        <f t="shared" si="5"/>
        <v>01030093</v>
      </c>
    </row>
    <row r="95" spans="1:9" x14ac:dyDescent="0.3">
      <c r="A95">
        <v>94</v>
      </c>
      <c r="B95" s="6">
        <v>1045724437</v>
      </c>
      <c r="C95" t="str">
        <f>VLOOKUP(B95,[1]BD_FINAL!$A:$H,2,FALSE)</f>
        <v xml:space="preserve">Gabriel </v>
      </c>
      <c r="D95" t="str">
        <f>VLOOKUP(B95,[1]BD_FINAL!$A:$H,3,FALSE)</f>
        <v>Baranquilla</v>
      </c>
      <c r="E95" t="str">
        <f>VLOOKUP(B95,[1]BD_FINAL!$A:$H,8,FALSE)</f>
        <v>Tratamiento</v>
      </c>
      <c r="F95" s="2">
        <f t="shared" si="3"/>
        <v>1</v>
      </c>
      <c r="G95">
        <f t="shared" si="4"/>
        <v>3</v>
      </c>
      <c r="H95" s="3" t="s">
        <v>4048</v>
      </c>
      <c r="I95" s="6" t="str">
        <f t="shared" si="5"/>
        <v>01030094</v>
      </c>
    </row>
    <row r="96" spans="1:9" x14ac:dyDescent="0.3">
      <c r="A96">
        <v>95</v>
      </c>
      <c r="B96" s="6">
        <v>1045731398</v>
      </c>
      <c r="C96" t="str">
        <f>VLOOKUP(B96,[1]BD_FINAL!$A:$H,2,FALSE)</f>
        <v xml:space="preserve">JULITH VANESSA </v>
      </c>
      <c r="D96" t="str">
        <f>VLOOKUP(B96,[1]BD_FINAL!$A:$H,3,FALSE)</f>
        <v>Baranquilla</v>
      </c>
      <c r="E96" t="str">
        <f>VLOOKUP(B96,[1]BD_FINAL!$A:$H,8,FALSE)</f>
        <v>Tratamiento</v>
      </c>
      <c r="F96" s="2">
        <f t="shared" si="3"/>
        <v>1</v>
      </c>
      <c r="G96">
        <f t="shared" si="4"/>
        <v>3</v>
      </c>
      <c r="H96" s="3" t="s">
        <v>4049</v>
      </c>
      <c r="I96" s="6" t="str">
        <f t="shared" si="5"/>
        <v>01030095</v>
      </c>
    </row>
    <row r="97" spans="1:9" x14ac:dyDescent="0.3">
      <c r="A97">
        <v>96</v>
      </c>
      <c r="B97" s="6">
        <v>1045741495</v>
      </c>
      <c r="C97" t="str">
        <f>VLOOKUP(B97,[1]BD_FINAL!$A:$H,2,FALSE)</f>
        <v>YURANIS JOHANA</v>
      </c>
      <c r="D97" t="str">
        <f>VLOOKUP(B97,[1]BD_FINAL!$A:$H,3,FALSE)</f>
        <v>Baranquilla</v>
      </c>
      <c r="E97" t="str">
        <f>VLOOKUP(B97,[1]BD_FINAL!$A:$H,8,FALSE)</f>
        <v>Tratamiento</v>
      </c>
      <c r="F97" s="2">
        <f t="shared" si="3"/>
        <v>1</v>
      </c>
      <c r="G97">
        <f t="shared" si="4"/>
        <v>3</v>
      </c>
      <c r="H97" s="3" t="s">
        <v>4050</v>
      </c>
      <c r="I97" s="6" t="str">
        <f t="shared" si="5"/>
        <v>01030096</v>
      </c>
    </row>
    <row r="98" spans="1:9" x14ac:dyDescent="0.3">
      <c r="A98">
        <v>97</v>
      </c>
      <c r="B98" s="6">
        <v>1045743889</v>
      </c>
      <c r="C98" t="str">
        <f>VLOOKUP(B98,[1]BD_FINAL!$A:$H,2,FALSE)</f>
        <v>ELIZABETH</v>
      </c>
      <c r="D98" t="str">
        <f>VLOOKUP(B98,[1]BD_FINAL!$A:$H,3,FALSE)</f>
        <v>Baranquilla</v>
      </c>
      <c r="E98" t="str">
        <f>VLOOKUP(B98,[1]BD_FINAL!$A:$H,8,FALSE)</f>
        <v>Tratamiento</v>
      </c>
      <c r="F98" s="2">
        <f t="shared" si="3"/>
        <v>1</v>
      </c>
      <c r="G98">
        <f t="shared" si="4"/>
        <v>3</v>
      </c>
      <c r="H98" s="3" t="s">
        <v>4051</v>
      </c>
      <c r="I98" s="6" t="str">
        <f t="shared" si="5"/>
        <v>01030097</v>
      </c>
    </row>
    <row r="99" spans="1:9" x14ac:dyDescent="0.3">
      <c r="A99">
        <v>98</v>
      </c>
      <c r="B99" s="6">
        <v>1045746691</v>
      </c>
      <c r="C99" t="str">
        <f>VLOOKUP(B99,[1]BD_FINAL!$A:$H,2,FALSE)</f>
        <v>Laury</v>
      </c>
      <c r="D99" t="str">
        <f>VLOOKUP(B99,[1]BD_FINAL!$A:$H,3,FALSE)</f>
        <v>Baranquilla</v>
      </c>
      <c r="E99" t="str">
        <f>VLOOKUP(B99,[1]BD_FINAL!$A:$H,8,FALSE)</f>
        <v>Tratamiento</v>
      </c>
      <c r="F99" s="2">
        <f t="shared" si="3"/>
        <v>1</v>
      </c>
      <c r="G99">
        <f t="shared" si="4"/>
        <v>3</v>
      </c>
      <c r="H99" s="3" t="s">
        <v>4052</v>
      </c>
      <c r="I99" s="6" t="str">
        <f t="shared" si="5"/>
        <v>01030098</v>
      </c>
    </row>
    <row r="100" spans="1:9" x14ac:dyDescent="0.3">
      <c r="A100">
        <v>99</v>
      </c>
      <c r="B100" s="6">
        <v>1045748346</v>
      </c>
      <c r="C100" t="str">
        <f>VLOOKUP(B100,[1]BD_FINAL!$A:$H,2,FALSE)</f>
        <v>Ivan alberto</v>
      </c>
      <c r="D100" t="str">
        <f>VLOOKUP(B100,[1]BD_FINAL!$A:$H,3,FALSE)</f>
        <v>Baranquilla</v>
      </c>
      <c r="E100" t="str">
        <f>VLOOKUP(B100,[1]BD_FINAL!$A:$H,8,FALSE)</f>
        <v>Tratamiento</v>
      </c>
      <c r="F100" s="2">
        <f t="shared" si="3"/>
        <v>1</v>
      </c>
      <c r="G100">
        <f t="shared" si="4"/>
        <v>3</v>
      </c>
      <c r="H100" s="3" t="s">
        <v>4053</v>
      </c>
      <c r="I100" s="6" t="str">
        <f t="shared" si="5"/>
        <v>01030099</v>
      </c>
    </row>
    <row r="101" spans="1:9" x14ac:dyDescent="0.3">
      <c r="A101">
        <v>100</v>
      </c>
      <c r="B101" s="6">
        <v>1045759593</v>
      </c>
      <c r="C101" t="str">
        <f>VLOOKUP(B101,[1]BD_FINAL!$A:$H,2,FALSE)</f>
        <v>LAINIS ARNETH</v>
      </c>
      <c r="D101" t="str">
        <f>VLOOKUP(B101,[1]BD_FINAL!$A:$H,3,FALSE)</f>
        <v>Baranquilla</v>
      </c>
      <c r="E101" t="str">
        <f>VLOOKUP(B101,[1]BD_FINAL!$A:$H,8,FALSE)</f>
        <v>Tratamiento</v>
      </c>
      <c r="F101" s="2">
        <f t="shared" si="3"/>
        <v>1</v>
      </c>
      <c r="G101">
        <f t="shared" si="4"/>
        <v>3</v>
      </c>
      <c r="H101" s="3" t="s">
        <v>4054</v>
      </c>
      <c r="I101" s="6" t="str">
        <f t="shared" si="5"/>
        <v>01030100</v>
      </c>
    </row>
    <row r="102" spans="1:9" x14ac:dyDescent="0.3">
      <c r="A102">
        <v>101</v>
      </c>
      <c r="B102" s="6">
        <v>1046697166</v>
      </c>
      <c r="C102" t="str">
        <f>VLOOKUP(B102,[1]BD_FINAL!$A:$H,2,FALSE)</f>
        <v xml:space="preserve">Humberto César </v>
      </c>
      <c r="D102" t="str">
        <f>VLOOKUP(B102,[1]BD_FINAL!$A:$H,3,FALSE)</f>
        <v>Baranquilla</v>
      </c>
      <c r="E102" t="str">
        <f>VLOOKUP(B102,[1]BD_FINAL!$A:$H,8,FALSE)</f>
        <v>Control</v>
      </c>
      <c r="F102" s="2">
        <f t="shared" si="3"/>
        <v>0</v>
      </c>
      <c r="G102">
        <f t="shared" si="4"/>
        <v>3</v>
      </c>
      <c r="H102" s="3" t="s">
        <v>4055</v>
      </c>
      <c r="I102" s="6" t="str">
        <f t="shared" si="5"/>
        <v>00030101</v>
      </c>
    </row>
    <row r="103" spans="1:9" x14ac:dyDescent="0.3">
      <c r="A103">
        <v>102</v>
      </c>
      <c r="B103" s="6">
        <v>1046702906</v>
      </c>
      <c r="C103" t="str">
        <f>VLOOKUP(B103,[1]BD_FINAL!$A:$H,2,FALSE)</f>
        <v xml:space="preserve">Fredy de Jesus </v>
      </c>
      <c r="D103" t="str">
        <f>VLOOKUP(B103,[1]BD_FINAL!$A:$H,3,FALSE)</f>
        <v>Baranquilla</v>
      </c>
      <c r="E103" t="str">
        <f>VLOOKUP(B103,[1]BD_FINAL!$A:$H,8,FALSE)</f>
        <v>Control</v>
      </c>
      <c r="F103" s="2">
        <f t="shared" si="3"/>
        <v>0</v>
      </c>
      <c r="G103">
        <f t="shared" si="4"/>
        <v>3</v>
      </c>
      <c r="H103" s="3" t="s">
        <v>4056</v>
      </c>
      <c r="I103" s="6" t="str">
        <f t="shared" si="5"/>
        <v>00030102</v>
      </c>
    </row>
    <row r="104" spans="1:9" x14ac:dyDescent="0.3">
      <c r="A104">
        <v>103</v>
      </c>
      <c r="B104" s="6">
        <v>1047048484</v>
      </c>
      <c r="C104" t="str">
        <f>VLOOKUP(B104,[1]BD_FINAL!$A:$H,2,FALSE)</f>
        <v>América</v>
      </c>
      <c r="D104" t="str">
        <f>VLOOKUP(B104,[1]BD_FINAL!$A:$H,3,FALSE)</f>
        <v>Baranquilla</v>
      </c>
      <c r="E104" t="str">
        <f>VLOOKUP(B104,[1]BD_FINAL!$A:$H,8,FALSE)</f>
        <v>Tratamiento</v>
      </c>
      <c r="F104" s="2">
        <f t="shared" si="3"/>
        <v>1</v>
      </c>
      <c r="G104">
        <f t="shared" si="4"/>
        <v>3</v>
      </c>
      <c r="H104" s="3" t="s">
        <v>4057</v>
      </c>
      <c r="I104" s="6" t="str">
        <f t="shared" si="5"/>
        <v>01030103</v>
      </c>
    </row>
    <row r="105" spans="1:9" x14ac:dyDescent="0.3">
      <c r="A105">
        <v>104</v>
      </c>
      <c r="B105" s="6">
        <v>1047217469</v>
      </c>
      <c r="C105" t="str">
        <f>VLOOKUP(B105,[1]BD_FINAL!$A:$H,2,FALSE)</f>
        <v xml:space="preserve">Deyanira </v>
      </c>
      <c r="D105" t="str">
        <f>VLOOKUP(B105,[1]BD_FINAL!$A:$H,3,FALSE)</f>
        <v>Baranquilla</v>
      </c>
      <c r="E105" t="str">
        <f>VLOOKUP(B105,[1]BD_FINAL!$A:$H,8,FALSE)</f>
        <v>Control</v>
      </c>
      <c r="F105" s="2">
        <f t="shared" si="3"/>
        <v>0</v>
      </c>
      <c r="G105">
        <f t="shared" si="4"/>
        <v>3</v>
      </c>
      <c r="H105" s="3" t="s">
        <v>4058</v>
      </c>
      <c r="I105" s="6" t="str">
        <f t="shared" si="5"/>
        <v>00030104</v>
      </c>
    </row>
    <row r="106" spans="1:9" x14ac:dyDescent="0.3">
      <c r="A106">
        <v>105</v>
      </c>
      <c r="B106" s="6">
        <v>1047221609</v>
      </c>
      <c r="C106" t="str">
        <f>VLOOKUP(B106,[1]BD_FINAL!$A:$H,2,FALSE)</f>
        <v xml:space="preserve">Cristina </v>
      </c>
      <c r="D106" t="str">
        <f>VLOOKUP(B106,[1]BD_FINAL!$A:$H,3,FALSE)</f>
        <v>Baranquilla</v>
      </c>
      <c r="E106" t="str">
        <f>VLOOKUP(B106,[1]BD_FINAL!$A:$H,8,FALSE)</f>
        <v>Tratamiento</v>
      </c>
      <c r="F106" s="2">
        <f t="shared" si="3"/>
        <v>1</v>
      </c>
      <c r="G106">
        <f t="shared" si="4"/>
        <v>3</v>
      </c>
      <c r="H106" s="3" t="s">
        <v>4059</v>
      </c>
      <c r="I106" s="6" t="str">
        <f t="shared" si="5"/>
        <v>01030105</v>
      </c>
    </row>
    <row r="107" spans="1:9" x14ac:dyDescent="0.3">
      <c r="A107">
        <v>106</v>
      </c>
      <c r="B107" s="6">
        <v>1047222969</v>
      </c>
      <c r="C107" t="str">
        <f>VLOOKUP(B107,[1]BD_FINAL!$A:$H,2,FALSE)</f>
        <v>Caterine</v>
      </c>
      <c r="D107" t="str">
        <f>VLOOKUP(B107,[1]BD_FINAL!$A:$H,3,FALSE)</f>
        <v>Baranquilla</v>
      </c>
      <c r="E107" t="str">
        <f>VLOOKUP(B107,[1]BD_FINAL!$A:$H,8,FALSE)</f>
        <v>Control</v>
      </c>
      <c r="F107" s="2">
        <f t="shared" si="3"/>
        <v>0</v>
      </c>
      <c r="G107">
        <f t="shared" si="4"/>
        <v>3</v>
      </c>
      <c r="H107" s="3" t="s">
        <v>4060</v>
      </c>
      <c r="I107" s="6" t="str">
        <f t="shared" si="5"/>
        <v>00030106</v>
      </c>
    </row>
    <row r="108" spans="1:9" x14ac:dyDescent="0.3">
      <c r="A108">
        <v>107</v>
      </c>
      <c r="B108" s="6">
        <v>1047223166</v>
      </c>
      <c r="C108" t="str">
        <f>VLOOKUP(B108,[1]BD_FINAL!$A:$H,2,FALSE)</f>
        <v xml:space="preserve">José gregorio </v>
      </c>
      <c r="D108" t="str">
        <f>VLOOKUP(B108,[1]BD_FINAL!$A:$H,3,FALSE)</f>
        <v>Baranquilla</v>
      </c>
      <c r="E108" t="str">
        <f>VLOOKUP(B108,[1]BD_FINAL!$A:$H,8,FALSE)</f>
        <v>Tratamiento</v>
      </c>
      <c r="F108" s="2">
        <f t="shared" si="3"/>
        <v>1</v>
      </c>
      <c r="G108">
        <f t="shared" si="4"/>
        <v>3</v>
      </c>
      <c r="H108" s="3" t="s">
        <v>4061</v>
      </c>
      <c r="I108" s="6" t="str">
        <f t="shared" si="5"/>
        <v>01030107</v>
      </c>
    </row>
    <row r="109" spans="1:9" x14ac:dyDescent="0.3">
      <c r="A109">
        <v>108</v>
      </c>
      <c r="B109" s="6">
        <v>1047223432</v>
      </c>
      <c r="C109" t="str">
        <f>VLOOKUP(B109,[1]BD_FINAL!$A:$H,2,FALSE)</f>
        <v xml:space="preserve">Maria Patricia </v>
      </c>
      <c r="D109" t="str">
        <f>VLOOKUP(B109,[1]BD_FINAL!$A:$H,3,FALSE)</f>
        <v>Baranquilla</v>
      </c>
      <c r="E109" t="str">
        <f>VLOOKUP(B109,[1]BD_FINAL!$A:$H,8,FALSE)</f>
        <v>Control</v>
      </c>
      <c r="F109" s="2">
        <f t="shared" si="3"/>
        <v>0</v>
      </c>
      <c r="G109">
        <f t="shared" si="4"/>
        <v>3</v>
      </c>
      <c r="H109" s="3" t="s">
        <v>4062</v>
      </c>
      <c r="I109" s="6" t="str">
        <f t="shared" si="5"/>
        <v>00030108</v>
      </c>
    </row>
    <row r="110" spans="1:9" x14ac:dyDescent="0.3">
      <c r="A110">
        <v>109</v>
      </c>
      <c r="B110" s="6">
        <v>1047226056</v>
      </c>
      <c r="C110" t="str">
        <f>VLOOKUP(B110,[1]BD_FINAL!$A:$H,2,FALSE)</f>
        <v xml:space="preserve">Yenis patricia </v>
      </c>
      <c r="D110" t="str">
        <f>VLOOKUP(B110,[1]BD_FINAL!$A:$H,3,FALSE)</f>
        <v>Baranquilla</v>
      </c>
      <c r="E110" t="str">
        <f>VLOOKUP(B110,[1]BD_FINAL!$A:$H,8,FALSE)</f>
        <v>Tratamiento</v>
      </c>
      <c r="F110" s="2">
        <f t="shared" si="3"/>
        <v>1</v>
      </c>
      <c r="G110">
        <f t="shared" si="4"/>
        <v>3</v>
      </c>
      <c r="H110" s="3" t="s">
        <v>4063</v>
      </c>
      <c r="I110" s="6" t="str">
        <f t="shared" si="5"/>
        <v>01030109</v>
      </c>
    </row>
    <row r="111" spans="1:9" x14ac:dyDescent="0.3">
      <c r="A111">
        <v>110</v>
      </c>
      <c r="B111" s="6">
        <v>10472271</v>
      </c>
      <c r="C111" t="str">
        <f>VLOOKUP(B111,[1]BD_FINAL!$A:$H,2,FALSE)</f>
        <v>Reinaldo</v>
      </c>
      <c r="D111" t="str">
        <f>VLOOKUP(B111,[1]BD_FINAL!$A:$H,3,FALSE)</f>
        <v>Cali</v>
      </c>
      <c r="E111" t="str">
        <f>VLOOKUP(B111,[1]BD_FINAL!$A:$H,8,FALSE)</f>
        <v>Tratamiento</v>
      </c>
      <c r="F111" s="2">
        <f t="shared" si="3"/>
        <v>1</v>
      </c>
      <c r="G111">
        <f t="shared" si="4"/>
        <v>2</v>
      </c>
      <c r="H111" s="3" t="s">
        <v>4064</v>
      </c>
      <c r="I111" s="6" t="str">
        <f t="shared" si="5"/>
        <v>01020110</v>
      </c>
    </row>
    <row r="112" spans="1:9" x14ac:dyDescent="0.3">
      <c r="A112">
        <v>111</v>
      </c>
      <c r="B112" s="6">
        <v>1047227573</v>
      </c>
      <c r="C112" t="str">
        <f>VLOOKUP(B112,[1]BD_FINAL!$A:$H,2,FALSE)</f>
        <v xml:space="preserve">GENY VICTORIA </v>
      </c>
      <c r="D112" t="str">
        <f>VLOOKUP(B112,[1]BD_FINAL!$A:$H,3,FALSE)</f>
        <v>Baranquilla</v>
      </c>
      <c r="E112" t="str">
        <f>VLOOKUP(B112,[1]BD_FINAL!$A:$H,8,FALSE)</f>
        <v>Tratamiento</v>
      </c>
      <c r="F112" s="2">
        <f t="shared" si="3"/>
        <v>1</v>
      </c>
      <c r="G112">
        <f t="shared" si="4"/>
        <v>3</v>
      </c>
      <c r="H112" s="3" t="s">
        <v>4065</v>
      </c>
      <c r="I112" s="6" t="str">
        <f t="shared" si="5"/>
        <v>01030111</v>
      </c>
    </row>
    <row r="113" spans="1:9" x14ac:dyDescent="0.3">
      <c r="A113">
        <v>112</v>
      </c>
      <c r="B113" s="6">
        <v>1048220109</v>
      </c>
      <c r="C113" t="str">
        <f>VLOOKUP(B113,[1]BD_FINAL!$A:$H,2,FALSE)</f>
        <v xml:space="preserve">Miguel </v>
      </c>
      <c r="D113" t="str">
        <f>VLOOKUP(B113,[1]BD_FINAL!$A:$H,3,FALSE)</f>
        <v>Baranquilla</v>
      </c>
      <c r="E113" t="str">
        <f>VLOOKUP(B113,[1]BD_FINAL!$A:$H,8,FALSE)</f>
        <v>Tratamiento</v>
      </c>
      <c r="F113" s="2">
        <f t="shared" si="3"/>
        <v>1</v>
      </c>
      <c r="G113">
        <f t="shared" si="4"/>
        <v>3</v>
      </c>
      <c r="H113" s="3" t="s">
        <v>4066</v>
      </c>
      <c r="I113" s="6" t="str">
        <f t="shared" si="5"/>
        <v>01030112</v>
      </c>
    </row>
    <row r="114" spans="1:9" x14ac:dyDescent="0.3">
      <c r="A114">
        <v>113</v>
      </c>
      <c r="B114" s="6">
        <v>1051360142</v>
      </c>
      <c r="C114" t="str">
        <f>VLOOKUP(B114,[1]BD_FINAL!$A:$H,2,FALSE)</f>
        <v xml:space="preserve">Yurleidys </v>
      </c>
      <c r="D114" t="str">
        <f>VLOOKUP(B114,[1]BD_FINAL!$A:$H,3,FALSE)</f>
        <v>Baranquilla</v>
      </c>
      <c r="E114" t="str">
        <f>VLOOKUP(B114,[1]BD_FINAL!$A:$H,8,FALSE)</f>
        <v>Control</v>
      </c>
      <c r="F114" s="2">
        <f t="shared" si="3"/>
        <v>0</v>
      </c>
      <c r="G114">
        <f t="shared" si="4"/>
        <v>3</v>
      </c>
      <c r="H114" s="3" t="s">
        <v>4067</v>
      </c>
      <c r="I114" s="6" t="str">
        <f t="shared" si="5"/>
        <v>00030113</v>
      </c>
    </row>
    <row r="115" spans="1:9" x14ac:dyDescent="0.3">
      <c r="A115">
        <v>114</v>
      </c>
      <c r="B115" s="6">
        <v>1059044849</v>
      </c>
      <c r="C115" t="str">
        <f>VLOOKUP(B115,[1]BD_FINAL!$A:$H,2,FALSE)</f>
        <v>Ninsen  yane</v>
      </c>
      <c r="D115" t="str">
        <f>VLOOKUP(B115,[1]BD_FINAL!$A:$H,3,FALSE)</f>
        <v>Cali</v>
      </c>
      <c r="E115" t="str">
        <f>VLOOKUP(B115,[1]BD_FINAL!$A:$H,8,FALSE)</f>
        <v>Tratamiento</v>
      </c>
      <c r="F115" s="2">
        <f t="shared" si="3"/>
        <v>1</v>
      </c>
      <c r="G115">
        <f t="shared" si="4"/>
        <v>2</v>
      </c>
      <c r="H115" s="3" t="s">
        <v>4068</v>
      </c>
      <c r="I115" s="6" t="str">
        <f t="shared" si="5"/>
        <v>01020114</v>
      </c>
    </row>
    <row r="116" spans="1:9" x14ac:dyDescent="0.3">
      <c r="A116">
        <v>115</v>
      </c>
      <c r="B116" s="6">
        <v>1059044885</v>
      </c>
      <c r="C116" t="str">
        <f>VLOOKUP(B116,[1]BD_FINAL!$A:$H,2,FALSE)</f>
        <v>LUZ DARY</v>
      </c>
      <c r="D116" t="str">
        <f>VLOOKUP(B116,[1]BD_FINAL!$A:$H,3,FALSE)</f>
        <v>Cali</v>
      </c>
      <c r="E116" t="str">
        <f>VLOOKUP(B116,[1]BD_FINAL!$A:$H,8,FALSE)</f>
        <v>Tratamiento</v>
      </c>
      <c r="F116" s="2">
        <f t="shared" si="3"/>
        <v>1</v>
      </c>
      <c r="G116">
        <f t="shared" si="4"/>
        <v>2</v>
      </c>
      <c r="H116" s="3" t="s">
        <v>4069</v>
      </c>
      <c r="I116" s="6" t="str">
        <f t="shared" si="5"/>
        <v>01020115</v>
      </c>
    </row>
    <row r="117" spans="1:9" x14ac:dyDescent="0.3">
      <c r="A117">
        <v>116</v>
      </c>
      <c r="B117" s="6">
        <v>1059986053</v>
      </c>
      <c r="C117" t="str">
        <f>VLOOKUP(B117,[1]BD_FINAL!$A:$H,2,FALSE)</f>
        <v>Jania Paola</v>
      </c>
      <c r="D117" t="str">
        <f>VLOOKUP(B117,[1]BD_FINAL!$A:$H,3,FALSE)</f>
        <v>Cali</v>
      </c>
      <c r="E117" t="str">
        <f>VLOOKUP(B117,[1]BD_FINAL!$A:$H,8,FALSE)</f>
        <v>Tratamiento</v>
      </c>
      <c r="F117" s="2">
        <f t="shared" si="3"/>
        <v>1</v>
      </c>
      <c r="G117">
        <f t="shared" si="4"/>
        <v>2</v>
      </c>
      <c r="H117" s="3" t="s">
        <v>4070</v>
      </c>
      <c r="I117" s="6" t="str">
        <f t="shared" si="5"/>
        <v>01020116</v>
      </c>
    </row>
    <row r="118" spans="1:9" x14ac:dyDescent="0.3">
      <c r="A118">
        <v>117</v>
      </c>
      <c r="B118" s="6">
        <v>1060102242</v>
      </c>
      <c r="C118" t="str">
        <f>VLOOKUP(B118,[1]BD_FINAL!$A:$H,2,FALSE)</f>
        <v xml:space="preserve">Luz estrella </v>
      </c>
      <c r="D118" t="str">
        <f>VLOOKUP(B118,[1]BD_FINAL!$A:$H,3,FALSE)</f>
        <v>Cali</v>
      </c>
      <c r="E118" t="str">
        <f>VLOOKUP(B118,[1]BD_FINAL!$A:$H,8,FALSE)</f>
        <v>Tratamiento</v>
      </c>
      <c r="F118" s="2">
        <f t="shared" si="3"/>
        <v>1</v>
      </c>
      <c r="G118">
        <f t="shared" si="4"/>
        <v>2</v>
      </c>
      <c r="H118" s="3" t="s">
        <v>4071</v>
      </c>
      <c r="I118" s="6" t="str">
        <f t="shared" si="5"/>
        <v>01020117</v>
      </c>
    </row>
    <row r="119" spans="1:9" x14ac:dyDescent="0.3">
      <c r="A119">
        <v>118</v>
      </c>
      <c r="B119" s="6">
        <v>1061433798</v>
      </c>
      <c r="C119" t="str">
        <f>VLOOKUP(B119,[1]BD_FINAL!$A:$H,2,FALSE)</f>
        <v>Hely jhoana</v>
      </c>
      <c r="D119" t="str">
        <f>VLOOKUP(B119,[1]BD_FINAL!$A:$H,3,FALSE)</f>
        <v>Cali</v>
      </c>
      <c r="E119" t="str">
        <f>VLOOKUP(B119,[1]BD_FINAL!$A:$H,8,FALSE)</f>
        <v>Tratamiento</v>
      </c>
      <c r="F119" s="2">
        <f t="shared" si="3"/>
        <v>1</v>
      </c>
      <c r="G119">
        <f t="shared" si="4"/>
        <v>2</v>
      </c>
      <c r="H119" s="3" t="s">
        <v>4072</v>
      </c>
      <c r="I119" s="6" t="str">
        <f t="shared" si="5"/>
        <v>01020118</v>
      </c>
    </row>
    <row r="120" spans="1:9" x14ac:dyDescent="0.3">
      <c r="A120">
        <v>119</v>
      </c>
      <c r="B120" s="6">
        <v>1062297779</v>
      </c>
      <c r="C120" t="str">
        <f>VLOOKUP(B120,[1]BD_FINAL!$A:$H,2,FALSE)</f>
        <v xml:space="preserve">Claudia Milena </v>
      </c>
      <c r="D120" t="str">
        <f>VLOOKUP(B120,[1]BD_FINAL!$A:$H,3,FALSE)</f>
        <v>Cali</v>
      </c>
      <c r="E120" t="str">
        <f>VLOOKUP(B120,[1]BD_FINAL!$A:$H,8,FALSE)</f>
        <v>Tratamiento</v>
      </c>
      <c r="F120" s="2">
        <f t="shared" si="3"/>
        <v>1</v>
      </c>
      <c r="G120">
        <f t="shared" si="4"/>
        <v>2</v>
      </c>
      <c r="H120" s="3" t="s">
        <v>4073</v>
      </c>
      <c r="I120" s="6" t="str">
        <f t="shared" si="5"/>
        <v>01020119</v>
      </c>
    </row>
    <row r="121" spans="1:9" x14ac:dyDescent="0.3">
      <c r="A121">
        <v>120</v>
      </c>
      <c r="B121" s="6">
        <v>1063282279</v>
      </c>
      <c r="C121" t="str">
        <f>VLOOKUP(B121,[1]BD_FINAL!$A:$H,2,FALSE)</f>
        <v>Gloria lucia</v>
      </c>
      <c r="D121" t="str">
        <f>VLOOKUP(B121,[1]BD_FINAL!$A:$H,3,FALSE)</f>
        <v>Baranquilla</v>
      </c>
      <c r="E121" t="str">
        <f>VLOOKUP(B121,[1]BD_FINAL!$A:$H,8,FALSE)</f>
        <v>Control</v>
      </c>
      <c r="F121" s="2">
        <f t="shared" si="3"/>
        <v>0</v>
      </c>
      <c r="G121">
        <f t="shared" si="4"/>
        <v>3</v>
      </c>
      <c r="H121" s="3" t="s">
        <v>4074</v>
      </c>
      <c r="I121" s="6" t="str">
        <f t="shared" si="5"/>
        <v>00030120</v>
      </c>
    </row>
    <row r="122" spans="1:9" x14ac:dyDescent="0.3">
      <c r="A122">
        <v>121</v>
      </c>
      <c r="B122" s="6">
        <v>1067094968</v>
      </c>
      <c r="C122" t="str">
        <f>VLOOKUP(B122,[1]BD_FINAL!$A:$H,2,FALSE)</f>
        <v xml:space="preserve">Luis Eduardo Cartagena Vargas </v>
      </c>
      <c r="D122" t="str">
        <f>VLOOKUP(B122,[1]BD_FINAL!$A:$H,3,FALSE)</f>
        <v>Medellin</v>
      </c>
      <c r="E122" t="str">
        <f>VLOOKUP(B122,[1]BD_FINAL!$A:$H,8,FALSE)</f>
        <v>Tratamiento</v>
      </c>
      <c r="F122" s="2">
        <f t="shared" si="3"/>
        <v>1</v>
      </c>
      <c r="G122">
        <f t="shared" si="4"/>
        <v>1</v>
      </c>
      <c r="H122" s="3" t="s">
        <v>4075</v>
      </c>
      <c r="I122" s="6" t="str">
        <f t="shared" si="5"/>
        <v>01010121</v>
      </c>
    </row>
    <row r="123" spans="1:9" x14ac:dyDescent="0.3">
      <c r="A123">
        <v>122</v>
      </c>
      <c r="B123" s="6">
        <v>1067461300</v>
      </c>
      <c r="C123" t="str">
        <f>VLOOKUP(B123,[1]BD_FINAL!$A:$H,2,FALSE)</f>
        <v>Diana lucero</v>
      </c>
      <c r="D123" t="str">
        <f>VLOOKUP(B123,[1]BD_FINAL!$A:$H,3,FALSE)</f>
        <v>Cali</v>
      </c>
      <c r="E123" t="str">
        <f>VLOOKUP(B123,[1]BD_FINAL!$A:$H,8,FALSE)</f>
        <v>Tratamiento</v>
      </c>
      <c r="F123" s="2">
        <f t="shared" si="3"/>
        <v>1</v>
      </c>
      <c r="G123">
        <f t="shared" si="4"/>
        <v>2</v>
      </c>
      <c r="H123" s="3" t="s">
        <v>4076</v>
      </c>
      <c r="I123" s="6" t="str">
        <f t="shared" si="5"/>
        <v>01020122</v>
      </c>
    </row>
    <row r="124" spans="1:9" x14ac:dyDescent="0.3">
      <c r="A124">
        <v>123</v>
      </c>
      <c r="B124" s="6">
        <v>10741712</v>
      </c>
      <c r="C124" t="str">
        <f>VLOOKUP(B124,[1]BD_FINAL!$A:$H,2,FALSE)</f>
        <v>Milton Javier</v>
      </c>
      <c r="D124" t="str">
        <f>VLOOKUP(B124,[1]BD_FINAL!$A:$H,3,FALSE)</f>
        <v>Cali</v>
      </c>
      <c r="E124" t="str">
        <f>VLOOKUP(B124,[1]BD_FINAL!$A:$H,8,FALSE)</f>
        <v>Tratamiento</v>
      </c>
      <c r="F124" s="2">
        <f t="shared" si="3"/>
        <v>1</v>
      </c>
      <c r="G124">
        <f t="shared" si="4"/>
        <v>2</v>
      </c>
      <c r="H124" s="3" t="s">
        <v>4077</v>
      </c>
      <c r="I124" s="6" t="str">
        <f t="shared" si="5"/>
        <v>01020123</v>
      </c>
    </row>
    <row r="125" spans="1:9" x14ac:dyDescent="0.3">
      <c r="A125">
        <v>124</v>
      </c>
      <c r="B125" s="6">
        <v>1080835928</v>
      </c>
      <c r="C125" t="str">
        <f>VLOOKUP(B125,[1]BD_FINAL!$A:$H,2,FALSE)</f>
        <v>María magnolia</v>
      </c>
      <c r="D125" t="str">
        <f>VLOOKUP(B125,[1]BD_FINAL!$A:$H,3,FALSE)</f>
        <v>Cali</v>
      </c>
      <c r="E125" t="str">
        <f>VLOOKUP(B125,[1]BD_FINAL!$A:$H,8,FALSE)</f>
        <v>Tratamiento</v>
      </c>
      <c r="F125" s="2">
        <f t="shared" si="3"/>
        <v>1</v>
      </c>
      <c r="G125">
        <f t="shared" si="4"/>
        <v>2</v>
      </c>
      <c r="H125" s="3" t="s">
        <v>4078</v>
      </c>
      <c r="I125" s="6" t="str">
        <f t="shared" si="5"/>
        <v>01020124</v>
      </c>
    </row>
    <row r="126" spans="1:9" x14ac:dyDescent="0.3">
      <c r="A126">
        <v>125</v>
      </c>
      <c r="B126" s="6">
        <v>10885223</v>
      </c>
      <c r="C126" t="str">
        <f>VLOOKUP(B126,[1]BD_FINAL!$A:$H,2,FALSE)</f>
        <v xml:space="preserve">Oscar </v>
      </c>
      <c r="D126" t="str">
        <f>VLOOKUP(B126,[1]BD_FINAL!$A:$H,3,FALSE)</f>
        <v>Baranquilla</v>
      </c>
      <c r="E126" t="str">
        <f>VLOOKUP(B126,[1]BD_FINAL!$A:$H,8,FALSE)</f>
        <v>Control</v>
      </c>
      <c r="F126" s="2">
        <f t="shared" si="3"/>
        <v>0</v>
      </c>
      <c r="G126">
        <f t="shared" si="4"/>
        <v>3</v>
      </c>
      <c r="H126" s="3" t="s">
        <v>4079</v>
      </c>
      <c r="I126" s="6" t="str">
        <f t="shared" si="5"/>
        <v>00030125</v>
      </c>
    </row>
    <row r="127" spans="1:9" x14ac:dyDescent="0.3">
      <c r="A127">
        <v>126</v>
      </c>
      <c r="B127" s="6">
        <v>1101200056</v>
      </c>
      <c r="C127" t="str">
        <f>VLOOKUP(B127,[1]BD_FINAL!$A:$H,2,FALSE)</f>
        <v xml:space="preserve">Marisol </v>
      </c>
      <c r="D127" t="str">
        <f>VLOOKUP(B127,[1]BD_FINAL!$A:$H,3,FALSE)</f>
        <v>Baranquilla</v>
      </c>
      <c r="E127" t="str">
        <f>VLOOKUP(B127,[1]BD_FINAL!$A:$H,8,FALSE)</f>
        <v>Control</v>
      </c>
      <c r="F127" s="2">
        <f t="shared" si="3"/>
        <v>0</v>
      </c>
      <c r="G127">
        <f t="shared" si="4"/>
        <v>3</v>
      </c>
      <c r="H127" s="3" t="s">
        <v>4080</v>
      </c>
      <c r="I127" s="6" t="str">
        <f t="shared" si="5"/>
        <v>00030126</v>
      </c>
    </row>
    <row r="128" spans="1:9" x14ac:dyDescent="0.3">
      <c r="A128">
        <v>127</v>
      </c>
      <c r="B128" s="6">
        <v>1107036712</v>
      </c>
      <c r="C128" t="str">
        <f>VLOOKUP(B128,[1]BD_FINAL!$A:$H,2,FALSE)</f>
        <v xml:space="preserve">Anderson </v>
      </c>
      <c r="D128" t="str">
        <f>VLOOKUP(B128,[1]BD_FINAL!$A:$H,3,FALSE)</f>
        <v>Cali</v>
      </c>
      <c r="E128" t="str">
        <f>VLOOKUP(B128,[1]BD_FINAL!$A:$H,8,FALSE)</f>
        <v>Tratamiento</v>
      </c>
      <c r="F128" s="2">
        <f t="shared" si="3"/>
        <v>1</v>
      </c>
      <c r="G128">
        <f t="shared" si="4"/>
        <v>2</v>
      </c>
      <c r="H128" s="3" t="s">
        <v>4081</v>
      </c>
      <c r="I128" s="6" t="str">
        <f t="shared" si="5"/>
        <v>01020127</v>
      </c>
    </row>
    <row r="129" spans="1:9" x14ac:dyDescent="0.3">
      <c r="A129">
        <v>128</v>
      </c>
      <c r="B129" s="6">
        <v>1107038099</v>
      </c>
      <c r="C129" t="str">
        <f>VLOOKUP(B129,[1]BD_FINAL!$A:$H,2,FALSE)</f>
        <v>Andrés felipe</v>
      </c>
      <c r="D129" t="str">
        <f>VLOOKUP(B129,[1]BD_FINAL!$A:$H,3,FALSE)</f>
        <v>Cali</v>
      </c>
      <c r="E129" t="str">
        <f>VLOOKUP(B129,[1]BD_FINAL!$A:$H,8,FALSE)</f>
        <v>Tratamiento</v>
      </c>
      <c r="F129" s="2">
        <f t="shared" si="3"/>
        <v>1</v>
      </c>
      <c r="G129">
        <f t="shared" si="4"/>
        <v>2</v>
      </c>
      <c r="H129" s="3" t="s">
        <v>4082</v>
      </c>
      <c r="I129" s="6" t="str">
        <f t="shared" si="5"/>
        <v>01020128</v>
      </c>
    </row>
    <row r="130" spans="1:9" x14ac:dyDescent="0.3">
      <c r="A130">
        <v>129</v>
      </c>
      <c r="B130" s="6">
        <v>1107062248</v>
      </c>
      <c r="C130" t="str">
        <f>VLOOKUP(B130,[1]BD_FINAL!$A:$H,2,FALSE)</f>
        <v>Zoraida</v>
      </c>
      <c r="D130" t="str">
        <f>VLOOKUP(B130,[1]BD_FINAL!$A:$H,3,FALSE)</f>
        <v>Cali</v>
      </c>
      <c r="E130" t="str">
        <f>VLOOKUP(B130,[1]BD_FINAL!$A:$H,8,FALSE)</f>
        <v>Tratamiento</v>
      </c>
      <c r="F130" s="2">
        <f t="shared" si="3"/>
        <v>1</v>
      </c>
      <c r="G130">
        <f t="shared" si="4"/>
        <v>2</v>
      </c>
      <c r="H130" s="3" t="s">
        <v>4083</v>
      </c>
      <c r="I130" s="6" t="str">
        <f t="shared" si="5"/>
        <v>01020129</v>
      </c>
    </row>
    <row r="131" spans="1:9" x14ac:dyDescent="0.3">
      <c r="A131">
        <v>130</v>
      </c>
      <c r="B131" s="6">
        <v>1107077651</v>
      </c>
      <c r="C131" t="str">
        <f>VLOOKUP(B131,[1]BD_FINAL!$A:$H,2,FALSE)</f>
        <v>YULI FERNANDA</v>
      </c>
      <c r="D131" t="str">
        <f>VLOOKUP(B131,[1]BD_FINAL!$A:$H,3,FALSE)</f>
        <v>Cali</v>
      </c>
      <c r="E131" t="str">
        <f>VLOOKUP(B131,[1]BD_FINAL!$A:$H,8,FALSE)</f>
        <v>Control</v>
      </c>
      <c r="F131" s="2">
        <f t="shared" ref="F131:F194" si="6">IF(E131="CONTROL",0,1)</f>
        <v>0</v>
      </c>
      <c r="G131">
        <f t="shared" ref="G131:G194" si="7">IF(D131="Medellin",1,IF(D131="Cali",2,IF(D131="Baranquilla",3,0)))</f>
        <v>2</v>
      </c>
      <c r="H131" s="3" t="s">
        <v>4084</v>
      </c>
      <c r="I131" s="6" t="str">
        <f t="shared" ref="I131:I194" si="8">_xlfn.CONCAT(0,F131,0,G131,H131)</f>
        <v>00020130</v>
      </c>
    </row>
    <row r="132" spans="1:9" x14ac:dyDescent="0.3">
      <c r="A132">
        <v>131</v>
      </c>
      <c r="B132" s="6">
        <v>1107082402</v>
      </c>
      <c r="C132" t="str">
        <f>VLOOKUP(B132,[1]BD_FINAL!$A:$H,2,FALSE)</f>
        <v>MAYRA ALEJANDRA</v>
      </c>
      <c r="D132" t="str">
        <f>VLOOKUP(B132,[1]BD_FINAL!$A:$H,3,FALSE)</f>
        <v>Cali</v>
      </c>
      <c r="E132" t="str">
        <f>VLOOKUP(B132,[1]BD_FINAL!$A:$H,8,FALSE)</f>
        <v>Tratamiento</v>
      </c>
      <c r="F132" s="2">
        <f t="shared" si="6"/>
        <v>1</v>
      </c>
      <c r="G132">
        <f t="shared" si="7"/>
        <v>2</v>
      </c>
      <c r="H132" s="3" t="s">
        <v>4085</v>
      </c>
      <c r="I132" s="6" t="str">
        <f t="shared" si="8"/>
        <v>01020131</v>
      </c>
    </row>
    <row r="133" spans="1:9" x14ac:dyDescent="0.3">
      <c r="A133">
        <v>132</v>
      </c>
      <c r="B133" s="6">
        <v>1107090332</v>
      </c>
      <c r="C133" t="str">
        <f>VLOOKUP(B133,[1]BD_FINAL!$A:$H,2,FALSE)</f>
        <v>Lina marcela</v>
      </c>
      <c r="D133" t="str">
        <f>VLOOKUP(B133,[1]BD_FINAL!$A:$H,3,FALSE)</f>
        <v>Cali</v>
      </c>
      <c r="E133" t="str">
        <f>VLOOKUP(B133,[1]BD_FINAL!$A:$H,8,FALSE)</f>
        <v>Control</v>
      </c>
      <c r="F133" s="2">
        <f t="shared" si="6"/>
        <v>0</v>
      </c>
      <c r="G133">
        <f t="shared" si="7"/>
        <v>2</v>
      </c>
      <c r="H133" s="3" t="s">
        <v>4086</v>
      </c>
      <c r="I133" s="6" t="str">
        <f t="shared" si="8"/>
        <v>00020132</v>
      </c>
    </row>
    <row r="134" spans="1:9" x14ac:dyDescent="0.3">
      <c r="A134">
        <v>133</v>
      </c>
      <c r="B134" s="6">
        <v>1107096112</v>
      </c>
      <c r="C134" t="str">
        <f>VLOOKUP(B134,[1]BD_FINAL!$A:$H,2,FALSE)</f>
        <v xml:space="preserve">Jo
Jonathan </v>
      </c>
      <c r="D134" t="str">
        <f>VLOOKUP(B134,[1]BD_FINAL!$A:$H,3,FALSE)</f>
        <v>Cali</v>
      </c>
      <c r="E134" t="str">
        <f>VLOOKUP(B134,[1]BD_FINAL!$A:$H,8,FALSE)</f>
        <v>Control</v>
      </c>
      <c r="F134" s="2">
        <f t="shared" si="6"/>
        <v>0</v>
      </c>
      <c r="G134">
        <f t="shared" si="7"/>
        <v>2</v>
      </c>
      <c r="H134" s="3" t="s">
        <v>4087</v>
      </c>
      <c r="I134" s="6" t="str">
        <f t="shared" si="8"/>
        <v>00020133</v>
      </c>
    </row>
    <row r="135" spans="1:9" x14ac:dyDescent="0.3">
      <c r="A135">
        <v>134</v>
      </c>
      <c r="B135" s="6">
        <v>1107101692</v>
      </c>
      <c r="C135" t="str">
        <f>VLOOKUP(B135,[1]BD_FINAL!$A:$H,2,FALSE)</f>
        <v xml:space="preserve">Lorena </v>
      </c>
      <c r="D135" t="str">
        <f>VLOOKUP(B135,[1]BD_FINAL!$A:$H,3,FALSE)</f>
        <v>Cali</v>
      </c>
      <c r="E135" t="str">
        <f>VLOOKUP(B135,[1]BD_FINAL!$A:$H,8,FALSE)</f>
        <v>Tratamiento</v>
      </c>
      <c r="F135" s="2">
        <f t="shared" si="6"/>
        <v>1</v>
      </c>
      <c r="G135">
        <f t="shared" si="7"/>
        <v>2</v>
      </c>
      <c r="H135" s="3" t="s">
        <v>4088</v>
      </c>
      <c r="I135" s="6" t="str">
        <f t="shared" si="8"/>
        <v>01020134</v>
      </c>
    </row>
    <row r="136" spans="1:9" x14ac:dyDescent="0.3">
      <c r="A136">
        <v>135</v>
      </c>
      <c r="B136" s="6">
        <v>1107511494</v>
      </c>
      <c r="C136" t="str">
        <f>VLOOKUP(B136,[1]BD_FINAL!$A:$H,2,FALSE)</f>
        <v>Luis Fernando</v>
      </c>
      <c r="D136" t="str">
        <f>VLOOKUP(B136,[1]BD_FINAL!$A:$H,3,FALSE)</f>
        <v>Cali</v>
      </c>
      <c r="E136" t="str">
        <f>VLOOKUP(B136,[1]BD_FINAL!$A:$H,8,FALSE)</f>
        <v>Control</v>
      </c>
      <c r="F136" s="2">
        <f t="shared" si="6"/>
        <v>0</v>
      </c>
      <c r="G136">
        <f t="shared" si="7"/>
        <v>2</v>
      </c>
      <c r="H136" s="3" t="s">
        <v>4089</v>
      </c>
      <c r="I136" s="6" t="str">
        <f t="shared" si="8"/>
        <v>00020135</v>
      </c>
    </row>
    <row r="137" spans="1:9" x14ac:dyDescent="0.3">
      <c r="A137">
        <v>136</v>
      </c>
      <c r="B137" s="6">
        <v>1107511973</v>
      </c>
      <c r="C137" t="str">
        <f>VLOOKUP(B137,[1]BD_FINAL!$A:$H,2,FALSE)</f>
        <v>Mery maritza</v>
      </c>
      <c r="D137" t="str">
        <f>VLOOKUP(B137,[1]BD_FINAL!$A:$H,3,FALSE)</f>
        <v>Cali</v>
      </c>
      <c r="E137" t="str">
        <f>VLOOKUP(B137,[1]BD_FINAL!$A:$H,8,FALSE)</f>
        <v>Control</v>
      </c>
      <c r="F137" s="2">
        <f t="shared" si="6"/>
        <v>0</v>
      </c>
      <c r="G137">
        <f t="shared" si="7"/>
        <v>2</v>
      </c>
      <c r="H137" s="3" t="s">
        <v>4090</v>
      </c>
      <c r="I137" s="6" t="str">
        <f t="shared" si="8"/>
        <v>00020136</v>
      </c>
    </row>
    <row r="138" spans="1:9" x14ac:dyDescent="0.3">
      <c r="A138">
        <v>137</v>
      </c>
      <c r="B138" s="6">
        <v>1107528203</v>
      </c>
      <c r="C138" t="str">
        <f>VLOOKUP(B138,[1]BD_FINAL!$A:$H,2,FALSE)</f>
        <v xml:space="preserve">Jon jarol </v>
      </c>
      <c r="D138" t="str">
        <f>VLOOKUP(B138,[1]BD_FINAL!$A:$H,3,FALSE)</f>
        <v>Cali</v>
      </c>
      <c r="E138" t="str">
        <f>VLOOKUP(B138,[1]BD_FINAL!$A:$H,8,FALSE)</f>
        <v>Tratamiento</v>
      </c>
      <c r="F138" s="2">
        <f t="shared" si="6"/>
        <v>1</v>
      </c>
      <c r="G138">
        <f t="shared" si="7"/>
        <v>2</v>
      </c>
      <c r="H138" s="3" t="s">
        <v>4091</v>
      </c>
      <c r="I138" s="6" t="str">
        <f t="shared" si="8"/>
        <v>01020137</v>
      </c>
    </row>
    <row r="139" spans="1:9" x14ac:dyDescent="0.3">
      <c r="A139">
        <v>138</v>
      </c>
      <c r="B139" s="6">
        <v>1108641125</v>
      </c>
      <c r="C139" t="str">
        <f>VLOOKUP(B139,[1]BD_FINAL!$A:$H,2,FALSE)</f>
        <v xml:space="preserve">Juan Sebastián </v>
      </c>
      <c r="D139" t="str">
        <f>VLOOKUP(B139,[1]BD_FINAL!$A:$H,3,FALSE)</f>
        <v>Cali</v>
      </c>
      <c r="E139" t="str">
        <f>VLOOKUP(B139,[1]BD_FINAL!$A:$H,8,FALSE)</f>
        <v>Control</v>
      </c>
      <c r="F139" s="2">
        <f t="shared" si="6"/>
        <v>0</v>
      </c>
      <c r="G139">
        <f t="shared" si="7"/>
        <v>2</v>
      </c>
      <c r="H139" s="3" t="s">
        <v>4092</v>
      </c>
      <c r="I139" s="6" t="str">
        <f t="shared" si="8"/>
        <v>00020138</v>
      </c>
    </row>
    <row r="140" spans="1:9" x14ac:dyDescent="0.3">
      <c r="A140">
        <v>139</v>
      </c>
      <c r="B140" s="6">
        <v>1112459228</v>
      </c>
      <c r="C140" t="str">
        <f>VLOOKUP(B140,[1]BD_FINAL!$A:$H,2,FALSE)</f>
        <v>Paola</v>
      </c>
      <c r="D140" t="str">
        <f>VLOOKUP(B140,[1]BD_FINAL!$A:$H,3,FALSE)</f>
        <v>Cali</v>
      </c>
      <c r="E140" t="str">
        <f>VLOOKUP(B140,[1]BD_FINAL!$A:$H,8,FALSE)</f>
        <v>Tratamiento</v>
      </c>
      <c r="F140" s="2">
        <f t="shared" si="6"/>
        <v>1</v>
      </c>
      <c r="G140">
        <f t="shared" si="7"/>
        <v>2</v>
      </c>
      <c r="H140" s="3" t="s">
        <v>4093</v>
      </c>
      <c r="I140" s="6" t="str">
        <f t="shared" si="8"/>
        <v>01020139</v>
      </c>
    </row>
    <row r="141" spans="1:9" x14ac:dyDescent="0.3">
      <c r="A141">
        <v>140</v>
      </c>
      <c r="B141" s="6">
        <v>1112460885</v>
      </c>
      <c r="C141" t="str">
        <f>VLOOKUP(B141,[1]BD_FINAL!$A:$H,2,FALSE)</f>
        <v>Argenis</v>
      </c>
      <c r="D141" t="str">
        <f>VLOOKUP(B141,[1]BD_FINAL!$A:$H,3,FALSE)</f>
        <v>Cali</v>
      </c>
      <c r="E141" t="str">
        <f>VLOOKUP(B141,[1]BD_FINAL!$A:$H,8,FALSE)</f>
        <v>Tratamiento</v>
      </c>
      <c r="F141" s="2">
        <f t="shared" si="6"/>
        <v>1</v>
      </c>
      <c r="G141">
        <f t="shared" si="7"/>
        <v>2</v>
      </c>
      <c r="H141" s="3" t="s">
        <v>4094</v>
      </c>
      <c r="I141" s="6" t="str">
        <f t="shared" si="8"/>
        <v>01020140</v>
      </c>
    </row>
    <row r="142" spans="1:9" x14ac:dyDescent="0.3">
      <c r="A142">
        <v>141</v>
      </c>
      <c r="B142" s="6">
        <v>1112464691</v>
      </c>
      <c r="C142" t="str">
        <f>VLOOKUP(B142,[1]BD_FINAL!$A:$H,2,FALSE)</f>
        <v>Carlos Alberto</v>
      </c>
      <c r="D142" t="str">
        <f>VLOOKUP(B142,[1]BD_FINAL!$A:$H,3,FALSE)</f>
        <v>Cali</v>
      </c>
      <c r="E142" t="str">
        <f>VLOOKUP(B142,[1]BD_FINAL!$A:$H,8,FALSE)</f>
        <v>Tratamiento</v>
      </c>
      <c r="F142" s="2">
        <f t="shared" si="6"/>
        <v>1</v>
      </c>
      <c r="G142">
        <f t="shared" si="7"/>
        <v>2</v>
      </c>
      <c r="H142" s="3" t="s">
        <v>4095</v>
      </c>
      <c r="I142" s="6" t="str">
        <f t="shared" si="8"/>
        <v>01020141</v>
      </c>
    </row>
    <row r="143" spans="1:9" x14ac:dyDescent="0.3">
      <c r="A143">
        <v>142</v>
      </c>
      <c r="B143" s="6">
        <v>1112473004</v>
      </c>
      <c r="C143" t="str">
        <f>VLOOKUP(B143,[1]BD_FINAL!$A:$H,2,FALSE)</f>
        <v xml:space="preserve">María cielo </v>
      </c>
      <c r="D143" t="str">
        <f>VLOOKUP(B143,[1]BD_FINAL!$A:$H,3,FALSE)</f>
        <v>Cali</v>
      </c>
      <c r="E143" t="str">
        <f>VLOOKUP(B143,[1]BD_FINAL!$A:$H,8,FALSE)</f>
        <v>Control</v>
      </c>
      <c r="F143" s="2">
        <f t="shared" si="6"/>
        <v>0</v>
      </c>
      <c r="G143">
        <f t="shared" si="7"/>
        <v>2</v>
      </c>
      <c r="H143" s="3" t="s">
        <v>4096</v>
      </c>
      <c r="I143" s="6" t="str">
        <f t="shared" si="8"/>
        <v>00020142</v>
      </c>
    </row>
    <row r="144" spans="1:9" x14ac:dyDescent="0.3">
      <c r="A144">
        <v>143</v>
      </c>
      <c r="B144" s="6">
        <v>1114729169</v>
      </c>
      <c r="C144" t="str">
        <f>VLOOKUP(B144,[1]BD_FINAL!$A:$H,2,FALSE)</f>
        <v>Diana Marcela</v>
      </c>
      <c r="D144" t="str">
        <f>VLOOKUP(B144,[1]BD_FINAL!$A:$H,3,FALSE)</f>
        <v>Cali</v>
      </c>
      <c r="E144" t="str">
        <f>VLOOKUP(B144,[1]BD_FINAL!$A:$H,8,FALSE)</f>
        <v>Tratamiento</v>
      </c>
      <c r="F144" s="2">
        <f t="shared" si="6"/>
        <v>1</v>
      </c>
      <c r="G144">
        <f t="shared" si="7"/>
        <v>2</v>
      </c>
      <c r="H144" s="3" t="s">
        <v>4097</v>
      </c>
      <c r="I144" s="6" t="str">
        <f t="shared" si="8"/>
        <v>01020143</v>
      </c>
    </row>
    <row r="145" spans="1:9" x14ac:dyDescent="0.3">
      <c r="A145">
        <v>144</v>
      </c>
      <c r="B145" s="6">
        <v>1114731315</v>
      </c>
      <c r="C145" t="str">
        <f>VLOOKUP(B145,[1]BD_FINAL!$A:$H,2,FALSE)</f>
        <v>DIANA MILENA</v>
      </c>
      <c r="D145" t="str">
        <f>VLOOKUP(B145,[1]BD_FINAL!$A:$H,3,FALSE)</f>
        <v>Cali</v>
      </c>
      <c r="E145" t="str">
        <f>VLOOKUP(B145,[1]BD_FINAL!$A:$H,8,FALSE)</f>
        <v>Control</v>
      </c>
      <c r="F145" s="2">
        <f t="shared" si="6"/>
        <v>0</v>
      </c>
      <c r="G145">
        <f t="shared" si="7"/>
        <v>2</v>
      </c>
      <c r="H145" s="3" t="s">
        <v>4098</v>
      </c>
      <c r="I145" s="6" t="str">
        <f t="shared" si="8"/>
        <v>00020144</v>
      </c>
    </row>
    <row r="146" spans="1:9" x14ac:dyDescent="0.3">
      <c r="A146">
        <v>145</v>
      </c>
      <c r="B146" s="6">
        <v>1118256990</v>
      </c>
      <c r="C146" t="str">
        <f>VLOOKUP(B146,[1]BD_FINAL!$A:$H,2,FALSE)</f>
        <v xml:space="preserve">Yorleny </v>
      </c>
      <c r="D146" t="str">
        <f>VLOOKUP(B146,[1]BD_FINAL!$A:$H,3,FALSE)</f>
        <v>Cali</v>
      </c>
      <c r="E146" t="str">
        <f>VLOOKUP(B146,[1]BD_FINAL!$A:$H,8,FALSE)</f>
        <v>Tratamiento</v>
      </c>
      <c r="F146" s="2">
        <f t="shared" si="6"/>
        <v>1</v>
      </c>
      <c r="G146">
        <f t="shared" si="7"/>
        <v>2</v>
      </c>
      <c r="H146" s="3" t="s">
        <v>4099</v>
      </c>
      <c r="I146" s="6" t="str">
        <f t="shared" si="8"/>
        <v>01020145</v>
      </c>
    </row>
    <row r="147" spans="1:9" x14ac:dyDescent="0.3">
      <c r="A147">
        <v>146</v>
      </c>
      <c r="B147" s="6">
        <v>1128165897</v>
      </c>
      <c r="C147" t="str">
        <f>VLOOKUP(B147,[1]BD_FINAL!$A:$H,2,FALSE)</f>
        <v xml:space="preserve">Carmen </v>
      </c>
      <c r="D147" t="str">
        <f>VLOOKUP(B147,[1]BD_FINAL!$A:$H,3,FALSE)</f>
        <v>Baranquilla</v>
      </c>
      <c r="E147" t="str">
        <f>VLOOKUP(B147,[1]BD_FINAL!$A:$H,8,FALSE)</f>
        <v>Control</v>
      </c>
      <c r="F147" s="2">
        <f t="shared" si="6"/>
        <v>0</v>
      </c>
      <c r="G147">
        <f t="shared" si="7"/>
        <v>3</v>
      </c>
      <c r="H147" s="3" t="s">
        <v>4100</v>
      </c>
      <c r="I147" s="6" t="str">
        <f t="shared" si="8"/>
        <v>00030146</v>
      </c>
    </row>
    <row r="148" spans="1:9" x14ac:dyDescent="0.3">
      <c r="A148">
        <v>147</v>
      </c>
      <c r="B148" s="6">
        <v>1128271580</v>
      </c>
      <c r="C148" t="str">
        <f>VLOOKUP(B148,[1]BD_FINAL!$A:$H,2,FALSE)</f>
        <v xml:space="preserve">Edelmira </v>
      </c>
      <c r="D148" t="str">
        <f>VLOOKUP(B148,[1]BD_FINAL!$A:$H,3,FALSE)</f>
        <v>Medellin</v>
      </c>
      <c r="E148" t="str">
        <f>VLOOKUP(B148,[1]BD_FINAL!$A:$H,8,FALSE)</f>
        <v>Tratamiento</v>
      </c>
      <c r="F148" s="2">
        <f t="shared" si="6"/>
        <v>1</v>
      </c>
      <c r="G148">
        <f t="shared" si="7"/>
        <v>1</v>
      </c>
      <c r="H148" s="3" t="s">
        <v>4101</v>
      </c>
      <c r="I148" s="6" t="str">
        <f t="shared" si="8"/>
        <v>01010147</v>
      </c>
    </row>
    <row r="149" spans="1:9" x14ac:dyDescent="0.3">
      <c r="A149">
        <v>148</v>
      </c>
      <c r="B149" s="6">
        <v>1128407663</v>
      </c>
      <c r="C149" t="str">
        <f>VLOOKUP(B149,[1]BD_FINAL!$A:$H,2,FALSE)</f>
        <v xml:space="preserve">Natalia </v>
      </c>
      <c r="D149" t="str">
        <f>VLOOKUP(B149,[1]BD_FINAL!$A:$H,3,FALSE)</f>
        <v>Medellin</v>
      </c>
      <c r="E149" t="str">
        <f>VLOOKUP(B149,[1]BD_FINAL!$A:$H,8,FALSE)</f>
        <v>Control</v>
      </c>
      <c r="F149" s="2">
        <f t="shared" si="6"/>
        <v>0</v>
      </c>
      <c r="G149">
        <f t="shared" si="7"/>
        <v>1</v>
      </c>
      <c r="H149" s="3" t="s">
        <v>4102</v>
      </c>
      <c r="I149" s="6" t="str">
        <f t="shared" si="8"/>
        <v>00010148</v>
      </c>
    </row>
    <row r="150" spans="1:9" x14ac:dyDescent="0.3">
      <c r="A150">
        <v>149</v>
      </c>
      <c r="B150" s="6">
        <v>1128424631</v>
      </c>
      <c r="C150" t="str">
        <f>VLOOKUP(B150,[1]BD_FINAL!$A:$H,2,FALSE)</f>
        <v>Yesica alexandra</v>
      </c>
      <c r="D150" t="str">
        <f>VLOOKUP(B150,[1]BD_FINAL!$A:$H,3,FALSE)</f>
        <v>Medellin</v>
      </c>
      <c r="E150" t="str">
        <f>VLOOKUP(B150,[1]BD_FINAL!$A:$H,8,FALSE)</f>
        <v>Control</v>
      </c>
      <c r="F150" s="2">
        <f t="shared" si="6"/>
        <v>0</v>
      </c>
      <c r="G150">
        <f t="shared" si="7"/>
        <v>1</v>
      </c>
      <c r="H150" s="3" t="s">
        <v>4103</v>
      </c>
      <c r="I150" s="6" t="str">
        <f t="shared" si="8"/>
        <v>00010149</v>
      </c>
    </row>
    <row r="151" spans="1:9" x14ac:dyDescent="0.3">
      <c r="A151">
        <v>150</v>
      </c>
      <c r="B151" s="6">
        <v>1128424714</v>
      </c>
      <c r="C151" t="str">
        <f>VLOOKUP(B151,[1]BD_FINAL!$A:$H,2,FALSE)</f>
        <v xml:space="preserve">Haidy Tatiana </v>
      </c>
      <c r="D151" t="str">
        <f>VLOOKUP(B151,[1]BD_FINAL!$A:$H,3,FALSE)</f>
        <v>Medellin</v>
      </c>
      <c r="E151" t="str">
        <f>VLOOKUP(B151,[1]BD_FINAL!$A:$H,8,FALSE)</f>
        <v>Control</v>
      </c>
      <c r="F151" s="2">
        <f t="shared" si="6"/>
        <v>0</v>
      </c>
      <c r="G151">
        <f t="shared" si="7"/>
        <v>1</v>
      </c>
      <c r="H151" s="3" t="s">
        <v>4104</v>
      </c>
      <c r="I151" s="6" t="str">
        <f t="shared" si="8"/>
        <v>00010150</v>
      </c>
    </row>
    <row r="152" spans="1:9" x14ac:dyDescent="0.3">
      <c r="A152">
        <v>151</v>
      </c>
      <c r="B152" s="6">
        <v>1128427798</v>
      </c>
      <c r="C152" t="str">
        <f>VLOOKUP(B152,[1]BD_FINAL!$A:$H,2,FALSE)</f>
        <v>Wilson Alexander</v>
      </c>
      <c r="D152" t="str">
        <f>VLOOKUP(B152,[1]BD_FINAL!$A:$H,3,FALSE)</f>
        <v>Medellin</v>
      </c>
      <c r="E152" t="str">
        <f>VLOOKUP(B152,[1]BD_FINAL!$A:$H,8,FALSE)</f>
        <v>Control</v>
      </c>
      <c r="F152" s="2">
        <f t="shared" si="6"/>
        <v>0</v>
      </c>
      <c r="G152">
        <f t="shared" si="7"/>
        <v>1</v>
      </c>
      <c r="H152" s="3" t="s">
        <v>4105</v>
      </c>
      <c r="I152" s="6" t="str">
        <f t="shared" si="8"/>
        <v>00010151</v>
      </c>
    </row>
    <row r="153" spans="1:9" x14ac:dyDescent="0.3">
      <c r="A153">
        <v>152</v>
      </c>
      <c r="B153" s="6">
        <v>1128437441</v>
      </c>
      <c r="C153" t="str">
        <f>VLOOKUP(B153,[1]BD_FINAL!$A:$H,2,FALSE)</f>
        <v xml:space="preserve">Cristian Camilo </v>
      </c>
      <c r="D153" t="str">
        <f>VLOOKUP(B153,[1]BD_FINAL!$A:$H,3,FALSE)</f>
        <v>Medellin</v>
      </c>
      <c r="E153" t="str">
        <f>VLOOKUP(B153,[1]BD_FINAL!$A:$H,8,FALSE)</f>
        <v>Control</v>
      </c>
      <c r="F153" s="2">
        <f t="shared" si="6"/>
        <v>0</v>
      </c>
      <c r="G153">
        <f t="shared" si="7"/>
        <v>1</v>
      </c>
      <c r="H153" s="3" t="s">
        <v>4106</v>
      </c>
      <c r="I153" s="6" t="str">
        <f t="shared" si="8"/>
        <v>00010152</v>
      </c>
    </row>
    <row r="154" spans="1:9" x14ac:dyDescent="0.3">
      <c r="A154">
        <v>153</v>
      </c>
      <c r="B154" s="6">
        <v>1128437636</v>
      </c>
      <c r="C154" t="str">
        <f>VLOOKUP(B154,[1]BD_FINAL!$A:$H,2,FALSE)</f>
        <v>Mishel Alejandra</v>
      </c>
      <c r="D154" t="str">
        <f>VLOOKUP(B154,[1]BD_FINAL!$A:$H,3,FALSE)</f>
        <v>Medellin</v>
      </c>
      <c r="E154" t="str">
        <f>VLOOKUP(B154,[1]BD_FINAL!$A:$H,8,FALSE)</f>
        <v>Control</v>
      </c>
      <c r="F154" s="2">
        <f t="shared" si="6"/>
        <v>0</v>
      </c>
      <c r="G154">
        <f t="shared" si="7"/>
        <v>1</v>
      </c>
      <c r="H154" s="3" t="s">
        <v>4107</v>
      </c>
      <c r="I154" s="6" t="str">
        <f t="shared" si="8"/>
        <v>00010153</v>
      </c>
    </row>
    <row r="155" spans="1:9" x14ac:dyDescent="0.3">
      <c r="A155">
        <v>154</v>
      </c>
      <c r="B155" s="6">
        <v>1128481612</v>
      </c>
      <c r="C155" t="str">
        <f>VLOOKUP(B155,[1]BD_FINAL!$A:$H,2,FALSE)</f>
        <v>Maribel llesid</v>
      </c>
      <c r="D155" t="str">
        <f>VLOOKUP(B155,[1]BD_FINAL!$A:$H,3,FALSE)</f>
        <v>Medellin</v>
      </c>
      <c r="E155" t="str">
        <f>VLOOKUP(B155,[1]BD_FINAL!$A:$H,8,FALSE)</f>
        <v>Control</v>
      </c>
      <c r="F155" s="2">
        <f t="shared" si="6"/>
        <v>0</v>
      </c>
      <c r="G155">
        <f t="shared" si="7"/>
        <v>1</v>
      </c>
      <c r="H155" s="3" t="s">
        <v>4108</v>
      </c>
      <c r="I155" s="6" t="str">
        <f t="shared" si="8"/>
        <v>00010154</v>
      </c>
    </row>
    <row r="156" spans="1:9" x14ac:dyDescent="0.3">
      <c r="A156">
        <v>155</v>
      </c>
      <c r="B156" s="6">
        <v>1129487310</v>
      </c>
      <c r="C156" t="str">
        <f>VLOOKUP(B156,[1]BD_FINAL!$A:$H,2,FALSE)</f>
        <v>Nancy isabel</v>
      </c>
      <c r="D156" t="str">
        <f>VLOOKUP(B156,[1]BD_FINAL!$A:$H,3,FALSE)</f>
        <v>Baranquilla</v>
      </c>
      <c r="E156" t="str">
        <f>VLOOKUP(B156,[1]BD_FINAL!$A:$H,8,FALSE)</f>
        <v>Tratamiento</v>
      </c>
      <c r="F156" s="2">
        <f t="shared" si="6"/>
        <v>1</v>
      </c>
      <c r="G156">
        <f t="shared" si="7"/>
        <v>3</v>
      </c>
      <c r="H156" s="3" t="s">
        <v>4109</v>
      </c>
      <c r="I156" s="6" t="str">
        <f t="shared" si="8"/>
        <v>01030155</v>
      </c>
    </row>
    <row r="157" spans="1:9" x14ac:dyDescent="0.3">
      <c r="A157">
        <v>156</v>
      </c>
      <c r="B157" s="6">
        <v>1129497775</v>
      </c>
      <c r="C157" t="str">
        <f>VLOOKUP(B157,[1]BD_FINAL!$A:$H,2,FALSE)</f>
        <v xml:space="preserve">MARIBEL ESTHER </v>
      </c>
      <c r="D157" t="str">
        <f>VLOOKUP(B157,[1]BD_FINAL!$A:$H,3,FALSE)</f>
        <v>Baranquilla</v>
      </c>
      <c r="E157" t="str">
        <f>VLOOKUP(B157,[1]BD_FINAL!$A:$H,8,FALSE)</f>
        <v>Tratamiento</v>
      </c>
      <c r="F157" s="2">
        <f t="shared" si="6"/>
        <v>1</v>
      </c>
      <c r="G157">
        <f t="shared" si="7"/>
        <v>3</v>
      </c>
      <c r="H157" s="3" t="s">
        <v>4110</v>
      </c>
      <c r="I157" s="6" t="str">
        <f t="shared" si="8"/>
        <v>01030156</v>
      </c>
    </row>
    <row r="158" spans="1:9" x14ac:dyDescent="0.3">
      <c r="A158">
        <v>157</v>
      </c>
      <c r="B158" s="6">
        <v>1129498810</v>
      </c>
      <c r="C158" t="str">
        <f>VLOOKUP(B158,[1]BD_FINAL!$A:$H,2,FALSE)</f>
        <v>Silvia elena</v>
      </c>
      <c r="D158" t="str">
        <f>VLOOKUP(B158,[1]BD_FINAL!$A:$H,3,FALSE)</f>
        <v>Baranquilla</v>
      </c>
      <c r="E158" t="str">
        <f>VLOOKUP(B158,[1]BD_FINAL!$A:$H,8,FALSE)</f>
        <v>Tratamiento</v>
      </c>
      <c r="F158" s="2">
        <f t="shared" si="6"/>
        <v>1</v>
      </c>
      <c r="G158">
        <f t="shared" si="7"/>
        <v>3</v>
      </c>
      <c r="H158" s="3" t="s">
        <v>4111</v>
      </c>
      <c r="I158" s="6" t="str">
        <f t="shared" si="8"/>
        <v>01030157</v>
      </c>
    </row>
    <row r="159" spans="1:9" x14ac:dyDescent="0.3">
      <c r="A159">
        <v>158</v>
      </c>
      <c r="B159" s="6">
        <v>1129504681</v>
      </c>
      <c r="C159" t="str">
        <f>VLOOKUP(B159,[1]BD_FINAL!$A:$H,2,FALSE)</f>
        <v xml:space="preserve">Yanis Andrea </v>
      </c>
      <c r="D159" t="str">
        <f>VLOOKUP(B159,[1]BD_FINAL!$A:$H,3,FALSE)</f>
        <v>Baranquilla</v>
      </c>
      <c r="E159" t="str">
        <f>VLOOKUP(B159,[1]BD_FINAL!$A:$H,8,FALSE)</f>
        <v>Control</v>
      </c>
      <c r="F159" s="2">
        <f t="shared" si="6"/>
        <v>0</v>
      </c>
      <c r="G159">
        <f t="shared" si="7"/>
        <v>3</v>
      </c>
      <c r="H159" s="3" t="s">
        <v>4112</v>
      </c>
      <c r="I159" s="6" t="str">
        <f t="shared" si="8"/>
        <v>00030158</v>
      </c>
    </row>
    <row r="160" spans="1:9" x14ac:dyDescent="0.3">
      <c r="A160">
        <v>159</v>
      </c>
      <c r="B160" s="6">
        <v>1129510023</v>
      </c>
      <c r="C160" t="str">
        <f>VLOOKUP(B160,[1]BD_FINAL!$A:$H,2,FALSE)</f>
        <v>Doris</v>
      </c>
      <c r="D160" t="str">
        <f>VLOOKUP(B160,[1]BD_FINAL!$A:$H,3,FALSE)</f>
        <v>Baranquilla</v>
      </c>
      <c r="E160" t="str">
        <f>VLOOKUP(B160,[1]BD_FINAL!$A:$H,8,FALSE)</f>
        <v>Control</v>
      </c>
      <c r="F160" s="2">
        <f t="shared" si="6"/>
        <v>0</v>
      </c>
      <c r="G160">
        <f t="shared" si="7"/>
        <v>3</v>
      </c>
      <c r="H160" s="3" t="s">
        <v>4113</v>
      </c>
      <c r="I160" s="6" t="str">
        <f t="shared" si="8"/>
        <v>00030159</v>
      </c>
    </row>
    <row r="161" spans="1:9" x14ac:dyDescent="0.3">
      <c r="A161">
        <v>160</v>
      </c>
      <c r="B161" s="6">
        <v>1129514883</v>
      </c>
      <c r="C161" t="str">
        <f>VLOOKUP(B161,[1]BD_FINAL!$A:$H,2,FALSE)</f>
        <v>Osvaldo enrique</v>
      </c>
      <c r="D161" t="str">
        <f>VLOOKUP(B161,[1]BD_FINAL!$A:$H,3,FALSE)</f>
        <v>Baranquilla</v>
      </c>
      <c r="E161" t="str">
        <f>VLOOKUP(B161,[1]BD_FINAL!$A:$H,8,FALSE)</f>
        <v>Control</v>
      </c>
      <c r="F161" s="2">
        <f t="shared" si="6"/>
        <v>0</v>
      </c>
      <c r="G161">
        <f t="shared" si="7"/>
        <v>3</v>
      </c>
      <c r="H161" s="3" t="s">
        <v>4114</v>
      </c>
      <c r="I161" s="6" t="str">
        <f t="shared" si="8"/>
        <v>00030160</v>
      </c>
    </row>
    <row r="162" spans="1:9" x14ac:dyDescent="0.3">
      <c r="A162">
        <v>161</v>
      </c>
      <c r="B162" s="6">
        <v>1129519478</v>
      </c>
      <c r="C162" t="str">
        <f>VLOOKUP(B162,[1]BD_FINAL!$A:$H,2,FALSE)</f>
        <v xml:space="preserve">Griselda </v>
      </c>
      <c r="D162" t="str">
        <f>VLOOKUP(B162,[1]BD_FINAL!$A:$H,3,FALSE)</f>
        <v>Baranquilla</v>
      </c>
      <c r="E162" t="str">
        <f>VLOOKUP(B162,[1]BD_FINAL!$A:$H,8,FALSE)</f>
        <v>Control</v>
      </c>
      <c r="F162" s="2">
        <f t="shared" si="6"/>
        <v>0</v>
      </c>
      <c r="G162">
        <f t="shared" si="7"/>
        <v>3</v>
      </c>
      <c r="H162" s="3" t="s">
        <v>4115</v>
      </c>
      <c r="I162" s="6" t="str">
        <f t="shared" si="8"/>
        <v>00030161</v>
      </c>
    </row>
    <row r="163" spans="1:9" x14ac:dyDescent="0.3">
      <c r="A163">
        <v>162</v>
      </c>
      <c r="B163" s="6">
        <v>1129520081</v>
      </c>
      <c r="C163" t="str">
        <f>VLOOKUP(B163,[1]BD_FINAL!$A:$H,2,FALSE)</f>
        <v xml:space="preserve">Islena isabel </v>
      </c>
      <c r="D163" t="str">
        <f>VLOOKUP(B163,[1]BD_FINAL!$A:$H,3,FALSE)</f>
        <v>Baranquilla</v>
      </c>
      <c r="E163" t="str">
        <f>VLOOKUP(B163,[1]BD_FINAL!$A:$H,8,FALSE)</f>
        <v>Tratamiento</v>
      </c>
      <c r="F163" s="2">
        <f t="shared" si="6"/>
        <v>1</v>
      </c>
      <c r="G163">
        <f t="shared" si="7"/>
        <v>3</v>
      </c>
      <c r="H163" s="3" t="s">
        <v>4116</v>
      </c>
      <c r="I163" s="6" t="str">
        <f t="shared" si="8"/>
        <v>01030162</v>
      </c>
    </row>
    <row r="164" spans="1:9" x14ac:dyDescent="0.3">
      <c r="A164">
        <v>163</v>
      </c>
      <c r="B164" s="6">
        <v>1129543553</v>
      </c>
      <c r="C164" t="str">
        <f>VLOOKUP(B164,[1]BD_FINAL!$A:$H,2,FALSE)</f>
        <v xml:space="preserve">Ilder </v>
      </c>
      <c r="D164" t="str">
        <f>VLOOKUP(B164,[1]BD_FINAL!$A:$H,3,FALSE)</f>
        <v>Baranquilla</v>
      </c>
      <c r="E164" t="str">
        <f>VLOOKUP(B164,[1]BD_FINAL!$A:$H,8,FALSE)</f>
        <v>Control</v>
      </c>
      <c r="F164" s="2">
        <f t="shared" si="6"/>
        <v>0</v>
      </c>
      <c r="G164">
        <f t="shared" si="7"/>
        <v>3</v>
      </c>
      <c r="H164" s="3" t="s">
        <v>4117</v>
      </c>
      <c r="I164" s="6" t="str">
        <f t="shared" si="8"/>
        <v>00030163</v>
      </c>
    </row>
    <row r="165" spans="1:9" x14ac:dyDescent="0.3">
      <c r="A165">
        <v>164</v>
      </c>
      <c r="B165" s="6">
        <v>1129565229</v>
      </c>
      <c r="C165" t="str">
        <f>VLOOKUP(B165,[1]BD_FINAL!$A:$H,2,FALSE)</f>
        <v>Lisbeth</v>
      </c>
      <c r="D165" t="str">
        <f>VLOOKUP(B165,[1]BD_FINAL!$A:$H,3,FALSE)</f>
        <v>Baranquilla</v>
      </c>
      <c r="E165" t="str">
        <f>VLOOKUP(B165,[1]BD_FINAL!$A:$H,8,FALSE)</f>
        <v>Control</v>
      </c>
      <c r="F165" s="2">
        <f t="shared" si="6"/>
        <v>0</v>
      </c>
      <c r="G165">
        <f t="shared" si="7"/>
        <v>3</v>
      </c>
      <c r="H165" s="3" t="s">
        <v>4118</v>
      </c>
      <c r="I165" s="6" t="str">
        <f t="shared" si="8"/>
        <v>00030164</v>
      </c>
    </row>
    <row r="166" spans="1:9" x14ac:dyDescent="0.3">
      <c r="A166">
        <v>165</v>
      </c>
      <c r="B166" s="6">
        <v>1129566300</v>
      </c>
      <c r="C166" t="str">
        <f>VLOOKUP(B166,[1]BD_FINAL!$A:$H,2,FALSE)</f>
        <v xml:space="preserve">Katherine paola </v>
      </c>
      <c r="D166" t="str">
        <f>VLOOKUP(B166,[1]BD_FINAL!$A:$H,3,FALSE)</f>
        <v>Baranquilla</v>
      </c>
      <c r="E166" t="str">
        <f>VLOOKUP(B166,[1]BD_FINAL!$A:$H,8,FALSE)</f>
        <v>Tratamiento</v>
      </c>
      <c r="F166" s="2">
        <f t="shared" si="6"/>
        <v>1</v>
      </c>
      <c r="G166">
        <f t="shared" si="7"/>
        <v>3</v>
      </c>
      <c r="H166" s="3" t="s">
        <v>4119</v>
      </c>
      <c r="I166" s="6" t="str">
        <f t="shared" si="8"/>
        <v>01030165</v>
      </c>
    </row>
    <row r="167" spans="1:9" x14ac:dyDescent="0.3">
      <c r="A167">
        <v>166</v>
      </c>
      <c r="B167" s="6">
        <v>1129583301</v>
      </c>
      <c r="C167" t="str">
        <f>VLOOKUP(B167,[1]BD_FINAL!$A:$H,2,FALSE)</f>
        <v xml:space="preserve">Yasmila Isabel </v>
      </c>
      <c r="D167" t="str">
        <f>VLOOKUP(B167,[1]BD_FINAL!$A:$H,3,FALSE)</f>
        <v>Baranquilla</v>
      </c>
      <c r="E167" t="str">
        <f>VLOOKUP(B167,[1]BD_FINAL!$A:$H,8,FALSE)</f>
        <v>Control</v>
      </c>
      <c r="F167" s="2">
        <f t="shared" si="6"/>
        <v>0</v>
      </c>
      <c r="G167">
        <f t="shared" si="7"/>
        <v>3</v>
      </c>
      <c r="H167" s="3" t="s">
        <v>4120</v>
      </c>
      <c r="I167" s="6" t="str">
        <f t="shared" si="8"/>
        <v>00030166</v>
      </c>
    </row>
    <row r="168" spans="1:9" x14ac:dyDescent="0.3">
      <c r="A168">
        <v>167</v>
      </c>
      <c r="B168" s="6">
        <v>1130590826</v>
      </c>
      <c r="C168" t="str">
        <f>VLOOKUP(B168,[1]BD_FINAL!$A:$H,2,FALSE)</f>
        <v>Luis Angel</v>
      </c>
      <c r="D168" t="str">
        <f>VLOOKUP(B168,[1]BD_FINAL!$A:$H,3,FALSE)</f>
        <v>Cali</v>
      </c>
      <c r="E168" t="str">
        <f>VLOOKUP(B168,[1]BD_FINAL!$A:$H,8,FALSE)</f>
        <v>Tratamiento</v>
      </c>
      <c r="F168" s="2">
        <f t="shared" si="6"/>
        <v>1</v>
      </c>
      <c r="G168">
        <f t="shared" si="7"/>
        <v>2</v>
      </c>
      <c r="H168" s="3" t="s">
        <v>4121</v>
      </c>
      <c r="I168" s="6" t="str">
        <f t="shared" si="8"/>
        <v>01020167</v>
      </c>
    </row>
    <row r="169" spans="1:9" x14ac:dyDescent="0.3">
      <c r="A169">
        <v>168</v>
      </c>
      <c r="B169" s="6">
        <v>1130591575</v>
      </c>
      <c r="C169" t="str">
        <f>VLOOKUP(B169,[1]BD_FINAL!$A:$H,2,FALSE)</f>
        <v>Marlen</v>
      </c>
      <c r="D169" t="str">
        <f>VLOOKUP(B169,[1]BD_FINAL!$A:$H,3,FALSE)</f>
        <v>Cali</v>
      </c>
      <c r="E169" t="str">
        <f>VLOOKUP(B169,[1]BD_FINAL!$A:$H,8,FALSE)</f>
        <v>Tratamiento</v>
      </c>
      <c r="F169" s="2">
        <f t="shared" si="6"/>
        <v>1</v>
      </c>
      <c r="G169">
        <f t="shared" si="7"/>
        <v>2</v>
      </c>
      <c r="H169" s="3" t="s">
        <v>4122</v>
      </c>
      <c r="I169" s="6" t="str">
        <f t="shared" si="8"/>
        <v>01020168</v>
      </c>
    </row>
    <row r="170" spans="1:9" x14ac:dyDescent="0.3">
      <c r="A170">
        <v>169</v>
      </c>
      <c r="B170" s="6">
        <v>1130594662</v>
      </c>
      <c r="C170" t="str">
        <f>VLOOKUP(B170,[1]BD_FINAL!$A:$H,2,FALSE)</f>
        <v>Julián</v>
      </c>
      <c r="D170" t="str">
        <f>VLOOKUP(B170,[1]BD_FINAL!$A:$H,3,FALSE)</f>
        <v>Cali</v>
      </c>
      <c r="E170" t="str">
        <f>VLOOKUP(B170,[1]BD_FINAL!$A:$H,8,FALSE)</f>
        <v>Control</v>
      </c>
      <c r="F170" s="2">
        <f t="shared" si="6"/>
        <v>0</v>
      </c>
      <c r="G170">
        <f t="shared" si="7"/>
        <v>2</v>
      </c>
      <c r="H170" s="3" t="s">
        <v>4123</v>
      </c>
      <c r="I170" s="6" t="str">
        <f t="shared" si="8"/>
        <v>00020169</v>
      </c>
    </row>
    <row r="171" spans="1:9" x14ac:dyDescent="0.3">
      <c r="A171">
        <v>170</v>
      </c>
      <c r="B171" s="6">
        <v>1130598844</v>
      </c>
      <c r="C171" t="str">
        <f>VLOOKUP(B171,[1]BD_FINAL!$A:$H,2,FALSE)</f>
        <v>Jaime</v>
      </c>
      <c r="D171" t="str">
        <f>VLOOKUP(B171,[1]BD_FINAL!$A:$H,3,FALSE)</f>
        <v>Cali</v>
      </c>
      <c r="E171" t="str">
        <f>VLOOKUP(B171,[1]BD_FINAL!$A:$H,8,FALSE)</f>
        <v>Control</v>
      </c>
      <c r="F171" s="2">
        <f t="shared" si="6"/>
        <v>0</v>
      </c>
      <c r="G171">
        <f t="shared" si="7"/>
        <v>2</v>
      </c>
      <c r="H171" s="3" t="s">
        <v>4124</v>
      </c>
      <c r="I171" s="6" t="str">
        <f t="shared" si="8"/>
        <v>00020170</v>
      </c>
    </row>
    <row r="172" spans="1:9" x14ac:dyDescent="0.3">
      <c r="A172">
        <v>171</v>
      </c>
      <c r="B172" s="6">
        <v>1130599678</v>
      </c>
      <c r="C172" t="str">
        <f>VLOOKUP(B172,[1]BD_FINAL!$A:$H,2,FALSE)</f>
        <v>Nataly</v>
      </c>
      <c r="D172" t="str">
        <f>VLOOKUP(B172,[1]BD_FINAL!$A:$H,3,FALSE)</f>
        <v>Cali</v>
      </c>
      <c r="E172" t="str">
        <f>VLOOKUP(B172,[1]BD_FINAL!$A:$H,8,FALSE)</f>
        <v>Control</v>
      </c>
      <c r="F172" s="2">
        <f t="shared" si="6"/>
        <v>0</v>
      </c>
      <c r="G172">
        <f t="shared" si="7"/>
        <v>2</v>
      </c>
      <c r="H172" s="3" t="s">
        <v>4125</v>
      </c>
      <c r="I172" s="6" t="str">
        <f t="shared" si="8"/>
        <v>00020171</v>
      </c>
    </row>
    <row r="173" spans="1:9" x14ac:dyDescent="0.3">
      <c r="A173">
        <v>172</v>
      </c>
      <c r="B173" s="6">
        <v>1130602891</v>
      </c>
      <c r="C173" t="str">
        <f>VLOOKUP(B173,[1]BD_FINAL!$A:$H,2,FALSE)</f>
        <v>HARRISON ANDRES</v>
      </c>
      <c r="D173" t="str">
        <f>VLOOKUP(B173,[1]BD_FINAL!$A:$H,3,FALSE)</f>
        <v>Cali</v>
      </c>
      <c r="E173" t="str">
        <f>VLOOKUP(B173,[1]BD_FINAL!$A:$H,8,FALSE)</f>
        <v>Control</v>
      </c>
      <c r="F173" s="2">
        <f t="shared" si="6"/>
        <v>0</v>
      </c>
      <c r="G173">
        <f t="shared" si="7"/>
        <v>2</v>
      </c>
      <c r="H173" s="3" t="s">
        <v>4126</v>
      </c>
      <c r="I173" s="6" t="str">
        <f t="shared" si="8"/>
        <v>00020172</v>
      </c>
    </row>
    <row r="174" spans="1:9" x14ac:dyDescent="0.3">
      <c r="A174">
        <v>173</v>
      </c>
      <c r="B174" s="6">
        <v>1130609656</v>
      </c>
      <c r="C174" t="str">
        <f>VLOOKUP(B174,[1]BD_FINAL!$A:$H,2,FALSE)</f>
        <v>Sonia Janeth</v>
      </c>
      <c r="D174" t="str">
        <f>VLOOKUP(B174,[1]BD_FINAL!$A:$H,3,FALSE)</f>
        <v>Cali</v>
      </c>
      <c r="E174" t="str">
        <f>VLOOKUP(B174,[1]BD_FINAL!$A:$H,8,FALSE)</f>
        <v>Tratamiento</v>
      </c>
      <c r="F174" s="2">
        <f t="shared" si="6"/>
        <v>1</v>
      </c>
      <c r="G174">
        <f t="shared" si="7"/>
        <v>2</v>
      </c>
      <c r="H174" s="3" t="s">
        <v>4127</v>
      </c>
      <c r="I174" s="6" t="str">
        <f t="shared" si="8"/>
        <v>01020173</v>
      </c>
    </row>
    <row r="175" spans="1:9" x14ac:dyDescent="0.3">
      <c r="A175">
        <v>174</v>
      </c>
      <c r="B175" s="6">
        <v>1130611960</v>
      </c>
      <c r="C175" t="str">
        <f>VLOOKUP(B175,[1]BD_FINAL!$A:$H,2,FALSE)</f>
        <v>Fran marden</v>
      </c>
      <c r="D175" t="str">
        <f>VLOOKUP(B175,[1]BD_FINAL!$A:$H,3,FALSE)</f>
        <v>Cali</v>
      </c>
      <c r="E175" t="str">
        <f>VLOOKUP(B175,[1]BD_FINAL!$A:$H,8,FALSE)</f>
        <v>Tratamiento</v>
      </c>
      <c r="F175" s="2">
        <f t="shared" si="6"/>
        <v>1</v>
      </c>
      <c r="G175">
        <f t="shared" si="7"/>
        <v>2</v>
      </c>
      <c r="H175" s="3" t="s">
        <v>4128</v>
      </c>
      <c r="I175" s="6" t="str">
        <f t="shared" si="8"/>
        <v>01020174</v>
      </c>
    </row>
    <row r="176" spans="1:9" x14ac:dyDescent="0.3">
      <c r="A176">
        <v>175</v>
      </c>
      <c r="B176" s="6">
        <v>1130612532</v>
      </c>
      <c r="C176" t="str">
        <f>VLOOKUP(B176,[1]BD_FINAL!$A:$H,2,FALSE)</f>
        <v>Exigencia Maria</v>
      </c>
      <c r="D176" t="str">
        <f>VLOOKUP(B176,[1]BD_FINAL!$A:$H,3,FALSE)</f>
        <v>Cali</v>
      </c>
      <c r="E176" t="str">
        <f>VLOOKUP(B176,[1]BD_FINAL!$A:$H,8,FALSE)</f>
        <v>Control</v>
      </c>
      <c r="F176" s="2">
        <f t="shared" si="6"/>
        <v>0</v>
      </c>
      <c r="G176">
        <f t="shared" si="7"/>
        <v>2</v>
      </c>
      <c r="H176" s="3" t="s">
        <v>4129</v>
      </c>
      <c r="I176" s="6" t="str">
        <f t="shared" si="8"/>
        <v>00020175</v>
      </c>
    </row>
    <row r="177" spans="1:9" x14ac:dyDescent="0.3">
      <c r="A177">
        <v>176</v>
      </c>
      <c r="B177" s="6">
        <v>1130614058</v>
      </c>
      <c r="C177" t="str">
        <f>VLOOKUP(B177,[1]BD_FINAL!$A:$H,2,FALSE)</f>
        <v>Estrellita</v>
      </c>
      <c r="D177" t="str">
        <f>VLOOKUP(B177,[1]BD_FINAL!$A:$H,3,FALSE)</f>
        <v>Cali</v>
      </c>
      <c r="E177" t="str">
        <f>VLOOKUP(B177,[1]BD_FINAL!$A:$H,8,FALSE)</f>
        <v>Control</v>
      </c>
      <c r="F177" s="2">
        <f t="shared" si="6"/>
        <v>0</v>
      </c>
      <c r="G177">
        <f t="shared" si="7"/>
        <v>2</v>
      </c>
      <c r="H177" s="3" t="s">
        <v>4130</v>
      </c>
      <c r="I177" s="6" t="str">
        <f t="shared" si="8"/>
        <v>00020176</v>
      </c>
    </row>
    <row r="178" spans="1:9" x14ac:dyDescent="0.3">
      <c r="A178">
        <v>177</v>
      </c>
      <c r="B178" s="6">
        <v>1130621848</v>
      </c>
      <c r="C178" t="str">
        <f>VLOOKUP(B178,[1]BD_FINAL!$A:$H,2,FALSE)</f>
        <v xml:space="preserve">FRANCELINE </v>
      </c>
      <c r="D178" t="str">
        <f>VLOOKUP(B178,[1]BD_FINAL!$A:$H,3,FALSE)</f>
        <v>Cali</v>
      </c>
      <c r="E178" t="str">
        <f>VLOOKUP(B178,[1]BD_FINAL!$A:$H,8,FALSE)</f>
        <v>Tratamiento</v>
      </c>
      <c r="F178" s="2">
        <f t="shared" si="6"/>
        <v>1</v>
      </c>
      <c r="G178">
        <f t="shared" si="7"/>
        <v>2</v>
      </c>
      <c r="H178" s="3" t="s">
        <v>4131</v>
      </c>
      <c r="I178" s="6" t="str">
        <f t="shared" si="8"/>
        <v>01020177</v>
      </c>
    </row>
    <row r="179" spans="1:9" x14ac:dyDescent="0.3">
      <c r="A179">
        <v>178</v>
      </c>
      <c r="B179" s="6">
        <v>1130668655</v>
      </c>
      <c r="C179" t="str">
        <f>VLOOKUP(B179,[1]BD_FINAL!$A:$H,2,FALSE)</f>
        <v>Eliana</v>
      </c>
      <c r="D179" t="str">
        <f>VLOOKUP(B179,[1]BD_FINAL!$A:$H,3,FALSE)</f>
        <v>Cali</v>
      </c>
      <c r="E179" t="str">
        <f>VLOOKUP(B179,[1]BD_FINAL!$A:$H,8,FALSE)</f>
        <v>Tratamiento</v>
      </c>
      <c r="F179" s="2">
        <f t="shared" si="6"/>
        <v>1</v>
      </c>
      <c r="G179">
        <f t="shared" si="7"/>
        <v>2</v>
      </c>
      <c r="H179" s="3" t="s">
        <v>4132</v>
      </c>
      <c r="I179" s="6" t="str">
        <f t="shared" si="8"/>
        <v>01020178</v>
      </c>
    </row>
    <row r="180" spans="1:9" x14ac:dyDescent="0.3">
      <c r="A180">
        <v>179</v>
      </c>
      <c r="B180" s="6">
        <v>1136060053</v>
      </c>
      <c r="C180" t="str">
        <f>VLOOKUP(B180,[1]BD_FINAL!$A:$H,2,FALSE)</f>
        <v xml:space="preserve">Paola </v>
      </c>
      <c r="D180" t="str">
        <f>VLOOKUP(B180,[1]BD_FINAL!$A:$H,3,FALSE)</f>
        <v>Cali</v>
      </c>
      <c r="E180" t="str">
        <f>VLOOKUP(B180,[1]BD_FINAL!$A:$H,8,FALSE)</f>
        <v>Tratamiento</v>
      </c>
      <c r="F180" s="2">
        <f t="shared" si="6"/>
        <v>1</v>
      </c>
      <c r="G180">
        <f t="shared" si="7"/>
        <v>2</v>
      </c>
      <c r="H180" s="3" t="s">
        <v>4133</v>
      </c>
      <c r="I180" s="6" t="str">
        <f t="shared" si="8"/>
        <v>01020179</v>
      </c>
    </row>
    <row r="181" spans="1:9" x14ac:dyDescent="0.3">
      <c r="A181">
        <v>180</v>
      </c>
      <c r="B181" s="6">
        <v>1140822745</v>
      </c>
      <c r="C181" t="str">
        <f>VLOOKUP(B181,[1]BD_FINAL!$A:$H,2,FALSE)</f>
        <v>Judith maria</v>
      </c>
      <c r="D181" t="str">
        <f>VLOOKUP(B181,[1]BD_FINAL!$A:$H,3,FALSE)</f>
        <v>Baranquilla</v>
      </c>
      <c r="E181" t="str">
        <f>VLOOKUP(B181,[1]BD_FINAL!$A:$H,8,FALSE)</f>
        <v>Tratamiento</v>
      </c>
      <c r="F181" s="2">
        <f t="shared" si="6"/>
        <v>1</v>
      </c>
      <c r="G181">
        <f t="shared" si="7"/>
        <v>3</v>
      </c>
      <c r="H181" s="3" t="s">
        <v>4134</v>
      </c>
      <c r="I181" s="6" t="str">
        <f t="shared" si="8"/>
        <v>01030180</v>
      </c>
    </row>
    <row r="182" spans="1:9" x14ac:dyDescent="0.3">
      <c r="A182">
        <v>181</v>
      </c>
      <c r="B182" s="6">
        <v>1140837632</v>
      </c>
      <c r="C182" t="str">
        <f>VLOOKUP(B182,[1]BD_FINAL!$A:$H,2,FALSE)</f>
        <v>Yuldor</v>
      </c>
      <c r="D182" t="str">
        <f>VLOOKUP(B182,[1]BD_FINAL!$A:$H,3,FALSE)</f>
        <v>Baranquilla</v>
      </c>
      <c r="E182" t="str">
        <f>VLOOKUP(B182,[1]BD_FINAL!$A:$H,8,FALSE)</f>
        <v>Tratamiento</v>
      </c>
      <c r="F182" s="2">
        <f t="shared" si="6"/>
        <v>1</v>
      </c>
      <c r="G182">
        <f t="shared" si="7"/>
        <v>3</v>
      </c>
      <c r="H182" s="3" t="s">
        <v>4135</v>
      </c>
      <c r="I182" s="6" t="str">
        <f t="shared" si="8"/>
        <v>01030181</v>
      </c>
    </row>
    <row r="183" spans="1:9" x14ac:dyDescent="0.3">
      <c r="A183">
        <v>182</v>
      </c>
      <c r="B183" s="6">
        <v>1143115892</v>
      </c>
      <c r="C183" t="str">
        <f>VLOOKUP(B183,[1]BD_FINAL!$A:$H,2,FALSE)</f>
        <v xml:space="preserve">Ana </v>
      </c>
      <c r="D183" t="str">
        <f>VLOOKUP(B183,[1]BD_FINAL!$A:$H,3,FALSE)</f>
        <v>Baranquilla</v>
      </c>
      <c r="E183" t="str">
        <f>VLOOKUP(B183,[1]BD_FINAL!$A:$H,8,FALSE)</f>
        <v>Control</v>
      </c>
      <c r="F183" s="2">
        <f t="shared" si="6"/>
        <v>0</v>
      </c>
      <c r="G183">
        <f t="shared" si="7"/>
        <v>3</v>
      </c>
      <c r="H183" s="3" t="s">
        <v>4136</v>
      </c>
      <c r="I183" s="6" t="str">
        <f t="shared" si="8"/>
        <v>00030182</v>
      </c>
    </row>
    <row r="184" spans="1:9" x14ac:dyDescent="0.3">
      <c r="A184">
        <v>183</v>
      </c>
      <c r="B184" s="6">
        <v>1143121744</v>
      </c>
      <c r="C184" t="str">
        <f>VLOOKUP(B184,[1]BD_FINAL!$A:$H,2,FALSE)</f>
        <v xml:space="preserve">Kevin </v>
      </c>
      <c r="D184" t="str">
        <f>VLOOKUP(B184,[1]BD_FINAL!$A:$H,3,FALSE)</f>
        <v>Baranquilla</v>
      </c>
      <c r="E184" t="str">
        <f>VLOOKUP(B184,[1]BD_FINAL!$A:$H,8,FALSE)</f>
        <v>Control</v>
      </c>
      <c r="F184" s="2">
        <f t="shared" si="6"/>
        <v>0</v>
      </c>
      <c r="G184">
        <f t="shared" si="7"/>
        <v>3</v>
      </c>
      <c r="H184" s="3" t="s">
        <v>4137</v>
      </c>
      <c r="I184" s="6" t="str">
        <f t="shared" si="8"/>
        <v>00030183</v>
      </c>
    </row>
    <row r="185" spans="1:9" x14ac:dyDescent="0.3">
      <c r="A185">
        <v>184</v>
      </c>
      <c r="B185" s="6">
        <v>1143122394</v>
      </c>
      <c r="C185" t="str">
        <f>VLOOKUP(B185,[1]BD_FINAL!$A:$H,2,FALSE)</f>
        <v xml:space="preserve">Carolina </v>
      </c>
      <c r="D185" t="str">
        <f>VLOOKUP(B185,[1]BD_FINAL!$A:$H,3,FALSE)</f>
        <v>Baranquilla</v>
      </c>
      <c r="E185" t="str">
        <f>VLOOKUP(B185,[1]BD_FINAL!$A:$H,8,FALSE)</f>
        <v>Control</v>
      </c>
      <c r="F185" s="2">
        <f t="shared" si="6"/>
        <v>0</v>
      </c>
      <c r="G185">
        <f t="shared" si="7"/>
        <v>3</v>
      </c>
      <c r="H185" s="3" t="s">
        <v>4138</v>
      </c>
      <c r="I185" s="6" t="str">
        <f t="shared" si="8"/>
        <v>00030184</v>
      </c>
    </row>
    <row r="186" spans="1:9" x14ac:dyDescent="0.3">
      <c r="A186">
        <v>185</v>
      </c>
      <c r="B186" s="6">
        <v>1143125383</v>
      </c>
      <c r="C186" t="str">
        <f>VLOOKUP(B186,[1]BD_FINAL!$A:$H,2,FALSE)</f>
        <v>Alvert</v>
      </c>
      <c r="D186" t="str">
        <f>VLOOKUP(B186,[1]BD_FINAL!$A:$H,3,FALSE)</f>
        <v>Baranquilla</v>
      </c>
      <c r="E186" t="str">
        <f>VLOOKUP(B186,[1]BD_FINAL!$A:$H,8,FALSE)</f>
        <v>Control</v>
      </c>
      <c r="F186" s="2">
        <f t="shared" si="6"/>
        <v>0</v>
      </c>
      <c r="G186">
        <f t="shared" si="7"/>
        <v>3</v>
      </c>
      <c r="H186" s="3" t="s">
        <v>4139</v>
      </c>
      <c r="I186" s="6" t="str">
        <f t="shared" si="8"/>
        <v>00030185</v>
      </c>
    </row>
    <row r="187" spans="1:9" x14ac:dyDescent="0.3">
      <c r="A187">
        <v>186</v>
      </c>
      <c r="B187" s="6">
        <v>1143138306</v>
      </c>
      <c r="C187" t="str">
        <f>VLOOKUP(B187,[1]BD_FINAL!$A:$H,2,FALSE)</f>
        <v xml:space="preserve">Eduardo Luis </v>
      </c>
      <c r="D187" t="str">
        <f>VLOOKUP(B187,[1]BD_FINAL!$A:$H,3,FALSE)</f>
        <v>Baranquilla</v>
      </c>
      <c r="E187" t="str">
        <f>VLOOKUP(B187,[1]BD_FINAL!$A:$H,8,FALSE)</f>
        <v>Control</v>
      </c>
      <c r="F187" s="2">
        <f t="shared" si="6"/>
        <v>0</v>
      </c>
      <c r="G187">
        <f t="shared" si="7"/>
        <v>3</v>
      </c>
      <c r="H187" s="3" t="s">
        <v>4140</v>
      </c>
      <c r="I187" s="6" t="str">
        <f t="shared" si="8"/>
        <v>00030186</v>
      </c>
    </row>
    <row r="188" spans="1:9" x14ac:dyDescent="0.3">
      <c r="A188">
        <v>187</v>
      </c>
      <c r="B188" s="6">
        <v>1143224673</v>
      </c>
      <c r="C188" t="str">
        <f>VLOOKUP(B188,[1]BD_FINAL!$A:$H,2,FALSE)</f>
        <v xml:space="preserve">Sivirley </v>
      </c>
      <c r="D188" t="str">
        <f>VLOOKUP(B188,[1]BD_FINAL!$A:$H,3,FALSE)</f>
        <v>Baranquilla</v>
      </c>
      <c r="E188" t="str">
        <f>VLOOKUP(B188,[1]BD_FINAL!$A:$H,8,FALSE)</f>
        <v>Tratamiento</v>
      </c>
      <c r="F188" s="2">
        <f t="shared" si="6"/>
        <v>1</v>
      </c>
      <c r="G188">
        <f t="shared" si="7"/>
        <v>3</v>
      </c>
      <c r="H188" s="3" t="s">
        <v>4141</v>
      </c>
      <c r="I188" s="6" t="str">
        <f t="shared" si="8"/>
        <v>01030187</v>
      </c>
    </row>
    <row r="189" spans="1:9" x14ac:dyDescent="0.3">
      <c r="A189">
        <v>188</v>
      </c>
      <c r="B189" s="6">
        <v>1143229612</v>
      </c>
      <c r="C189" t="str">
        <f>VLOOKUP(B189,[1]BD_FINAL!$A:$H,2,FALSE)</f>
        <v xml:space="preserve">OLGA LUCIA </v>
      </c>
      <c r="D189" t="str">
        <f>VLOOKUP(B189,[1]BD_FINAL!$A:$H,3,FALSE)</f>
        <v>Baranquilla</v>
      </c>
      <c r="E189" t="str">
        <f>VLOOKUP(B189,[1]BD_FINAL!$A:$H,8,FALSE)</f>
        <v>Tratamiento</v>
      </c>
      <c r="F189" s="2">
        <f t="shared" si="6"/>
        <v>1</v>
      </c>
      <c r="G189">
        <f t="shared" si="7"/>
        <v>3</v>
      </c>
      <c r="H189" s="3" t="s">
        <v>4142</v>
      </c>
      <c r="I189" s="6" t="str">
        <f t="shared" si="8"/>
        <v>01030188</v>
      </c>
    </row>
    <row r="190" spans="1:9" x14ac:dyDescent="0.3">
      <c r="A190">
        <v>189</v>
      </c>
      <c r="B190" s="6">
        <v>1143243433</v>
      </c>
      <c r="C190" t="str">
        <f>VLOOKUP(B190,[1]BD_FINAL!$A:$H,2,FALSE)</f>
        <v xml:space="preserve">Efigencia </v>
      </c>
      <c r="D190" t="str">
        <f>VLOOKUP(B190,[1]BD_FINAL!$A:$H,3,FALSE)</f>
        <v>Baranquilla</v>
      </c>
      <c r="E190" t="str">
        <f>VLOOKUP(B190,[1]BD_FINAL!$A:$H,8,FALSE)</f>
        <v>Tratamiento</v>
      </c>
      <c r="F190" s="2">
        <f t="shared" si="6"/>
        <v>1</v>
      </c>
      <c r="G190">
        <f t="shared" si="7"/>
        <v>3</v>
      </c>
      <c r="H190" s="3" t="s">
        <v>4143</v>
      </c>
      <c r="I190" s="6" t="str">
        <f t="shared" si="8"/>
        <v>01030189</v>
      </c>
    </row>
    <row r="191" spans="1:9" x14ac:dyDescent="0.3">
      <c r="A191">
        <v>190</v>
      </c>
      <c r="B191" s="6">
        <v>1143246211</v>
      </c>
      <c r="C191" t="str">
        <f>VLOOKUP(B191,[1]BD_FINAL!$A:$H,2,FALSE)</f>
        <v xml:space="preserve">Kelly johana </v>
      </c>
      <c r="D191" t="str">
        <f>VLOOKUP(B191,[1]BD_FINAL!$A:$H,3,FALSE)</f>
        <v>Baranquilla</v>
      </c>
      <c r="E191" t="str">
        <f>VLOOKUP(B191,[1]BD_FINAL!$A:$H,8,FALSE)</f>
        <v>Tratamiento</v>
      </c>
      <c r="F191" s="2">
        <f t="shared" si="6"/>
        <v>1</v>
      </c>
      <c r="G191">
        <f t="shared" si="7"/>
        <v>3</v>
      </c>
      <c r="H191" s="3" t="s">
        <v>4144</v>
      </c>
      <c r="I191" s="6" t="str">
        <f t="shared" si="8"/>
        <v>01030190</v>
      </c>
    </row>
    <row r="192" spans="1:9" x14ac:dyDescent="0.3">
      <c r="A192">
        <v>191</v>
      </c>
      <c r="B192" s="6">
        <v>1143247447</v>
      </c>
      <c r="C192" t="str">
        <f>VLOOKUP(B192,[1]BD_FINAL!$A:$H,2,FALSE)</f>
        <v xml:space="preserve">JUAN CARLOS </v>
      </c>
      <c r="D192" t="str">
        <f>VLOOKUP(B192,[1]BD_FINAL!$A:$H,3,FALSE)</f>
        <v>Baranquilla</v>
      </c>
      <c r="E192" t="str">
        <f>VLOOKUP(B192,[1]BD_FINAL!$A:$H,8,FALSE)</f>
        <v>Tratamiento</v>
      </c>
      <c r="F192" s="2">
        <f t="shared" si="6"/>
        <v>1</v>
      </c>
      <c r="G192">
        <f t="shared" si="7"/>
        <v>3</v>
      </c>
      <c r="H192" s="3" t="s">
        <v>4145</v>
      </c>
      <c r="I192" s="6" t="str">
        <f t="shared" si="8"/>
        <v>01030191</v>
      </c>
    </row>
    <row r="193" spans="1:9" x14ac:dyDescent="0.3">
      <c r="A193">
        <v>192</v>
      </c>
      <c r="B193" s="6">
        <v>1143259102</v>
      </c>
      <c r="C193" t="str">
        <f>VLOOKUP(B193,[1]BD_FINAL!$A:$H,2,FALSE)</f>
        <v xml:space="preserve">CARMEN PATRICIA </v>
      </c>
      <c r="D193" t="str">
        <f>VLOOKUP(B193,[1]BD_FINAL!$A:$H,3,FALSE)</f>
        <v>Baranquilla</v>
      </c>
      <c r="E193" t="str">
        <f>VLOOKUP(B193,[1]BD_FINAL!$A:$H,8,FALSE)</f>
        <v>Tratamiento</v>
      </c>
      <c r="F193" s="2">
        <f t="shared" si="6"/>
        <v>1</v>
      </c>
      <c r="G193">
        <f t="shared" si="7"/>
        <v>3</v>
      </c>
      <c r="H193" s="3" t="s">
        <v>4146</v>
      </c>
      <c r="I193" s="6" t="str">
        <f t="shared" si="8"/>
        <v>01030192</v>
      </c>
    </row>
    <row r="194" spans="1:9" x14ac:dyDescent="0.3">
      <c r="A194">
        <v>193</v>
      </c>
      <c r="B194" s="6">
        <v>1143429421</v>
      </c>
      <c r="C194" t="str">
        <f>VLOOKUP(B194,[1]BD_FINAL!$A:$H,2,FALSE)</f>
        <v xml:space="preserve">Evelin </v>
      </c>
      <c r="D194" t="str">
        <f>VLOOKUP(B194,[1]BD_FINAL!$A:$H,3,FALSE)</f>
        <v>Baranquilla</v>
      </c>
      <c r="E194" t="str">
        <f>VLOOKUP(B194,[1]BD_FINAL!$A:$H,8,FALSE)</f>
        <v>Control</v>
      </c>
      <c r="F194" s="2">
        <f t="shared" si="6"/>
        <v>0</v>
      </c>
      <c r="G194">
        <f t="shared" si="7"/>
        <v>3</v>
      </c>
      <c r="H194" s="3" t="s">
        <v>4147</v>
      </c>
      <c r="I194" s="6" t="str">
        <f t="shared" si="8"/>
        <v>00030193</v>
      </c>
    </row>
    <row r="195" spans="1:9" x14ac:dyDescent="0.3">
      <c r="A195">
        <v>194</v>
      </c>
      <c r="B195" s="6">
        <v>1143830506</v>
      </c>
      <c r="C195" t="str">
        <f>VLOOKUP(B195,[1]BD_FINAL!$A:$H,2,FALSE)</f>
        <v>Licet</v>
      </c>
      <c r="D195" t="str">
        <f>VLOOKUP(B195,[1]BD_FINAL!$A:$H,3,FALSE)</f>
        <v>Cali</v>
      </c>
      <c r="E195" t="str">
        <f>VLOOKUP(B195,[1]BD_FINAL!$A:$H,8,FALSE)</f>
        <v>Tratamiento</v>
      </c>
      <c r="F195" s="2">
        <f t="shared" ref="F195:F258" si="9">IF(E195="CONTROL",0,1)</f>
        <v>1</v>
      </c>
      <c r="G195">
        <f t="shared" ref="G195:G258" si="10">IF(D195="Medellin",1,IF(D195="Cali",2,IF(D195="Baranquilla",3,0)))</f>
        <v>2</v>
      </c>
      <c r="H195" s="3" t="s">
        <v>4148</v>
      </c>
      <c r="I195" s="6" t="str">
        <f t="shared" ref="I195:I258" si="11">_xlfn.CONCAT(0,F195,0,G195,H195)</f>
        <v>01020194</v>
      </c>
    </row>
    <row r="196" spans="1:9" x14ac:dyDescent="0.3">
      <c r="A196">
        <v>195</v>
      </c>
      <c r="B196" s="6">
        <v>1143831016</v>
      </c>
      <c r="C196" t="str">
        <f>VLOOKUP(B196,[1]BD_FINAL!$A:$H,2,FALSE)</f>
        <v xml:space="preserve">July Lorena </v>
      </c>
      <c r="D196" t="str">
        <f>VLOOKUP(B196,[1]BD_FINAL!$A:$H,3,FALSE)</f>
        <v>Cali</v>
      </c>
      <c r="E196" t="str">
        <f>VLOOKUP(B196,[1]BD_FINAL!$A:$H,8,FALSE)</f>
        <v>Tratamiento</v>
      </c>
      <c r="F196" s="2">
        <f t="shared" si="9"/>
        <v>1</v>
      </c>
      <c r="G196">
        <f t="shared" si="10"/>
        <v>2</v>
      </c>
      <c r="H196" s="3" t="s">
        <v>4149</v>
      </c>
      <c r="I196" s="6" t="str">
        <f t="shared" si="11"/>
        <v>01020195</v>
      </c>
    </row>
    <row r="197" spans="1:9" x14ac:dyDescent="0.3">
      <c r="A197">
        <v>196</v>
      </c>
      <c r="B197" s="6">
        <v>1143831802</v>
      </c>
      <c r="C197" t="str">
        <f>VLOOKUP(B197,[1]BD_FINAL!$A:$H,2,FALSE)</f>
        <v>DIANA MARCELA</v>
      </c>
      <c r="D197" t="str">
        <f>VLOOKUP(B197,[1]BD_FINAL!$A:$H,3,FALSE)</f>
        <v>Cali</v>
      </c>
      <c r="E197" t="str">
        <f>VLOOKUP(B197,[1]BD_FINAL!$A:$H,8,FALSE)</f>
        <v>Control</v>
      </c>
      <c r="F197" s="2">
        <f t="shared" si="9"/>
        <v>0</v>
      </c>
      <c r="G197">
        <f t="shared" si="10"/>
        <v>2</v>
      </c>
      <c r="H197" s="3" t="s">
        <v>4150</v>
      </c>
      <c r="I197" s="6" t="str">
        <f t="shared" si="11"/>
        <v>00020196</v>
      </c>
    </row>
    <row r="198" spans="1:9" x14ac:dyDescent="0.3">
      <c r="A198">
        <v>197</v>
      </c>
      <c r="B198" s="6">
        <v>1143831857</v>
      </c>
      <c r="C198" t="str">
        <f>VLOOKUP(B198,[1]BD_FINAL!$A:$H,2,FALSE)</f>
        <v xml:space="preserve">VICTOR RAUL </v>
      </c>
      <c r="D198" t="str">
        <f>VLOOKUP(B198,[1]BD_FINAL!$A:$H,3,FALSE)</f>
        <v>Cali</v>
      </c>
      <c r="E198" t="str">
        <f>VLOOKUP(B198,[1]BD_FINAL!$A:$H,8,FALSE)</f>
        <v>Control</v>
      </c>
      <c r="F198" s="2">
        <f t="shared" si="9"/>
        <v>0</v>
      </c>
      <c r="G198">
        <f t="shared" si="10"/>
        <v>2</v>
      </c>
      <c r="H198" s="3" t="s">
        <v>4151</v>
      </c>
      <c r="I198" s="6" t="str">
        <f t="shared" si="11"/>
        <v>00020197</v>
      </c>
    </row>
    <row r="199" spans="1:9" x14ac:dyDescent="0.3">
      <c r="A199">
        <v>198</v>
      </c>
      <c r="B199" s="6">
        <v>1143833310</v>
      </c>
      <c r="C199" t="str">
        <f>VLOOKUP(B199,[1]BD_FINAL!$A:$H,2,FALSE)</f>
        <v>Rosio Fernanda</v>
      </c>
      <c r="D199" t="str">
        <f>VLOOKUP(B199,[1]BD_FINAL!$A:$H,3,FALSE)</f>
        <v>Cali</v>
      </c>
      <c r="E199" t="str">
        <f>VLOOKUP(B199,[1]BD_FINAL!$A:$H,8,FALSE)</f>
        <v>Control</v>
      </c>
      <c r="F199" s="2">
        <f t="shared" si="9"/>
        <v>0</v>
      </c>
      <c r="G199">
        <f t="shared" si="10"/>
        <v>2</v>
      </c>
      <c r="H199" s="3" t="s">
        <v>4152</v>
      </c>
      <c r="I199" s="6" t="str">
        <f t="shared" si="11"/>
        <v>00020198</v>
      </c>
    </row>
    <row r="200" spans="1:9" x14ac:dyDescent="0.3">
      <c r="A200">
        <v>199</v>
      </c>
      <c r="B200" s="6">
        <v>1143834208</v>
      </c>
      <c r="C200" t="str">
        <f>VLOOKUP(B200,[1]BD_FINAL!$A:$H,2,FALSE)</f>
        <v xml:space="preserve">Yurley Tatiana </v>
      </c>
      <c r="D200" t="str">
        <f>VLOOKUP(B200,[1]BD_FINAL!$A:$H,3,FALSE)</f>
        <v>Cali</v>
      </c>
      <c r="E200" t="str">
        <f>VLOOKUP(B200,[1]BD_FINAL!$A:$H,8,FALSE)</f>
        <v>Control</v>
      </c>
      <c r="F200" s="2">
        <f t="shared" si="9"/>
        <v>0</v>
      </c>
      <c r="G200">
        <f t="shared" si="10"/>
        <v>2</v>
      </c>
      <c r="H200" s="3" t="s">
        <v>4153</v>
      </c>
      <c r="I200" s="6" t="str">
        <f t="shared" si="11"/>
        <v>00020199</v>
      </c>
    </row>
    <row r="201" spans="1:9" x14ac:dyDescent="0.3">
      <c r="A201">
        <v>200</v>
      </c>
      <c r="B201" s="6">
        <v>1143838084</v>
      </c>
      <c r="C201" t="str">
        <f>VLOOKUP(B201,[1]BD_FINAL!$A:$H,2,FALSE)</f>
        <v>Rosa Elvira</v>
      </c>
      <c r="D201" t="str">
        <f>VLOOKUP(B201,[1]BD_FINAL!$A:$H,3,FALSE)</f>
        <v>Cali</v>
      </c>
      <c r="E201" t="str">
        <f>VLOOKUP(B201,[1]BD_FINAL!$A:$H,8,FALSE)</f>
        <v>Control</v>
      </c>
      <c r="F201" s="2">
        <f t="shared" si="9"/>
        <v>0</v>
      </c>
      <c r="G201">
        <f t="shared" si="10"/>
        <v>2</v>
      </c>
      <c r="H201" s="3" t="s">
        <v>4154</v>
      </c>
      <c r="I201" s="6" t="str">
        <f t="shared" si="11"/>
        <v>00020200</v>
      </c>
    </row>
    <row r="202" spans="1:9" x14ac:dyDescent="0.3">
      <c r="A202">
        <v>201</v>
      </c>
      <c r="B202" s="6">
        <v>1143841537</v>
      </c>
      <c r="C202" t="str">
        <f>VLOOKUP(B202,[1]BD_FINAL!$A:$H,2,FALSE)</f>
        <v xml:space="preserve">Luis Antonio </v>
      </c>
      <c r="D202" t="str">
        <f>VLOOKUP(B202,[1]BD_FINAL!$A:$H,3,FALSE)</f>
        <v>Cali</v>
      </c>
      <c r="E202" t="str">
        <f>VLOOKUP(B202,[1]BD_FINAL!$A:$H,8,FALSE)</f>
        <v>Tratamiento</v>
      </c>
      <c r="F202" s="2">
        <f t="shared" si="9"/>
        <v>1</v>
      </c>
      <c r="G202">
        <f t="shared" si="10"/>
        <v>2</v>
      </c>
      <c r="H202" s="3" t="s">
        <v>4155</v>
      </c>
      <c r="I202" s="6" t="str">
        <f t="shared" si="11"/>
        <v>01020201</v>
      </c>
    </row>
    <row r="203" spans="1:9" x14ac:dyDescent="0.3">
      <c r="A203">
        <v>202</v>
      </c>
      <c r="B203" s="6">
        <v>1143841673</v>
      </c>
      <c r="C203" t="str">
        <f>VLOOKUP(B203,[1]BD_FINAL!$A:$H,2,FALSE)</f>
        <v xml:space="preserve">Yeraldine </v>
      </c>
      <c r="D203" t="str">
        <f>VLOOKUP(B203,[1]BD_FINAL!$A:$H,3,FALSE)</f>
        <v>Cali</v>
      </c>
      <c r="E203" t="str">
        <f>VLOOKUP(B203,[1]BD_FINAL!$A:$H,8,FALSE)</f>
        <v>Control</v>
      </c>
      <c r="F203" s="2">
        <f t="shared" si="9"/>
        <v>0</v>
      </c>
      <c r="G203">
        <f t="shared" si="10"/>
        <v>2</v>
      </c>
      <c r="H203" s="3" t="s">
        <v>4156</v>
      </c>
      <c r="I203" s="6" t="str">
        <f t="shared" si="11"/>
        <v>00020202</v>
      </c>
    </row>
    <row r="204" spans="1:9" x14ac:dyDescent="0.3">
      <c r="A204">
        <v>203</v>
      </c>
      <c r="B204" s="6">
        <v>1143843397</v>
      </c>
      <c r="C204" t="str">
        <f>VLOOKUP(B204,[1]BD_FINAL!$A:$H,2,FALSE)</f>
        <v xml:space="preserve">Yenifer </v>
      </c>
      <c r="D204" t="str">
        <f>VLOOKUP(B204,[1]BD_FINAL!$A:$H,3,FALSE)</f>
        <v>Cali</v>
      </c>
      <c r="E204" t="str">
        <f>VLOOKUP(B204,[1]BD_FINAL!$A:$H,8,FALSE)</f>
        <v>Control</v>
      </c>
      <c r="F204" s="2">
        <f t="shared" si="9"/>
        <v>0</v>
      </c>
      <c r="G204">
        <f t="shared" si="10"/>
        <v>2</v>
      </c>
      <c r="H204" s="3" t="s">
        <v>4157</v>
      </c>
      <c r="I204" s="6" t="str">
        <f t="shared" si="11"/>
        <v>00020203</v>
      </c>
    </row>
    <row r="205" spans="1:9" x14ac:dyDescent="0.3">
      <c r="A205">
        <v>204</v>
      </c>
      <c r="B205" s="6">
        <v>1143845493</v>
      </c>
      <c r="C205" t="str">
        <f>VLOOKUP(B205,[1]BD_FINAL!$A:$H,2,FALSE)</f>
        <v>Jessica andrea</v>
      </c>
      <c r="D205" t="str">
        <f>VLOOKUP(B205,[1]BD_FINAL!$A:$H,3,FALSE)</f>
        <v>Cali</v>
      </c>
      <c r="E205" t="str">
        <f>VLOOKUP(B205,[1]BD_FINAL!$A:$H,8,FALSE)</f>
        <v>Tratamiento</v>
      </c>
      <c r="F205" s="2">
        <f t="shared" si="9"/>
        <v>1</v>
      </c>
      <c r="G205">
        <f t="shared" si="10"/>
        <v>2</v>
      </c>
      <c r="H205" s="3" t="s">
        <v>4158</v>
      </c>
      <c r="I205" s="6" t="str">
        <f t="shared" si="11"/>
        <v>01020204</v>
      </c>
    </row>
    <row r="206" spans="1:9" x14ac:dyDescent="0.3">
      <c r="A206">
        <v>205</v>
      </c>
      <c r="B206" s="6">
        <v>1143846263</v>
      </c>
      <c r="C206" t="str">
        <f>VLOOKUP(B206,[1]BD_FINAL!$A:$H,2,FALSE)</f>
        <v>Franklin jordy</v>
      </c>
      <c r="D206" t="str">
        <f>VLOOKUP(B206,[1]BD_FINAL!$A:$H,3,FALSE)</f>
        <v>Cali</v>
      </c>
      <c r="E206" t="str">
        <f>VLOOKUP(B206,[1]BD_FINAL!$A:$H,8,FALSE)</f>
        <v>Control</v>
      </c>
      <c r="F206" s="2">
        <f t="shared" si="9"/>
        <v>0</v>
      </c>
      <c r="G206">
        <f t="shared" si="10"/>
        <v>2</v>
      </c>
      <c r="H206" s="3" t="s">
        <v>4159</v>
      </c>
      <c r="I206" s="6" t="str">
        <f t="shared" si="11"/>
        <v>00020205</v>
      </c>
    </row>
    <row r="207" spans="1:9" x14ac:dyDescent="0.3">
      <c r="A207">
        <v>206</v>
      </c>
      <c r="B207" s="6">
        <v>1143846465</v>
      </c>
      <c r="C207" t="str">
        <f>VLOOKUP(B207,[1]BD_FINAL!$A:$H,2,FALSE)</f>
        <v>LLADILIAN</v>
      </c>
      <c r="D207" t="str">
        <f>VLOOKUP(B207,[1]BD_FINAL!$A:$H,3,FALSE)</f>
        <v>Cali</v>
      </c>
      <c r="E207" t="str">
        <f>VLOOKUP(B207,[1]BD_FINAL!$A:$H,8,FALSE)</f>
        <v>Control</v>
      </c>
      <c r="F207" s="2">
        <f t="shared" si="9"/>
        <v>0</v>
      </c>
      <c r="G207">
        <f t="shared" si="10"/>
        <v>2</v>
      </c>
      <c r="H207" s="3" t="s">
        <v>4160</v>
      </c>
      <c r="I207" s="6" t="str">
        <f t="shared" si="11"/>
        <v>00020206</v>
      </c>
    </row>
    <row r="208" spans="1:9" x14ac:dyDescent="0.3">
      <c r="A208">
        <v>207</v>
      </c>
      <c r="B208" s="6">
        <v>1143847668</v>
      </c>
      <c r="C208" t="str">
        <f>VLOOKUP(B208,[1]BD_FINAL!$A:$H,2,FALSE)</f>
        <v xml:space="preserve">MARÍA FERNANDA </v>
      </c>
      <c r="D208" t="str">
        <f>VLOOKUP(B208,[1]BD_FINAL!$A:$H,3,FALSE)</f>
        <v>Cali</v>
      </c>
      <c r="E208" t="str">
        <f>VLOOKUP(B208,[1]BD_FINAL!$A:$H,8,FALSE)</f>
        <v>Control</v>
      </c>
      <c r="F208" s="2">
        <f t="shared" si="9"/>
        <v>0</v>
      </c>
      <c r="G208">
        <f t="shared" si="10"/>
        <v>2</v>
      </c>
      <c r="H208" s="3" t="s">
        <v>4161</v>
      </c>
      <c r="I208" s="6" t="str">
        <f t="shared" si="11"/>
        <v>00020207</v>
      </c>
    </row>
    <row r="209" spans="1:9" x14ac:dyDescent="0.3">
      <c r="A209">
        <v>208</v>
      </c>
      <c r="B209" s="6">
        <v>1143853115</v>
      </c>
      <c r="C209" t="str">
        <f>VLOOKUP(B209,[1]BD_FINAL!$A:$H,2,FALSE)</f>
        <v xml:space="preserve">Katherine </v>
      </c>
      <c r="D209" t="str">
        <f>VLOOKUP(B209,[1]BD_FINAL!$A:$H,3,FALSE)</f>
        <v>Cali</v>
      </c>
      <c r="E209" t="str">
        <f>VLOOKUP(B209,[1]BD_FINAL!$A:$H,8,FALSE)</f>
        <v>Control</v>
      </c>
      <c r="F209" s="2">
        <f t="shared" si="9"/>
        <v>0</v>
      </c>
      <c r="G209">
        <f t="shared" si="10"/>
        <v>2</v>
      </c>
      <c r="H209" s="3" t="s">
        <v>4162</v>
      </c>
      <c r="I209" s="6" t="str">
        <f t="shared" si="11"/>
        <v>00020208</v>
      </c>
    </row>
    <row r="210" spans="1:9" x14ac:dyDescent="0.3">
      <c r="A210">
        <v>209</v>
      </c>
      <c r="B210" s="6">
        <v>1143853293</v>
      </c>
      <c r="C210" t="str">
        <f>VLOOKUP(B210,[1]BD_FINAL!$A:$H,2,FALSE)</f>
        <v>Tatiana</v>
      </c>
      <c r="D210" t="str">
        <f>VLOOKUP(B210,[1]BD_FINAL!$A:$H,3,FALSE)</f>
        <v>Cali</v>
      </c>
      <c r="E210" t="str">
        <f>VLOOKUP(B210,[1]BD_FINAL!$A:$H,8,FALSE)</f>
        <v>Control</v>
      </c>
      <c r="F210" s="2">
        <f t="shared" si="9"/>
        <v>0</v>
      </c>
      <c r="G210">
        <f t="shared" si="10"/>
        <v>2</v>
      </c>
      <c r="H210" s="3" t="s">
        <v>4163</v>
      </c>
      <c r="I210" s="6" t="str">
        <f t="shared" si="11"/>
        <v>00020209</v>
      </c>
    </row>
    <row r="211" spans="1:9" x14ac:dyDescent="0.3">
      <c r="A211">
        <v>210</v>
      </c>
      <c r="B211" s="6">
        <v>1143853398</v>
      </c>
      <c r="C211" t="str">
        <f>VLOOKUP(B211,[1]BD_FINAL!$A:$H,2,FALSE)</f>
        <v xml:space="preserve">KAREN VIVIANA </v>
      </c>
      <c r="D211" t="str">
        <f>VLOOKUP(B211,[1]BD_FINAL!$A:$H,3,FALSE)</f>
        <v>Cali</v>
      </c>
      <c r="E211" t="str">
        <f>VLOOKUP(B211,[1]BD_FINAL!$A:$H,8,FALSE)</f>
        <v>Control</v>
      </c>
      <c r="F211" s="2">
        <f t="shared" si="9"/>
        <v>0</v>
      </c>
      <c r="G211">
        <f t="shared" si="10"/>
        <v>2</v>
      </c>
      <c r="H211" s="3" t="s">
        <v>4164</v>
      </c>
      <c r="I211" s="6" t="str">
        <f t="shared" si="11"/>
        <v>00020210</v>
      </c>
    </row>
    <row r="212" spans="1:9" x14ac:dyDescent="0.3">
      <c r="A212">
        <v>211</v>
      </c>
      <c r="B212" s="6">
        <v>1143857197</v>
      </c>
      <c r="C212" t="str">
        <f>VLOOKUP(B212,[1]BD_FINAL!$A:$H,2,FALSE)</f>
        <v xml:space="preserve">Karen Tatiana </v>
      </c>
      <c r="D212" t="str">
        <f>VLOOKUP(B212,[1]BD_FINAL!$A:$H,3,FALSE)</f>
        <v>Cali</v>
      </c>
      <c r="E212" t="str">
        <f>VLOOKUP(B212,[1]BD_FINAL!$A:$H,8,FALSE)</f>
        <v>Control</v>
      </c>
      <c r="F212" s="2">
        <f t="shared" si="9"/>
        <v>0</v>
      </c>
      <c r="G212">
        <f t="shared" si="10"/>
        <v>2</v>
      </c>
      <c r="H212" s="3" t="s">
        <v>4165</v>
      </c>
      <c r="I212" s="6" t="str">
        <f t="shared" si="11"/>
        <v>00020211</v>
      </c>
    </row>
    <row r="213" spans="1:9" x14ac:dyDescent="0.3">
      <c r="A213">
        <v>212</v>
      </c>
      <c r="B213" s="6">
        <v>1143958126</v>
      </c>
      <c r="C213" t="str">
        <f>VLOOKUP(B213,[1]BD_FINAL!$A:$H,2,FALSE)</f>
        <v>Angie Marcela</v>
      </c>
      <c r="D213" t="str">
        <f>VLOOKUP(B213,[1]BD_FINAL!$A:$H,3,FALSE)</f>
        <v>Cali</v>
      </c>
      <c r="E213" t="str">
        <f>VLOOKUP(B213,[1]BD_FINAL!$A:$H,8,FALSE)</f>
        <v>Control</v>
      </c>
      <c r="F213" s="2">
        <f t="shared" si="9"/>
        <v>0</v>
      </c>
      <c r="G213">
        <f t="shared" si="10"/>
        <v>2</v>
      </c>
      <c r="H213" s="3" t="s">
        <v>4166</v>
      </c>
      <c r="I213" s="6" t="str">
        <f t="shared" si="11"/>
        <v>00020212</v>
      </c>
    </row>
    <row r="214" spans="1:9" x14ac:dyDescent="0.3">
      <c r="A214">
        <v>213</v>
      </c>
      <c r="B214" s="6">
        <v>1144024517</v>
      </c>
      <c r="C214" t="str">
        <f>VLOOKUP(B214,[1]BD_FINAL!$A:$H,2,FALSE)</f>
        <v>Fabio nelson</v>
      </c>
      <c r="D214" t="str">
        <f>VLOOKUP(B214,[1]BD_FINAL!$A:$H,3,FALSE)</f>
        <v>Cali</v>
      </c>
      <c r="E214" t="str">
        <f>VLOOKUP(B214,[1]BD_FINAL!$A:$H,8,FALSE)</f>
        <v>Tratamiento</v>
      </c>
      <c r="F214" s="2">
        <f t="shared" si="9"/>
        <v>1</v>
      </c>
      <c r="G214">
        <f t="shared" si="10"/>
        <v>2</v>
      </c>
      <c r="H214" s="3" t="s">
        <v>4167</v>
      </c>
      <c r="I214" s="6" t="str">
        <f t="shared" si="11"/>
        <v>01020213</v>
      </c>
    </row>
    <row r="215" spans="1:9" x14ac:dyDescent="0.3">
      <c r="A215">
        <v>214</v>
      </c>
      <c r="B215" s="6">
        <v>1144028216</v>
      </c>
      <c r="C215" t="str">
        <f>VLOOKUP(B215,[1]BD_FINAL!$A:$H,2,FALSE)</f>
        <v>Aracely</v>
      </c>
      <c r="D215" t="str">
        <f>VLOOKUP(B215,[1]BD_FINAL!$A:$H,3,FALSE)</f>
        <v>Cali</v>
      </c>
      <c r="E215" t="str">
        <f>VLOOKUP(B215,[1]BD_FINAL!$A:$H,8,FALSE)</f>
        <v>Control</v>
      </c>
      <c r="F215" s="2">
        <f t="shared" si="9"/>
        <v>0</v>
      </c>
      <c r="G215">
        <f t="shared" si="10"/>
        <v>2</v>
      </c>
      <c r="H215" s="3" t="s">
        <v>4168</v>
      </c>
      <c r="I215" s="6" t="str">
        <f t="shared" si="11"/>
        <v>00020214</v>
      </c>
    </row>
    <row r="216" spans="1:9" x14ac:dyDescent="0.3">
      <c r="A216">
        <v>215</v>
      </c>
      <c r="B216" s="6">
        <v>1144030139</v>
      </c>
      <c r="C216" t="str">
        <f>VLOOKUP(B216,[1]BD_FINAL!$A:$H,2,FALSE)</f>
        <v>Isabel Cristina</v>
      </c>
      <c r="D216" t="str">
        <f>VLOOKUP(B216,[1]BD_FINAL!$A:$H,3,FALSE)</f>
        <v>Cali</v>
      </c>
      <c r="E216" t="str">
        <f>VLOOKUP(B216,[1]BD_FINAL!$A:$H,8,FALSE)</f>
        <v>Tratamiento</v>
      </c>
      <c r="F216" s="2">
        <f t="shared" si="9"/>
        <v>1</v>
      </c>
      <c r="G216">
        <f t="shared" si="10"/>
        <v>2</v>
      </c>
      <c r="H216" s="3" t="s">
        <v>4169</v>
      </c>
      <c r="I216" s="6" t="str">
        <f t="shared" si="11"/>
        <v>01020215</v>
      </c>
    </row>
    <row r="217" spans="1:9" x14ac:dyDescent="0.3">
      <c r="A217">
        <v>216</v>
      </c>
      <c r="B217" s="6">
        <v>1144031654</v>
      </c>
      <c r="C217" t="str">
        <f>VLOOKUP(B217,[1]BD_FINAL!$A:$H,2,FALSE)</f>
        <v xml:space="preserve">WILLIAM ESTEBAN </v>
      </c>
      <c r="D217" t="str">
        <f>VLOOKUP(B217,[1]BD_FINAL!$A:$H,3,FALSE)</f>
        <v>Cali</v>
      </c>
      <c r="E217" t="str">
        <f>VLOOKUP(B217,[1]BD_FINAL!$A:$H,8,FALSE)</f>
        <v>Tratamiento</v>
      </c>
      <c r="F217" s="2">
        <f t="shared" si="9"/>
        <v>1</v>
      </c>
      <c r="G217">
        <f t="shared" si="10"/>
        <v>2</v>
      </c>
      <c r="H217" s="3" t="s">
        <v>4170</v>
      </c>
      <c r="I217" s="6" t="str">
        <f t="shared" si="11"/>
        <v>01020216</v>
      </c>
    </row>
    <row r="218" spans="1:9" x14ac:dyDescent="0.3">
      <c r="A218">
        <v>217</v>
      </c>
      <c r="B218" s="6">
        <v>1144034037</v>
      </c>
      <c r="C218" t="str">
        <f>VLOOKUP(B218,[1]BD_FINAL!$A:$H,2,FALSE)</f>
        <v xml:space="preserve">Yesica </v>
      </c>
      <c r="D218" t="str">
        <f>VLOOKUP(B218,[1]BD_FINAL!$A:$H,3,FALSE)</f>
        <v>Cali</v>
      </c>
      <c r="E218" t="str">
        <f>VLOOKUP(B218,[1]BD_FINAL!$A:$H,8,FALSE)</f>
        <v>Tratamiento</v>
      </c>
      <c r="F218" s="2">
        <f t="shared" si="9"/>
        <v>1</v>
      </c>
      <c r="G218">
        <f t="shared" si="10"/>
        <v>2</v>
      </c>
      <c r="H218" s="3" t="s">
        <v>4171</v>
      </c>
      <c r="I218" s="6" t="str">
        <f t="shared" si="11"/>
        <v>01020217</v>
      </c>
    </row>
    <row r="219" spans="1:9" x14ac:dyDescent="0.3">
      <c r="A219">
        <v>218</v>
      </c>
      <c r="B219" s="6">
        <v>1144035169</v>
      </c>
      <c r="C219" t="str">
        <f>VLOOKUP(B219,[1]BD_FINAL!$A:$H,2,FALSE)</f>
        <v>NANCY</v>
      </c>
      <c r="D219" t="str">
        <f>VLOOKUP(B219,[1]BD_FINAL!$A:$H,3,FALSE)</f>
        <v>Cali</v>
      </c>
      <c r="E219" t="str">
        <f>VLOOKUP(B219,[1]BD_FINAL!$A:$H,8,FALSE)</f>
        <v>Tratamiento</v>
      </c>
      <c r="F219" s="2">
        <f t="shared" si="9"/>
        <v>1</v>
      </c>
      <c r="G219">
        <f t="shared" si="10"/>
        <v>2</v>
      </c>
      <c r="H219" s="3" t="s">
        <v>4172</v>
      </c>
      <c r="I219" s="6" t="str">
        <f t="shared" si="11"/>
        <v>01020218</v>
      </c>
    </row>
    <row r="220" spans="1:9" x14ac:dyDescent="0.3">
      <c r="A220">
        <v>219</v>
      </c>
      <c r="B220" s="6">
        <v>1144037995</v>
      </c>
      <c r="C220" t="str">
        <f>VLOOKUP(B220,[1]BD_FINAL!$A:$H,2,FALSE)</f>
        <v>LUIS MIGUEL</v>
      </c>
      <c r="D220" t="str">
        <f>VLOOKUP(B220,[1]BD_FINAL!$A:$H,3,FALSE)</f>
        <v>Cali</v>
      </c>
      <c r="E220" t="str">
        <f>VLOOKUP(B220,[1]BD_FINAL!$A:$H,8,FALSE)</f>
        <v>Tratamiento</v>
      </c>
      <c r="F220" s="2">
        <f t="shared" si="9"/>
        <v>1</v>
      </c>
      <c r="G220">
        <f t="shared" si="10"/>
        <v>2</v>
      </c>
      <c r="H220" s="3" t="s">
        <v>4173</v>
      </c>
      <c r="I220" s="6" t="str">
        <f t="shared" si="11"/>
        <v>01020219</v>
      </c>
    </row>
    <row r="221" spans="1:9" x14ac:dyDescent="0.3">
      <c r="A221">
        <v>220</v>
      </c>
      <c r="B221" s="6">
        <v>1144038638</v>
      </c>
      <c r="C221" t="str">
        <f>VLOOKUP(B221,[1]BD_FINAL!$A:$H,2,FALSE)</f>
        <v xml:space="preserve">WALTER </v>
      </c>
      <c r="D221" t="str">
        <f>VLOOKUP(B221,[1]BD_FINAL!$A:$H,3,FALSE)</f>
        <v>Cali</v>
      </c>
      <c r="E221" t="str">
        <f>VLOOKUP(B221,[1]BD_FINAL!$A:$H,8,FALSE)</f>
        <v>Tratamiento</v>
      </c>
      <c r="F221" s="2">
        <f t="shared" si="9"/>
        <v>1</v>
      </c>
      <c r="G221">
        <f t="shared" si="10"/>
        <v>2</v>
      </c>
      <c r="H221" s="3" t="s">
        <v>4174</v>
      </c>
      <c r="I221" s="6" t="str">
        <f t="shared" si="11"/>
        <v>01020220</v>
      </c>
    </row>
    <row r="222" spans="1:9" x14ac:dyDescent="0.3">
      <c r="A222">
        <v>221</v>
      </c>
      <c r="B222" s="6">
        <v>1144038733</v>
      </c>
      <c r="C222" t="str">
        <f>VLOOKUP(B222,[1]BD_FINAL!$A:$H,2,FALSE)</f>
        <v>DAVID FRANCISCO</v>
      </c>
      <c r="D222" t="str">
        <f>VLOOKUP(B222,[1]BD_FINAL!$A:$H,3,FALSE)</f>
        <v>Cali</v>
      </c>
      <c r="E222" t="str">
        <f>VLOOKUP(B222,[1]BD_FINAL!$A:$H,8,FALSE)</f>
        <v>Tratamiento</v>
      </c>
      <c r="F222" s="2">
        <f t="shared" si="9"/>
        <v>1</v>
      </c>
      <c r="G222">
        <f t="shared" si="10"/>
        <v>2</v>
      </c>
      <c r="H222" s="3" t="s">
        <v>4175</v>
      </c>
      <c r="I222" s="6" t="str">
        <f t="shared" si="11"/>
        <v>01020221</v>
      </c>
    </row>
    <row r="223" spans="1:9" x14ac:dyDescent="0.3">
      <c r="A223">
        <v>222</v>
      </c>
      <c r="B223" s="6">
        <v>1144043798</v>
      </c>
      <c r="C223" t="str">
        <f>VLOOKUP(B223,[1]BD_FINAL!$A:$H,2,FALSE)</f>
        <v xml:space="preserve">LUZ DEI </v>
      </c>
      <c r="D223" t="str">
        <f>VLOOKUP(B223,[1]BD_FINAL!$A:$H,3,FALSE)</f>
        <v>Cali</v>
      </c>
      <c r="E223" t="str">
        <f>VLOOKUP(B223,[1]BD_FINAL!$A:$H,8,FALSE)</f>
        <v>Tratamiento</v>
      </c>
      <c r="F223" s="2">
        <f t="shared" si="9"/>
        <v>1</v>
      </c>
      <c r="G223">
        <f t="shared" si="10"/>
        <v>2</v>
      </c>
      <c r="H223" s="3" t="s">
        <v>4176</v>
      </c>
      <c r="I223" s="6" t="str">
        <f t="shared" si="11"/>
        <v>01020222</v>
      </c>
    </row>
    <row r="224" spans="1:9" x14ac:dyDescent="0.3">
      <c r="A224">
        <v>223</v>
      </c>
      <c r="B224" s="6">
        <v>1144045256</v>
      </c>
      <c r="C224" t="str">
        <f>VLOOKUP(B224,[1]BD_FINAL!$A:$H,2,FALSE)</f>
        <v>Leidy viviana</v>
      </c>
      <c r="D224" t="str">
        <f>VLOOKUP(B224,[1]BD_FINAL!$A:$H,3,FALSE)</f>
        <v>Cali</v>
      </c>
      <c r="E224" t="str">
        <f>VLOOKUP(B224,[1]BD_FINAL!$A:$H,8,FALSE)</f>
        <v>Tratamiento</v>
      </c>
      <c r="F224" s="2">
        <f t="shared" si="9"/>
        <v>1</v>
      </c>
      <c r="G224">
        <f t="shared" si="10"/>
        <v>2</v>
      </c>
      <c r="H224" s="3" t="s">
        <v>4177</v>
      </c>
      <c r="I224" s="6" t="str">
        <f t="shared" si="11"/>
        <v>01020223</v>
      </c>
    </row>
    <row r="225" spans="1:9" x14ac:dyDescent="0.3">
      <c r="A225">
        <v>224</v>
      </c>
      <c r="B225" s="6">
        <v>1144046314</v>
      </c>
      <c r="C225" t="str">
        <f>VLOOKUP(B225,[1]BD_FINAL!$A:$H,2,FALSE)</f>
        <v>Angie Lorena</v>
      </c>
      <c r="D225" t="str">
        <f>VLOOKUP(B225,[1]BD_FINAL!$A:$H,3,FALSE)</f>
        <v>Cali</v>
      </c>
      <c r="E225" t="str">
        <f>VLOOKUP(B225,[1]BD_FINAL!$A:$H,8,FALSE)</f>
        <v>Tratamiento</v>
      </c>
      <c r="F225" s="2">
        <f t="shared" si="9"/>
        <v>1</v>
      </c>
      <c r="G225">
        <f t="shared" si="10"/>
        <v>2</v>
      </c>
      <c r="H225" s="3" t="s">
        <v>4178</v>
      </c>
      <c r="I225" s="6" t="str">
        <f t="shared" si="11"/>
        <v>01020224</v>
      </c>
    </row>
    <row r="226" spans="1:9" x14ac:dyDescent="0.3">
      <c r="A226">
        <v>225</v>
      </c>
      <c r="B226" s="6">
        <v>1144046952</v>
      </c>
      <c r="C226" t="str">
        <f>VLOOKUP(B226,[1]BD_FINAL!$A:$H,2,FALSE)</f>
        <v>Helda Libe</v>
      </c>
      <c r="D226" t="str">
        <f>VLOOKUP(B226,[1]BD_FINAL!$A:$H,3,FALSE)</f>
        <v>Cali</v>
      </c>
      <c r="E226" t="str">
        <f>VLOOKUP(B226,[1]BD_FINAL!$A:$H,8,FALSE)</f>
        <v>Tratamiento</v>
      </c>
      <c r="F226" s="2">
        <f t="shared" si="9"/>
        <v>1</v>
      </c>
      <c r="G226">
        <f t="shared" si="10"/>
        <v>2</v>
      </c>
      <c r="H226" s="3" t="s">
        <v>4179</v>
      </c>
      <c r="I226" s="6" t="str">
        <f t="shared" si="11"/>
        <v>01020225</v>
      </c>
    </row>
    <row r="227" spans="1:9" x14ac:dyDescent="0.3">
      <c r="A227">
        <v>226</v>
      </c>
      <c r="B227" s="6">
        <v>1144051270</v>
      </c>
      <c r="C227" t="str">
        <f>VLOOKUP(B227,[1]BD_FINAL!$A:$H,2,FALSE)</f>
        <v xml:space="preserve">Yesica Andrea </v>
      </c>
      <c r="D227" t="str">
        <f>VLOOKUP(B227,[1]BD_FINAL!$A:$H,3,FALSE)</f>
        <v>Cali</v>
      </c>
      <c r="E227" t="str">
        <f>VLOOKUP(B227,[1]BD_FINAL!$A:$H,8,FALSE)</f>
        <v>Tratamiento</v>
      </c>
      <c r="F227" s="2">
        <f t="shared" si="9"/>
        <v>1</v>
      </c>
      <c r="G227">
        <f t="shared" si="10"/>
        <v>2</v>
      </c>
      <c r="H227" s="3" t="s">
        <v>4180</v>
      </c>
      <c r="I227" s="6" t="str">
        <f t="shared" si="11"/>
        <v>01020226</v>
      </c>
    </row>
    <row r="228" spans="1:9" x14ac:dyDescent="0.3">
      <c r="A228">
        <v>227</v>
      </c>
      <c r="B228" s="6">
        <v>1144059852</v>
      </c>
      <c r="C228" t="str">
        <f>VLOOKUP(B228,[1]BD_FINAL!$A:$H,2,FALSE)</f>
        <v>Yohana Andrea</v>
      </c>
      <c r="D228" t="str">
        <f>VLOOKUP(B228,[1]BD_FINAL!$A:$H,3,FALSE)</f>
        <v>Cali</v>
      </c>
      <c r="E228" t="str">
        <f>VLOOKUP(B228,[1]BD_FINAL!$A:$H,8,FALSE)</f>
        <v>Tratamiento</v>
      </c>
      <c r="F228" s="2">
        <f t="shared" si="9"/>
        <v>1</v>
      </c>
      <c r="G228">
        <f t="shared" si="10"/>
        <v>2</v>
      </c>
      <c r="H228" s="3" t="s">
        <v>4181</v>
      </c>
      <c r="I228" s="6" t="str">
        <f t="shared" si="11"/>
        <v>01020227</v>
      </c>
    </row>
    <row r="229" spans="1:9" x14ac:dyDescent="0.3">
      <c r="A229">
        <v>228</v>
      </c>
      <c r="B229" s="6">
        <v>1144065963</v>
      </c>
      <c r="C229" t="str">
        <f>VLOOKUP(B229,[1]BD_FINAL!$A:$H,2,FALSE)</f>
        <v>José arbey</v>
      </c>
      <c r="D229" t="str">
        <f>VLOOKUP(B229,[1]BD_FINAL!$A:$H,3,FALSE)</f>
        <v>Cali</v>
      </c>
      <c r="E229" t="str">
        <f>VLOOKUP(B229,[1]BD_FINAL!$A:$H,8,FALSE)</f>
        <v>Tratamiento</v>
      </c>
      <c r="F229" s="2">
        <f t="shared" si="9"/>
        <v>1</v>
      </c>
      <c r="G229">
        <f t="shared" si="10"/>
        <v>2</v>
      </c>
      <c r="H229" s="3" t="s">
        <v>4182</v>
      </c>
      <c r="I229" s="6" t="str">
        <f t="shared" si="11"/>
        <v>01020228</v>
      </c>
    </row>
    <row r="230" spans="1:9" x14ac:dyDescent="0.3">
      <c r="A230">
        <v>229</v>
      </c>
      <c r="B230" s="6">
        <v>1144068248</v>
      </c>
      <c r="C230" t="str">
        <f>VLOOKUP(B230,[1]BD_FINAL!$A:$H,2,FALSE)</f>
        <v xml:space="preserve">Yair Andrés </v>
      </c>
      <c r="D230" t="str">
        <f>VLOOKUP(B230,[1]BD_FINAL!$A:$H,3,FALSE)</f>
        <v>Cali</v>
      </c>
      <c r="E230" t="str">
        <f>VLOOKUP(B230,[1]BD_FINAL!$A:$H,8,FALSE)</f>
        <v>Control</v>
      </c>
      <c r="F230" s="2">
        <f t="shared" si="9"/>
        <v>0</v>
      </c>
      <c r="G230">
        <f t="shared" si="10"/>
        <v>2</v>
      </c>
      <c r="H230" s="3" t="s">
        <v>4183</v>
      </c>
      <c r="I230" s="6" t="str">
        <f t="shared" si="11"/>
        <v>00020229</v>
      </c>
    </row>
    <row r="231" spans="1:9" x14ac:dyDescent="0.3">
      <c r="A231">
        <v>230</v>
      </c>
      <c r="B231" s="6">
        <v>1144071056</v>
      </c>
      <c r="C231" t="str">
        <f>VLOOKUP(B231,[1]BD_FINAL!$A:$H,2,FALSE)</f>
        <v>Leydi Tatiana</v>
      </c>
      <c r="D231" t="str">
        <f>VLOOKUP(B231,[1]BD_FINAL!$A:$H,3,FALSE)</f>
        <v>Cali</v>
      </c>
      <c r="E231" t="str">
        <f>VLOOKUP(B231,[1]BD_FINAL!$A:$H,8,FALSE)</f>
        <v>Tratamiento</v>
      </c>
      <c r="F231" s="2">
        <f t="shared" si="9"/>
        <v>1</v>
      </c>
      <c r="G231">
        <f t="shared" si="10"/>
        <v>2</v>
      </c>
      <c r="H231" s="3" t="s">
        <v>4184</v>
      </c>
      <c r="I231" s="6" t="str">
        <f t="shared" si="11"/>
        <v>01020230</v>
      </c>
    </row>
    <row r="232" spans="1:9" x14ac:dyDescent="0.3">
      <c r="A232">
        <v>231</v>
      </c>
      <c r="B232" s="6">
        <v>1144082561</v>
      </c>
      <c r="C232" t="str">
        <f>VLOOKUP(B232,[1]BD_FINAL!$A:$H,2,FALSE)</f>
        <v>Diana Marcela</v>
      </c>
      <c r="D232" t="str">
        <f>VLOOKUP(B232,[1]BD_FINAL!$A:$H,3,FALSE)</f>
        <v>Cali</v>
      </c>
      <c r="E232" t="str">
        <f>VLOOKUP(B232,[1]BD_FINAL!$A:$H,8,FALSE)</f>
        <v>Tratamiento</v>
      </c>
      <c r="F232" s="2">
        <f t="shared" si="9"/>
        <v>1</v>
      </c>
      <c r="G232">
        <f t="shared" si="10"/>
        <v>2</v>
      </c>
      <c r="H232" s="3" t="s">
        <v>4185</v>
      </c>
      <c r="I232" s="6" t="str">
        <f t="shared" si="11"/>
        <v>01020231</v>
      </c>
    </row>
    <row r="233" spans="1:9" x14ac:dyDescent="0.3">
      <c r="A233">
        <v>232</v>
      </c>
      <c r="B233" s="6">
        <v>1144094813</v>
      </c>
      <c r="C233" t="str">
        <f>VLOOKUP(B233,[1]BD_FINAL!$A:$H,2,FALSE)</f>
        <v xml:space="preserve">KEYLIN ELIANA </v>
      </c>
      <c r="D233" t="str">
        <f>VLOOKUP(B233,[1]BD_FINAL!$A:$H,3,FALSE)</f>
        <v>Cali</v>
      </c>
      <c r="E233" t="str">
        <f>VLOOKUP(B233,[1]BD_FINAL!$A:$H,8,FALSE)</f>
        <v>Tratamiento</v>
      </c>
      <c r="F233" s="2">
        <f t="shared" si="9"/>
        <v>1</v>
      </c>
      <c r="G233">
        <f t="shared" si="10"/>
        <v>2</v>
      </c>
      <c r="H233" s="3" t="s">
        <v>4186</v>
      </c>
      <c r="I233" s="6" t="str">
        <f t="shared" si="11"/>
        <v>01020232</v>
      </c>
    </row>
    <row r="234" spans="1:9" x14ac:dyDescent="0.3">
      <c r="A234">
        <v>233</v>
      </c>
      <c r="B234" s="6">
        <v>1144097141</v>
      </c>
      <c r="C234" t="str">
        <f>VLOOKUP(B234,[1]BD_FINAL!$A:$H,2,FALSE)</f>
        <v>Angie carolina</v>
      </c>
      <c r="D234" t="str">
        <f>VLOOKUP(B234,[1]BD_FINAL!$A:$H,3,FALSE)</f>
        <v>Cali</v>
      </c>
      <c r="E234" t="str">
        <f>VLOOKUP(B234,[1]BD_FINAL!$A:$H,8,FALSE)</f>
        <v>Control</v>
      </c>
      <c r="F234" s="2">
        <f t="shared" si="9"/>
        <v>0</v>
      </c>
      <c r="G234">
        <f t="shared" si="10"/>
        <v>2</v>
      </c>
      <c r="H234" s="3" t="s">
        <v>4187</v>
      </c>
      <c r="I234" s="6" t="str">
        <f t="shared" si="11"/>
        <v>00020233</v>
      </c>
    </row>
    <row r="235" spans="1:9" x14ac:dyDescent="0.3">
      <c r="A235">
        <v>234</v>
      </c>
      <c r="B235" s="6">
        <v>1144101026</v>
      </c>
      <c r="C235" t="str">
        <f>VLOOKUP(B235,[1]BD_FINAL!$A:$H,2,FALSE)</f>
        <v xml:space="preserve">Estefania </v>
      </c>
      <c r="D235" t="str">
        <f>VLOOKUP(B235,[1]BD_FINAL!$A:$H,3,FALSE)</f>
        <v>Cali</v>
      </c>
      <c r="E235" t="str">
        <f>VLOOKUP(B235,[1]BD_FINAL!$A:$H,8,FALSE)</f>
        <v>Tratamiento</v>
      </c>
      <c r="F235" s="2">
        <f t="shared" si="9"/>
        <v>1</v>
      </c>
      <c r="G235">
        <f t="shared" si="10"/>
        <v>2</v>
      </c>
      <c r="H235" s="3" t="s">
        <v>4188</v>
      </c>
      <c r="I235" s="6" t="str">
        <f t="shared" si="11"/>
        <v>01020234</v>
      </c>
    </row>
    <row r="236" spans="1:9" x14ac:dyDescent="0.3">
      <c r="A236">
        <v>235</v>
      </c>
      <c r="B236" s="6">
        <v>1144160399</v>
      </c>
      <c r="C236" t="str">
        <f>VLOOKUP(B236,[1]BD_FINAL!$A:$H,2,FALSE)</f>
        <v xml:space="preserve">Cindy Katherine </v>
      </c>
      <c r="D236" t="str">
        <f>VLOOKUP(B236,[1]BD_FINAL!$A:$H,3,FALSE)</f>
        <v>Cali</v>
      </c>
      <c r="E236" t="str">
        <f>VLOOKUP(B236,[1]BD_FINAL!$A:$H,8,FALSE)</f>
        <v>Tratamiento</v>
      </c>
      <c r="F236" s="2">
        <f t="shared" si="9"/>
        <v>1</v>
      </c>
      <c r="G236">
        <f t="shared" si="10"/>
        <v>2</v>
      </c>
      <c r="H236" s="3" t="s">
        <v>4189</v>
      </c>
      <c r="I236" s="6" t="str">
        <f t="shared" si="11"/>
        <v>01020235</v>
      </c>
    </row>
    <row r="237" spans="1:9" x14ac:dyDescent="0.3">
      <c r="A237">
        <v>236</v>
      </c>
      <c r="B237" s="6">
        <v>1144201470</v>
      </c>
      <c r="C237" t="str">
        <f>VLOOKUP(B237,[1]BD_FINAL!$A:$H,2,FALSE)</f>
        <v>Paula Andrea</v>
      </c>
      <c r="D237" t="str">
        <f>VLOOKUP(B237,[1]BD_FINAL!$A:$H,3,FALSE)</f>
        <v>Medellin</v>
      </c>
      <c r="E237" t="str">
        <f>VLOOKUP(B237,[1]BD_FINAL!$A:$H,8,FALSE)</f>
        <v>Tratamiento</v>
      </c>
      <c r="F237" s="2">
        <f t="shared" si="9"/>
        <v>1</v>
      </c>
      <c r="G237">
        <f t="shared" si="10"/>
        <v>1</v>
      </c>
      <c r="H237" s="3" t="s">
        <v>4190</v>
      </c>
      <c r="I237" s="6" t="str">
        <f t="shared" si="11"/>
        <v>01010236</v>
      </c>
    </row>
    <row r="238" spans="1:9" x14ac:dyDescent="0.3">
      <c r="A238">
        <v>237</v>
      </c>
      <c r="B238" s="6">
        <v>1146434251</v>
      </c>
      <c r="C238" t="str">
        <f>VLOOKUP(B238,[1]BD_FINAL!$A:$H,2,FALSE)</f>
        <v xml:space="preserve">Luz Amparo </v>
      </c>
      <c r="D238" t="str">
        <f>VLOOKUP(B238,[1]BD_FINAL!$A:$H,3,FALSE)</f>
        <v>Medellin</v>
      </c>
      <c r="E238" t="str">
        <f>VLOOKUP(B238,[1]BD_FINAL!$A:$H,8,FALSE)</f>
        <v>Tratamiento</v>
      </c>
      <c r="F238" s="2">
        <f t="shared" si="9"/>
        <v>1</v>
      </c>
      <c r="G238">
        <f t="shared" si="10"/>
        <v>1</v>
      </c>
      <c r="H238" s="3" t="s">
        <v>4191</v>
      </c>
      <c r="I238" s="6" t="str">
        <f t="shared" si="11"/>
        <v>01010237</v>
      </c>
    </row>
    <row r="239" spans="1:9" x14ac:dyDescent="0.3">
      <c r="A239">
        <v>238</v>
      </c>
      <c r="B239" s="6">
        <v>1147950412</v>
      </c>
      <c r="C239" t="str">
        <f>VLOOKUP(B239,[1]BD_FINAL!$A:$H,2,FALSE)</f>
        <v xml:space="preserve">Yanfary </v>
      </c>
      <c r="D239" t="str">
        <f>VLOOKUP(B239,[1]BD_FINAL!$A:$H,3,FALSE)</f>
        <v>Medellin</v>
      </c>
      <c r="E239" t="str">
        <f>VLOOKUP(B239,[1]BD_FINAL!$A:$H,8,FALSE)</f>
        <v>Tratamiento</v>
      </c>
      <c r="F239" s="2">
        <f t="shared" si="9"/>
        <v>1</v>
      </c>
      <c r="G239">
        <f t="shared" si="10"/>
        <v>1</v>
      </c>
      <c r="H239" s="3" t="s">
        <v>4192</v>
      </c>
      <c r="I239" s="6" t="str">
        <f t="shared" si="11"/>
        <v>01010238</v>
      </c>
    </row>
    <row r="240" spans="1:9" x14ac:dyDescent="0.3">
      <c r="A240">
        <v>239</v>
      </c>
      <c r="B240" s="6">
        <v>1147957415</v>
      </c>
      <c r="C240" t="str">
        <f>VLOOKUP(B240,[1]BD_FINAL!$A:$H,2,FALSE)</f>
        <v>Sindy Yomara</v>
      </c>
      <c r="D240" t="str">
        <f>VLOOKUP(B240,[1]BD_FINAL!$A:$H,3,FALSE)</f>
        <v>Medellin</v>
      </c>
      <c r="E240" t="str">
        <f>VLOOKUP(B240,[1]BD_FINAL!$A:$H,8,FALSE)</f>
        <v>Tratamiento</v>
      </c>
      <c r="F240" s="2">
        <f t="shared" si="9"/>
        <v>1</v>
      </c>
      <c r="G240">
        <f t="shared" si="10"/>
        <v>1</v>
      </c>
      <c r="H240" s="3" t="s">
        <v>4193</v>
      </c>
      <c r="I240" s="6" t="str">
        <f t="shared" si="11"/>
        <v>01010239</v>
      </c>
    </row>
    <row r="241" spans="1:9" x14ac:dyDescent="0.3">
      <c r="A241">
        <v>240</v>
      </c>
      <c r="B241" s="6">
        <v>1149440235</v>
      </c>
      <c r="C241" t="str">
        <f>VLOOKUP(B241,[1]BD_FINAL!$A:$H,2,FALSE)</f>
        <v>Miryan rosa</v>
      </c>
      <c r="D241" t="str">
        <f>VLOOKUP(B241,[1]BD_FINAL!$A:$H,3,FALSE)</f>
        <v>Baranquilla</v>
      </c>
      <c r="E241" t="str">
        <f>VLOOKUP(B241,[1]BD_FINAL!$A:$H,8,FALSE)</f>
        <v>Tratamiento</v>
      </c>
      <c r="F241" s="2">
        <f t="shared" si="9"/>
        <v>1</v>
      </c>
      <c r="G241">
        <f t="shared" si="10"/>
        <v>3</v>
      </c>
      <c r="H241" s="3" t="s">
        <v>4194</v>
      </c>
      <c r="I241" s="6" t="str">
        <f t="shared" si="11"/>
        <v>01030240</v>
      </c>
    </row>
    <row r="242" spans="1:9" x14ac:dyDescent="0.3">
      <c r="A242">
        <v>241</v>
      </c>
      <c r="B242" s="6">
        <v>1152204057</v>
      </c>
      <c r="C242" t="str">
        <f>VLOOKUP(B242,[1]BD_FINAL!$A:$H,2,FALSE)</f>
        <v xml:space="preserve">Eber Arley </v>
      </c>
      <c r="D242" t="str">
        <f>VLOOKUP(B242,[1]BD_FINAL!$A:$H,3,FALSE)</f>
        <v>Medellin</v>
      </c>
      <c r="E242" t="str">
        <f>VLOOKUP(B242,[1]BD_FINAL!$A:$H,8,FALSE)</f>
        <v>Tratamiento</v>
      </c>
      <c r="F242" s="2">
        <f t="shared" si="9"/>
        <v>1</v>
      </c>
      <c r="G242">
        <f t="shared" si="10"/>
        <v>1</v>
      </c>
      <c r="H242" s="3" t="s">
        <v>4195</v>
      </c>
      <c r="I242" s="6" t="str">
        <f t="shared" si="11"/>
        <v>01010241</v>
      </c>
    </row>
    <row r="243" spans="1:9" x14ac:dyDescent="0.3">
      <c r="A243">
        <v>242</v>
      </c>
      <c r="B243" s="6">
        <v>1152449711</v>
      </c>
      <c r="C243" t="str">
        <f>VLOOKUP(B243,[1]BD_FINAL!$A:$H,2,FALSE)</f>
        <v xml:space="preserve">Mary nesly </v>
      </c>
      <c r="D243" t="str">
        <f>VLOOKUP(B243,[1]BD_FINAL!$A:$H,3,FALSE)</f>
        <v>Medellin</v>
      </c>
      <c r="E243" t="str">
        <f>VLOOKUP(B243,[1]BD_FINAL!$A:$H,8,FALSE)</f>
        <v>Control</v>
      </c>
      <c r="F243" s="2">
        <f t="shared" si="9"/>
        <v>0</v>
      </c>
      <c r="G243">
        <f t="shared" si="10"/>
        <v>1</v>
      </c>
      <c r="H243" s="3" t="s">
        <v>4196</v>
      </c>
      <c r="I243" s="6" t="str">
        <f t="shared" si="11"/>
        <v>00010242</v>
      </c>
    </row>
    <row r="244" spans="1:9" x14ac:dyDescent="0.3">
      <c r="A244">
        <v>243</v>
      </c>
      <c r="B244" s="6">
        <v>1152716412</v>
      </c>
      <c r="C244" t="str">
        <f>VLOOKUP(B244,[1]BD_FINAL!$A:$H,2,FALSE)</f>
        <v xml:space="preserve">Carolina </v>
      </c>
      <c r="D244" t="str">
        <f>VLOOKUP(B244,[1]BD_FINAL!$A:$H,3,FALSE)</f>
        <v>Medellin</v>
      </c>
      <c r="E244" t="str">
        <f>VLOOKUP(B244,[1]BD_FINAL!$A:$H,8,FALSE)</f>
        <v>Control</v>
      </c>
      <c r="F244" s="2">
        <f t="shared" si="9"/>
        <v>0</v>
      </c>
      <c r="G244">
        <f t="shared" si="10"/>
        <v>1</v>
      </c>
      <c r="H244" s="3" t="s">
        <v>4197</v>
      </c>
      <c r="I244" s="6" t="str">
        <f t="shared" si="11"/>
        <v>00010243</v>
      </c>
    </row>
    <row r="245" spans="1:9" x14ac:dyDescent="0.3">
      <c r="A245">
        <v>244</v>
      </c>
      <c r="B245" s="6">
        <v>1192898936</v>
      </c>
      <c r="C245" t="str">
        <f>VLOOKUP(B245,[1]BD_FINAL!$A:$H,2,FALSE)</f>
        <v>Rosalba</v>
      </c>
      <c r="D245" t="str">
        <f>VLOOKUP(B245,[1]BD_FINAL!$A:$H,3,FALSE)</f>
        <v>Medellin</v>
      </c>
      <c r="E245" t="str">
        <f>VLOOKUP(B245,[1]BD_FINAL!$A:$H,8,FALSE)</f>
        <v>Tratamiento</v>
      </c>
      <c r="F245" s="2">
        <f t="shared" si="9"/>
        <v>1</v>
      </c>
      <c r="G245">
        <f t="shared" si="10"/>
        <v>1</v>
      </c>
      <c r="H245" s="3" t="s">
        <v>4198</v>
      </c>
      <c r="I245" s="6" t="str">
        <f t="shared" si="11"/>
        <v>01010244</v>
      </c>
    </row>
    <row r="246" spans="1:9" x14ac:dyDescent="0.3">
      <c r="A246">
        <v>245</v>
      </c>
      <c r="B246" s="6">
        <v>1193298386</v>
      </c>
      <c r="C246" t="str">
        <f>VLOOKUP(B246,[1]BD_FINAL!$A:$H,2,FALSE)</f>
        <v>Jesenia maria</v>
      </c>
      <c r="D246" t="str">
        <f>VLOOKUP(B246,[1]BD_FINAL!$A:$H,3,FALSE)</f>
        <v>Medellin</v>
      </c>
      <c r="E246" t="str">
        <f>VLOOKUP(B246,[1]BD_FINAL!$A:$H,8,FALSE)</f>
        <v>Control</v>
      </c>
      <c r="F246" s="2">
        <f t="shared" si="9"/>
        <v>0</v>
      </c>
      <c r="G246">
        <f t="shared" si="10"/>
        <v>1</v>
      </c>
      <c r="H246" s="3" t="s">
        <v>4199</v>
      </c>
      <c r="I246" s="6" t="str">
        <f t="shared" si="11"/>
        <v>00010245</v>
      </c>
    </row>
    <row r="247" spans="1:9" x14ac:dyDescent="0.3">
      <c r="A247">
        <v>246</v>
      </c>
      <c r="B247" s="6">
        <v>1193327320</v>
      </c>
      <c r="C247" t="str">
        <f>VLOOKUP(B247,[1]BD_FINAL!$A:$H,2,FALSE)</f>
        <v xml:space="preserve">ROCIO DEL CARMEN </v>
      </c>
      <c r="D247" t="str">
        <f>VLOOKUP(B247,[1]BD_FINAL!$A:$H,3,FALSE)</f>
        <v>Baranquilla</v>
      </c>
      <c r="E247" t="str">
        <f>VLOOKUP(B247,[1]BD_FINAL!$A:$H,8,FALSE)</f>
        <v>Tratamiento</v>
      </c>
      <c r="F247" s="2">
        <f t="shared" si="9"/>
        <v>1</v>
      </c>
      <c r="G247">
        <f t="shared" si="10"/>
        <v>3</v>
      </c>
      <c r="H247" s="3" t="s">
        <v>4200</v>
      </c>
      <c r="I247" s="6" t="str">
        <f t="shared" si="11"/>
        <v>01030246</v>
      </c>
    </row>
    <row r="248" spans="1:9" x14ac:dyDescent="0.3">
      <c r="A248">
        <v>247</v>
      </c>
      <c r="B248" s="6">
        <v>1193371842</v>
      </c>
      <c r="C248" t="str">
        <f>VLOOKUP(B248,[1]BD_FINAL!$A:$H,2,FALSE)</f>
        <v>YENIFER PAOLA</v>
      </c>
      <c r="D248" t="str">
        <f>VLOOKUP(B248,[1]BD_FINAL!$A:$H,3,FALSE)</f>
        <v>Baranquilla</v>
      </c>
      <c r="E248" t="str">
        <f>VLOOKUP(B248,[1]BD_FINAL!$A:$H,8,FALSE)</f>
        <v>Tratamiento</v>
      </c>
      <c r="F248" s="2">
        <f t="shared" si="9"/>
        <v>1</v>
      </c>
      <c r="G248">
        <f t="shared" si="10"/>
        <v>3</v>
      </c>
      <c r="H248" s="3" t="s">
        <v>4201</v>
      </c>
      <c r="I248" s="6" t="str">
        <f t="shared" si="11"/>
        <v>01030247</v>
      </c>
    </row>
    <row r="249" spans="1:9" x14ac:dyDescent="0.3">
      <c r="A249">
        <v>248</v>
      </c>
      <c r="B249" s="6">
        <v>1193456461</v>
      </c>
      <c r="C249" t="str">
        <f>VLOOKUP(B249,[1]BD_FINAL!$A:$H,2,FALSE)</f>
        <v xml:space="preserve">César julio </v>
      </c>
      <c r="D249" t="str">
        <f>VLOOKUP(B249,[1]BD_FINAL!$A:$H,3,FALSE)</f>
        <v>Baranquilla</v>
      </c>
      <c r="E249" t="str">
        <f>VLOOKUP(B249,[1]BD_FINAL!$A:$H,8,FALSE)</f>
        <v>Control</v>
      </c>
      <c r="F249" s="2">
        <f t="shared" si="9"/>
        <v>0</v>
      </c>
      <c r="G249">
        <f t="shared" si="10"/>
        <v>3</v>
      </c>
      <c r="H249" s="3" t="s">
        <v>4202</v>
      </c>
      <c r="I249" s="6" t="str">
        <f t="shared" si="11"/>
        <v>00030248</v>
      </c>
    </row>
    <row r="250" spans="1:9" x14ac:dyDescent="0.3">
      <c r="A250">
        <v>249</v>
      </c>
      <c r="B250" s="6">
        <v>1193555442</v>
      </c>
      <c r="C250" t="str">
        <f>VLOOKUP(B250,[1]BD_FINAL!$A:$H,2,FALSE)</f>
        <v>María Camila</v>
      </c>
      <c r="D250" t="str">
        <f>VLOOKUP(B250,[1]BD_FINAL!$A:$H,3,FALSE)</f>
        <v>Cali</v>
      </c>
      <c r="E250" t="str">
        <f>VLOOKUP(B250,[1]BD_FINAL!$A:$H,8,FALSE)</f>
        <v>Control</v>
      </c>
      <c r="F250" s="2">
        <f t="shared" si="9"/>
        <v>0</v>
      </c>
      <c r="G250">
        <f t="shared" si="10"/>
        <v>2</v>
      </c>
      <c r="H250" s="3" t="s">
        <v>4203</v>
      </c>
      <c r="I250" s="6" t="str">
        <f t="shared" si="11"/>
        <v>00020249</v>
      </c>
    </row>
    <row r="251" spans="1:9" x14ac:dyDescent="0.3">
      <c r="A251">
        <v>250</v>
      </c>
      <c r="B251" s="6">
        <v>1214733443</v>
      </c>
      <c r="C251" t="str">
        <f>VLOOKUP(B251,[1]BD_FINAL!$A:$H,2,FALSE)</f>
        <v>Aleidy Andrea</v>
      </c>
      <c r="D251" t="str">
        <f>VLOOKUP(B251,[1]BD_FINAL!$A:$H,3,FALSE)</f>
        <v>Medellin</v>
      </c>
      <c r="E251" t="str">
        <f>VLOOKUP(B251,[1]BD_FINAL!$A:$H,8,FALSE)</f>
        <v>Tratamiento</v>
      </c>
      <c r="F251" s="2">
        <f t="shared" si="9"/>
        <v>1</v>
      </c>
      <c r="G251">
        <f t="shared" si="10"/>
        <v>1</v>
      </c>
      <c r="H251" s="3" t="s">
        <v>4204</v>
      </c>
      <c r="I251" s="6" t="str">
        <f t="shared" si="11"/>
        <v>01010250</v>
      </c>
    </row>
    <row r="252" spans="1:9" x14ac:dyDescent="0.3">
      <c r="A252">
        <v>251</v>
      </c>
      <c r="B252" s="6">
        <v>1214737888</v>
      </c>
      <c r="C252" t="str">
        <f>VLOOKUP(B252,[1]BD_FINAL!$A:$H,2,FALSE)</f>
        <v>Evelin nayibe</v>
      </c>
      <c r="D252" t="str">
        <f>VLOOKUP(B252,[1]BD_FINAL!$A:$H,3,FALSE)</f>
        <v>Medellin</v>
      </c>
      <c r="E252" t="str">
        <f>VLOOKUP(B252,[1]BD_FINAL!$A:$H,8,FALSE)</f>
        <v>Control</v>
      </c>
      <c r="F252" s="2">
        <f t="shared" si="9"/>
        <v>0</v>
      </c>
      <c r="G252">
        <f t="shared" si="10"/>
        <v>1</v>
      </c>
      <c r="H252" s="3" t="s">
        <v>4205</v>
      </c>
      <c r="I252" s="6" t="str">
        <f t="shared" si="11"/>
        <v>00010251</v>
      </c>
    </row>
    <row r="253" spans="1:9" x14ac:dyDescent="0.3">
      <c r="A253">
        <v>252</v>
      </c>
      <c r="B253" s="6">
        <v>1214748815</v>
      </c>
      <c r="C253" t="str">
        <f>VLOOKUP(B253,[1]BD_FINAL!$A:$H,2,FALSE)</f>
        <v>Luis Albeiro</v>
      </c>
      <c r="D253" t="str">
        <f>VLOOKUP(B253,[1]BD_FINAL!$A:$H,3,FALSE)</f>
        <v>Medellin</v>
      </c>
      <c r="E253" t="str">
        <f>VLOOKUP(B253,[1]BD_FINAL!$A:$H,8,FALSE)</f>
        <v>Control</v>
      </c>
      <c r="F253" s="2">
        <f t="shared" si="9"/>
        <v>0</v>
      </c>
      <c r="G253">
        <f t="shared" si="10"/>
        <v>1</v>
      </c>
      <c r="H253" s="3" t="s">
        <v>4206</v>
      </c>
      <c r="I253" s="6" t="str">
        <f t="shared" si="11"/>
        <v>00010252</v>
      </c>
    </row>
    <row r="254" spans="1:9" x14ac:dyDescent="0.3">
      <c r="A254">
        <v>253</v>
      </c>
      <c r="B254" s="6">
        <v>12207323</v>
      </c>
      <c r="C254" t="str">
        <f>VLOOKUP(B254,[1]BD_FINAL!$A:$H,2,FALSE)</f>
        <v>JORGE ISMAEL</v>
      </c>
      <c r="D254" t="str">
        <f>VLOOKUP(B254,[1]BD_FINAL!$A:$H,3,FALSE)</f>
        <v>Cali</v>
      </c>
      <c r="E254" t="str">
        <f>VLOOKUP(B254,[1]BD_FINAL!$A:$H,8,FALSE)</f>
        <v>Tratamiento</v>
      </c>
      <c r="F254" s="2">
        <f t="shared" si="9"/>
        <v>1</v>
      </c>
      <c r="G254">
        <f t="shared" si="10"/>
        <v>2</v>
      </c>
      <c r="H254" s="3" t="s">
        <v>4207</v>
      </c>
      <c r="I254" s="6" t="str">
        <f t="shared" si="11"/>
        <v>01020253</v>
      </c>
    </row>
    <row r="255" spans="1:9" x14ac:dyDescent="0.3">
      <c r="A255">
        <v>254</v>
      </c>
      <c r="B255" s="6">
        <v>12534970</v>
      </c>
      <c r="C255" t="str">
        <f>VLOOKUP(B255,[1]BD_FINAL!$A:$H,2,FALSE)</f>
        <v xml:space="preserve">José María </v>
      </c>
      <c r="D255" t="str">
        <f>VLOOKUP(B255,[1]BD_FINAL!$A:$H,3,FALSE)</f>
        <v>Baranquilla</v>
      </c>
      <c r="E255" t="str">
        <f>VLOOKUP(B255,[1]BD_FINAL!$A:$H,8,FALSE)</f>
        <v>Tratamiento</v>
      </c>
      <c r="F255" s="2">
        <f t="shared" si="9"/>
        <v>1</v>
      </c>
      <c r="G255">
        <f t="shared" si="10"/>
        <v>3</v>
      </c>
      <c r="H255" s="3" t="s">
        <v>4208</v>
      </c>
      <c r="I255" s="6" t="str">
        <f t="shared" si="11"/>
        <v>01030254</v>
      </c>
    </row>
    <row r="256" spans="1:9" x14ac:dyDescent="0.3">
      <c r="A256">
        <v>255</v>
      </c>
      <c r="B256" s="6">
        <v>12549369</v>
      </c>
      <c r="C256" t="str">
        <f>VLOOKUP(B256,[1]BD_FINAL!$A:$H,2,FALSE)</f>
        <v xml:space="preserve">Francisco </v>
      </c>
      <c r="D256" t="str">
        <f>VLOOKUP(B256,[1]BD_FINAL!$A:$H,3,FALSE)</f>
        <v>Baranquilla</v>
      </c>
      <c r="E256" t="str">
        <f>VLOOKUP(B256,[1]BD_FINAL!$A:$H,8,FALSE)</f>
        <v>Tratamiento</v>
      </c>
      <c r="F256" s="2">
        <f t="shared" si="9"/>
        <v>1</v>
      </c>
      <c r="G256">
        <f t="shared" si="10"/>
        <v>3</v>
      </c>
      <c r="H256" s="3" t="s">
        <v>4209</v>
      </c>
      <c r="I256" s="6" t="str">
        <f t="shared" si="11"/>
        <v>01030255</v>
      </c>
    </row>
    <row r="257" spans="1:9" x14ac:dyDescent="0.3">
      <c r="A257">
        <v>256</v>
      </c>
      <c r="B257" s="6">
        <v>12593159</v>
      </c>
      <c r="C257" t="str">
        <f>VLOOKUP(B257,[1]BD_FINAL!$A:$H,2,FALSE)</f>
        <v xml:space="preserve">Luis Manuel </v>
      </c>
      <c r="D257" t="str">
        <f>VLOOKUP(B257,[1]BD_FINAL!$A:$H,3,FALSE)</f>
        <v>Baranquilla</v>
      </c>
      <c r="E257" t="str">
        <f>VLOOKUP(B257,[1]BD_FINAL!$A:$H,8,FALSE)</f>
        <v>Control</v>
      </c>
      <c r="F257" s="2">
        <f t="shared" si="9"/>
        <v>0</v>
      </c>
      <c r="G257">
        <f t="shared" si="10"/>
        <v>3</v>
      </c>
      <c r="H257" s="3" t="s">
        <v>4210</v>
      </c>
      <c r="I257" s="6" t="str">
        <f t="shared" si="11"/>
        <v>00030256</v>
      </c>
    </row>
    <row r="258" spans="1:9" x14ac:dyDescent="0.3">
      <c r="A258">
        <v>257</v>
      </c>
      <c r="B258" s="6">
        <v>12621053</v>
      </c>
      <c r="C258" t="str">
        <f>VLOOKUP(B258,[1]BD_FINAL!$A:$H,2,FALSE)</f>
        <v xml:space="preserve">Eduardo segundo </v>
      </c>
      <c r="D258" t="str">
        <f>VLOOKUP(B258,[1]BD_FINAL!$A:$H,3,FALSE)</f>
        <v>Baranquilla</v>
      </c>
      <c r="E258" t="str">
        <f>VLOOKUP(B258,[1]BD_FINAL!$A:$H,8,FALSE)</f>
        <v>Control</v>
      </c>
      <c r="F258" s="2">
        <f t="shared" si="9"/>
        <v>0</v>
      </c>
      <c r="G258">
        <f t="shared" si="10"/>
        <v>3</v>
      </c>
      <c r="H258" s="3" t="s">
        <v>4211</v>
      </c>
      <c r="I258" s="6" t="str">
        <f t="shared" si="11"/>
        <v>00030257</v>
      </c>
    </row>
    <row r="259" spans="1:9" x14ac:dyDescent="0.3">
      <c r="A259">
        <v>258</v>
      </c>
      <c r="B259" s="6">
        <v>12798984</v>
      </c>
      <c r="C259" t="str">
        <f>VLOOKUP(B259,[1]BD_FINAL!$A:$H,2,FALSE)</f>
        <v>Norma</v>
      </c>
      <c r="D259" t="str">
        <f>VLOOKUP(B259,[1]BD_FINAL!$A:$H,3,FALSE)</f>
        <v>Cali</v>
      </c>
      <c r="E259" t="str">
        <f>VLOOKUP(B259,[1]BD_FINAL!$A:$H,8,FALSE)</f>
        <v>Tratamiento</v>
      </c>
      <c r="F259" s="2">
        <f t="shared" ref="F259:F322" si="12">IF(E259="CONTROL",0,1)</f>
        <v>1</v>
      </c>
      <c r="G259">
        <f t="shared" ref="G259:G322" si="13">IF(D259="Medellin",1,IF(D259="Cali",2,IF(D259="Baranquilla",3,0)))</f>
        <v>2</v>
      </c>
      <c r="H259" s="3" t="s">
        <v>4212</v>
      </c>
      <c r="I259" s="6" t="str">
        <f t="shared" ref="I259:I322" si="14">_xlfn.CONCAT(0,F259,0,G259,H259)</f>
        <v>01020258</v>
      </c>
    </row>
    <row r="260" spans="1:9" x14ac:dyDescent="0.3">
      <c r="A260">
        <v>259</v>
      </c>
      <c r="B260" s="6">
        <v>13665069</v>
      </c>
      <c r="C260" t="str">
        <f>VLOOKUP(B260,[1]BD_FINAL!$A:$H,2,FALSE)</f>
        <v xml:space="preserve">Rodulfo </v>
      </c>
      <c r="D260" t="str">
        <f>VLOOKUP(B260,[1]BD_FINAL!$A:$H,3,FALSE)</f>
        <v>Baranquilla</v>
      </c>
      <c r="E260" t="str">
        <f>VLOOKUP(B260,[1]BD_FINAL!$A:$H,8,FALSE)</f>
        <v>Tratamiento</v>
      </c>
      <c r="F260" s="2">
        <f t="shared" si="12"/>
        <v>1</v>
      </c>
      <c r="G260">
        <f t="shared" si="13"/>
        <v>3</v>
      </c>
      <c r="H260" s="3" t="s">
        <v>4213</v>
      </c>
      <c r="I260" s="6" t="str">
        <f t="shared" si="14"/>
        <v>01030259</v>
      </c>
    </row>
    <row r="261" spans="1:9" x14ac:dyDescent="0.3">
      <c r="A261">
        <v>260</v>
      </c>
      <c r="B261" s="6">
        <v>1381356</v>
      </c>
      <c r="C261" t="str">
        <f>VLOOKUP(B261,[1]BD_FINAL!$A:$H,2,FALSE)</f>
        <v>Mario de jesus</v>
      </c>
      <c r="D261" t="str">
        <f>VLOOKUP(B261,[1]BD_FINAL!$A:$H,3,FALSE)</f>
        <v>Cali</v>
      </c>
      <c r="E261" t="str">
        <f>VLOOKUP(B261,[1]BD_FINAL!$A:$H,8,FALSE)</f>
        <v>Tratamiento</v>
      </c>
      <c r="F261" s="2">
        <f t="shared" si="12"/>
        <v>1</v>
      </c>
      <c r="G261">
        <f t="shared" si="13"/>
        <v>2</v>
      </c>
      <c r="H261" s="3" t="s">
        <v>4214</v>
      </c>
      <c r="I261" s="6" t="str">
        <f t="shared" si="14"/>
        <v>01020260</v>
      </c>
    </row>
    <row r="262" spans="1:9" x14ac:dyDescent="0.3">
      <c r="A262">
        <v>261</v>
      </c>
      <c r="B262" s="6">
        <v>14440058</v>
      </c>
      <c r="C262" t="str">
        <f>VLOOKUP(B262,[1]BD_FINAL!$A:$H,2,FALSE)</f>
        <v>Jaime</v>
      </c>
      <c r="D262" t="str">
        <f>VLOOKUP(B262,[1]BD_FINAL!$A:$H,3,FALSE)</f>
        <v>Cali</v>
      </c>
      <c r="E262" t="str">
        <f>VLOOKUP(B262,[1]BD_FINAL!$A:$H,8,FALSE)</f>
        <v>Control</v>
      </c>
      <c r="F262" s="2">
        <f t="shared" si="12"/>
        <v>0</v>
      </c>
      <c r="G262">
        <f t="shared" si="13"/>
        <v>2</v>
      </c>
      <c r="H262" s="3" t="s">
        <v>4215</v>
      </c>
      <c r="I262" s="6" t="str">
        <f t="shared" si="14"/>
        <v>00020261</v>
      </c>
    </row>
    <row r="263" spans="1:9" x14ac:dyDescent="0.3">
      <c r="A263">
        <v>262</v>
      </c>
      <c r="B263" s="6">
        <v>14446046</v>
      </c>
      <c r="C263" t="str">
        <f>VLOOKUP(B263,[1]BD_FINAL!$A:$H,2,FALSE)</f>
        <v xml:space="preserve">Guillermo </v>
      </c>
      <c r="D263" t="str">
        <f>VLOOKUP(B263,[1]BD_FINAL!$A:$H,3,FALSE)</f>
        <v>Cali</v>
      </c>
      <c r="E263" t="str">
        <f>VLOOKUP(B263,[1]BD_FINAL!$A:$H,8,FALSE)</f>
        <v>Tratamiento</v>
      </c>
      <c r="F263" s="2">
        <f t="shared" si="12"/>
        <v>1</v>
      </c>
      <c r="G263">
        <f t="shared" si="13"/>
        <v>2</v>
      </c>
      <c r="H263" s="3" t="s">
        <v>4216</v>
      </c>
      <c r="I263" s="6" t="str">
        <f t="shared" si="14"/>
        <v>01020262</v>
      </c>
    </row>
    <row r="264" spans="1:9" x14ac:dyDescent="0.3">
      <c r="A264">
        <v>263</v>
      </c>
      <c r="B264" s="6">
        <v>14465565</v>
      </c>
      <c r="C264" t="str">
        <f>VLOOKUP(B264,[1]BD_FINAL!$A:$H,2,FALSE)</f>
        <v>Liniers Fabian</v>
      </c>
      <c r="D264" t="str">
        <f>VLOOKUP(B264,[1]BD_FINAL!$A:$H,3,FALSE)</f>
        <v>Cali</v>
      </c>
      <c r="E264" t="str">
        <f>VLOOKUP(B264,[1]BD_FINAL!$A:$H,8,FALSE)</f>
        <v>Control</v>
      </c>
      <c r="F264" s="2">
        <f t="shared" si="12"/>
        <v>0</v>
      </c>
      <c r="G264">
        <f t="shared" si="13"/>
        <v>2</v>
      </c>
      <c r="H264" s="3" t="s">
        <v>4217</v>
      </c>
      <c r="I264" s="6" t="str">
        <f t="shared" si="14"/>
        <v>00020263</v>
      </c>
    </row>
    <row r="265" spans="1:9" x14ac:dyDescent="0.3">
      <c r="A265">
        <v>264</v>
      </c>
      <c r="B265" s="6">
        <v>14468000</v>
      </c>
      <c r="C265" t="str">
        <f>VLOOKUP(B265,[1]BD_FINAL!$A:$H,2,FALSE)</f>
        <v xml:space="preserve">MIGUEL ÁNGEL </v>
      </c>
      <c r="D265" t="str">
        <f>VLOOKUP(B265,[1]BD_FINAL!$A:$H,3,FALSE)</f>
        <v>Cali</v>
      </c>
      <c r="E265" t="str">
        <f>VLOOKUP(B265,[1]BD_FINAL!$A:$H,8,FALSE)</f>
        <v>Tratamiento</v>
      </c>
      <c r="F265" s="2">
        <f t="shared" si="12"/>
        <v>1</v>
      </c>
      <c r="G265">
        <f t="shared" si="13"/>
        <v>2</v>
      </c>
      <c r="H265" s="3" t="s">
        <v>4218</v>
      </c>
      <c r="I265" s="6" t="str">
        <f t="shared" si="14"/>
        <v>01020264</v>
      </c>
    </row>
    <row r="266" spans="1:9" x14ac:dyDescent="0.3">
      <c r="A266">
        <v>265</v>
      </c>
      <c r="B266" s="6">
        <v>14469075</v>
      </c>
      <c r="C266" t="str">
        <f>VLOOKUP(B266,[1]BD_FINAL!$A:$H,2,FALSE)</f>
        <v>OMAR ANDRES</v>
      </c>
      <c r="D266" t="str">
        <f>VLOOKUP(B266,[1]BD_FINAL!$A:$H,3,FALSE)</f>
        <v>Cali</v>
      </c>
      <c r="E266" t="str">
        <f>VLOOKUP(B266,[1]BD_FINAL!$A:$H,8,FALSE)</f>
        <v>Tratamiento</v>
      </c>
      <c r="F266" s="2">
        <f t="shared" si="12"/>
        <v>1</v>
      </c>
      <c r="G266">
        <f t="shared" si="13"/>
        <v>2</v>
      </c>
      <c r="H266" s="3" t="s">
        <v>4219</v>
      </c>
      <c r="I266" s="6" t="str">
        <f t="shared" si="14"/>
        <v>01020265</v>
      </c>
    </row>
    <row r="267" spans="1:9" x14ac:dyDescent="0.3">
      <c r="A267">
        <v>266</v>
      </c>
      <c r="B267" s="6">
        <v>14940320</v>
      </c>
      <c r="C267" t="str">
        <f>VLOOKUP(B267,[1]BD_FINAL!$A:$H,2,FALSE)</f>
        <v xml:space="preserve">Luis Alfonso </v>
      </c>
      <c r="D267" t="str">
        <f>VLOOKUP(B267,[1]BD_FINAL!$A:$H,3,FALSE)</f>
        <v>Cali</v>
      </c>
      <c r="E267" t="str">
        <f>VLOOKUP(B267,[1]BD_FINAL!$A:$H,8,FALSE)</f>
        <v>Control</v>
      </c>
      <c r="F267" s="2">
        <f t="shared" si="12"/>
        <v>0</v>
      </c>
      <c r="G267">
        <f t="shared" si="13"/>
        <v>2</v>
      </c>
      <c r="H267" s="3" t="s">
        <v>4220</v>
      </c>
      <c r="I267" s="6" t="str">
        <f t="shared" si="14"/>
        <v>00020266</v>
      </c>
    </row>
    <row r="268" spans="1:9" x14ac:dyDescent="0.3">
      <c r="A268">
        <v>267</v>
      </c>
      <c r="B268" s="6">
        <v>14947608</v>
      </c>
      <c r="C268" t="str">
        <f>VLOOKUP(B268,[1]BD_FINAL!$A:$H,2,FALSE)</f>
        <v xml:space="preserve">DUBERNET </v>
      </c>
      <c r="D268" t="str">
        <f>VLOOKUP(B268,[1]BD_FINAL!$A:$H,3,FALSE)</f>
        <v>Cali</v>
      </c>
      <c r="E268" t="str">
        <f>VLOOKUP(B268,[1]BD_FINAL!$A:$H,8,FALSE)</f>
        <v>Control</v>
      </c>
      <c r="F268" s="2">
        <f t="shared" si="12"/>
        <v>0</v>
      </c>
      <c r="G268">
        <f t="shared" si="13"/>
        <v>2</v>
      </c>
      <c r="H268" s="3" t="s">
        <v>4221</v>
      </c>
      <c r="I268" s="6" t="str">
        <f t="shared" si="14"/>
        <v>00020267</v>
      </c>
    </row>
    <row r="269" spans="1:9" x14ac:dyDescent="0.3">
      <c r="A269">
        <v>268</v>
      </c>
      <c r="B269" s="6">
        <v>14949573</v>
      </c>
      <c r="C269" t="str">
        <f>VLOOKUP(B269,[1]BD_FINAL!$A:$H,2,FALSE)</f>
        <v>Alfonso</v>
      </c>
      <c r="D269" t="str">
        <f>VLOOKUP(B269,[1]BD_FINAL!$A:$H,3,FALSE)</f>
        <v>Cali</v>
      </c>
      <c r="E269" t="str">
        <f>VLOOKUP(B269,[1]BD_FINAL!$A:$H,8,FALSE)</f>
        <v>Control</v>
      </c>
      <c r="F269" s="2">
        <f t="shared" si="12"/>
        <v>0</v>
      </c>
      <c r="G269">
        <f t="shared" si="13"/>
        <v>2</v>
      </c>
      <c r="H269" s="3" t="s">
        <v>4222</v>
      </c>
      <c r="I269" s="6" t="str">
        <f t="shared" si="14"/>
        <v>00020268</v>
      </c>
    </row>
    <row r="270" spans="1:9" x14ac:dyDescent="0.3">
      <c r="A270">
        <v>269</v>
      </c>
      <c r="B270" s="6">
        <v>14960260</v>
      </c>
      <c r="C270" t="str">
        <f>VLOOKUP(B270,[1]BD_FINAL!$A:$H,2,FALSE)</f>
        <v>Norberto</v>
      </c>
      <c r="D270" t="str">
        <f>VLOOKUP(B270,[1]BD_FINAL!$A:$H,3,FALSE)</f>
        <v>Cali</v>
      </c>
      <c r="E270" t="str">
        <f>VLOOKUP(B270,[1]BD_FINAL!$A:$H,8,FALSE)</f>
        <v>Control</v>
      </c>
      <c r="F270" s="2">
        <f t="shared" si="12"/>
        <v>0</v>
      </c>
      <c r="G270">
        <f t="shared" si="13"/>
        <v>2</v>
      </c>
      <c r="H270" s="3" t="s">
        <v>4223</v>
      </c>
      <c r="I270" s="6" t="str">
        <f t="shared" si="14"/>
        <v>00020269</v>
      </c>
    </row>
    <row r="271" spans="1:9" x14ac:dyDescent="0.3">
      <c r="A271">
        <v>270</v>
      </c>
      <c r="B271" s="6">
        <v>1522015</v>
      </c>
      <c r="C271" t="str">
        <f>VLOOKUP(B271,[1]BD_FINAL!$A:$H,2,FALSE)</f>
        <v>Roman</v>
      </c>
      <c r="D271" t="str">
        <f>VLOOKUP(B271,[1]BD_FINAL!$A:$H,3,FALSE)</f>
        <v>Cali</v>
      </c>
      <c r="E271" t="str">
        <f>VLOOKUP(B271,[1]BD_FINAL!$A:$H,8,FALSE)</f>
        <v>Control</v>
      </c>
      <c r="F271" s="2">
        <f t="shared" si="12"/>
        <v>0</v>
      </c>
      <c r="G271">
        <f t="shared" si="13"/>
        <v>2</v>
      </c>
      <c r="H271" s="3" t="s">
        <v>4224</v>
      </c>
      <c r="I271" s="6" t="str">
        <f t="shared" si="14"/>
        <v>00020270</v>
      </c>
    </row>
    <row r="272" spans="1:9" x14ac:dyDescent="0.3">
      <c r="A272">
        <v>271</v>
      </c>
      <c r="B272" s="6">
        <v>15609707</v>
      </c>
      <c r="C272" t="str">
        <f>VLOOKUP(B272,[1]BD_FINAL!$A:$H,2,FALSE)</f>
        <v xml:space="preserve">Yuleydy suhey </v>
      </c>
      <c r="D272" t="str">
        <f>VLOOKUP(B272,[1]BD_FINAL!$A:$H,3,FALSE)</f>
        <v>Cali</v>
      </c>
      <c r="E272" t="str">
        <f>VLOOKUP(B272,[1]BD_FINAL!$A:$H,8,FALSE)</f>
        <v>Tratamiento</v>
      </c>
      <c r="F272" s="2">
        <f t="shared" si="12"/>
        <v>1</v>
      </c>
      <c r="G272">
        <f t="shared" si="13"/>
        <v>2</v>
      </c>
      <c r="H272" s="3" t="s">
        <v>4225</v>
      </c>
      <c r="I272" s="6" t="str">
        <f t="shared" si="14"/>
        <v>01020271</v>
      </c>
    </row>
    <row r="273" spans="1:9" x14ac:dyDescent="0.3">
      <c r="A273">
        <v>272</v>
      </c>
      <c r="B273" s="6">
        <v>1586059</v>
      </c>
      <c r="C273" t="str">
        <f>VLOOKUP(B273,[1]BD_FINAL!$A:$H,2,FALSE)</f>
        <v>Omar</v>
      </c>
      <c r="D273" t="str">
        <f>VLOOKUP(B273,[1]BD_FINAL!$A:$H,3,FALSE)</f>
        <v>Cali</v>
      </c>
      <c r="E273" t="str">
        <f>VLOOKUP(B273,[1]BD_FINAL!$A:$H,8,FALSE)</f>
        <v>Tratamiento</v>
      </c>
      <c r="F273" s="2">
        <f t="shared" si="12"/>
        <v>1</v>
      </c>
      <c r="G273">
        <f t="shared" si="13"/>
        <v>2</v>
      </c>
      <c r="H273" s="3" t="s">
        <v>4226</v>
      </c>
      <c r="I273" s="6" t="str">
        <f t="shared" si="14"/>
        <v>01020272</v>
      </c>
    </row>
    <row r="274" spans="1:9" x14ac:dyDescent="0.3">
      <c r="A274">
        <v>273</v>
      </c>
      <c r="B274" s="6">
        <v>15901804</v>
      </c>
      <c r="C274" t="str">
        <f>VLOOKUP(B274,[1]BD_FINAL!$A:$H,2,FALSE)</f>
        <v>Gilberto antonio</v>
      </c>
      <c r="D274" t="str">
        <f>VLOOKUP(B274,[1]BD_FINAL!$A:$H,3,FALSE)</f>
        <v>Cali</v>
      </c>
      <c r="E274" t="str">
        <f>VLOOKUP(B274,[1]BD_FINAL!$A:$H,8,FALSE)</f>
        <v>Tratamiento</v>
      </c>
      <c r="F274" s="2">
        <f t="shared" si="12"/>
        <v>1</v>
      </c>
      <c r="G274">
        <f t="shared" si="13"/>
        <v>2</v>
      </c>
      <c r="H274" s="3" t="s">
        <v>4227</v>
      </c>
      <c r="I274" s="6" t="str">
        <f t="shared" si="14"/>
        <v>01020273</v>
      </c>
    </row>
    <row r="275" spans="1:9" x14ac:dyDescent="0.3">
      <c r="A275">
        <v>274</v>
      </c>
      <c r="B275" s="6">
        <v>15906342</v>
      </c>
      <c r="C275" t="str">
        <f>VLOOKUP(B275,[1]BD_FINAL!$A:$H,2,FALSE)</f>
        <v xml:space="preserve">Heli </v>
      </c>
      <c r="D275" t="str">
        <f>VLOOKUP(B275,[1]BD_FINAL!$A:$H,3,FALSE)</f>
        <v>Cali</v>
      </c>
      <c r="E275" t="str">
        <f>VLOOKUP(B275,[1]BD_FINAL!$A:$H,8,FALSE)</f>
        <v>Tratamiento</v>
      </c>
      <c r="F275" s="2">
        <f t="shared" si="12"/>
        <v>1</v>
      </c>
      <c r="G275">
        <f t="shared" si="13"/>
        <v>2</v>
      </c>
      <c r="H275" s="3" t="s">
        <v>4228</v>
      </c>
      <c r="I275" s="6" t="str">
        <f t="shared" si="14"/>
        <v>01020274</v>
      </c>
    </row>
    <row r="276" spans="1:9" x14ac:dyDescent="0.3">
      <c r="A276">
        <v>275</v>
      </c>
      <c r="B276" s="6">
        <v>16281450</v>
      </c>
      <c r="C276" t="str">
        <f>VLOOKUP(B276,[1]BD_FINAL!$A:$H,2,FALSE)</f>
        <v xml:space="preserve">Carlos Alberto </v>
      </c>
      <c r="D276" t="str">
        <f>VLOOKUP(B276,[1]BD_FINAL!$A:$H,3,FALSE)</f>
        <v>Cali</v>
      </c>
      <c r="E276" t="str">
        <f>VLOOKUP(B276,[1]BD_FINAL!$A:$H,8,FALSE)</f>
        <v>Control</v>
      </c>
      <c r="F276" s="2">
        <f t="shared" si="12"/>
        <v>0</v>
      </c>
      <c r="G276">
        <f t="shared" si="13"/>
        <v>2</v>
      </c>
      <c r="H276" s="3" t="s">
        <v>4229</v>
      </c>
      <c r="I276" s="6" t="str">
        <f t="shared" si="14"/>
        <v>00020275</v>
      </c>
    </row>
    <row r="277" spans="1:9" x14ac:dyDescent="0.3">
      <c r="A277">
        <v>276</v>
      </c>
      <c r="B277" s="6">
        <v>16582114</v>
      </c>
      <c r="C277" t="str">
        <f>VLOOKUP(B277,[1]BD_FINAL!$A:$H,2,FALSE)</f>
        <v>Jesus antonio</v>
      </c>
      <c r="D277" t="str">
        <f>VLOOKUP(B277,[1]BD_FINAL!$A:$H,3,FALSE)</f>
        <v>Cali</v>
      </c>
      <c r="E277" t="str">
        <f>VLOOKUP(B277,[1]BD_FINAL!$A:$H,8,FALSE)</f>
        <v>Control</v>
      </c>
      <c r="F277" s="2">
        <f t="shared" si="12"/>
        <v>0</v>
      </c>
      <c r="G277">
        <f t="shared" si="13"/>
        <v>2</v>
      </c>
      <c r="H277" s="3" t="s">
        <v>4230</v>
      </c>
      <c r="I277" s="6" t="str">
        <f t="shared" si="14"/>
        <v>00020276</v>
      </c>
    </row>
    <row r="278" spans="1:9" x14ac:dyDescent="0.3">
      <c r="A278">
        <v>277</v>
      </c>
      <c r="B278" s="6">
        <v>16591744</v>
      </c>
      <c r="C278" t="str">
        <f>VLOOKUP(B278,[1]BD_FINAL!$A:$H,2,FALSE)</f>
        <v xml:space="preserve">Luis albecio </v>
      </c>
      <c r="D278" t="str">
        <f>VLOOKUP(B278,[1]BD_FINAL!$A:$H,3,FALSE)</f>
        <v>Cali</v>
      </c>
      <c r="E278" t="str">
        <f>VLOOKUP(B278,[1]BD_FINAL!$A:$H,8,FALSE)</f>
        <v>Control</v>
      </c>
      <c r="F278" s="2">
        <f t="shared" si="12"/>
        <v>0</v>
      </c>
      <c r="G278">
        <f t="shared" si="13"/>
        <v>2</v>
      </c>
      <c r="H278" s="3" t="s">
        <v>4231</v>
      </c>
      <c r="I278" s="6" t="str">
        <f t="shared" si="14"/>
        <v>00020277</v>
      </c>
    </row>
    <row r="279" spans="1:9" x14ac:dyDescent="0.3">
      <c r="A279">
        <v>278</v>
      </c>
      <c r="B279" s="6">
        <v>16591848</v>
      </c>
      <c r="C279" t="str">
        <f>VLOOKUP(B279,[1]BD_FINAL!$A:$H,2,FALSE)</f>
        <v>HÉCTOR FABIO</v>
      </c>
      <c r="D279" t="str">
        <f>VLOOKUP(B279,[1]BD_FINAL!$A:$H,3,FALSE)</f>
        <v>Cali</v>
      </c>
      <c r="E279" t="str">
        <f>VLOOKUP(B279,[1]BD_FINAL!$A:$H,8,FALSE)</f>
        <v>Tratamiento</v>
      </c>
      <c r="F279" s="2">
        <f t="shared" si="12"/>
        <v>1</v>
      </c>
      <c r="G279">
        <f t="shared" si="13"/>
        <v>2</v>
      </c>
      <c r="H279" s="3" t="s">
        <v>4232</v>
      </c>
      <c r="I279" s="6" t="str">
        <f t="shared" si="14"/>
        <v>01020278</v>
      </c>
    </row>
    <row r="280" spans="1:9" x14ac:dyDescent="0.3">
      <c r="A280">
        <v>279</v>
      </c>
      <c r="B280" s="6">
        <v>16607117</v>
      </c>
      <c r="C280" t="str">
        <f>VLOOKUP(B280,[1]BD_FINAL!$A:$H,2,FALSE)</f>
        <v>JOSE ALEXANDER</v>
      </c>
      <c r="D280" t="str">
        <f>VLOOKUP(B280,[1]BD_FINAL!$A:$H,3,FALSE)</f>
        <v>Cali</v>
      </c>
      <c r="E280" t="str">
        <f>VLOOKUP(B280,[1]BD_FINAL!$A:$H,8,FALSE)</f>
        <v>Control</v>
      </c>
      <c r="F280" s="2">
        <f t="shared" si="12"/>
        <v>0</v>
      </c>
      <c r="G280">
        <f t="shared" si="13"/>
        <v>2</v>
      </c>
      <c r="H280" s="3" t="s">
        <v>4233</v>
      </c>
      <c r="I280" s="6" t="str">
        <f t="shared" si="14"/>
        <v>00020279</v>
      </c>
    </row>
    <row r="281" spans="1:9" x14ac:dyDescent="0.3">
      <c r="A281">
        <v>280</v>
      </c>
      <c r="B281" s="6">
        <v>16633533</v>
      </c>
      <c r="C281" t="str">
        <f>VLOOKUP(B281,[1]BD_FINAL!$A:$H,2,FALSE)</f>
        <v>Samuel. David</v>
      </c>
      <c r="D281" t="str">
        <f>VLOOKUP(B281,[1]BD_FINAL!$A:$H,3,FALSE)</f>
        <v>Cali</v>
      </c>
      <c r="E281" t="str">
        <f>VLOOKUP(B281,[1]BD_FINAL!$A:$H,8,FALSE)</f>
        <v>Control</v>
      </c>
      <c r="F281" s="2">
        <f t="shared" si="12"/>
        <v>0</v>
      </c>
      <c r="G281">
        <f t="shared" si="13"/>
        <v>2</v>
      </c>
      <c r="H281" s="3" t="s">
        <v>4234</v>
      </c>
      <c r="I281" s="6" t="str">
        <f t="shared" si="14"/>
        <v>00020280</v>
      </c>
    </row>
    <row r="282" spans="1:9" x14ac:dyDescent="0.3">
      <c r="A282">
        <v>281</v>
      </c>
      <c r="B282" s="6">
        <v>16637843</v>
      </c>
      <c r="C282" t="str">
        <f>VLOOKUP(B282,[1]BD_FINAL!$A:$H,2,FALSE)</f>
        <v xml:space="preserve">Luis Alberto </v>
      </c>
      <c r="D282" t="str">
        <f>VLOOKUP(B282,[1]BD_FINAL!$A:$H,3,FALSE)</f>
        <v>Cali</v>
      </c>
      <c r="E282" t="str">
        <f>VLOOKUP(B282,[1]BD_FINAL!$A:$H,8,FALSE)</f>
        <v>Control</v>
      </c>
      <c r="F282" s="2">
        <f t="shared" si="12"/>
        <v>0</v>
      </c>
      <c r="G282">
        <f t="shared" si="13"/>
        <v>2</v>
      </c>
      <c r="H282" s="3" t="s">
        <v>4235</v>
      </c>
      <c r="I282" s="6" t="str">
        <f t="shared" si="14"/>
        <v>00020281</v>
      </c>
    </row>
    <row r="283" spans="1:9" x14ac:dyDescent="0.3">
      <c r="A283">
        <v>282</v>
      </c>
      <c r="B283" s="6">
        <v>16669439</v>
      </c>
      <c r="C283" t="str">
        <f>VLOOKUP(B283,[1]BD_FINAL!$A:$H,2,FALSE)</f>
        <v xml:space="preserve">OCTAVIO </v>
      </c>
      <c r="D283" t="str">
        <f>VLOOKUP(B283,[1]BD_FINAL!$A:$H,3,FALSE)</f>
        <v>Cali</v>
      </c>
      <c r="E283" t="str">
        <f>VLOOKUP(B283,[1]BD_FINAL!$A:$H,8,FALSE)</f>
        <v>Control</v>
      </c>
      <c r="F283" s="2">
        <f t="shared" si="12"/>
        <v>0</v>
      </c>
      <c r="G283">
        <f t="shared" si="13"/>
        <v>2</v>
      </c>
      <c r="H283" s="3" t="s">
        <v>4236</v>
      </c>
      <c r="I283" s="6" t="str">
        <f t="shared" si="14"/>
        <v>00020282</v>
      </c>
    </row>
    <row r="284" spans="1:9" x14ac:dyDescent="0.3">
      <c r="A284">
        <v>283</v>
      </c>
      <c r="B284" s="6">
        <v>16679467</v>
      </c>
      <c r="C284" t="str">
        <f>VLOOKUP(B284,[1]BD_FINAL!$A:$H,2,FALSE)</f>
        <v xml:space="preserve">Victor Daniel </v>
      </c>
      <c r="D284" t="str">
        <f>VLOOKUP(B284,[1]BD_FINAL!$A:$H,3,FALSE)</f>
        <v>Cali</v>
      </c>
      <c r="E284" t="str">
        <f>VLOOKUP(B284,[1]BD_FINAL!$A:$H,8,FALSE)</f>
        <v>Control</v>
      </c>
      <c r="F284" s="2">
        <f t="shared" si="12"/>
        <v>0</v>
      </c>
      <c r="G284">
        <f t="shared" si="13"/>
        <v>2</v>
      </c>
      <c r="H284" s="3" t="s">
        <v>4237</v>
      </c>
      <c r="I284" s="6" t="str">
        <f t="shared" si="14"/>
        <v>00020283</v>
      </c>
    </row>
    <row r="285" spans="1:9" x14ac:dyDescent="0.3">
      <c r="A285">
        <v>284</v>
      </c>
      <c r="B285" s="6">
        <v>16698500</v>
      </c>
      <c r="C285" t="str">
        <f>VLOOKUP(B285,[1]BD_FINAL!$A:$H,2,FALSE)</f>
        <v xml:space="preserve">Rubén Darío </v>
      </c>
      <c r="D285" t="str">
        <f>VLOOKUP(B285,[1]BD_FINAL!$A:$H,3,FALSE)</f>
        <v>Cali</v>
      </c>
      <c r="E285" t="str">
        <f>VLOOKUP(B285,[1]BD_FINAL!$A:$H,8,FALSE)</f>
        <v>Control</v>
      </c>
      <c r="F285" s="2">
        <f t="shared" si="12"/>
        <v>0</v>
      </c>
      <c r="G285">
        <f t="shared" si="13"/>
        <v>2</v>
      </c>
      <c r="H285" s="3" t="s">
        <v>4238</v>
      </c>
      <c r="I285" s="6" t="str">
        <f t="shared" si="14"/>
        <v>00020284</v>
      </c>
    </row>
    <row r="286" spans="1:9" x14ac:dyDescent="0.3">
      <c r="A286">
        <v>285</v>
      </c>
      <c r="B286" s="6">
        <v>16708888</v>
      </c>
      <c r="C286" t="str">
        <f>VLOOKUP(B286,[1]BD_FINAL!$A:$H,2,FALSE)</f>
        <v>LUIS FERNANDO</v>
      </c>
      <c r="D286" t="str">
        <f>VLOOKUP(B286,[1]BD_FINAL!$A:$H,3,FALSE)</f>
        <v>Cali</v>
      </c>
      <c r="E286" t="str">
        <f>VLOOKUP(B286,[1]BD_FINAL!$A:$H,8,FALSE)</f>
        <v>Control</v>
      </c>
      <c r="F286" s="2">
        <f t="shared" si="12"/>
        <v>0</v>
      </c>
      <c r="G286">
        <f t="shared" si="13"/>
        <v>2</v>
      </c>
      <c r="H286" s="3" t="s">
        <v>4239</v>
      </c>
      <c r="I286" s="6" t="str">
        <f t="shared" si="14"/>
        <v>00020285</v>
      </c>
    </row>
    <row r="287" spans="1:9" x14ac:dyDescent="0.3">
      <c r="A287">
        <v>286</v>
      </c>
      <c r="B287" s="6">
        <v>16723219</v>
      </c>
      <c r="C287" t="str">
        <f>VLOOKUP(B287,[1]BD_FINAL!$A:$H,2,FALSE)</f>
        <v>José Ferney</v>
      </c>
      <c r="D287" t="str">
        <f>VLOOKUP(B287,[1]BD_FINAL!$A:$H,3,FALSE)</f>
        <v>Cali</v>
      </c>
      <c r="E287" t="str">
        <f>VLOOKUP(B287,[1]BD_FINAL!$A:$H,8,FALSE)</f>
        <v>Control</v>
      </c>
      <c r="F287" s="2">
        <f t="shared" si="12"/>
        <v>0</v>
      </c>
      <c r="G287">
        <f t="shared" si="13"/>
        <v>2</v>
      </c>
      <c r="H287" s="3" t="s">
        <v>4240</v>
      </c>
      <c r="I287" s="6" t="str">
        <f t="shared" si="14"/>
        <v>00020286</v>
      </c>
    </row>
    <row r="288" spans="1:9" x14ac:dyDescent="0.3">
      <c r="A288">
        <v>287</v>
      </c>
      <c r="B288" s="6">
        <v>16730078</v>
      </c>
      <c r="C288" t="str">
        <f>VLOOKUP(B288,[1]BD_FINAL!$A:$H,2,FALSE)</f>
        <v>Álvaro</v>
      </c>
      <c r="D288" t="str">
        <f>VLOOKUP(B288,[1]BD_FINAL!$A:$H,3,FALSE)</f>
        <v>Cali</v>
      </c>
      <c r="E288" t="str">
        <f>VLOOKUP(B288,[1]BD_FINAL!$A:$H,8,FALSE)</f>
        <v>Control</v>
      </c>
      <c r="F288" s="2">
        <f t="shared" si="12"/>
        <v>0</v>
      </c>
      <c r="G288">
        <f t="shared" si="13"/>
        <v>2</v>
      </c>
      <c r="H288" s="3" t="s">
        <v>4241</v>
      </c>
      <c r="I288" s="6" t="str">
        <f t="shared" si="14"/>
        <v>00020287</v>
      </c>
    </row>
    <row r="289" spans="1:9" x14ac:dyDescent="0.3">
      <c r="A289">
        <v>288</v>
      </c>
      <c r="B289" s="6">
        <v>16749425</v>
      </c>
      <c r="C289" t="str">
        <f>VLOOKUP(B289,[1]BD_FINAL!$A:$H,2,FALSE)</f>
        <v xml:space="preserve">ALFREDO </v>
      </c>
      <c r="D289" t="str">
        <f>VLOOKUP(B289,[1]BD_FINAL!$A:$H,3,FALSE)</f>
        <v>Cali</v>
      </c>
      <c r="E289" t="str">
        <f>VLOOKUP(B289,[1]BD_FINAL!$A:$H,8,FALSE)</f>
        <v>Control</v>
      </c>
      <c r="F289" s="2">
        <f t="shared" si="12"/>
        <v>0</v>
      </c>
      <c r="G289">
        <f t="shared" si="13"/>
        <v>2</v>
      </c>
      <c r="H289" s="3" t="s">
        <v>4242</v>
      </c>
      <c r="I289" s="6" t="str">
        <f t="shared" si="14"/>
        <v>00020288</v>
      </c>
    </row>
    <row r="290" spans="1:9" x14ac:dyDescent="0.3">
      <c r="A290">
        <v>289</v>
      </c>
      <c r="B290" s="6">
        <v>16751591</v>
      </c>
      <c r="C290" t="str">
        <f>VLOOKUP(B290,[1]BD_FINAL!$A:$H,2,FALSE)</f>
        <v>EDISON</v>
      </c>
      <c r="D290" t="str">
        <f>VLOOKUP(B290,[1]BD_FINAL!$A:$H,3,FALSE)</f>
        <v>Cali</v>
      </c>
      <c r="E290" t="str">
        <f>VLOOKUP(B290,[1]BD_FINAL!$A:$H,8,FALSE)</f>
        <v>Control</v>
      </c>
      <c r="F290" s="2">
        <f t="shared" si="12"/>
        <v>0</v>
      </c>
      <c r="G290">
        <f t="shared" si="13"/>
        <v>2</v>
      </c>
      <c r="H290" s="3" t="s">
        <v>4243</v>
      </c>
      <c r="I290" s="6" t="str">
        <f t="shared" si="14"/>
        <v>00020289</v>
      </c>
    </row>
    <row r="291" spans="1:9" x14ac:dyDescent="0.3">
      <c r="A291">
        <v>290</v>
      </c>
      <c r="B291" s="6">
        <v>16761714</v>
      </c>
      <c r="C291" t="str">
        <f>VLOOKUP(B291,[1]BD_FINAL!$A:$H,2,FALSE)</f>
        <v>JOSE RUBIO</v>
      </c>
      <c r="D291" t="str">
        <f>VLOOKUP(B291,[1]BD_FINAL!$A:$H,3,FALSE)</f>
        <v>Cali</v>
      </c>
      <c r="E291" t="str">
        <f>VLOOKUP(B291,[1]BD_FINAL!$A:$H,8,FALSE)</f>
        <v>Control</v>
      </c>
      <c r="F291" s="2">
        <f t="shared" si="12"/>
        <v>0</v>
      </c>
      <c r="G291">
        <f t="shared" si="13"/>
        <v>2</v>
      </c>
      <c r="H291" s="3" t="s">
        <v>4244</v>
      </c>
      <c r="I291" s="6" t="str">
        <f t="shared" si="14"/>
        <v>00020290</v>
      </c>
    </row>
    <row r="292" spans="1:9" x14ac:dyDescent="0.3">
      <c r="A292">
        <v>291</v>
      </c>
      <c r="B292" s="6">
        <v>16778426</v>
      </c>
      <c r="C292" t="str">
        <f>VLOOKUP(B292,[1]BD_FINAL!$A:$H,2,FALSE)</f>
        <v>MARCOS JAVIER P</v>
      </c>
      <c r="D292" t="str">
        <f>VLOOKUP(B292,[1]BD_FINAL!$A:$H,3,FALSE)</f>
        <v>Cali</v>
      </c>
      <c r="E292" t="str">
        <f>VLOOKUP(B292,[1]BD_FINAL!$A:$H,8,FALSE)</f>
        <v>Tratamiento</v>
      </c>
      <c r="F292" s="2">
        <f t="shared" si="12"/>
        <v>1</v>
      </c>
      <c r="G292">
        <f t="shared" si="13"/>
        <v>2</v>
      </c>
      <c r="H292" s="3" t="s">
        <v>4245</v>
      </c>
      <c r="I292" s="6" t="str">
        <f t="shared" si="14"/>
        <v>01020291</v>
      </c>
    </row>
    <row r="293" spans="1:9" x14ac:dyDescent="0.3">
      <c r="A293">
        <v>292</v>
      </c>
      <c r="B293" s="6">
        <v>16781675</v>
      </c>
      <c r="C293" t="str">
        <f>VLOOKUP(B293,[1]BD_FINAL!$A:$H,2,FALSE)</f>
        <v>JOSÉ WILSON</v>
      </c>
      <c r="D293" t="str">
        <f>VLOOKUP(B293,[1]BD_FINAL!$A:$H,3,FALSE)</f>
        <v>Cali</v>
      </c>
      <c r="E293" t="str">
        <f>VLOOKUP(B293,[1]BD_FINAL!$A:$H,8,FALSE)</f>
        <v>Tratamiento</v>
      </c>
      <c r="F293" s="2">
        <f t="shared" si="12"/>
        <v>1</v>
      </c>
      <c r="G293">
        <f t="shared" si="13"/>
        <v>2</v>
      </c>
      <c r="H293" s="3" t="s">
        <v>4246</v>
      </c>
      <c r="I293" s="6" t="str">
        <f t="shared" si="14"/>
        <v>01020292</v>
      </c>
    </row>
    <row r="294" spans="1:9" x14ac:dyDescent="0.3">
      <c r="A294">
        <v>293</v>
      </c>
      <c r="B294" s="6">
        <v>16820143</v>
      </c>
      <c r="C294" t="str">
        <f>VLOOKUP(B294,[1]BD_FINAL!$A:$H,2,FALSE)</f>
        <v>Albeiro</v>
      </c>
      <c r="D294" t="str">
        <f>VLOOKUP(B294,[1]BD_FINAL!$A:$H,3,FALSE)</f>
        <v>Cali</v>
      </c>
      <c r="E294" t="str">
        <f>VLOOKUP(B294,[1]BD_FINAL!$A:$H,8,FALSE)</f>
        <v>Control</v>
      </c>
      <c r="F294" s="2">
        <f t="shared" si="12"/>
        <v>0</v>
      </c>
      <c r="G294">
        <f t="shared" si="13"/>
        <v>2</v>
      </c>
      <c r="H294" s="3" t="s">
        <v>4247</v>
      </c>
      <c r="I294" s="6" t="str">
        <f t="shared" si="14"/>
        <v>00020293</v>
      </c>
    </row>
    <row r="295" spans="1:9" x14ac:dyDescent="0.3">
      <c r="A295">
        <v>294</v>
      </c>
      <c r="B295" s="6">
        <v>16824095</v>
      </c>
      <c r="C295" t="str">
        <f>VLOOKUP(B295,[1]BD_FINAL!$A:$H,2,FALSE)</f>
        <v>Eber</v>
      </c>
      <c r="D295" t="str">
        <f>VLOOKUP(B295,[1]BD_FINAL!$A:$H,3,FALSE)</f>
        <v>Cali</v>
      </c>
      <c r="E295" t="str">
        <f>VLOOKUP(B295,[1]BD_FINAL!$A:$H,8,FALSE)</f>
        <v>Tratamiento</v>
      </c>
      <c r="F295" s="2">
        <f t="shared" si="12"/>
        <v>1</v>
      </c>
      <c r="G295">
        <f t="shared" si="13"/>
        <v>2</v>
      </c>
      <c r="H295" s="3" t="s">
        <v>4248</v>
      </c>
      <c r="I295" s="6" t="str">
        <f t="shared" si="14"/>
        <v>01020294</v>
      </c>
    </row>
    <row r="296" spans="1:9" x14ac:dyDescent="0.3">
      <c r="A296">
        <v>295</v>
      </c>
      <c r="B296" s="6">
        <v>16827577</v>
      </c>
      <c r="C296" t="str">
        <f>VLOOKUP(B296,[1]BD_FINAL!$A:$H,2,FALSE)</f>
        <v xml:space="preserve">Jorge Enrique </v>
      </c>
      <c r="D296" t="str">
        <f>VLOOKUP(B296,[1]BD_FINAL!$A:$H,3,FALSE)</f>
        <v>Cali</v>
      </c>
      <c r="E296" t="str">
        <f>VLOOKUP(B296,[1]BD_FINAL!$A:$H,8,FALSE)</f>
        <v>Tratamiento</v>
      </c>
      <c r="F296" s="2">
        <f t="shared" si="12"/>
        <v>1</v>
      </c>
      <c r="G296">
        <f t="shared" si="13"/>
        <v>2</v>
      </c>
      <c r="H296" s="3" t="s">
        <v>4249</v>
      </c>
      <c r="I296" s="6" t="str">
        <f t="shared" si="14"/>
        <v>01020295</v>
      </c>
    </row>
    <row r="297" spans="1:9" x14ac:dyDescent="0.3">
      <c r="A297">
        <v>296</v>
      </c>
      <c r="B297" s="6">
        <v>16828126</v>
      </c>
      <c r="C297" t="str">
        <f>VLOOKUP(B297,[1]BD_FINAL!$A:$H,2,FALSE)</f>
        <v xml:space="preserve">Rodrigo </v>
      </c>
      <c r="D297" t="str">
        <f>VLOOKUP(B297,[1]BD_FINAL!$A:$H,3,FALSE)</f>
        <v>Cali</v>
      </c>
      <c r="E297" t="str">
        <f>VLOOKUP(B297,[1]BD_FINAL!$A:$H,8,FALSE)</f>
        <v>Control</v>
      </c>
      <c r="F297" s="2">
        <f t="shared" si="12"/>
        <v>0</v>
      </c>
      <c r="G297">
        <f t="shared" si="13"/>
        <v>2</v>
      </c>
      <c r="H297" s="3" t="s">
        <v>4250</v>
      </c>
      <c r="I297" s="6" t="str">
        <f t="shared" si="14"/>
        <v>00020296</v>
      </c>
    </row>
    <row r="298" spans="1:9" x14ac:dyDescent="0.3">
      <c r="A298">
        <v>297</v>
      </c>
      <c r="B298" s="6">
        <v>16830582</v>
      </c>
      <c r="C298" t="str">
        <f>VLOOKUP(B298,[1]BD_FINAL!$A:$H,2,FALSE)</f>
        <v>JAMES</v>
      </c>
      <c r="D298" t="str">
        <f>VLOOKUP(B298,[1]BD_FINAL!$A:$H,3,FALSE)</f>
        <v>Cali</v>
      </c>
      <c r="E298" t="str">
        <f>VLOOKUP(B298,[1]BD_FINAL!$A:$H,8,FALSE)</f>
        <v>Control</v>
      </c>
      <c r="F298" s="2">
        <f t="shared" si="12"/>
        <v>0</v>
      </c>
      <c r="G298">
        <f t="shared" si="13"/>
        <v>2</v>
      </c>
      <c r="H298" s="3" t="s">
        <v>4251</v>
      </c>
      <c r="I298" s="6" t="str">
        <f t="shared" si="14"/>
        <v>00020297</v>
      </c>
    </row>
    <row r="299" spans="1:9" x14ac:dyDescent="0.3">
      <c r="A299">
        <v>298</v>
      </c>
      <c r="B299" s="6">
        <v>16881076</v>
      </c>
      <c r="C299" t="str">
        <f>VLOOKUP(B299,[1]BD_FINAL!$A:$H,2,FALSE)</f>
        <v>JOSE MAURO</v>
      </c>
      <c r="D299" t="str">
        <f>VLOOKUP(B299,[1]BD_FINAL!$A:$H,3,FALSE)</f>
        <v>Cali</v>
      </c>
      <c r="E299" t="str">
        <f>VLOOKUP(B299,[1]BD_FINAL!$A:$H,8,FALSE)</f>
        <v>Tratamiento</v>
      </c>
      <c r="F299" s="2">
        <f t="shared" si="12"/>
        <v>1</v>
      </c>
      <c r="G299">
        <f t="shared" si="13"/>
        <v>2</v>
      </c>
      <c r="H299" s="3" t="s">
        <v>4252</v>
      </c>
      <c r="I299" s="6" t="str">
        <f t="shared" si="14"/>
        <v>01020298</v>
      </c>
    </row>
    <row r="300" spans="1:9" x14ac:dyDescent="0.3">
      <c r="A300">
        <v>299</v>
      </c>
      <c r="B300" s="6">
        <v>16881275</v>
      </c>
      <c r="C300" t="str">
        <f>VLOOKUP(B300,[1]BD_FINAL!$A:$H,2,FALSE)</f>
        <v xml:space="preserve">Carlos José </v>
      </c>
      <c r="D300" t="str">
        <f>VLOOKUP(B300,[1]BD_FINAL!$A:$H,3,FALSE)</f>
        <v>Cali</v>
      </c>
      <c r="E300" t="str">
        <f>VLOOKUP(B300,[1]BD_FINAL!$A:$H,8,FALSE)</f>
        <v>Control</v>
      </c>
      <c r="F300" s="2">
        <f t="shared" si="12"/>
        <v>0</v>
      </c>
      <c r="G300">
        <f t="shared" si="13"/>
        <v>2</v>
      </c>
      <c r="H300" s="3" t="s">
        <v>4253</v>
      </c>
      <c r="I300" s="6" t="str">
        <f t="shared" si="14"/>
        <v>00020299</v>
      </c>
    </row>
    <row r="301" spans="1:9" x14ac:dyDescent="0.3">
      <c r="A301">
        <v>300</v>
      </c>
      <c r="B301" s="6">
        <v>16917385</v>
      </c>
      <c r="C301" t="str">
        <f>VLOOKUP(B301,[1]BD_FINAL!$A:$H,2,FALSE)</f>
        <v>Carlos Andres</v>
      </c>
      <c r="D301" t="str">
        <f>VLOOKUP(B301,[1]BD_FINAL!$A:$H,3,FALSE)</f>
        <v>Cali</v>
      </c>
      <c r="E301" t="str">
        <f>VLOOKUP(B301,[1]BD_FINAL!$A:$H,8,FALSE)</f>
        <v>Control</v>
      </c>
      <c r="F301" s="2">
        <f t="shared" si="12"/>
        <v>0</v>
      </c>
      <c r="G301">
        <f t="shared" si="13"/>
        <v>2</v>
      </c>
      <c r="H301" s="3" t="s">
        <v>4254</v>
      </c>
      <c r="I301" s="6" t="str">
        <f t="shared" si="14"/>
        <v>00020300</v>
      </c>
    </row>
    <row r="302" spans="1:9" x14ac:dyDescent="0.3">
      <c r="A302">
        <v>301</v>
      </c>
      <c r="B302" s="6">
        <v>16936771</v>
      </c>
      <c r="C302" t="str">
        <f>VLOOKUP(B302,[1]BD_FINAL!$A:$H,2,FALSE)</f>
        <v>Jhon jaiver</v>
      </c>
      <c r="D302" t="str">
        <f>VLOOKUP(B302,[1]BD_FINAL!$A:$H,3,FALSE)</f>
        <v>Cali</v>
      </c>
      <c r="E302" t="str">
        <f>VLOOKUP(B302,[1]BD_FINAL!$A:$H,8,FALSE)</f>
        <v>Tratamiento</v>
      </c>
      <c r="F302" s="2">
        <f t="shared" si="12"/>
        <v>1</v>
      </c>
      <c r="G302">
        <f t="shared" si="13"/>
        <v>2</v>
      </c>
      <c r="H302" s="3" t="s">
        <v>4255</v>
      </c>
      <c r="I302" s="6" t="str">
        <f t="shared" si="14"/>
        <v>01020301</v>
      </c>
    </row>
    <row r="303" spans="1:9" x14ac:dyDescent="0.3">
      <c r="A303">
        <v>302</v>
      </c>
      <c r="B303" s="6">
        <v>17152604</v>
      </c>
      <c r="C303" t="str">
        <f>VLOOKUP(B303,[1]BD_FINAL!$A:$H,2,FALSE)</f>
        <v>Luis Alberto</v>
      </c>
      <c r="D303" t="str">
        <f>VLOOKUP(B303,[1]BD_FINAL!$A:$H,3,FALSE)</f>
        <v>Baranquilla</v>
      </c>
      <c r="E303" t="str">
        <f>VLOOKUP(B303,[1]BD_FINAL!$A:$H,8,FALSE)</f>
        <v>Tratamiento</v>
      </c>
      <c r="F303" s="2">
        <f t="shared" si="12"/>
        <v>1</v>
      </c>
      <c r="G303">
        <f t="shared" si="13"/>
        <v>3</v>
      </c>
      <c r="H303" s="3" t="s">
        <v>4256</v>
      </c>
      <c r="I303" s="6" t="str">
        <f t="shared" si="14"/>
        <v>01030302</v>
      </c>
    </row>
    <row r="304" spans="1:9" x14ac:dyDescent="0.3">
      <c r="A304">
        <v>303</v>
      </c>
      <c r="B304" s="6">
        <v>1747298</v>
      </c>
      <c r="C304" t="str">
        <f>VLOOKUP(B304,[1]BD_FINAL!$A:$H,2,FALSE)</f>
        <v xml:space="preserve">Agustín </v>
      </c>
      <c r="D304" t="str">
        <f>VLOOKUP(B304,[1]BD_FINAL!$A:$H,3,FALSE)</f>
        <v>Baranquilla</v>
      </c>
      <c r="E304" t="str">
        <f>VLOOKUP(B304,[1]BD_FINAL!$A:$H,8,FALSE)</f>
        <v>Control</v>
      </c>
      <c r="F304" s="2">
        <f t="shared" si="12"/>
        <v>0</v>
      </c>
      <c r="G304">
        <f t="shared" si="13"/>
        <v>3</v>
      </c>
      <c r="H304" s="3" t="s">
        <v>4257</v>
      </c>
      <c r="I304" s="6" t="str">
        <f t="shared" si="14"/>
        <v>00030303</v>
      </c>
    </row>
    <row r="305" spans="1:9" x14ac:dyDescent="0.3">
      <c r="A305">
        <v>304</v>
      </c>
      <c r="B305" s="6">
        <v>17632722</v>
      </c>
      <c r="C305" t="str">
        <f>VLOOKUP(B305,[1]BD_FINAL!$A:$H,2,FALSE)</f>
        <v>EDUCARDO</v>
      </c>
      <c r="D305" t="str">
        <f>VLOOKUP(B305,[1]BD_FINAL!$A:$H,3,FALSE)</f>
        <v>Cali</v>
      </c>
      <c r="E305" t="str">
        <f>VLOOKUP(B305,[1]BD_FINAL!$A:$H,8,FALSE)</f>
        <v>Tratamiento</v>
      </c>
      <c r="F305" s="2">
        <f t="shared" si="12"/>
        <v>1</v>
      </c>
      <c r="G305">
        <f t="shared" si="13"/>
        <v>2</v>
      </c>
      <c r="H305" s="3" t="s">
        <v>4258</v>
      </c>
      <c r="I305" s="6" t="str">
        <f t="shared" si="14"/>
        <v>01020304</v>
      </c>
    </row>
    <row r="306" spans="1:9" x14ac:dyDescent="0.3">
      <c r="A306">
        <v>305</v>
      </c>
      <c r="B306" s="6">
        <v>17808718</v>
      </c>
      <c r="C306" t="str">
        <f>VLOOKUP(B306,[1]BD_FINAL!$A:$H,2,FALSE)</f>
        <v xml:space="preserve">Jose Pedro </v>
      </c>
      <c r="D306" t="str">
        <f>VLOOKUP(B306,[1]BD_FINAL!$A:$H,3,FALSE)</f>
        <v>Baranquilla</v>
      </c>
      <c r="E306" t="str">
        <f>VLOOKUP(B306,[1]BD_FINAL!$A:$H,8,FALSE)</f>
        <v>Tratamiento</v>
      </c>
      <c r="F306" s="2">
        <f t="shared" si="12"/>
        <v>1</v>
      </c>
      <c r="G306">
        <f t="shared" si="13"/>
        <v>3</v>
      </c>
      <c r="H306" s="3" t="s">
        <v>4259</v>
      </c>
      <c r="I306" s="6" t="str">
        <f t="shared" si="14"/>
        <v>01030305</v>
      </c>
    </row>
    <row r="307" spans="1:9" x14ac:dyDescent="0.3">
      <c r="A307">
        <v>306</v>
      </c>
      <c r="B307" s="6">
        <v>17849804</v>
      </c>
      <c r="C307" t="str">
        <f>VLOOKUP(B307,[1]BD_FINAL!$A:$H,2,FALSE)</f>
        <v xml:space="preserve">MARTÍN RAFAEL </v>
      </c>
      <c r="D307" t="str">
        <f>VLOOKUP(B307,[1]BD_FINAL!$A:$H,3,FALSE)</f>
        <v>Baranquilla</v>
      </c>
      <c r="E307" t="str">
        <f>VLOOKUP(B307,[1]BD_FINAL!$A:$H,8,FALSE)</f>
        <v>Tratamiento</v>
      </c>
      <c r="F307" s="2">
        <f t="shared" si="12"/>
        <v>1</v>
      </c>
      <c r="G307">
        <f t="shared" si="13"/>
        <v>3</v>
      </c>
      <c r="H307" s="3" t="s">
        <v>4260</v>
      </c>
      <c r="I307" s="6" t="str">
        <f t="shared" si="14"/>
        <v>01030306</v>
      </c>
    </row>
    <row r="308" spans="1:9" x14ac:dyDescent="0.3">
      <c r="A308">
        <v>307</v>
      </c>
      <c r="B308" s="6">
        <v>18932393</v>
      </c>
      <c r="C308" t="str">
        <f>VLOOKUP(B308,[1]BD_FINAL!$A:$H,2,FALSE)</f>
        <v>REGINALDO ENRIQUE</v>
      </c>
      <c r="D308" t="str">
        <f>VLOOKUP(B308,[1]BD_FINAL!$A:$H,3,FALSE)</f>
        <v>Baranquilla</v>
      </c>
      <c r="E308" t="str">
        <f>VLOOKUP(B308,[1]BD_FINAL!$A:$H,8,FALSE)</f>
        <v>Tratamiento</v>
      </c>
      <c r="F308" s="2">
        <f t="shared" si="12"/>
        <v>1</v>
      </c>
      <c r="G308">
        <f t="shared" si="13"/>
        <v>3</v>
      </c>
      <c r="H308" s="3" t="s">
        <v>4261</v>
      </c>
      <c r="I308" s="6" t="str">
        <f t="shared" si="14"/>
        <v>01030307</v>
      </c>
    </row>
    <row r="309" spans="1:9" x14ac:dyDescent="0.3">
      <c r="A309">
        <v>308</v>
      </c>
      <c r="B309" s="6">
        <v>19143848</v>
      </c>
      <c r="C309" t="str">
        <f>VLOOKUP(B309,[1]BD_FINAL!$A:$H,2,FALSE)</f>
        <v>Lix Mario</v>
      </c>
      <c r="D309" t="str">
        <f>VLOOKUP(B309,[1]BD_FINAL!$A:$H,3,FALSE)</f>
        <v>Medellin</v>
      </c>
      <c r="E309" t="str">
        <f>VLOOKUP(B309,[1]BD_FINAL!$A:$H,8,FALSE)</f>
        <v>Control</v>
      </c>
      <c r="F309" s="2">
        <f t="shared" si="12"/>
        <v>0</v>
      </c>
      <c r="G309">
        <f t="shared" si="13"/>
        <v>1</v>
      </c>
      <c r="H309" s="3" t="s">
        <v>4262</v>
      </c>
      <c r="I309" s="6" t="str">
        <f t="shared" si="14"/>
        <v>00010308</v>
      </c>
    </row>
    <row r="310" spans="1:9" x14ac:dyDescent="0.3">
      <c r="A310">
        <v>309</v>
      </c>
      <c r="B310" s="6">
        <v>19218873</v>
      </c>
      <c r="C310" t="str">
        <f>VLOOKUP(B310,[1]BD_FINAL!$A:$H,2,FALSE)</f>
        <v xml:space="preserve">Sigifredo </v>
      </c>
      <c r="D310" t="str">
        <f>VLOOKUP(B310,[1]BD_FINAL!$A:$H,3,FALSE)</f>
        <v>Baranquilla</v>
      </c>
      <c r="E310" t="str">
        <f>VLOOKUP(B310,[1]BD_FINAL!$A:$H,8,FALSE)</f>
        <v>Control</v>
      </c>
      <c r="F310" s="2">
        <f t="shared" si="12"/>
        <v>0</v>
      </c>
      <c r="G310">
        <f t="shared" si="13"/>
        <v>3</v>
      </c>
      <c r="H310" s="3" t="s">
        <v>4263</v>
      </c>
      <c r="I310" s="6" t="str">
        <f t="shared" si="14"/>
        <v>00030309</v>
      </c>
    </row>
    <row r="311" spans="1:9" x14ac:dyDescent="0.3">
      <c r="A311">
        <v>310</v>
      </c>
      <c r="B311" s="6">
        <v>19288937</v>
      </c>
      <c r="C311" t="str">
        <f>VLOOKUP(B311,[1]BD_FINAL!$A:$H,2,FALSE)</f>
        <v>BERNARDO</v>
      </c>
      <c r="D311" t="str">
        <f>VLOOKUP(B311,[1]BD_FINAL!$A:$H,3,FALSE)</f>
        <v>Cali</v>
      </c>
      <c r="E311" t="str">
        <f>VLOOKUP(B311,[1]BD_FINAL!$A:$H,8,FALSE)</f>
        <v>Control</v>
      </c>
      <c r="F311" s="2">
        <f t="shared" si="12"/>
        <v>0</v>
      </c>
      <c r="G311">
        <f t="shared" si="13"/>
        <v>2</v>
      </c>
      <c r="H311" s="3" t="s">
        <v>4264</v>
      </c>
      <c r="I311" s="6" t="str">
        <f t="shared" si="14"/>
        <v>00020310</v>
      </c>
    </row>
    <row r="312" spans="1:9" x14ac:dyDescent="0.3">
      <c r="A312">
        <v>311</v>
      </c>
      <c r="B312" s="6">
        <v>19582075</v>
      </c>
      <c r="C312" t="str">
        <f>VLOOKUP(B312,[1]BD_FINAL!$A:$H,2,FALSE)</f>
        <v xml:space="preserve">Manuel calixto </v>
      </c>
      <c r="D312" t="str">
        <f>VLOOKUP(B312,[1]BD_FINAL!$A:$H,3,FALSE)</f>
        <v>Baranquilla</v>
      </c>
      <c r="E312" t="str">
        <f>VLOOKUP(B312,[1]BD_FINAL!$A:$H,8,FALSE)</f>
        <v>Tratamiento</v>
      </c>
      <c r="F312" s="2">
        <f t="shared" si="12"/>
        <v>1</v>
      </c>
      <c r="G312">
        <f t="shared" si="13"/>
        <v>3</v>
      </c>
      <c r="H312" s="3" t="s">
        <v>4265</v>
      </c>
      <c r="I312" s="6" t="str">
        <f t="shared" si="14"/>
        <v>01030311</v>
      </c>
    </row>
    <row r="313" spans="1:9" x14ac:dyDescent="0.3">
      <c r="A313">
        <v>312</v>
      </c>
      <c r="B313" s="6">
        <v>19596310</v>
      </c>
      <c r="C313" t="str">
        <f>VLOOKUP(B313,[1]BD_FINAL!$A:$H,2,FALSE)</f>
        <v xml:space="preserve">Nadin Emerson </v>
      </c>
      <c r="D313" t="str">
        <f>VLOOKUP(B313,[1]BD_FINAL!$A:$H,3,FALSE)</f>
        <v>Baranquilla</v>
      </c>
      <c r="E313" t="str">
        <f>VLOOKUP(B313,[1]BD_FINAL!$A:$H,8,FALSE)</f>
        <v>Control</v>
      </c>
      <c r="F313" s="2">
        <f t="shared" si="12"/>
        <v>0</v>
      </c>
      <c r="G313">
        <f t="shared" si="13"/>
        <v>3</v>
      </c>
      <c r="H313" s="3" t="s">
        <v>4266</v>
      </c>
      <c r="I313" s="6" t="str">
        <f t="shared" si="14"/>
        <v>00030312</v>
      </c>
    </row>
    <row r="314" spans="1:9" x14ac:dyDescent="0.3">
      <c r="A314">
        <v>313</v>
      </c>
      <c r="B314" s="6">
        <v>21308025</v>
      </c>
      <c r="C314" t="str">
        <f>VLOOKUP(B314,[1]BD_FINAL!$A:$H,2,FALSE)</f>
        <v>Nubia de los ángeles</v>
      </c>
      <c r="D314" t="str">
        <f>VLOOKUP(B314,[1]BD_FINAL!$A:$H,3,FALSE)</f>
        <v>Medellin</v>
      </c>
      <c r="E314" t="str">
        <f>VLOOKUP(B314,[1]BD_FINAL!$A:$H,8,FALSE)</f>
        <v>Control</v>
      </c>
      <c r="F314" s="2">
        <f t="shared" si="12"/>
        <v>0</v>
      </c>
      <c r="G314">
        <f t="shared" si="13"/>
        <v>1</v>
      </c>
      <c r="H314" s="3" t="s">
        <v>4267</v>
      </c>
      <c r="I314" s="6" t="str">
        <f t="shared" si="14"/>
        <v>00010313</v>
      </c>
    </row>
    <row r="315" spans="1:9" x14ac:dyDescent="0.3">
      <c r="A315">
        <v>314</v>
      </c>
      <c r="B315" s="6">
        <v>21311154</v>
      </c>
      <c r="C315" t="str">
        <f>VLOOKUP(B315,[1]BD_FINAL!$A:$H,2,FALSE)</f>
        <v>Blanca Nohemi</v>
      </c>
      <c r="D315" t="str">
        <f>VLOOKUP(B315,[1]BD_FINAL!$A:$H,3,FALSE)</f>
        <v>Medellin</v>
      </c>
      <c r="E315" t="str">
        <f>VLOOKUP(B315,[1]BD_FINAL!$A:$H,8,FALSE)</f>
        <v>Control</v>
      </c>
      <c r="F315" s="2">
        <f t="shared" si="12"/>
        <v>0</v>
      </c>
      <c r="G315">
        <f t="shared" si="13"/>
        <v>1</v>
      </c>
      <c r="H315" s="3" t="s">
        <v>4268</v>
      </c>
      <c r="I315" s="6" t="str">
        <f t="shared" si="14"/>
        <v>00010314</v>
      </c>
    </row>
    <row r="316" spans="1:9" x14ac:dyDescent="0.3">
      <c r="A316">
        <v>315</v>
      </c>
      <c r="B316" s="6">
        <v>21386259</v>
      </c>
      <c r="C316" t="str">
        <f>VLOOKUP(B316,[1]BD_FINAL!$A:$H,2,FALSE)</f>
        <v>Alba Lucía</v>
      </c>
      <c r="D316" t="str">
        <f>VLOOKUP(B316,[1]BD_FINAL!$A:$H,3,FALSE)</f>
        <v>Medellin</v>
      </c>
      <c r="E316" t="str">
        <f>VLOOKUP(B316,[1]BD_FINAL!$A:$H,8,FALSE)</f>
        <v>Tratamiento</v>
      </c>
      <c r="F316" s="2">
        <f t="shared" si="12"/>
        <v>1</v>
      </c>
      <c r="G316">
        <f t="shared" si="13"/>
        <v>1</v>
      </c>
      <c r="H316" s="3" t="s">
        <v>4269</v>
      </c>
      <c r="I316" s="6" t="str">
        <f t="shared" si="14"/>
        <v>01010315</v>
      </c>
    </row>
    <row r="317" spans="1:9" x14ac:dyDescent="0.3">
      <c r="A317">
        <v>316</v>
      </c>
      <c r="B317" s="6">
        <v>21399690</v>
      </c>
      <c r="C317" t="str">
        <f>VLOOKUP(B317,[1]BD_FINAL!$A:$H,2,FALSE)</f>
        <v xml:space="preserve">María Adalisve rincón </v>
      </c>
      <c r="D317" t="str">
        <f>VLOOKUP(B317,[1]BD_FINAL!$A:$H,3,FALSE)</f>
        <v>Medellin</v>
      </c>
      <c r="E317" t="str">
        <f>VLOOKUP(B317,[1]BD_FINAL!$A:$H,8,FALSE)</f>
        <v>Tratamiento</v>
      </c>
      <c r="F317" s="2">
        <f t="shared" si="12"/>
        <v>1</v>
      </c>
      <c r="G317">
        <f t="shared" si="13"/>
        <v>1</v>
      </c>
      <c r="H317" s="3" t="s">
        <v>4270</v>
      </c>
      <c r="I317" s="6" t="str">
        <f t="shared" si="14"/>
        <v>01010316</v>
      </c>
    </row>
    <row r="318" spans="1:9" x14ac:dyDescent="0.3">
      <c r="A318">
        <v>317</v>
      </c>
      <c r="B318" s="6">
        <v>21400273</v>
      </c>
      <c r="C318" t="str">
        <f>VLOOKUP(B318,[1]BD_FINAL!$A:$H,2,FALSE)</f>
        <v>Maria Viglenisa</v>
      </c>
      <c r="D318" t="str">
        <f>VLOOKUP(B318,[1]BD_FINAL!$A:$H,3,FALSE)</f>
        <v>Medellin</v>
      </c>
      <c r="E318" t="str">
        <f>VLOOKUP(B318,[1]BD_FINAL!$A:$H,8,FALSE)</f>
        <v>Tratamiento</v>
      </c>
      <c r="F318" s="2">
        <f t="shared" si="12"/>
        <v>1</v>
      </c>
      <c r="G318">
        <f t="shared" si="13"/>
        <v>1</v>
      </c>
      <c r="H318" s="3" t="s">
        <v>4271</v>
      </c>
      <c r="I318" s="6" t="str">
        <f t="shared" si="14"/>
        <v>01010317</v>
      </c>
    </row>
    <row r="319" spans="1:9" x14ac:dyDescent="0.3">
      <c r="A319">
        <v>318</v>
      </c>
      <c r="B319" s="6">
        <v>21451130</v>
      </c>
      <c r="C319" t="str">
        <f>VLOOKUP(B319,[1]BD_FINAL!$A:$H,2,FALSE)</f>
        <v xml:space="preserve">Maria angelina 
</v>
      </c>
      <c r="D319" t="str">
        <f>VLOOKUP(B319,[1]BD_FINAL!$A:$H,3,FALSE)</f>
        <v>Medellin</v>
      </c>
      <c r="E319" t="str">
        <f>VLOOKUP(B319,[1]BD_FINAL!$A:$H,8,FALSE)</f>
        <v>Control</v>
      </c>
      <c r="F319" s="2">
        <f t="shared" si="12"/>
        <v>0</v>
      </c>
      <c r="G319">
        <f t="shared" si="13"/>
        <v>1</v>
      </c>
      <c r="H319" s="3" t="s">
        <v>4272</v>
      </c>
      <c r="I319" s="6" t="str">
        <f t="shared" si="14"/>
        <v>00010318</v>
      </c>
    </row>
    <row r="320" spans="1:9" x14ac:dyDescent="0.3">
      <c r="A320">
        <v>319</v>
      </c>
      <c r="B320" s="6">
        <v>21451506</v>
      </c>
      <c r="C320" t="str">
        <f>VLOOKUP(B320,[1]BD_FINAL!$A:$H,2,FALSE)</f>
        <v>Gloria de Jesús</v>
      </c>
      <c r="D320" t="str">
        <f>VLOOKUP(B320,[1]BD_FINAL!$A:$H,3,FALSE)</f>
        <v>Medellin</v>
      </c>
      <c r="E320" t="str">
        <f>VLOOKUP(B320,[1]BD_FINAL!$A:$H,8,FALSE)</f>
        <v>Tratamiento</v>
      </c>
      <c r="F320" s="2">
        <f t="shared" si="12"/>
        <v>1</v>
      </c>
      <c r="G320">
        <f t="shared" si="13"/>
        <v>1</v>
      </c>
      <c r="H320" s="3" t="s">
        <v>4273</v>
      </c>
      <c r="I320" s="6" t="str">
        <f t="shared" si="14"/>
        <v>01010319</v>
      </c>
    </row>
    <row r="321" spans="1:9" x14ac:dyDescent="0.3">
      <c r="A321">
        <v>320</v>
      </c>
      <c r="B321" s="6">
        <v>21464825</v>
      </c>
      <c r="C321" t="str">
        <f>VLOOKUP(B321,[1]BD_FINAL!$A:$H,2,FALSE)</f>
        <v>Fabia Margarita</v>
      </c>
      <c r="D321" t="str">
        <f>VLOOKUP(B321,[1]BD_FINAL!$A:$H,3,FALSE)</f>
        <v>Medellin</v>
      </c>
      <c r="E321" t="str">
        <f>VLOOKUP(B321,[1]BD_FINAL!$A:$H,8,FALSE)</f>
        <v>Tratamiento</v>
      </c>
      <c r="F321" s="2">
        <f t="shared" si="12"/>
        <v>1</v>
      </c>
      <c r="G321">
        <f t="shared" si="13"/>
        <v>1</v>
      </c>
      <c r="H321" s="3" t="s">
        <v>4274</v>
      </c>
      <c r="I321" s="6" t="str">
        <f t="shared" si="14"/>
        <v>01010320</v>
      </c>
    </row>
    <row r="322" spans="1:9" x14ac:dyDescent="0.3">
      <c r="A322">
        <v>321</v>
      </c>
      <c r="B322" s="6">
        <v>21467983</v>
      </c>
      <c r="C322" t="str">
        <f>VLOOKUP(B322,[1]BD_FINAL!$A:$H,2,FALSE)</f>
        <v xml:space="preserve">Gloria Eunice </v>
      </c>
      <c r="D322" t="str">
        <f>VLOOKUP(B322,[1]BD_FINAL!$A:$H,3,FALSE)</f>
        <v>Medellin</v>
      </c>
      <c r="E322" t="str">
        <f>VLOOKUP(B322,[1]BD_FINAL!$A:$H,8,FALSE)</f>
        <v>Tratamiento</v>
      </c>
      <c r="F322" s="2">
        <f t="shared" si="12"/>
        <v>1</v>
      </c>
      <c r="G322">
        <f t="shared" si="13"/>
        <v>1</v>
      </c>
      <c r="H322" s="3" t="s">
        <v>4275</v>
      </c>
      <c r="I322" s="6" t="str">
        <f t="shared" si="14"/>
        <v>01010321</v>
      </c>
    </row>
    <row r="323" spans="1:9" x14ac:dyDescent="0.3">
      <c r="A323">
        <v>322</v>
      </c>
      <c r="B323" s="6">
        <v>21469067</v>
      </c>
      <c r="C323" t="str">
        <f>VLOOKUP(B323,[1]BD_FINAL!$A:$H,2,FALSE)</f>
        <v xml:space="preserve">María Consuelo </v>
      </c>
      <c r="D323" t="str">
        <f>VLOOKUP(B323,[1]BD_FINAL!$A:$H,3,FALSE)</f>
        <v>Medellin</v>
      </c>
      <c r="E323" t="str">
        <f>VLOOKUP(B323,[1]BD_FINAL!$A:$H,8,FALSE)</f>
        <v>Control</v>
      </c>
      <c r="F323" s="2">
        <f t="shared" ref="F323:F386" si="15">IF(E323="CONTROL",0,1)</f>
        <v>0</v>
      </c>
      <c r="G323">
        <f t="shared" ref="G323:G386" si="16">IF(D323="Medellin",1,IF(D323="Cali",2,IF(D323="Baranquilla",3,0)))</f>
        <v>1</v>
      </c>
      <c r="H323" s="3" t="s">
        <v>4276</v>
      </c>
      <c r="I323" s="6" t="str">
        <f t="shared" ref="I323:I386" si="17">_xlfn.CONCAT(0,F323,0,G323,H323)</f>
        <v>00010322</v>
      </c>
    </row>
    <row r="324" spans="1:9" x14ac:dyDescent="0.3">
      <c r="A324">
        <v>323</v>
      </c>
      <c r="B324" s="6">
        <v>21499811</v>
      </c>
      <c r="C324" t="str">
        <f>VLOOKUP(B324,[1]BD_FINAL!$A:$H,2,FALSE)</f>
        <v xml:space="preserve">Maria Virginia </v>
      </c>
      <c r="D324" t="str">
        <f>VLOOKUP(B324,[1]BD_FINAL!$A:$H,3,FALSE)</f>
        <v>Medellin</v>
      </c>
      <c r="E324" t="str">
        <f>VLOOKUP(B324,[1]BD_FINAL!$A:$H,8,FALSE)</f>
        <v>Control</v>
      </c>
      <c r="F324" s="2">
        <f t="shared" si="15"/>
        <v>0</v>
      </c>
      <c r="G324">
        <f t="shared" si="16"/>
        <v>1</v>
      </c>
      <c r="H324" s="3" t="s">
        <v>4277</v>
      </c>
      <c r="I324" s="6" t="str">
        <f t="shared" si="17"/>
        <v>00010323</v>
      </c>
    </row>
    <row r="325" spans="1:9" x14ac:dyDescent="0.3">
      <c r="A325">
        <v>324</v>
      </c>
      <c r="B325" s="6">
        <v>21508452</v>
      </c>
      <c r="C325" t="str">
        <f>VLOOKUP(B325,[1]BD_FINAL!$A:$H,2,FALSE)</f>
        <v xml:space="preserve">María Mercedes </v>
      </c>
      <c r="D325" t="str">
        <f>VLOOKUP(B325,[1]BD_FINAL!$A:$H,3,FALSE)</f>
        <v>Medellin</v>
      </c>
      <c r="E325" t="str">
        <f>VLOOKUP(B325,[1]BD_FINAL!$A:$H,8,FALSE)</f>
        <v>Tratamiento</v>
      </c>
      <c r="F325" s="2">
        <f t="shared" si="15"/>
        <v>1</v>
      </c>
      <c r="G325">
        <f t="shared" si="16"/>
        <v>1</v>
      </c>
      <c r="H325" s="3" t="s">
        <v>4278</v>
      </c>
      <c r="I325" s="6" t="str">
        <f t="shared" si="17"/>
        <v>01010324</v>
      </c>
    </row>
    <row r="326" spans="1:9" x14ac:dyDescent="0.3">
      <c r="A326">
        <v>325</v>
      </c>
      <c r="B326" s="6">
        <v>21521912</v>
      </c>
      <c r="C326" t="str">
        <f>VLOOKUP(B326,[1]BD_FINAL!$A:$H,2,FALSE)</f>
        <v>Fany de jesus</v>
      </c>
      <c r="D326" t="str">
        <f>VLOOKUP(B326,[1]BD_FINAL!$A:$H,3,FALSE)</f>
        <v>Medellin</v>
      </c>
      <c r="E326" t="str">
        <f>VLOOKUP(B326,[1]BD_FINAL!$A:$H,8,FALSE)</f>
        <v>Tratamiento</v>
      </c>
      <c r="F326" s="2">
        <f t="shared" si="15"/>
        <v>1</v>
      </c>
      <c r="G326">
        <f t="shared" si="16"/>
        <v>1</v>
      </c>
      <c r="H326" s="3" t="s">
        <v>4279</v>
      </c>
      <c r="I326" s="6" t="str">
        <f t="shared" si="17"/>
        <v>01010325</v>
      </c>
    </row>
    <row r="327" spans="1:9" x14ac:dyDescent="0.3">
      <c r="A327">
        <v>326</v>
      </c>
      <c r="B327" s="6">
        <v>21559816</v>
      </c>
      <c r="C327" t="str">
        <f>VLOOKUP(B327,[1]BD_FINAL!$A:$H,2,FALSE)</f>
        <v>Luz omaira</v>
      </c>
      <c r="D327" t="str">
        <f>VLOOKUP(B327,[1]BD_FINAL!$A:$H,3,FALSE)</f>
        <v>Medellin</v>
      </c>
      <c r="E327" t="str">
        <f>VLOOKUP(B327,[1]BD_FINAL!$A:$H,8,FALSE)</f>
        <v>Tratamiento</v>
      </c>
      <c r="F327" s="2">
        <f t="shared" si="15"/>
        <v>1</v>
      </c>
      <c r="G327">
        <f t="shared" si="16"/>
        <v>1</v>
      </c>
      <c r="H327" s="3" t="s">
        <v>4280</v>
      </c>
      <c r="I327" s="6" t="str">
        <f t="shared" si="17"/>
        <v>01010326</v>
      </c>
    </row>
    <row r="328" spans="1:9" x14ac:dyDescent="0.3">
      <c r="A328">
        <v>327</v>
      </c>
      <c r="B328" s="6">
        <v>21573512</v>
      </c>
      <c r="C328" t="str">
        <f>VLOOKUP(B328,[1]BD_FINAL!$A:$H,2,FALSE)</f>
        <v xml:space="preserve">Marta Lilia </v>
      </c>
      <c r="D328" t="str">
        <f>VLOOKUP(B328,[1]BD_FINAL!$A:$H,3,FALSE)</f>
        <v>Medellin</v>
      </c>
      <c r="E328" t="str">
        <f>VLOOKUP(B328,[1]BD_FINAL!$A:$H,8,FALSE)</f>
        <v>Tratamiento</v>
      </c>
      <c r="F328" s="2">
        <f t="shared" si="15"/>
        <v>1</v>
      </c>
      <c r="G328">
        <f t="shared" si="16"/>
        <v>1</v>
      </c>
      <c r="H328" s="3" t="s">
        <v>4281</v>
      </c>
      <c r="I328" s="6" t="str">
        <f t="shared" si="17"/>
        <v>01010327</v>
      </c>
    </row>
    <row r="329" spans="1:9" x14ac:dyDescent="0.3">
      <c r="A329">
        <v>328</v>
      </c>
      <c r="B329" s="6">
        <v>21575791</v>
      </c>
      <c r="C329" t="str">
        <f>VLOOKUP(B329,[1]BD_FINAL!$A:$H,2,FALSE)</f>
        <v>Luz marina</v>
      </c>
      <c r="D329" t="str">
        <f>VLOOKUP(B329,[1]BD_FINAL!$A:$H,3,FALSE)</f>
        <v>Medellin</v>
      </c>
      <c r="E329" t="str">
        <f>VLOOKUP(B329,[1]BD_FINAL!$A:$H,8,FALSE)</f>
        <v>Tratamiento</v>
      </c>
      <c r="F329" s="2">
        <f t="shared" si="15"/>
        <v>1</v>
      </c>
      <c r="G329">
        <f t="shared" si="16"/>
        <v>1</v>
      </c>
      <c r="H329" s="3" t="s">
        <v>4282</v>
      </c>
      <c r="I329" s="6" t="str">
        <f t="shared" si="17"/>
        <v>01010328</v>
      </c>
    </row>
    <row r="330" spans="1:9" x14ac:dyDescent="0.3">
      <c r="A330">
        <v>329</v>
      </c>
      <c r="B330" s="6">
        <v>21584884</v>
      </c>
      <c r="C330" t="str">
        <f>VLOOKUP(B330,[1]BD_FINAL!$A:$H,2,FALSE)</f>
        <v>Maria franquelina</v>
      </c>
      <c r="D330" t="str">
        <f>VLOOKUP(B330,[1]BD_FINAL!$A:$H,3,FALSE)</f>
        <v>Medellin</v>
      </c>
      <c r="E330" t="str">
        <f>VLOOKUP(B330,[1]BD_FINAL!$A:$H,8,FALSE)</f>
        <v>Tratamiento</v>
      </c>
      <c r="F330" s="2">
        <f t="shared" si="15"/>
        <v>1</v>
      </c>
      <c r="G330">
        <f t="shared" si="16"/>
        <v>1</v>
      </c>
      <c r="H330" s="3" t="s">
        <v>4283</v>
      </c>
      <c r="I330" s="6" t="str">
        <f t="shared" si="17"/>
        <v>01010329</v>
      </c>
    </row>
    <row r="331" spans="1:9" x14ac:dyDescent="0.3">
      <c r="A331">
        <v>330</v>
      </c>
      <c r="B331" s="6">
        <v>21610540</v>
      </c>
      <c r="C331" t="str">
        <f>VLOOKUP(B331,[1]BD_FINAL!$A:$H,2,FALSE)</f>
        <v>Blanca liria urregovasquez</v>
      </c>
      <c r="D331" t="str">
        <f>VLOOKUP(B331,[1]BD_FINAL!$A:$H,3,FALSE)</f>
        <v>Medellin</v>
      </c>
      <c r="E331" t="str">
        <f>VLOOKUP(B331,[1]BD_FINAL!$A:$H,8,FALSE)</f>
        <v>Control</v>
      </c>
      <c r="F331" s="2">
        <f t="shared" si="15"/>
        <v>0</v>
      </c>
      <c r="G331">
        <f t="shared" si="16"/>
        <v>1</v>
      </c>
      <c r="H331" s="3" t="s">
        <v>4284</v>
      </c>
      <c r="I331" s="6" t="str">
        <f t="shared" si="17"/>
        <v>00010330</v>
      </c>
    </row>
    <row r="332" spans="1:9" x14ac:dyDescent="0.3">
      <c r="A332">
        <v>331</v>
      </c>
      <c r="B332" s="6">
        <v>21620314</v>
      </c>
      <c r="C332" t="str">
        <f>VLOOKUP(B332,[1]BD_FINAL!$A:$H,2,FALSE)</f>
        <v>Beatriz Elena</v>
      </c>
      <c r="D332" t="str">
        <f>VLOOKUP(B332,[1]BD_FINAL!$A:$H,3,FALSE)</f>
        <v>Medellin</v>
      </c>
      <c r="E332" t="str">
        <f>VLOOKUP(B332,[1]BD_FINAL!$A:$H,8,FALSE)</f>
        <v>Tratamiento</v>
      </c>
      <c r="F332" s="2">
        <f t="shared" si="15"/>
        <v>1</v>
      </c>
      <c r="G332">
        <f t="shared" si="16"/>
        <v>1</v>
      </c>
      <c r="H332" s="3" t="s">
        <v>4285</v>
      </c>
      <c r="I332" s="6" t="str">
        <f t="shared" si="17"/>
        <v>01010331</v>
      </c>
    </row>
    <row r="333" spans="1:9" x14ac:dyDescent="0.3">
      <c r="A333">
        <v>332</v>
      </c>
      <c r="B333" s="6">
        <v>21691463</v>
      </c>
      <c r="C333" t="str">
        <f>VLOOKUP(B333,[1]BD_FINAL!$A:$H,2,FALSE)</f>
        <v xml:space="preserve">Berta oliva </v>
      </c>
      <c r="D333" t="str">
        <f>VLOOKUP(B333,[1]BD_FINAL!$A:$H,3,FALSE)</f>
        <v>Medellin</v>
      </c>
      <c r="E333" t="str">
        <f>VLOOKUP(B333,[1]BD_FINAL!$A:$H,8,FALSE)</f>
        <v>Tratamiento</v>
      </c>
      <c r="F333" s="2">
        <f t="shared" si="15"/>
        <v>1</v>
      </c>
      <c r="G333">
        <f t="shared" si="16"/>
        <v>1</v>
      </c>
      <c r="H333" s="3" t="s">
        <v>4286</v>
      </c>
      <c r="I333" s="6" t="str">
        <f t="shared" si="17"/>
        <v>01010332</v>
      </c>
    </row>
    <row r="334" spans="1:9" x14ac:dyDescent="0.3">
      <c r="A334">
        <v>333</v>
      </c>
      <c r="B334" s="6">
        <v>21693354</v>
      </c>
      <c r="C334" t="str">
        <f>VLOOKUP(B334,[1]BD_FINAL!$A:$H,2,FALSE)</f>
        <v>Blanca emilia</v>
      </c>
      <c r="D334" t="str">
        <f>VLOOKUP(B334,[1]BD_FINAL!$A:$H,3,FALSE)</f>
        <v>Medellin</v>
      </c>
      <c r="E334" t="str">
        <f>VLOOKUP(B334,[1]BD_FINAL!$A:$H,8,FALSE)</f>
        <v>Tratamiento</v>
      </c>
      <c r="F334" s="2">
        <f t="shared" si="15"/>
        <v>1</v>
      </c>
      <c r="G334">
        <f t="shared" si="16"/>
        <v>1</v>
      </c>
      <c r="H334" s="3" t="s">
        <v>4287</v>
      </c>
      <c r="I334" s="6" t="str">
        <f t="shared" si="17"/>
        <v>01010333</v>
      </c>
    </row>
    <row r="335" spans="1:9" x14ac:dyDescent="0.3">
      <c r="A335">
        <v>334</v>
      </c>
      <c r="B335" s="6">
        <v>21693424</v>
      </c>
      <c r="C335" t="str">
        <f>VLOOKUP(B335,[1]BD_FINAL!$A:$H,2,FALSE)</f>
        <v xml:space="preserve">Angelica </v>
      </c>
      <c r="D335" t="str">
        <f>VLOOKUP(B335,[1]BD_FINAL!$A:$H,3,FALSE)</f>
        <v>Medellin</v>
      </c>
      <c r="E335" t="str">
        <f>VLOOKUP(B335,[1]BD_FINAL!$A:$H,8,FALSE)</f>
        <v>Control</v>
      </c>
      <c r="F335" s="2">
        <f t="shared" si="15"/>
        <v>0</v>
      </c>
      <c r="G335">
        <f t="shared" si="16"/>
        <v>1</v>
      </c>
      <c r="H335" s="3" t="s">
        <v>4288</v>
      </c>
      <c r="I335" s="6" t="str">
        <f t="shared" si="17"/>
        <v>00010334</v>
      </c>
    </row>
    <row r="336" spans="1:9" x14ac:dyDescent="0.3">
      <c r="A336">
        <v>335</v>
      </c>
      <c r="B336" s="6">
        <v>21697016</v>
      </c>
      <c r="C336" t="str">
        <f>VLOOKUP(B336,[1]BD_FINAL!$A:$H,2,FALSE)</f>
        <v>Martha ligia</v>
      </c>
      <c r="D336" t="str">
        <f>VLOOKUP(B336,[1]BD_FINAL!$A:$H,3,FALSE)</f>
        <v>Medellin</v>
      </c>
      <c r="E336" t="str">
        <f>VLOOKUP(B336,[1]BD_FINAL!$A:$H,8,FALSE)</f>
        <v>Tratamiento</v>
      </c>
      <c r="F336" s="2">
        <f t="shared" si="15"/>
        <v>1</v>
      </c>
      <c r="G336">
        <f t="shared" si="16"/>
        <v>1</v>
      </c>
      <c r="H336" s="3" t="s">
        <v>4289</v>
      </c>
      <c r="I336" s="6" t="str">
        <f t="shared" si="17"/>
        <v>01010335</v>
      </c>
    </row>
    <row r="337" spans="1:9" x14ac:dyDescent="0.3">
      <c r="A337">
        <v>336</v>
      </c>
      <c r="B337" s="6">
        <v>21697063</v>
      </c>
      <c r="C337" t="str">
        <f>VLOOKUP(B337,[1]BD_FINAL!$A:$H,2,FALSE)</f>
        <v>Nancy elena</v>
      </c>
      <c r="D337" t="str">
        <f>VLOOKUP(B337,[1]BD_FINAL!$A:$H,3,FALSE)</f>
        <v>Medellin</v>
      </c>
      <c r="E337" t="str">
        <f>VLOOKUP(B337,[1]BD_FINAL!$A:$H,8,FALSE)</f>
        <v>Tratamiento</v>
      </c>
      <c r="F337" s="2">
        <f t="shared" si="15"/>
        <v>1</v>
      </c>
      <c r="G337">
        <f t="shared" si="16"/>
        <v>1</v>
      </c>
      <c r="H337" s="3" t="s">
        <v>4290</v>
      </c>
      <c r="I337" s="6" t="str">
        <f t="shared" si="17"/>
        <v>01010336</v>
      </c>
    </row>
    <row r="338" spans="1:9" x14ac:dyDescent="0.3">
      <c r="A338">
        <v>337</v>
      </c>
      <c r="B338" s="6">
        <v>21697589</v>
      </c>
      <c r="C338" t="str">
        <f>VLOOKUP(B338,[1]BD_FINAL!$A:$H,2,FALSE)</f>
        <v>Maria Magnolia</v>
      </c>
      <c r="D338" t="str">
        <f>VLOOKUP(B338,[1]BD_FINAL!$A:$H,3,FALSE)</f>
        <v>Medellin</v>
      </c>
      <c r="E338" t="str">
        <f>VLOOKUP(B338,[1]BD_FINAL!$A:$H,8,FALSE)</f>
        <v>Tratamiento</v>
      </c>
      <c r="F338" s="2">
        <f t="shared" si="15"/>
        <v>1</v>
      </c>
      <c r="G338">
        <f t="shared" si="16"/>
        <v>1</v>
      </c>
      <c r="H338" s="3" t="s">
        <v>4291</v>
      </c>
      <c r="I338" s="6" t="str">
        <f t="shared" si="17"/>
        <v>01010337</v>
      </c>
    </row>
    <row r="339" spans="1:9" x14ac:dyDescent="0.3">
      <c r="A339">
        <v>338</v>
      </c>
      <c r="B339" s="6">
        <v>21709045</v>
      </c>
      <c r="C339" t="str">
        <f>VLOOKUP(B339,[1]BD_FINAL!$A:$H,2,FALSE)</f>
        <v>María Dolore</v>
      </c>
      <c r="D339" t="str">
        <f>VLOOKUP(B339,[1]BD_FINAL!$A:$H,3,FALSE)</f>
        <v>Medellin</v>
      </c>
      <c r="E339" t="str">
        <f>VLOOKUP(B339,[1]BD_FINAL!$A:$H,8,FALSE)</f>
        <v>Tratamiento</v>
      </c>
      <c r="F339" s="2">
        <f t="shared" si="15"/>
        <v>1</v>
      </c>
      <c r="G339">
        <f t="shared" si="16"/>
        <v>1</v>
      </c>
      <c r="H339" s="3" t="s">
        <v>4292</v>
      </c>
      <c r="I339" s="6" t="str">
        <f t="shared" si="17"/>
        <v>01010338</v>
      </c>
    </row>
    <row r="340" spans="1:9" x14ac:dyDescent="0.3">
      <c r="A340">
        <v>339</v>
      </c>
      <c r="B340" s="6">
        <v>21744070</v>
      </c>
      <c r="C340" t="str">
        <f>VLOOKUP(B340,[1]BD_FINAL!$A:$H,2,FALSE)</f>
        <v>María franquelina</v>
      </c>
      <c r="D340" t="str">
        <f>VLOOKUP(B340,[1]BD_FINAL!$A:$H,3,FALSE)</f>
        <v>Medellin</v>
      </c>
      <c r="E340" t="str">
        <f>VLOOKUP(B340,[1]BD_FINAL!$A:$H,8,FALSE)</f>
        <v>Tratamiento</v>
      </c>
      <c r="F340" s="2">
        <f t="shared" si="15"/>
        <v>1</v>
      </c>
      <c r="G340">
        <f t="shared" si="16"/>
        <v>1</v>
      </c>
      <c r="H340" s="3" t="s">
        <v>4293</v>
      </c>
      <c r="I340" s="6" t="str">
        <f t="shared" si="17"/>
        <v>01010339</v>
      </c>
    </row>
    <row r="341" spans="1:9" x14ac:dyDescent="0.3">
      <c r="A341">
        <v>340</v>
      </c>
      <c r="B341" s="6">
        <v>21757096</v>
      </c>
      <c r="C341" t="str">
        <f>VLOOKUP(B341,[1]BD_FINAL!$A:$H,2,FALSE)</f>
        <v xml:space="preserve">Maria del Carmen </v>
      </c>
      <c r="D341" t="str">
        <f>VLOOKUP(B341,[1]BD_FINAL!$A:$H,3,FALSE)</f>
        <v>Medellin</v>
      </c>
      <c r="E341" t="str">
        <f>VLOOKUP(B341,[1]BD_FINAL!$A:$H,8,FALSE)</f>
        <v>Control</v>
      </c>
      <c r="F341" s="2">
        <f t="shared" si="15"/>
        <v>0</v>
      </c>
      <c r="G341">
        <f t="shared" si="16"/>
        <v>1</v>
      </c>
      <c r="H341" s="3" t="s">
        <v>4294</v>
      </c>
      <c r="I341" s="6" t="str">
        <f t="shared" si="17"/>
        <v>00010340</v>
      </c>
    </row>
    <row r="342" spans="1:9" x14ac:dyDescent="0.3">
      <c r="A342">
        <v>341</v>
      </c>
      <c r="B342" s="6">
        <v>21785236</v>
      </c>
      <c r="C342" t="str">
        <f>VLOOKUP(B342,[1]BD_FINAL!$A:$H,2,FALSE)</f>
        <v>Maria Doriela</v>
      </c>
      <c r="D342" t="str">
        <f>VLOOKUP(B342,[1]BD_FINAL!$A:$H,3,FALSE)</f>
        <v>Medellin</v>
      </c>
      <c r="E342" t="str">
        <f>VLOOKUP(B342,[1]BD_FINAL!$A:$H,8,FALSE)</f>
        <v>Tratamiento</v>
      </c>
      <c r="F342" s="2">
        <f t="shared" si="15"/>
        <v>1</v>
      </c>
      <c r="G342">
        <f t="shared" si="16"/>
        <v>1</v>
      </c>
      <c r="H342" s="3" t="s">
        <v>4295</v>
      </c>
      <c r="I342" s="6" t="str">
        <f t="shared" si="17"/>
        <v>01010341</v>
      </c>
    </row>
    <row r="343" spans="1:9" x14ac:dyDescent="0.3">
      <c r="A343">
        <v>342</v>
      </c>
      <c r="B343" s="6">
        <v>21792037</v>
      </c>
      <c r="C343" t="str">
        <f>VLOOKUP(B343,[1]BD_FINAL!$A:$H,2,FALSE)</f>
        <v>Virginia</v>
      </c>
      <c r="D343" t="str">
        <f>VLOOKUP(B343,[1]BD_FINAL!$A:$H,3,FALSE)</f>
        <v>Medellin</v>
      </c>
      <c r="E343" t="str">
        <f>VLOOKUP(B343,[1]BD_FINAL!$A:$H,8,FALSE)</f>
        <v>Control</v>
      </c>
      <c r="F343" s="2">
        <f t="shared" si="15"/>
        <v>0</v>
      </c>
      <c r="G343">
        <f t="shared" si="16"/>
        <v>1</v>
      </c>
      <c r="H343" s="3" t="s">
        <v>4296</v>
      </c>
      <c r="I343" s="6" t="str">
        <f t="shared" si="17"/>
        <v>00010342</v>
      </c>
    </row>
    <row r="344" spans="1:9" x14ac:dyDescent="0.3">
      <c r="A344">
        <v>343</v>
      </c>
      <c r="B344" s="6">
        <v>21808751</v>
      </c>
      <c r="C344" t="str">
        <f>VLOOKUP(B344,[1]BD_FINAL!$A:$H,2,FALSE)</f>
        <v xml:space="preserve">Ana de Jesús </v>
      </c>
      <c r="D344" t="str">
        <f>VLOOKUP(B344,[1]BD_FINAL!$A:$H,3,FALSE)</f>
        <v>Medellin</v>
      </c>
      <c r="E344" t="str">
        <f>VLOOKUP(B344,[1]BD_FINAL!$A:$H,8,FALSE)</f>
        <v>Tratamiento</v>
      </c>
      <c r="F344" s="2">
        <f t="shared" si="15"/>
        <v>1</v>
      </c>
      <c r="G344">
        <f t="shared" si="16"/>
        <v>1</v>
      </c>
      <c r="H344" s="3" t="s">
        <v>4297</v>
      </c>
      <c r="I344" s="6" t="str">
        <f t="shared" si="17"/>
        <v>01010343</v>
      </c>
    </row>
    <row r="345" spans="1:9" x14ac:dyDescent="0.3">
      <c r="A345">
        <v>344</v>
      </c>
      <c r="B345" s="6">
        <v>21808821</v>
      </c>
      <c r="C345" t="str">
        <f>VLOOKUP(B345,[1]BD_FINAL!$A:$H,2,FALSE)</f>
        <v>Laura Rosa</v>
      </c>
      <c r="D345" t="str">
        <f>VLOOKUP(B345,[1]BD_FINAL!$A:$H,3,FALSE)</f>
        <v>Medellin</v>
      </c>
      <c r="E345" t="str">
        <f>VLOOKUP(B345,[1]BD_FINAL!$A:$H,8,FALSE)</f>
        <v>Tratamiento</v>
      </c>
      <c r="F345" s="2">
        <f t="shared" si="15"/>
        <v>1</v>
      </c>
      <c r="G345">
        <f t="shared" si="16"/>
        <v>1</v>
      </c>
      <c r="H345" s="3" t="s">
        <v>4298</v>
      </c>
      <c r="I345" s="6" t="str">
        <f t="shared" si="17"/>
        <v>01010344</v>
      </c>
    </row>
    <row r="346" spans="1:9" x14ac:dyDescent="0.3">
      <c r="A346">
        <v>345</v>
      </c>
      <c r="B346" s="6">
        <v>21809439</v>
      </c>
      <c r="C346" t="str">
        <f>VLOOKUP(B346,[1]BD_FINAL!$A:$H,2,FALSE)</f>
        <v>Martha Alicia</v>
      </c>
      <c r="D346" t="str">
        <f>VLOOKUP(B346,[1]BD_FINAL!$A:$H,3,FALSE)</f>
        <v>Medellin</v>
      </c>
      <c r="E346" t="str">
        <f>VLOOKUP(B346,[1]BD_FINAL!$A:$H,8,FALSE)</f>
        <v>Tratamiento</v>
      </c>
      <c r="F346" s="2">
        <f t="shared" si="15"/>
        <v>1</v>
      </c>
      <c r="G346">
        <f t="shared" si="16"/>
        <v>1</v>
      </c>
      <c r="H346" s="3" t="s">
        <v>4299</v>
      </c>
      <c r="I346" s="6" t="str">
        <f t="shared" si="17"/>
        <v>01010345</v>
      </c>
    </row>
    <row r="347" spans="1:9" x14ac:dyDescent="0.3">
      <c r="A347">
        <v>346</v>
      </c>
      <c r="B347" s="6">
        <v>21812687</v>
      </c>
      <c r="C347" t="str">
        <f>VLOOKUP(B347,[1]BD_FINAL!$A:$H,2,FALSE)</f>
        <v>Ruperto eliecer</v>
      </c>
      <c r="D347" t="str">
        <f>VLOOKUP(B347,[1]BD_FINAL!$A:$H,3,FALSE)</f>
        <v>Medellin</v>
      </c>
      <c r="E347" t="str">
        <f>VLOOKUP(B347,[1]BD_FINAL!$A:$H,8,FALSE)</f>
        <v>Tratamiento</v>
      </c>
      <c r="F347" s="2">
        <f t="shared" si="15"/>
        <v>1</v>
      </c>
      <c r="G347">
        <f t="shared" si="16"/>
        <v>1</v>
      </c>
      <c r="H347" s="3" t="s">
        <v>4300</v>
      </c>
      <c r="I347" s="6" t="str">
        <f t="shared" si="17"/>
        <v>01010346</v>
      </c>
    </row>
    <row r="348" spans="1:9" x14ac:dyDescent="0.3">
      <c r="A348">
        <v>347</v>
      </c>
      <c r="B348" s="6">
        <v>21816448</v>
      </c>
      <c r="C348" t="str">
        <f>VLOOKUP(B348,[1]BD_FINAL!$A:$H,2,FALSE)</f>
        <v xml:space="preserve">Gloria Elena </v>
      </c>
      <c r="D348" t="str">
        <f>VLOOKUP(B348,[1]BD_FINAL!$A:$H,3,FALSE)</f>
        <v>Medellin</v>
      </c>
      <c r="E348" t="str">
        <f>VLOOKUP(B348,[1]BD_FINAL!$A:$H,8,FALSE)</f>
        <v>Tratamiento</v>
      </c>
      <c r="F348" s="2">
        <f t="shared" si="15"/>
        <v>1</v>
      </c>
      <c r="G348">
        <f t="shared" si="16"/>
        <v>1</v>
      </c>
      <c r="H348" s="3" t="s">
        <v>4301</v>
      </c>
      <c r="I348" s="6" t="str">
        <f t="shared" si="17"/>
        <v>01010347</v>
      </c>
    </row>
    <row r="349" spans="1:9" x14ac:dyDescent="0.3">
      <c r="A349">
        <v>348</v>
      </c>
      <c r="B349" s="6">
        <v>21869006</v>
      </c>
      <c r="C349" t="str">
        <f>VLOOKUP(B349,[1]BD_FINAL!$A:$H,2,FALSE)</f>
        <v>Rosana de Jesús</v>
      </c>
      <c r="D349" t="str">
        <f>VLOOKUP(B349,[1]BD_FINAL!$A:$H,3,FALSE)</f>
        <v>Medellin</v>
      </c>
      <c r="E349" t="str">
        <f>VLOOKUP(B349,[1]BD_FINAL!$A:$H,8,FALSE)</f>
        <v>Control</v>
      </c>
      <c r="F349" s="2">
        <f t="shared" si="15"/>
        <v>0</v>
      </c>
      <c r="G349">
        <f t="shared" si="16"/>
        <v>1</v>
      </c>
      <c r="H349" s="3" t="s">
        <v>4302</v>
      </c>
      <c r="I349" s="6" t="str">
        <f t="shared" si="17"/>
        <v>00010348</v>
      </c>
    </row>
    <row r="350" spans="1:9" x14ac:dyDescent="0.3">
      <c r="A350">
        <v>349</v>
      </c>
      <c r="B350" s="6">
        <v>21893072</v>
      </c>
      <c r="C350" t="str">
        <f>VLOOKUP(B350,[1]BD_FINAL!$A:$H,2,FALSE)</f>
        <v>María Inés</v>
      </c>
      <c r="D350" t="str">
        <f>VLOOKUP(B350,[1]BD_FINAL!$A:$H,3,FALSE)</f>
        <v>Medellin</v>
      </c>
      <c r="E350" t="str">
        <f>VLOOKUP(B350,[1]BD_FINAL!$A:$H,8,FALSE)</f>
        <v>Tratamiento</v>
      </c>
      <c r="F350" s="2">
        <f t="shared" si="15"/>
        <v>1</v>
      </c>
      <c r="G350">
        <f t="shared" si="16"/>
        <v>1</v>
      </c>
      <c r="H350" s="3" t="s">
        <v>4303</v>
      </c>
      <c r="I350" s="6" t="str">
        <f t="shared" si="17"/>
        <v>01010349</v>
      </c>
    </row>
    <row r="351" spans="1:9" x14ac:dyDescent="0.3">
      <c r="A351">
        <v>350</v>
      </c>
      <c r="B351" s="6">
        <v>21906091</v>
      </c>
      <c r="C351" t="str">
        <f>VLOOKUP(B351,[1]BD_FINAL!$A:$H,2,FALSE)</f>
        <v>Aura Eliza</v>
      </c>
      <c r="D351" t="str">
        <f>VLOOKUP(B351,[1]BD_FINAL!$A:$H,3,FALSE)</f>
        <v>Medellin</v>
      </c>
      <c r="E351" t="str">
        <f>VLOOKUP(B351,[1]BD_FINAL!$A:$H,8,FALSE)</f>
        <v>Control</v>
      </c>
      <c r="F351" s="2">
        <f t="shared" si="15"/>
        <v>0</v>
      </c>
      <c r="G351">
        <f t="shared" si="16"/>
        <v>1</v>
      </c>
      <c r="H351" s="3" t="s">
        <v>4304</v>
      </c>
      <c r="I351" s="6" t="str">
        <f t="shared" si="17"/>
        <v>00010350</v>
      </c>
    </row>
    <row r="352" spans="1:9" x14ac:dyDescent="0.3">
      <c r="A352">
        <v>351</v>
      </c>
      <c r="B352" s="6">
        <v>21910729</v>
      </c>
      <c r="C352" t="str">
        <f>VLOOKUP(B352,[1]BD_FINAL!$A:$H,2,FALSE)</f>
        <v>Rosalba</v>
      </c>
      <c r="D352" t="str">
        <f>VLOOKUP(B352,[1]BD_FINAL!$A:$H,3,FALSE)</f>
        <v>Medellin</v>
      </c>
      <c r="E352" t="str">
        <f>VLOOKUP(B352,[1]BD_FINAL!$A:$H,8,FALSE)</f>
        <v>Tratamiento</v>
      </c>
      <c r="F352" s="2">
        <f t="shared" si="15"/>
        <v>1</v>
      </c>
      <c r="G352">
        <f t="shared" si="16"/>
        <v>1</v>
      </c>
      <c r="H352" s="3" t="s">
        <v>4305</v>
      </c>
      <c r="I352" s="6" t="str">
        <f t="shared" si="17"/>
        <v>01010351</v>
      </c>
    </row>
    <row r="353" spans="1:9" x14ac:dyDescent="0.3">
      <c r="A353">
        <v>352</v>
      </c>
      <c r="B353" s="6">
        <v>21910873</v>
      </c>
      <c r="C353" t="str">
        <f>VLOOKUP(B353,[1]BD_FINAL!$A:$H,2,FALSE)</f>
        <v>Maria isidora</v>
      </c>
      <c r="D353" t="str">
        <f>VLOOKUP(B353,[1]BD_FINAL!$A:$H,3,FALSE)</f>
        <v>Medellin</v>
      </c>
      <c r="E353" t="str">
        <f>VLOOKUP(B353,[1]BD_FINAL!$A:$H,8,FALSE)</f>
        <v>Tratamiento</v>
      </c>
      <c r="F353" s="2">
        <f t="shared" si="15"/>
        <v>1</v>
      </c>
      <c r="G353">
        <f t="shared" si="16"/>
        <v>1</v>
      </c>
      <c r="H353" s="3" t="s">
        <v>4306</v>
      </c>
      <c r="I353" s="6" t="str">
        <f t="shared" si="17"/>
        <v>01010352</v>
      </c>
    </row>
    <row r="354" spans="1:9" x14ac:dyDescent="0.3">
      <c r="A354">
        <v>353</v>
      </c>
      <c r="B354" s="6">
        <v>21910907</v>
      </c>
      <c r="C354" t="str">
        <f>VLOOKUP(B354,[1]BD_FINAL!$A:$H,2,FALSE)</f>
        <v xml:space="preserve">María Otilia </v>
      </c>
      <c r="D354" t="str">
        <f>VLOOKUP(B354,[1]BD_FINAL!$A:$H,3,FALSE)</f>
        <v>Medellin</v>
      </c>
      <c r="E354" t="str">
        <f>VLOOKUP(B354,[1]BD_FINAL!$A:$H,8,FALSE)</f>
        <v>Tratamiento</v>
      </c>
      <c r="F354" s="2">
        <f t="shared" si="15"/>
        <v>1</v>
      </c>
      <c r="G354">
        <f t="shared" si="16"/>
        <v>1</v>
      </c>
      <c r="H354" s="3" t="s">
        <v>4307</v>
      </c>
      <c r="I354" s="6" t="str">
        <f t="shared" si="17"/>
        <v>01010353</v>
      </c>
    </row>
    <row r="355" spans="1:9" x14ac:dyDescent="0.3">
      <c r="A355">
        <v>354</v>
      </c>
      <c r="B355" s="6">
        <v>21912116</v>
      </c>
      <c r="C355" t="str">
        <f>VLOOKUP(B355,[1]BD_FINAL!$A:$H,2,FALSE)</f>
        <v>Joaquín Guillermo</v>
      </c>
      <c r="D355" t="str">
        <f>VLOOKUP(B355,[1]BD_FINAL!$A:$H,3,FALSE)</f>
        <v>Medellin</v>
      </c>
      <c r="E355" t="str">
        <f>VLOOKUP(B355,[1]BD_FINAL!$A:$H,8,FALSE)</f>
        <v>Tratamiento</v>
      </c>
      <c r="F355" s="2">
        <f t="shared" si="15"/>
        <v>1</v>
      </c>
      <c r="G355">
        <f t="shared" si="16"/>
        <v>1</v>
      </c>
      <c r="H355" s="3" t="s">
        <v>4308</v>
      </c>
      <c r="I355" s="6" t="str">
        <f t="shared" si="17"/>
        <v>01010354</v>
      </c>
    </row>
    <row r="356" spans="1:9" x14ac:dyDescent="0.3">
      <c r="A356">
        <v>355</v>
      </c>
      <c r="B356" s="6">
        <v>21954148</v>
      </c>
      <c r="C356" t="str">
        <f>VLOOKUP(B356,[1]BD_FINAL!$A:$H,2,FALSE)</f>
        <v xml:space="preserve">María Justiniano </v>
      </c>
      <c r="D356" t="str">
        <f>VLOOKUP(B356,[1]BD_FINAL!$A:$H,3,FALSE)</f>
        <v>Medellin</v>
      </c>
      <c r="E356" t="str">
        <f>VLOOKUP(B356,[1]BD_FINAL!$A:$H,8,FALSE)</f>
        <v>Tratamiento</v>
      </c>
      <c r="F356" s="2">
        <f t="shared" si="15"/>
        <v>1</v>
      </c>
      <c r="G356">
        <f t="shared" si="16"/>
        <v>1</v>
      </c>
      <c r="H356" s="3" t="s">
        <v>4309</v>
      </c>
      <c r="I356" s="6" t="str">
        <f t="shared" si="17"/>
        <v>01010355</v>
      </c>
    </row>
    <row r="357" spans="1:9" x14ac:dyDescent="0.3">
      <c r="A357">
        <v>356</v>
      </c>
      <c r="B357" s="6">
        <v>21969109</v>
      </c>
      <c r="C357" t="str">
        <f>VLOOKUP(B357,[1]BD_FINAL!$A:$H,2,FALSE)</f>
        <v>Rosmira</v>
      </c>
      <c r="D357" t="str">
        <f>VLOOKUP(B357,[1]BD_FINAL!$A:$H,3,FALSE)</f>
        <v>Medellin</v>
      </c>
      <c r="E357" t="str">
        <f>VLOOKUP(B357,[1]BD_FINAL!$A:$H,8,FALSE)</f>
        <v>Control</v>
      </c>
      <c r="F357" s="2">
        <f t="shared" si="15"/>
        <v>0</v>
      </c>
      <c r="G357">
        <f t="shared" si="16"/>
        <v>1</v>
      </c>
      <c r="H357" s="3" t="s">
        <v>4310</v>
      </c>
      <c r="I357" s="6" t="str">
        <f t="shared" si="17"/>
        <v>00010356</v>
      </c>
    </row>
    <row r="358" spans="1:9" x14ac:dyDescent="0.3">
      <c r="A358">
        <v>357</v>
      </c>
      <c r="B358" s="6">
        <v>21977327</v>
      </c>
      <c r="C358" t="str">
        <f>VLOOKUP(B358,[1]BD_FINAL!$A:$H,2,FALSE)</f>
        <v>Luz Marina</v>
      </c>
      <c r="D358" t="str">
        <f>VLOOKUP(B358,[1]BD_FINAL!$A:$H,3,FALSE)</f>
        <v>Medellin</v>
      </c>
      <c r="E358" t="str">
        <f>VLOOKUP(B358,[1]BD_FINAL!$A:$H,8,FALSE)</f>
        <v>Tratamiento</v>
      </c>
      <c r="F358" s="2">
        <f t="shared" si="15"/>
        <v>1</v>
      </c>
      <c r="G358">
        <f t="shared" si="16"/>
        <v>1</v>
      </c>
      <c r="H358" s="3" t="s">
        <v>4311</v>
      </c>
      <c r="I358" s="6" t="str">
        <f t="shared" si="17"/>
        <v>01010357</v>
      </c>
    </row>
    <row r="359" spans="1:9" x14ac:dyDescent="0.3">
      <c r="A359">
        <v>358</v>
      </c>
      <c r="B359" s="6">
        <v>21977805</v>
      </c>
      <c r="C359" t="str">
        <f>VLOOKUP(B359,[1]BD_FINAL!$A:$H,2,FALSE)</f>
        <v>Rosa marina</v>
      </c>
      <c r="D359" t="str">
        <f>VLOOKUP(B359,[1]BD_FINAL!$A:$H,3,FALSE)</f>
        <v>Medellin</v>
      </c>
      <c r="E359" t="str">
        <f>VLOOKUP(B359,[1]BD_FINAL!$A:$H,8,FALSE)</f>
        <v>Control</v>
      </c>
      <c r="F359" s="2">
        <f t="shared" si="15"/>
        <v>0</v>
      </c>
      <c r="G359">
        <f t="shared" si="16"/>
        <v>1</v>
      </c>
      <c r="H359" s="3" t="s">
        <v>4312</v>
      </c>
      <c r="I359" s="6" t="str">
        <f t="shared" si="17"/>
        <v>00010358</v>
      </c>
    </row>
    <row r="360" spans="1:9" x14ac:dyDescent="0.3">
      <c r="A360">
        <v>359</v>
      </c>
      <c r="B360" s="6">
        <v>22015124</v>
      </c>
      <c r="C360" t="str">
        <f>VLOOKUP(B360,[1]BD_FINAL!$A:$H,2,FALSE)</f>
        <v>Morelia de Jesus</v>
      </c>
      <c r="D360" t="str">
        <f>VLOOKUP(B360,[1]BD_FINAL!$A:$H,3,FALSE)</f>
        <v>Medellin</v>
      </c>
      <c r="E360" t="str">
        <f>VLOOKUP(B360,[1]BD_FINAL!$A:$H,8,FALSE)</f>
        <v>Control</v>
      </c>
      <c r="F360" s="2">
        <f t="shared" si="15"/>
        <v>0</v>
      </c>
      <c r="G360">
        <f t="shared" si="16"/>
        <v>1</v>
      </c>
      <c r="H360" s="3" t="s">
        <v>4313</v>
      </c>
      <c r="I360" s="6" t="str">
        <f t="shared" si="17"/>
        <v>00010359</v>
      </c>
    </row>
    <row r="361" spans="1:9" x14ac:dyDescent="0.3">
      <c r="A361">
        <v>360</v>
      </c>
      <c r="B361" s="6">
        <v>22032152</v>
      </c>
      <c r="C361" t="str">
        <f>VLOOKUP(B361,[1]BD_FINAL!$A:$H,2,FALSE)</f>
        <v xml:space="preserve">Bertha Inés </v>
      </c>
      <c r="D361" t="str">
        <f>VLOOKUP(B361,[1]BD_FINAL!$A:$H,3,FALSE)</f>
        <v>Medellin</v>
      </c>
      <c r="E361" t="str">
        <f>VLOOKUP(B361,[1]BD_FINAL!$A:$H,8,FALSE)</f>
        <v>Tratamiento</v>
      </c>
      <c r="F361" s="2">
        <f t="shared" si="15"/>
        <v>1</v>
      </c>
      <c r="G361">
        <f t="shared" si="16"/>
        <v>1</v>
      </c>
      <c r="H361" s="3" t="s">
        <v>4314</v>
      </c>
      <c r="I361" s="6" t="str">
        <f t="shared" si="17"/>
        <v>01010360</v>
      </c>
    </row>
    <row r="362" spans="1:9" x14ac:dyDescent="0.3">
      <c r="A362">
        <v>361</v>
      </c>
      <c r="B362" s="6">
        <v>22103917</v>
      </c>
      <c r="C362" t="str">
        <f>VLOOKUP(B362,[1]BD_FINAL!$A:$H,2,FALSE)</f>
        <v>María cecilia</v>
      </c>
      <c r="D362" t="str">
        <f>VLOOKUP(B362,[1]BD_FINAL!$A:$H,3,FALSE)</f>
        <v>Medellin</v>
      </c>
      <c r="E362" t="str">
        <f>VLOOKUP(B362,[1]BD_FINAL!$A:$H,8,FALSE)</f>
        <v>Tratamiento</v>
      </c>
      <c r="F362" s="2">
        <f t="shared" si="15"/>
        <v>1</v>
      </c>
      <c r="G362">
        <f t="shared" si="16"/>
        <v>1</v>
      </c>
      <c r="H362" s="3" t="s">
        <v>4315</v>
      </c>
      <c r="I362" s="6" t="str">
        <f t="shared" si="17"/>
        <v>01010361</v>
      </c>
    </row>
    <row r="363" spans="1:9" x14ac:dyDescent="0.3">
      <c r="A363">
        <v>362</v>
      </c>
      <c r="B363" s="6">
        <v>22108850</v>
      </c>
      <c r="C363" t="str">
        <f>VLOOKUP(B363,[1]BD_FINAL!$A:$H,2,FALSE)</f>
        <v>María Aura</v>
      </c>
      <c r="D363" t="str">
        <f>VLOOKUP(B363,[1]BD_FINAL!$A:$H,3,FALSE)</f>
        <v>Medellin</v>
      </c>
      <c r="E363" t="str">
        <f>VLOOKUP(B363,[1]BD_FINAL!$A:$H,8,FALSE)</f>
        <v>Tratamiento</v>
      </c>
      <c r="F363" s="2">
        <f t="shared" si="15"/>
        <v>1</v>
      </c>
      <c r="G363">
        <f t="shared" si="16"/>
        <v>1</v>
      </c>
      <c r="H363" s="3" t="s">
        <v>4316</v>
      </c>
      <c r="I363" s="6" t="str">
        <f t="shared" si="17"/>
        <v>01010362</v>
      </c>
    </row>
    <row r="364" spans="1:9" x14ac:dyDescent="0.3">
      <c r="A364">
        <v>363</v>
      </c>
      <c r="B364" s="6">
        <v>22139441</v>
      </c>
      <c r="C364" t="str">
        <f>VLOOKUP(B364,[1]BD_FINAL!$A:$H,2,FALSE)</f>
        <v>María Oliva</v>
      </c>
      <c r="D364" t="str">
        <f>VLOOKUP(B364,[1]BD_FINAL!$A:$H,3,FALSE)</f>
        <v>Medellin</v>
      </c>
      <c r="E364" t="str">
        <f>VLOOKUP(B364,[1]BD_FINAL!$A:$H,8,FALSE)</f>
        <v>Tratamiento</v>
      </c>
      <c r="F364" s="2">
        <f t="shared" si="15"/>
        <v>1</v>
      </c>
      <c r="G364">
        <f t="shared" si="16"/>
        <v>1</v>
      </c>
      <c r="H364" s="3" t="s">
        <v>4317</v>
      </c>
      <c r="I364" s="6" t="str">
        <f t="shared" si="17"/>
        <v>01010363</v>
      </c>
    </row>
    <row r="365" spans="1:9" x14ac:dyDescent="0.3">
      <c r="A365">
        <v>364</v>
      </c>
      <c r="B365" s="6">
        <v>22187123</v>
      </c>
      <c r="C365" t="str">
        <f>VLOOKUP(B365,[1]BD_FINAL!$A:$H,2,FALSE)</f>
        <v>Nancy Yancely</v>
      </c>
      <c r="D365" t="str">
        <f>VLOOKUP(B365,[1]BD_FINAL!$A:$H,3,FALSE)</f>
        <v>Medellin</v>
      </c>
      <c r="E365" t="str">
        <f>VLOOKUP(B365,[1]BD_FINAL!$A:$H,8,FALSE)</f>
        <v>Control</v>
      </c>
      <c r="F365" s="2">
        <f t="shared" si="15"/>
        <v>0</v>
      </c>
      <c r="G365">
        <f t="shared" si="16"/>
        <v>1</v>
      </c>
      <c r="H365" s="3" t="s">
        <v>4318</v>
      </c>
      <c r="I365" s="6" t="str">
        <f t="shared" si="17"/>
        <v>00010364</v>
      </c>
    </row>
    <row r="366" spans="1:9" x14ac:dyDescent="0.3">
      <c r="A366">
        <v>365</v>
      </c>
      <c r="B366" s="6">
        <v>22210262</v>
      </c>
      <c r="C366" t="str">
        <f>VLOOKUP(B366,[1]BD_FINAL!$A:$H,2,FALSE)</f>
        <v>Maria Odila</v>
      </c>
      <c r="D366" t="str">
        <f>VLOOKUP(B366,[1]BD_FINAL!$A:$H,3,FALSE)</f>
        <v>Medellin</v>
      </c>
      <c r="E366" t="str">
        <f>VLOOKUP(B366,[1]BD_FINAL!$A:$H,8,FALSE)</f>
        <v>Tratamiento</v>
      </c>
      <c r="F366" s="2">
        <f t="shared" si="15"/>
        <v>1</v>
      </c>
      <c r="G366">
        <f t="shared" si="16"/>
        <v>1</v>
      </c>
      <c r="H366" s="3" t="s">
        <v>4319</v>
      </c>
      <c r="I366" s="6" t="str">
        <f t="shared" si="17"/>
        <v>01010365</v>
      </c>
    </row>
    <row r="367" spans="1:9" x14ac:dyDescent="0.3">
      <c r="A367">
        <v>366</v>
      </c>
      <c r="B367" s="6">
        <v>22222115</v>
      </c>
      <c r="C367" t="str">
        <f>VLOOKUP(B367,[1]BD_FINAL!$A:$H,2,FALSE)</f>
        <v>Maria Eulalia</v>
      </c>
      <c r="D367" t="str">
        <f>VLOOKUP(B367,[1]BD_FINAL!$A:$H,3,FALSE)</f>
        <v>Medellin</v>
      </c>
      <c r="E367" t="str">
        <f>VLOOKUP(B367,[1]BD_FINAL!$A:$H,8,FALSE)</f>
        <v>Tratamiento</v>
      </c>
      <c r="F367" s="2">
        <f t="shared" si="15"/>
        <v>1</v>
      </c>
      <c r="G367">
        <f t="shared" si="16"/>
        <v>1</v>
      </c>
      <c r="H367" s="3" t="s">
        <v>4320</v>
      </c>
      <c r="I367" s="6" t="str">
        <f t="shared" si="17"/>
        <v>01010366</v>
      </c>
    </row>
    <row r="368" spans="1:9" x14ac:dyDescent="0.3">
      <c r="A368">
        <v>367</v>
      </c>
      <c r="B368" s="6">
        <v>22227595</v>
      </c>
      <c r="C368" t="str">
        <f>VLOOKUP(B368,[1]BD_FINAL!$A:$H,2,FALSE)</f>
        <v xml:space="preserve">Imelda del Socorro </v>
      </c>
      <c r="D368" t="str">
        <f>VLOOKUP(B368,[1]BD_FINAL!$A:$H,3,FALSE)</f>
        <v>Medellin</v>
      </c>
      <c r="E368" t="str">
        <f>VLOOKUP(B368,[1]BD_FINAL!$A:$H,8,FALSE)</f>
        <v>Control</v>
      </c>
      <c r="F368" s="2">
        <f t="shared" si="15"/>
        <v>0</v>
      </c>
      <c r="G368">
        <f t="shared" si="16"/>
        <v>1</v>
      </c>
      <c r="H368" s="3" t="s">
        <v>4321</v>
      </c>
      <c r="I368" s="6" t="str">
        <f t="shared" si="17"/>
        <v>00010367</v>
      </c>
    </row>
    <row r="369" spans="1:9" x14ac:dyDescent="0.3">
      <c r="A369">
        <v>368</v>
      </c>
      <c r="B369" s="6">
        <v>22230457</v>
      </c>
      <c r="C369" t="str">
        <f>VLOOKUP(B369,[1]BD_FINAL!$A:$H,2,FALSE)</f>
        <v xml:space="preserve">Libia del Socorro </v>
      </c>
      <c r="D369" t="str">
        <f>VLOOKUP(B369,[1]BD_FINAL!$A:$H,3,FALSE)</f>
        <v>Medellin</v>
      </c>
      <c r="E369" t="str">
        <f>VLOOKUP(B369,[1]BD_FINAL!$A:$H,8,FALSE)</f>
        <v>Tratamiento</v>
      </c>
      <c r="F369" s="2">
        <f t="shared" si="15"/>
        <v>1</v>
      </c>
      <c r="G369">
        <f t="shared" si="16"/>
        <v>1</v>
      </c>
      <c r="H369" s="3" t="s">
        <v>4322</v>
      </c>
      <c r="I369" s="6" t="str">
        <f t="shared" si="17"/>
        <v>01010368</v>
      </c>
    </row>
    <row r="370" spans="1:9" x14ac:dyDescent="0.3">
      <c r="A370">
        <v>369</v>
      </c>
      <c r="B370" s="6">
        <v>22294421</v>
      </c>
      <c r="C370" t="str">
        <f>VLOOKUP(B370,[1]BD_FINAL!$A:$H,2,FALSE)</f>
        <v xml:space="preserve">Graciela
</v>
      </c>
      <c r="D370" t="str">
        <f>VLOOKUP(B370,[1]BD_FINAL!$A:$H,3,FALSE)</f>
        <v>Baranquilla</v>
      </c>
      <c r="E370" t="str">
        <f>VLOOKUP(B370,[1]BD_FINAL!$A:$H,8,FALSE)</f>
        <v>Control</v>
      </c>
      <c r="F370" s="2">
        <f t="shared" si="15"/>
        <v>0</v>
      </c>
      <c r="G370">
        <f t="shared" si="16"/>
        <v>3</v>
      </c>
      <c r="H370" s="3" t="s">
        <v>4323</v>
      </c>
      <c r="I370" s="6" t="str">
        <f t="shared" si="17"/>
        <v>00030369</v>
      </c>
    </row>
    <row r="371" spans="1:9" x14ac:dyDescent="0.3">
      <c r="A371">
        <v>370</v>
      </c>
      <c r="B371" s="6">
        <v>22295551</v>
      </c>
      <c r="C371" t="str">
        <f>VLOOKUP(B371,[1]BD_FINAL!$A:$H,2,FALSE)</f>
        <v xml:space="preserve">LUCILA </v>
      </c>
      <c r="D371" t="str">
        <f>VLOOKUP(B371,[1]BD_FINAL!$A:$H,3,FALSE)</f>
        <v>Baranquilla</v>
      </c>
      <c r="E371" t="str">
        <f>VLOOKUP(B371,[1]BD_FINAL!$A:$H,8,FALSE)</f>
        <v>Tratamiento</v>
      </c>
      <c r="F371" s="2">
        <f t="shared" si="15"/>
        <v>1</v>
      </c>
      <c r="G371">
        <f t="shared" si="16"/>
        <v>3</v>
      </c>
      <c r="H371" s="3" t="s">
        <v>4324</v>
      </c>
      <c r="I371" s="6" t="str">
        <f t="shared" si="17"/>
        <v>01030370</v>
      </c>
    </row>
    <row r="372" spans="1:9" x14ac:dyDescent="0.3">
      <c r="A372">
        <v>371</v>
      </c>
      <c r="B372" s="6">
        <v>22304817</v>
      </c>
      <c r="C372" t="str">
        <f>VLOOKUP(B372,[1]BD_FINAL!$A:$H,2,FALSE)</f>
        <v>Maria</v>
      </c>
      <c r="D372" t="str">
        <f>VLOOKUP(B372,[1]BD_FINAL!$A:$H,3,FALSE)</f>
        <v>Baranquilla</v>
      </c>
      <c r="E372" t="str">
        <f>VLOOKUP(B372,[1]BD_FINAL!$A:$H,8,FALSE)</f>
        <v>Tratamiento</v>
      </c>
      <c r="F372" s="2">
        <f t="shared" si="15"/>
        <v>1</v>
      </c>
      <c r="G372">
        <f t="shared" si="16"/>
        <v>3</v>
      </c>
      <c r="H372" s="3" t="s">
        <v>4325</v>
      </c>
      <c r="I372" s="6" t="str">
        <f t="shared" si="17"/>
        <v>01030371</v>
      </c>
    </row>
    <row r="373" spans="1:9" x14ac:dyDescent="0.3">
      <c r="A373">
        <v>372</v>
      </c>
      <c r="B373" s="6">
        <v>22313863</v>
      </c>
      <c r="C373" t="str">
        <f>VLOOKUP(B373,[1]BD_FINAL!$A:$H,2,FALSE)</f>
        <v>Virginia isabel</v>
      </c>
      <c r="D373" t="str">
        <f>VLOOKUP(B373,[1]BD_FINAL!$A:$H,3,FALSE)</f>
        <v>Baranquilla</v>
      </c>
      <c r="E373" t="str">
        <f>VLOOKUP(B373,[1]BD_FINAL!$A:$H,8,FALSE)</f>
        <v>Control</v>
      </c>
      <c r="F373" s="2">
        <f t="shared" si="15"/>
        <v>0</v>
      </c>
      <c r="G373">
        <f t="shared" si="16"/>
        <v>3</v>
      </c>
      <c r="H373" s="3" t="s">
        <v>4326</v>
      </c>
      <c r="I373" s="6" t="str">
        <f t="shared" si="17"/>
        <v>00030372</v>
      </c>
    </row>
    <row r="374" spans="1:9" x14ac:dyDescent="0.3">
      <c r="A374">
        <v>373</v>
      </c>
      <c r="B374" s="6">
        <v>22317957</v>
      </c>
      <c r="C374" t="str">
        <f>VLOOKUP(B374,[1]BD_FINAL!$A:$H,2,FALSE)</f>
        <v>Sabina segundo</v>
      </c>
      <c r="D374" t="str">
        <f>VLOOKUP(B374,[1]BD_FINAL!$A:$H,3,FALSE)</f>
        <v>Baranquilla</v>
      </c>
      <c r="E374" t="str">
        <f>VLOOKUP(B374,[1]BD_FINAL!$A:$H,8,FALSE)</f>
        <v>Control</v>
      </c>
      <c r="F374" s="2">
        <f t="shared" si="15"/>
        <v>0</v>
      </c>
      <c r="G374">
        <f t="shared" si="16"/>
        <v>3</v>
      </c>
      <c r="H374" s="3" t="s">
        <v>4327</v>
      </c>
      <c r="I374" s="6" t="str">
        <f t="shared" si="17"/>
        <v>00030373</v>
      </c>
    </row>
    <row r="375" spans="1:9" x14ac:dyDescent="0.3">
      <c r="A375">
        <v>374</v>
      </c>
      <c r="B375" s="6">
        <v>22333001</v>
      </c>
      <c r="C375" t="str">
        <f>VLOOKUP(B375,[1]BD_FINAL!$A:$H,2,FALSE)</f>
        <v>Mérida</v>
      </c>
      <c r="D375" t="str">
        <f>VLOOKUP(B375,[1]BD_FINAL!$A:$H,3,FALSE)</f>
        <v>Baranquilla</v>
      </c>
      <c r="E375" t="str">
        <f>VLOOKUP(B375,[1]BD_FINAL!$A:$H,8,FALSE)</f>
        <v>Tratamiento</v>
      </c>
      <c r="F375" s="2">
        <f t="shared" si="15"/>
        <v>1</v>
      </c>
      <c r="G375">
        <f t="shared" si="16"/>
        <v>3</v>
      </c>
      <c r="H375" s="3" t="s">
        <v>4328</v>
      </c>
      <c r="I375" s="6" t="str">
        <f t="shared" si="17"/>
        <v>01030374</v>
      </c>
    </row>
    <row r="376" spans="1:9" x14ac:dyDescent="0.3">
      <c r="A376">
        <v>375</v>
      </c>
      <c r="B376" s="6">
        <v>22351069</v>
      </c>
      <c r="C376" t="str">
        <f>VLOOKUP(B376,[1]BD_FINAL!$A:$H,2,FALSE)</f>
        <v xml:space="preserve">Jobita </v>
      </c>
      <c r="D376" t="str">
        <f>VLOOKUP(B376,[1]BD_FINAL!$A:$H,3,FALSE)</f>
        <v>Baranquilla</v>
      </c>
      <c r="E376" t="str">
        <f>VLOOKUP(B376,[1]BD_FINAL!$A:$H,8,FALSE)</f>
        <v>Control</v>
      </c>
      <c r="F376" s="2">
        <f t="shared" si="15"/>
        <v>0</v>
      </c>
      <c r="G376">
        <f t="shared" si="16"/>
        <v>3</v>
      </c>
      <c r="H376" s="3" t="s">
        <v>4329</v>
      </c>
      <c r="I376" s="6" t="str">
        <f t="shared" si="17"/>
        <v>00030375</v>
      </c>
    </row>
    <row r="377" spans="1:9" x14ac:dyDescent="0.3">
      <c r="A377">
        <v>376</v>
      </c>
      <c r="B377" s="6">
        <v>22353868</v>
      </c>
      <c r="C377" t="str">
        <f>VLOOKUP(B377,[1]BD_FINAL!$A:$H,2,FALSE)</f>
        <v>Marlene esther</v>
      </c>
      <c r="D377" t="str">
        <f>VLOOKUP(B377,[1]BD_FINAL!$A:$H,3,FALSE)</f>
        <v>Baranquilla</v>
      </c>
      <c r="E377" t="str">
        <f>VLOOKUP(B377,[1]BD_FINAL!$A:$H,8,FALSE)</f>
        <v>Control</v>
      </c>
      <c r="F377" s="2">
        <f t="shared" si="15"/>
        <v>0</v>
      </c>
      <c r="G377">
        <f t="shared" si="16"/>
        <v>3</v>
      </c>
      <c r="H377" s="3" t="s">
        <v>4330</v>
      </c>
      <c r="I377" s="6" t="str">
        <f t="shared" si="17"/>
        <v>00030376</v>
      </c>
    </row>
    <row r="378" spans="1:9" x14ac:dyDescent="0.3">
      <c r="A378">
        <v>377</v>
      </c>
      <c r="B378" s="6">
        <v>22357171</v>
      </c>
      <c r="C378" t="str">
        <f>VLOOKUP(B378,[1]BD_FINAL!$A:$H,2,FALSE)</f>
        <v xml:space="preserve">Julia </v>
      </c>
      <c r="D378" t="str">
        <f>VLOOKUP(B378,[1]BD_FINAL!$A:$H,3,FALSE)</f>
        <v>Baranquilla</v>
      </c>
      <c r="E378" t="str">
        <f>VLOOKUP(B378,[1]BD_FINAL!$A:$H,8,FALSE)</f>
        <v>Control</v>
      </c>
      <c r="F378" s="2">
        <f t="shared" si="15"/>
        <v>0</v>
      </c>
      <c r="G378">
        <f t="shared" si="16"/>
        <v>3</v>
      </c>
      <c r="H378" s="3" t="s">
        <v>4331</v>
      </c>
      <c r="I378" s="6" t="str">
        <f t="shared" si="17"/>
        <v>00030377</v>
      </c>
    </row>
    <row r="379" spans="1:9" x14ac:dyDescent="0.3">
      <c r="A379">
        <v>378</v>
      </c>
      <c r="B379" s="6">
        <v>22362412</v>
      </c>
      <c r="C379" t="str">
        <f>VLOOKUP(B379,[1]BD_FINAL!$A:$H,2,FALSE)</f>
        <v>Gladys ines</v>
      </c>
      <c r="D379" t="str">
        <f>VLOOKUP(B379,[1]BD_FINAL!$A:$H,3,FALSE)</f>
        <v>Baranquilla</v>
      </c>
      <c r="E379" t="str">
        <f>VLOOKUP(B379,[1]BD_FINAL!$A:$H,8,FALSE)</f>
        <v>Control</v>
      </c>
      <c r="F379" s="2">
        <f t="shared" si="15"/>
        <v>0</v>
      </c>
      <c r="G379">
        <f t="shared" si="16"/>
        <v>3</v>
      </c>
      <c r="H379" s="3" t="s">
        <v>4332</v>
      </c>
      <c r="I379" s="6" t="str">
        <f t="shared" si="17"/>
        <v>00030378</v>
      </c>
    </row>
    <row r="380" spans="1:9" x14ac:dyDescent="0.3">
      <c r="A380">
        <v>379</v>
      </c>
      <c r="B380" s="6">
        <v>22365884</v>
      </c>
      <c r="C380" t="str">
        <f>VLOOKUP(B380,[1]BD_FINAL!$A:$H,2,FALSE)</f>
        <v xml:space="preserve">Elena Hortencia </v>
      </c>
      <c r="D380" t="str">
        <f>VLOOKUP(B380,[1]BD_FINAL!$A:$H,3,FALSE)</f>
        <v>Baranquilla</v>
      </c>
      <c r="E380" t="str">
        <f>VLOOKUP(B380,[1]BD_FINAL!$A:$H,8,FALSE)</f>
        <v>Tratamiento</v>
      </c>
      <c r="F380" s="2">
        <f t="shared" si="15"/>
        <v>1</v>
      </c>
      <c r="G380">
        <f t="shared" si="16"/>
        <v>3</v>
      </c>
      <c r="H380" s="3" t="s">
        <v>4333</v>
      </c>
      <c r="I380" s="6" t="str">
        <f t="shared" si="17"/>
        <v>01030379</v>
      </c>
    </row>
    <row r="381" spans="1:9" x14ac:dyDescent="0.3">
      <c r="A381">
        <v>380</v>
      </c>
      <c r="B381" s="6">
        <v>22372597</v>
      </c>
      <c r="C381" t="str">
        <f>VLOOKUP(B381,[1]BD_FINAL!$A:$H,2,FALSE)</f>
        <v xml:space="preserve">Maritza </v>
      </c>
      <c r="D381" t="str">
        <f>VLOOKUP(B381,[1]BD_FINAL!$A:$H,3,FALSE)</f>
        <v>Baranquilla</v>
      </c>
      <c r="E381" t="str">
        <f>VLOOKUP(B381,[1]BD_FINAL!$A:$H,8,FALSE)</f>
        <v>Control</v>
      </c>
      <c r="F381" s="2">
        <f t="shared" si="15"/>
        <v>0</v>
      </c>
      <c r="G381">
        <f t="shared" si="16"/>
        <v>3</v>
      </c>
      <c r="H381" s="3" t="s">
        <v>4334</v>
      </c>
      <c r="I381" s="6" t="str">
        <f t="shared" si="17"/>
        <v>00030380</v>
      </c>
    </row>
    <row r="382" spans="1:9" x14ac:dyDescent="0.3">
      <c r="A382">
        <v>381</v>
      </c>
      <c r="B382" s="6">
        <v>22374314</v>
      </c>
      <c r="C382" t="str">
        <f>VLOOKUP(B382,[1]BD_FINAL!$A:$H,2,FALSE)</f>
        <v>LUz MARIA</v>
      </c>
      <c r="D382" t="str">
        <f>VLOOKUP(B382,[1]BD_FINAL!$A:$H,3,FALSE)</f>
        <v>Baranquilla</v>
      </c>
      <c r="E382" t="str">
        <f>VLOOKUP(B382,[1]BD_FINAL!$A:$H,8,FALSE)</f>
        <v>Tratamiento</v>
      </c>
      <c r="F382" s="2">
        <f t="shared" si="15"/>
        <v>1</v>
      </c>
      <c r="G382">
        <f t="shared" si="16"/>
        <v>3</v>
      </c>
      <c r="H382" s="3" t="s">
        <v>4335</v>
      </c>
      <c r="I382" s="6" t="str">
        <f t="shared" si="17"/>
        <v>01030381</v>
      </c>
    </row>
    <row r="383" spans="1:9" x14ac:dyDescent="0.3">
      <c r="A383">
        <v>382</v>
      </c>
      <c r="B383" s="6">
        <v>22377867</v>
      </c>
      <c r="C383" t="str">
        <f>VLOOKUP(B383,[1]BD_FINAL!$A:$H,2,FALSE)</f>
        <v>Concepción</v>
      </c>
      <c r="D383" t="str">
        <f>VLOOKUP(B383,[1]BD_FINAL!$A:$H,3,FALSE)</f>
        <v>Baranquilla</v>
      </c>
      <c r="E383" t="str">
        <f>VLOOKUP(B383,[1]BD_FINAL!$A:$H,8,FALSE)</f>
        <v>Tratamiento</v>
      </c>
      <c r="F383" s="2">
        <f t="shared" si="15"/>
        <v>1</v>
      </c>
      <c r="G383">
        <f t="shared" si="16"/>
        <v>3</v>
      </c>
      <c r="H383" s="3" t="s">
        <v>4336</v>
      </c>
      <c r="I383" s="6" t="str">
        <f t="shared" si="17"/>
        <v>01030382</v>
      </c>
    </row>
    <row r="384" spans="1:9" x14ac:dyDescent="0.3">
      <c r="A384">
        <v>383</v>
      </c>
      <c r="B384" s="6">
        <v>22378889</v>
      </c>
      <c r="C384" t="str">
        <f>VLOOKUP(B384,[1]BD_FINAL!$A:$H,2,FALSE)</f>
        <v xml:space="preserve">ETILBIA </v>
      </c>
      <c r="D384" t="str">
        <f>VLOOKUP(B384,[1]BD_FINAL!$A:$H,3,FALSE)</f>
        <v>Baranquilla</v>
      </c>
      <c r="E384" t="str">
        <f>VLOOKUP(B384,[1]BD_FINAL!$A:$H,8,FALSE)</f>
        <v>Tratamiento</v>
      </c>
      <c r="F384" s="2">
        <f t="shared" si="15"/>
        <v>1</v>
      </c>
      <c r="G384">
        <f t="shared" si="16"/>
        <v>3</v>
      </c>
      <c r="H384" s="3" t="s">
        <v>4337</v>
      </c>
      <c r="I384" s="6" t="str">
        <f t="shared" si="17"/>
        <v>01030383</v>
      </c>
    </row>
    <row r="385" spans="1:9" x14ac:dyDescent="0.3">
      <c r="A385">
        <v>384</v>
      </c>
      <c r="B385" s="6">
        <v>22383297</v>
      </c>
      <c r="C385" t="str">
        <f>VLOOKUP(B385,[1]BD_FINAL!$A:$H,2,FALSE)</f>
        <v>Blanca yolanda</v>
      </c>
      <c r="D385" t="str">
        <f>VLOOKUP(B385,[1]BD_FINAL!$A:$H,3,FALSE)</f>
        <v>Baranquilla</v>
      </c>
      <c r="E385" t="str">
        <f>VLOOKUP(B385,[1]BD_FINAL!$A:$H,8,FALSE)</f>
        <v>Tratamiento</v>
      </c>
      <c r="F385" s="2">
        <f t="shared" si="15"/>
        <v>1</v>
      </c>
      <c r="G385">
        <f t="shared" si="16"/>
        <v>3</v>
      </c>
      <c r="H385" s="3" t="s">
        <v>4338</v>
      </c>
      <c r="I385" s="6" t="str">
        <f t="shared" si="17"/>
        <v>01030384</v>
      </c>
    </row>
    <row r="386" spans="1:9" x14ac:dyDescent="0.3">
      <c r="A386">
        <v>385</v>
      </c>
      <c r="B386" s="6">
        <v>22385229</v>
      </c>
      <c r="C386" t="str">
        <f>VLOOKUP(B386,[1]BD_FINAL!$A:$H,2,FALSE)</f>
        <v>Nidia</v>
      </c>
      <c r="D386" t="str">
        <f>VLOOKUP(B386,[1]BD_FINAL!$A:$H,3,FALSE)</f>
        <v>Baranquilla</v>
      </c>
      <c r="E386" t="str">
        <f>VLOOKUP(B386,[1]BD_FINAL!$A:$H,8,FALSE)</f>
        <v>Tratamiento</v>
      </c>
      <c r="F386" s="2">
        <f t="shared" si="15"/>
        <v>1</v>
      </c>
      <c r="G386">
        <f t="shared" si="16"/>
        <v>3</v>
      </c>
      <c r="H386" s="3" t="s">
        <v>4339</v>
      </c>
      <c r="I386" s="6" t="str">
        <f t="shared" si="17"/>
        <v>01030385</v>
      </c>
    </row>
    <row r="387" spans="1:9" x14ac:dyDescent="0.3">
      <c r="A387">
        <v>386</v>
      </c>
      <c r="B387" s="6">
        <v>22393271</v>
      </c>
      <c r="C387" t="str">
        <f>VLOOKUP(B387,[1]BD_FINAL!$A:$H,2,FALSE)</f>
        <v>Josefa maria</v>
      </c>
      <c r="D387" t="str">
        <f>VLOOKUP(B387,[1]BD_FINAL!$A:$H,3,FALSE)</f>
        <v>Baranquilla</v>
      </c>
      <c r="E387" t="str">
        <f>VLOOKUP(B387,[1]BD_FINAL!$A:$H,8,FALSE)</f>
        <v>Tratamiento</v>
      </c>
      <c r="F387" s="2">
        <f t="shared" ref="F387:F450" si="18">IF(E387="CONTROL",0,1)</f>
        <v>1</v>
      </c>
      <c r="G387">
        <f t="shared" ref="G387:G450" si="19">IF(D387="Medellin",1,IF(D387="Cali",2,IF(D387="Baranquilla",3,0)))</f>
        <v>3</v>
      </c>
      <c r="H387" s="3" t="s">
        <v>4340</v>
      </c>
      <c r="I387" s="6" t="str">
        <f t="shared" ref="I387:I450" si="20">_xlfn.CONCAT(0,F387,0,G387,H387)</f>
        <v>01030386</v>
      </c>
    </row>
    <row r="388" spans="1:9" x14ac:dyDescent="0.3">
      <c r="A388">
        <v>387</v>
      </c>
      <c r="B388" s="6">
        <v>22410576</v>
      </c>
      <c r="C388" t="str">
        <f>VLOOKUP(B388,[1]BD_FINAL!$A:$H,2,FALSE)</f>
        <v>Jacinta rosa</v>
      </c>
      <c r="D388" t="str">
        <f>VLOOKUP(B388,[1]BD_FINAL!$A:$H,3,FALSE)</f>
        <v>Baranquilla</v>
      </c>
      <c r="E388" t="str">
        <f>VLOOKUP(B388,[1]BD_FINAL!$A:$H,8,FALSE)</f>
        <v>Control</v>
      </c>
      <c r="F388" s="2">
        <f t="shared" si="18"/>
        <v>0</v>
      </c>
      <c r="G388">
        <f t="shared" si="19"/>
        <v>3</v>
      </c>
      <c r="H388" s="3" t="s">
        <v>4341</v>
      </c>
      <c r="I388" s="6" t="str">
        <f t="shared" si="20"/>
        <v>00030387</v>
      </c>
    </row>
    <row r="389" spans="1:9" x14ac:dyDescent="0.3">
      <c r="A389">
        <v>388</v>
      </c>
      <c r="B389" s="6">
        <v>22414731</v>
      </c>
      <c r="C389" t="str">
        <f>VLOOKUP(B389,[1]BD_FINAL!$A:$H,2,FALSE)</f>
        <v>Yomaira esther</v>
      </c>
      <c r="D389" t="str">
        <f>VLOOKUP(B389,[1]BD_FINAL!$A:$H,3,FALSE)</f>
        <v>Baranquilla</v>
      </c>
      <c r="E389" t="str">
        <f>VLOOKUP(B389,[1]BD_FINAL!$A:$H,8,FALSE)</f>
        <v>Control</v>
      </c>
      <c r="F389" s="2">
        <f t="shared" si="18"/>
        <v>0</v>
      </c>
      <c r="G389">
        <f t="shared" si="19"/>
        <v>3</v>
      </c>
      <c r="H389" s="3" t="s">
        <v>4342</v>
      </c>
      <c r="I389" s="6" t="str">
        <f t="shared" si="20"/>
        <v>00030388</v>
      </c>
    </row>
    <row r="390" spans="1:9" x14ac:dyDescent="0.3">
      <c r="A390">
        <v>389</v>
      </c>
      <c r="B390" s="6">
        <v>22414805</v>
      </c>
      <c r="C390" t="str">
        <f>VLOOKUP(B390,[1]BD_FINAL!$A:$H,2,FALSE)</f>
        <v>Saray María</v>
      </c>
      <c r="D390" t="str">
        <f>VLOOKUP(B390,[1]BD_FINAL!$A:$H,3,FALSE)</f>
        <v>Baranquilla</v>
      </c>
      <c r="E390" t="str">
        <f>VLOOKUP(B390,[1]BD_FINAL!$A:$H,8,FALSE)</f>
        <v>Tratamiento</v>
      </c>
      <c r="F390" s="2">
        <f t="shared" si="18"/>
        <v>1</v>
      </c>
      <c r="G390">
        <f t="shared" si="19"/>
        <v>3</v>
      </c>
      <c r="H390" s="3" t="s">
        <v>4343</v>
      </c>
      <c r="I390" s="6" t="str">
        <f t="shared" si="20"/>
        <v>01030389</v>
      </c>
    </row>
    <row r="391" spans="1:9" x14ac:dyDescent="0.3">
      <c r="A391">
        <v>390</v>
      </c>
      <c r="B391" s="6">
        <v>22415762</v>
      </c>
      <c r="C391" t="str">
        <f>VLOOKUP(B391,[1]BD_FINAL!$A:$H,2,FALSE)</f>
        <v xml:space="preserve">Emilia </v>
      </c>
      <c r="D391" t="str">
        <f>VLOOKUP(B391,[1]BD_FINAL!$A:$H,3,FALSE)</f>
        <v>Baranquilla</v>
      </c>
      <c r="E391" t="str">
        <f>VLOOKUP(B391,[1]BD_FINAL!$A:$H,8,FALSE)</f>
        <v>Control</v>
      </c>
      <c r="F391" s="2">
        <f t="shared" si="18"/>
        <v>0</v>
      </c>
      <c r="G391">
        <f t="shared" si="19"/>
        <v>3</v>
      </c>
      <c r="H391" s="3" t="s">
        <v>4344</v>
      </c>
      <c r="I391" s="6" t="str">
        <f t="shared" si="20"/>
        <v>00030390</v>
      </c>
    </row>
    <row r="392" spans="1:9" x14ac:dyDescent="0.3">
      <c r="A392">
        <v>391</v>
      </c>
      <c r="B392" s="6">
        <v>22420818</v>
      </c>
      <c r="C392" t="str">
        <f>VLOOKUP(B392,[1]BD_FINAL!$A:$H,2,FALSE)</f>
        <v>Maria</v>
      </c>
      <c r="D392" t="str">
        <f>VLOOKUP(B392,[1]BD_FINAL!$A:$H,3,FALSE)</f>
        <v>Baranquilla</v>
      </c>
      <c r="E392" t="str">
        <f>VLOOKUP(B392,[1]BD_FINAL!$A:$H,8,FALSE)</f>
        <v>Tratamiento</v>
      </c>
      <c r="F392" s="2">
        <f t="shared" si="18"/>
        <v>1</v>
      </c>
      <c r="G392">
        <f t="shared" si="19"/>
        <v>3</v>
      </c>
      <c r="H392" s="3" t="s">
        <v>4345</v>
      </c>
      <c r="I392" s="6" t="str">
        <f t="shared" si="20"/>
        <v>01030391</v>
      </c>
    </row>
    <row r="393" spans="1:9" x14ac:dyDescent="0.3">
      <c r="A393">
        <v>392</v>
      </c>
      <c r="B393" s="6">
        <v>22421041</v>
      </c>
      <c r="C393" t="str">
        <f>VLOOKUP(B393,[1]BD_FINAL!$A:$H,2,FALSE)</f>
        <v xml:space="preserve">Mercedes </v>
      </c>
      <c r="D393" t="str">
        <f>VLOOKUP(B393,[1]BD_FINAL!$A:$H,3,FALSE)</f>
        <v>Baranquilla</v>
      </c>
      <c r="E393" t="str">
        <f>VLOOKUP(B393,[1]BD_FINAL!$A:$H,8,FALSE)</f>
        <v>Tratamiento</v>
      </c>
      <c r="F393" s="2">
        <f t="shared" si="18"/>
        <v>1</v>
      </c>
      <c r="G393">
        <f t="shared" si="19"/>
        <v>3</v>
      </c>
      <c r="H393" s="3" t="s">
        <v>4346</v>
      </c>
      <c r="I393" s="6" t="str">
        <f t="shared" si="20"/>
        <v>01030392</v>
      </c>
    </row>
    <row r="394" spans="1:9" x14ac:dyDescent="0.3">
      <c r="A394">
        <v>393</v>
      </c>
      <c r="B394" s="6">
        <v>22421549</v>
      </c>
      <c r="C394" t="str">
        <f>VLOOKUP(B394,[1]BD_FINAL!$A:$H,2,FALSE)</f>
        <v>Ines</v>
      </c>
      <c r="D394" t="str">
        <f>VLOOKUP(B394,[1]BD_FINAL!$A:$H,3,FALSE)</f>
        <v>Baranquilla</v>
      </c>
      <c r="E394" t="str">
        <f>VLOOKUP(B394,[1]BD_FINAL!$A:$H,8,FALSE)</f>
        <v>Control</v>
      </c>
      <c r="F394" s="2">
        <f t="shared" si="18"/>
        <v>0</v>
      </c>
      <c r="G394">
        <f t="shared" si="19"/>
        <v>3</v>
      </c>
      <c r="H394" s="3" t="s">
        <v>4347</v>
      </c>
      <c r="I394" s="6" t="str">
        <f t="shared" si="20"/>
        <v>00030393</v>
      </c>
    </row>
    <row r="395" spans="1:9" x14ac:dyDescent="0.3">
      <c r="A395">
        <v>394</v>
      </c>
      <c r="B395" s="6">
        <v>22436611</v>
      </c>
      <c r="C395" t="str">
        <f>VLOOKUP(B395,[1]BD_FINAL!$A:$H,2,FALSE)</f>
        <v xml:space="preserve">Rosa helena </v>
      </c>
      <c r="D395" t="str">
        <f>VLOOKUP(B395,[1]BD_FINAL!$A:$H,3,FALSE)</f>
        <v>Baranquilla</v>
      </c>
      <c r="E395" t="str">
        <f>VLOOKUP(B395,[1]BD_FINAL!$A:$H,8,FALSE)</f>
        <v>Control</v>
      </c>
      <c r="F395" s="2">
        <f t="shared" si="18"/>
        <v>0</v>
      </c>
      <c r="G395">
        <f t="shared" si="19"/>
        <v>3</v>
      </c>
      <c r="H395" s="3" t="s">
        <v>4348</v>
      </c>
      <c r="I395" s="6" t="str">
        <f t="shared" si="20"/>
        <v>00030394</v>
      </c>
    </row>
    <row r="396" spans="1:9" x14ac:dyDescent="0.3">
      <c r="A396">
        <v>395</v>
      </c>
      <c r="B396" s="6">
        <v>22440120</v>
      </c>
      <c r="C396" t="str">
        <f>VLOOKUP(B396,[1]BD_FINAL!$A:$H,2,FALSE)</f>
        <v xml:space="preserve">RUTH MERCEDES </v>
      </c>
      <c r="D396" t="str">
        <f>VLOOKUP(B396,[1]BD_FINAL!$A:$H,3,FALSE)</f>
        <v>Baranquilla</v>
      </c>
      <c r="E396" t="str">
        <f>VLOOKUP(B396,[1]BD_FINAL!$A:$H,8,FALSE)</f>
        <v>Tratamiento</v>
      </c>
      <c r="F396" s="2">
        <f t="shared" si="18"/>
        <v>1</v>
      </c>
      <c r="G396">
        <f t="shared" si="19"/>
        <v>3</v>
      </c>
      <c r="H396" s="3" t="s">
        <v>4349</v>
      </c>
      <c r="I396" s="6" t="str">
        <f t="shared" si="20"/>
        <v>01030395</v>
      </c>
    </row>
    <row r="397" spans="1:9" x14ac:dyDescent="0.3">
      <c r="A397">
        <v>396</v>
      </c>
      <c r="B397" s="6">
        <v>22442480</v>
      </c>
      <c r="C397" t="str">
        <f>VLOOKUP(B397,[1]BD_FINAL!$A:$H,2,FALSE)</f>
        <v xml:space="preserve">Miriam </v>
      </c>
      <c r="D397" t="str">
        <f>VLOOKUP(B397,[1]BD_FINAL!$A:$H,3,FALSE)</f>
        <v>Baranquilla</v>
      </c>
      <c r="E397" t="str">
        <f>VLOOKUP(B397,[1]BD_FINAL!$A:$H,8,FALSE)</f>
        <v>Control</v>
      </c>
      <c r="F397" s="2">
        <f t="shared" si="18"/>
        <v>0</v>
      </c>
      <c r="G397">
        <f t="shared" si="19"/>
        <v>3</v>
      </c>
      <c r="H397" s="3" t="s">
        <v>4350</v>
      </c>
      <c r="I397" s="6" t="str">
        <f t="shared" si="20"/>
        <v>00030396</v>
      </c>
    </row>
    <row r="398" spans="1:9" x14ac:dyDescent="0.3">
      <c r="A398">
        <v>397</v>
      </c>
      <c r="B398" s="6">
        <v>22445534</v>
      </c>
      <c r="C398" t="str">
        <f>VLOOKUP(B398,[1]BD_FINAL!$A:$H,2,FALSE)</f>
        <v>Sol maria</v>
      </c>
      <c r="D398" t="str">
        <f>VLOOKUP(B398,[1]BD_FINAL!$A:$H,3,FALSE)</f>
        <v>Baranquilla</v>
      </c>
      <c r="E398" t="str">
        <f>VLOOKUP(B398,[1]BD_FINAL!$A:$H,8,FALSE)</f>
        <v>Control</v>
      </c>
      <c r="F398" s="2">
        <f t="shared" si="18"/>
        <v>0</v>
      </c>
      <c r="G398">
        <f t="shared" si="19"/>
        <v>3</v>
      </c>
      <c r="H398" s="3" t="s">
        <v>4351</v>
      </c>
      <c r="I398" s="6" t="str">
        <f t="shared" si="20"/>
        <v>00030397</v>
      </c>
    </row>
    <row r="399" spans="1:9" x14ac:dyDescent="0.3">
      <c r="A399">
        <v>398</v>
      </c>
      <c r="B399" s="6">
        <v>22446557</v>
      </c>
      <c r="C399" t="str">
        <f>VLOOKUP(B399,[1]BD_FINAL!$A:$H,2,FALSE)</f>
        <v xml:space="preserve">Angelica </v>
      </c>
      <c r="D399" t="str">
        <f>VLOOKUP(B399,[1]BD_FINAL!$A:$H,3,FALSE)</f>
        <v>Baranquilla</v>
      </c>
      <c r="E399" t="str">
        <f>VLOOKUP(B399,[1]BD_FINAL!$A:$H,8,FALSE)</f>
        <v>Tratamiento</v>
      </c>
      <c r="F399" s="2">
        <f t="shared" si="18"/>
        <v>1</v>
      </c>
      <c r="G399">
        <f t="shared" si="19"/>
        <v>3</v>
      </c>
      <c r="H399" s="3" t="s">
        <v>4352</v>
      </c>
      <c r="I399" s="6" t="str">
        <f t="shared" si="20"/>
        <v>01030398</v>
      </c>
    </row>
    <row r="400" spans="1:9" x14ac:dyDescent="0.3">
      <c r="A400">
        <v>399</v>
      </c>
      <c r="B400" s="6">
        <v>22446587</v>
      </c>
      <c r="C400" t="str">
        <f>VLOOKUP(B400,[1]BD_FINAL!$A:$H,2,FALSE)</f>
        <v>Yomaira del socorro</v>
      </c>
      <c r="D400" t="str">
        <f>VLOOKUP(B400,[1]BD_FINAL!$A:$H,3,FALSE)</f>
        <v>Baranquilla</v>
      </c>
      <c r="E400" t="str">
        <f>VLOOKUP(B400,[1]BD_FINAL!$A:$H,8,FALSE)</f>
        <v>Tratamiento</v>
      </c>
      <c r="F400" s="2">
        <f t="shared" si="18"/>
        <v>1</v>
      </c>
      <c r="G400">
        <f t="shared" si="19"/>
        <v>3</v>
      </c>
      <c r="H400" s="3" t="s">
        <v>4353</v>
      </c>
      <c r="I400" s="6" t="str">
        <f t="shared" si="20"/>
        <v>01030399</v>
      </c>
    </row>
    <row r="401" spans="1:9" x14ac:dyDescent="0.3">
      <c r="A401">
        <v>400</v>
      </c>
      <c r="B401" s="6">
        <v>22446902</v>
      </c>
      <c r="C401" t="str">
        <f>VLOOKUP(B401,[1]BD_FINAL!$A:$H,2,FALSE)</f>
        <v xml:space="preserve">Andrés </v>
      </c>
      <c r="D401" t="str">
        <f>VLOOKUP(B401,[1]BD_FINAL!$A:$H,3,FALSE)</f>
        <v>Baranquilla</v>
      </c>
      <c r="E401" t="str">
        <f>VLOOKUP(B401,[1]BD_FINAL!$A:$H,8,FALSE)</f>
        <v>Control</v>
      </c>
      <c r="F401" s="2">
        <f t="shared" si="18"/>
        <v>0</v>
      </c>
      <c r="G401">
        <f t="shared" si="19"/>
        <v>3</v>
      </c>
      <c r="H401" s="3" t="s">
        <v>4354</v>
      </c>
      <c r="I401" s="6" t="str">
        <f t="shared" si="20"/>
        <v>00030400</v>
      </c>
    </row>
    <row r="402" spans="1:9" x14ac:dyDescent="0.3">
      <c r="A402">
        <v>401</v>
      </c>
      <c r="B402" s="6">
        <v>22466720</v>
      </c>
      <c r="C402" t="str">
        <f>VLOOKUP(B402,[1]BD_FINAL!$A:$H,2,FALSE)</f>
        <v xml:space="preserve">Amaisa Mercedes </v>
      </c>
      <c r="D402" t="str">
        <f>VLOOKUP(B402,[1]BD_FINAL!$A:$H,3,FALSE)</f>
        <v>Baranquilla</v>
      </c>
      <c r="E402" t="str">
        <f>VLOOKUP(B402,[1]BD_FINAL!$A:$H,8,FALSE)</f>
        <v>Control</v>
      </c>
      <c r="F402" s="2">
        <f t="shared" si="18"/>
        <v>0</v>
      </c>
      <c r="G402">
        <f t="shared" si="19"/>
        <v>3</v>
      </c>
      <c r="H402" s="3" t="s">
        <v>4355</v>
      </c>
      <c r="I402" s="6" t="str">
        <f t="shared" si="20"/>
        <v>00030401</v>
      </c>
    </row>
    <row r="403" spans="1:9" x14ac:dyDescent="0.3">
      <c r="A403">
        <v>402</v>
      </c>
      <c r="B403" s="6">
        <v>22467946</v>
      </c>
      <c r="C403" t="str">
        <f>VLOOKUP(B403,[1]BD_FINAL!$A:$H,2,FALSE)</f>
        <v>Dora</v>
      </c>
      <c r="D403" t="str">
        <f>VLOOKUP(B403,[1]BD_FINAL!$A:$H,3,FALSE)</f>
        <v>Baranquilla</v>
      </c>
      <c r="E403" t="str">
        <f>VLOOKUP(B403,[1]BD_FINAL!$A:$H,8,FALSE)</f>
        <v>Tratamiento</v>
      </c>
      <c r="F403" s="2">
        <f t="shared" si="18"/>
        <v>1</v>
      </c>
      <c r="G403">
        <f t="shared" si="19"/>
        <v>3</v>
      </c>
      <c r="H403" s="3" t="s">
        <v>4356</v>
      </c>
      <c r="I403" s="6" t="str">
        <f t="shared" si="20"/>
        <v>01030402</v>
      </c>
    </row>
    <row r="404" spans="1:9" x14ac:dyDescent="0.3">
      <c r="A404">
        <v>403</v>
      </c>
      <c r="B404" s="6">
        <v>22468227</v>
      </c>
      <c r="C404" t="str">
        <f>VLOOKUP(B404,[1]BD_FINAL!$A:$H,2,FALSE)</f>
        <v xml:space="preserve">Edelmira María </v>
      </c>
      <c r="D404" t="str">
        <f>VLOOKUP(B404,[1]BD_FINAL!$A:$H,3,FALSE)</f>
        <v>Baranquilla</v>
      </c>
      <c r="E404" t="str">
        <f>VLOOKUP(B404,[1]BD_FINAL!$A:$H,8,FALSE)</f>
        <v>Control</v>
      </c>
      <c r="F404" s="2">
        <f t="shared" si="18"/>
        <v>0</v>
      </c>
      <c r="G404">
        <f t="shared" si="19"/>
        <v>3</v>
      </c>
      <c r="H404" s="3" t="s">
        <v>4357</v>
      </c>
      <c r="I404" s="6" t="str">
        <f t="shared" si="20"/>
        <v>00030403</v>
      </c>
    </row>
    <row r="405" spans="1:9" x14ac:dyDescent="0.3">
      <c r="A405">
        <v>404</v>
      </c>
      <c r="B405" s="6">
        <v>22474518</v>
      </c>
      <c r="C405" t="str">
        <f>VLOOKUP(B405,[1]BD_FINAL!$A:$H,2,FALSE)</f>
        <v>Solverena</v>
      </c>
      <c r="D405" t="str">
        <f>VLOOKUP(B405,[1]BD_FINAL!$A:$H,3,FALSE)</f>
        <v>Baranquilla</v>
      </c>
      <c r="E405" t="str">
        <f>VLOOKUP(B405,[1]BD_FINAL!$A:$H,8,FALSE)</f>
        <v>Control</v>
      </c>
      <c r="F405" s="2">
        <f t="shared" si="18"/>
        <v>0</v>
      </c>
      <c r="G405">
        <f t="shared" si="19"/>
        <v>3</v>
      </c>
      <c r="H405" s="3" t="s">
        <v>4358</v>
      </c>
      <c r="I405" s="6" t="str">
        <f t="shared" si="20"/>
        <v>00030404</v>
      </c>
    </row>
    <row r="406" spans="1:9" x14ac:dyDescent="0.3">
      <c r="A406">
        <v>405</v>
      </c>
      <c r="B406" s="6">
        <v>22478356</v>
      </c>
      <c r="C406" t="str">
        <f>VLOOKUP(B406,[1]BD_FINAL!$A:$H,2,FALSE)</f>
        <v xml:space="preserve">Yenis Isabel </v>
      </c>
      <c r="D406" t="str">
        <f>VLOOKUP(B406,[1]BD_FINAL!$A:$H,3,FALSE)</f>
        <v>Baranquilla</v>
      </c>
      <c r="E406" t="str">
        <f>VLOOKUP(B406,[1]BD_FINAL!$A:$H,8,FALSE)</f>
        <v>Control</v>
      </c>
      <c r="F406" s="2">
        <f t="shared" si="18"/>
        <v>0</v>
      </c>
      <c r="G406">
        <f t="shared" si="19"/>
        <v>3</v>
      </c>
      <c r="H406" s="3" t="s">
        <v>4359</v>
      </c>
      <c r="I406" s="6" t="str">
        <f t="shared" si="20"/>
        <v>00030405</v>
      </c>
    </row>
    <row r="407" spans="1:9" x14ac:dyDescent="0.3">
      <c r="A407">
        <v>406</v>
      </c>
      <c r="B407" s="6">
        <v>22502121</v>
      </c>
      <c r="C407" t="str">
        <f>VLOOKUP(B407,[1]BD_FINAL!$A:$H,2,FALSE)</f>
        <v>Ines del rocio</v>
      </c>
      <c r="D407" t="str">
        <f>VLOOKUP(B407,[1]BD_FINAL!$A:$H,3,FALSE)</f>
        <v>Baranquilla</v>
      </c>
      <c r="E407" t="str">
        <f>VLOOKUP(B407,[1]BD_FINAL!$A:$H,8,FALSE)</f>
        <v>Tratamiento</v>
      </c>
      <c r="F407" s="2">
        <f t="shared" si="18"/>
        <v>1</v>
      </c>
      <c r="G407">
        <f t="shared" si="19"/>
        <v>3</v>
      </c>
      <c r="H407" s="3" t="s">
        <v>4360</v>
      </c>
      <c r="I407" s="6" t="str">
        <f t="shared" si="20"/>
        <v>01030406</v>
      </c>
    </row>
    <row r="408" spans="1:9" x14ac:dyDescent="0.3">
      <c r="A408">
        <v>407</v>
      </c>
      <c r="B408" s="6">
        <v>22502647</v>
      </c>
      <c r="C408" t="str">
        <f>VLOOKUP(B408,[1]BD_FINAL!$A:$H,2,FALSE)</f>
        <v>Elizabeth maria</v>
      </c>
      <c r="D408" t="str">
        <f>VLOOKUP(B408,[1]BD_FINAL!$A:$H,3,FALSE)</f>
        <v>Baranquilla</v>
      </c>
      <c r="E408" t="str">
        <f>VLOOKUP(B408,[1]BD_FINAL!$A:$H,8,FALSE)</f>
        <v>Tratamiento</v>
      </c>
      <c r="F408" s="2">
        <f t="shared" si="18"/>
        <v>1</v>
      </c>
      <c r="G408">
        <f t="shared" si="19"/>
        <v>3</v>
      </c>
      <c r="H408" s="3" t="s">
        <v>4361</v>
      </c>
      <c r="I408" s="6" t="str">
        <f t="shared" si="20"/>
        <v>01030407</v>
      </c>
    </row>
    <row r="409" spans="1:9" x14ac:dyDescent="0.3">
      <c r="A409">
        <v>408</v>
      </c>
      <c r="B409" s="6">
        <v>22503243</v>
      </c>
      <c r="C409" t="str">
        <f>VLOOKUP(B409,[1]BD_FINAL!$A:$H,2,FALSE)</f>
        <v>Gloria</v>
      </c>
      <c r="D409" t="str">
        <f>VLOOKUP(B409,[1]BD_FINAL!$A:$H,3,FALSE)</f>
        <v>Baranquilla</v>
      </c>
      <c r="E409" t="str">
        <f>VLOOKUP(B409,[1]BD_FINAL!$A:$H,8,FALSE)</f>
        <v>Tratamiento</v>
      </c>
      <c r="F409" s="2">
        <f t="shared" si="18"/>
        <v>1</v>
      </c>
      <c r="G409">
        <f t="shared" si="19"/>
        <v>3</v>
      </c>
      <c r="H409" s="3" t="s">
        <v>4362</v>
      </c>
      <c r="I409" s="6" t="str">
        <f t="shared" si="20"/>
        <v>01030408</v>
      </c>
    </row>
    <row r="410" spans="1:9" x14ac:dyDescent="0.3">
      <c r="A410">
        <v>409</v>
      </c>
      <c r="B410" s="6">
        <v>22505364</v>
      </c>
      <c r="C410" t="str">
        <f>VLOOKUP(B410,[1]BD_FINAL!$A:$H,2,FALSE)</f>
        <v>Karen johana</v>
      </c>
      <c r="D410" t="str">
        <f>VLOOKUP(B410,[1]BD_FINAL!$A:$H,3,FALSE)</f>
        <v>Baranquilla</v>
      </c>
      <c r="E410" t="str">
        <f>VLOOKUP(B410,[1]BD_FINAL!$A:$H,8,FALSE)</f>
        <v>Tratamiento</v>
      </c>
      <c r="F410" s="2">
        <f t="shared" si="18"/>
        <v>1</v>
      </c>
      <c r="G410">
        <f t="shared" si="19"/>
        <v>3</v>
      </c>
      <c r="H410" s="3" t="s">
        <v>4363</v>
      </c>
      <c r="I410" s="6" t="str">
        <f t="shared" si="20"/>
        <v>01030409</v>
      </c>
    </row>
    <row r="411" spans="1:9" x14ac:dyDescent="0.3">
      <c r="A411">
        <v>410</v>
      </c>
      <c r="B411" s="6">
        <v>22506208</v>
      </c>
      <c r="C411" t="str">
        <f>VLOOKUP(B411,[1]BD_FINAL!$A:$H,2,FALSE)</f>
        <v xml:space="preserve">Ana María </v>
      </c>
      <c r="D411" t="str">
        <f>VLOOKUP(B411,[1]BD_FINAL!$A:$H,3,FALSE)</f>
        <v>Baranquilla</v>
      </c>
      <c r="E411" t="str">
        <f>VLOOKUP(B411,[1]BD_FINAL!$A:$H,8,FALSE)</f>
        <v>Control</v>
      </c>
      <c r="F411" s="2">
        <f t="shared" si="18"/>
        <v>0</v>
      </c>
      <c r="G411">
        <f t="shared" si="19"/>
        <v>3</v>
      </c>
      <c r="H411" s="3" t="s">
        <v>4364</v>
      </c>
      <c r="I411" s="6" t="str">
        <f t="shared" si="20"/>
        <v>00030410</v>
      </c>
    </row>
    <row r="412" spans="1:9" x14ac:dyDescent="0.3">
      <c r="A412">
        <v>411</v>
      </c>
      <c r="B412" s="6">
        <v>22506504</v>
      </c>
      <c r="C412" t="str">
        <f>VLOOKUP(B412,[1]BD_FINAL!$A:$H,2,FALSE)</f>
        <v xml:space="preserve">Ivon </v>
      </c>
      <c r="D412" t="str">
        <f>VLOOKUP(B412,[1]BD_FINAL!$A:$H,3,FALSE)</f>
        <v>Baranquilla</v>
      </c>
      <c r="E412" t="str">
        <f>VLOOKUP(B412,[1]BD_FINAL!$A:$H,8,FALSE)</f>
        <v>Control</v>
      </c>
      <c r="F412" s="2">
        <f t="shared" si="18"/>
        <v>0</v>
      </c>
      <c r="G412">
        <f t="shared" si="19"/>
        <v>3</v>
      </c>
      <c r="H412" s="3" t="s">
        <v>4365</v>
      </c>
      <c r="I412" s="6" t="str">
        <f t="shared" si="20"/>
        <v>00030411</v>
      </c>
    </row>
    <row r="413" spans="1:9" x14ac:dyDescent="0.3">
      <c r="A413">
        <v>412</v>
      </c>
      <c r="B413" s="6">
        <v>22518128</v>
      </c>
      <c r="C413" t="str">
        <f>VLOOKUP(B413,[1]BD_FINAL!$A:$H,2,FALSE)</f>
        <v xml:space="preserve">Milagros </v>
      </c>
      <c r="D413" t="str">
        <f>VLOOKUP(B413,[1]BD_FINAL!$A:$H,3,FALSE)</f>
        <v>Baranquilla</v>
      </c>
      <c r="E413" t="str">
        <f>VLOOKUP(B413,[1]BD_FINAL!$A:$H,8,FALSE)</f>
        <v>Tratamiento</v>
      </c>
      <c r="F413" s="2">
        <f t="shared" si="18"/>
        <v>1</v>
      </c>
      <c r="G413">
        <f t="shared" si="19"/>
        <v>3</v>
      </c>
      <c r="H413" s="3" t="s">
        <v>4366</v>
      </c>
      <c r="I413" s="6" t="str">
        <f t="shared" si="20"/>
        <v>01030412</v>
      </c>
    </row>
    <row r="414" spans="1:9" x14ac:dyDescent="0.3">
      <c r="A414">
        <v>413</v>
      </c>
      <c r="B414" s="6">
        <v>22527893</v>
      </c>
      <c r="C414" t="str">
        <f>VLOOKUP(B414,[1]BD_FINAL!$A:$H,2,FALSE)</f>
        <v xml:space="preserve">Omaira </v>
      </c>
      <c r="D414" t="str">
        <f>VLOOKUP(B414,[1]BD_FINAL!$A:$H,3,FALSE)</f>
        <v>Baranquilla</v>
      </c>
      <c r="E414" t="str">
        <f>VLOOKUP(B414,[1]BD_FINAL!$A:$H,8,FALSE)</f>
        <v>Control</v>
      </c>
      <c r="F414" s="2">
        <f t="shared" si="18"/>
        <v>0</v>
      </c>
      <c r="G414">
        <f t="shared" si="19"/>
        <v>3</v>
      </c>
      <c r="H414" s="3" t="s">
        <v>4367</v>
      </c>
      <c r="I414" s="6" t="str">
        <f t="shared" si="20"/>
        <v>00030413</v>
      </c>
    </row>
    <row r="415" spans="1:9" x14ac:dyDescent="0.3">
      <c r="A415">
        <v>414</v>
      </c>
      <c r="B415" s="6">
        <v>22532457</v>
      </c>
      <c r="C415" t="str">
        <f>VLOOKUP(B415,[1]BD_FINAL!$A:$H,2,FALSE)</f>
        <v xml:space="preserve">Miladis </v>
      </c>
      <c r="D415" t="str">
        <f>VLOOKUP(B415,[1]BD_FINAL!$A:$H,3,FALSE)</f>
        <v>Baranquilla</v>
      </c>
      <c r="E415" t="str">
        <f>VLOOKUP(B415,[1]BD_FINAL!$A:$H,8,FALSE)</f>
        <v>Tratamiento</v>
      </c>
      <c r="F415" s="2">
        <f t="shared" si="18"/>
        <v>1</v>
      </c>
      <c r="G415">
        <f t="shared" si="19"/>
        <v>3</v>
      </c>
      <c r="H415" s="3" t="s">
        <v>4368</v>
      </c>
      <c r="I415" s="6" t="str">
        <f t="shared" si="20"/>
        <v>01030414</v>
      </c>
    </row>
    <row r="416" spans="1:9" x14ac:dyDescent="0.3">
      <c r="A416">
        <v>415</v>
      </c>
      <c r="B416" s="6">
        <v>22532796</v>
      </c>
      <c r="C416" t="str">
        <f>VLOOKUP(B416,[1]BD_FINAL!$A:$H,2,FALSE)</f>
        <v xml:space="preserve">Sheila patricia </v>
      </c>
      <c r="D416" t="str">
        <f>VLOOKUP(B416,[1]BD_FINAL!$A:$H,3,FALSE)</f>
        <v>Baranquilla</v>
      </c>
      <c r="E416" t="str">
        <f>VLOOKUP(B416,[1]BD_FINAL!$A:$H,8,FALSE)</f>
        <v>Control</v>
      </c>
      <c r="F416" s="2">
        <f t="shared" si="18"/>
        <v>0</v>
      </c>
      <c r="G416">
        <f t="shared" si="19"/>
        <v>3</v>
      </c>
      <c r="H416" s="3" t="s">
        <v>4369</v>
      </c>
      <c r="I416" s="6" t="str">
        <f t="shared" si="20"/>
        <v>00030415</v>
      </c>
    </row>
    <row r="417" spans="1:9" x14ac:dyDescent="0.3">
      <c r="A417">
        <v>416</v>
      </c>
      <c r="B417" s="6">
        <v>22548648</v>
      </c>
      <c r="C417" t="str">
        <f>VLOOKUP(B417,[1]BD_FINAL!$A:$H,2,FALSE)</f>
        <v xml:space="preserve">Enis </v>
      </c>
      <c r="D417" t="str">
        <f>VLOOKUP(B417,[1]BD_FINAL!$A:$H,3,FALSE)</f>
        <v>Baranquilla</v>
      </c>
      <c r="E417" t="str">
        <f>VLOOKUP(B417,[1]BD_FINAL!$A:$H,8,FALSE)</f>
        <v>Tratamiento</v>
      </c>
      <c r="F417" s="2">
        <f t="shared" si="18"/>
        <v>1</v>
      </c>
      <c r="G417">
        <f t="shared" si="19"/>
        <v>3</v>
      </c>
      <c r="H417" s="3" t="s">
        <v>4370</v>
      </c>
      <c r="I417" s="6" t="str">
        <f t="shared" si="20"/>
        <v>01030416</v>
      </c>
    </row>
    <row r="418" spans="1:9" x14ac:dyDescent="0.3">
      <c r="A418">
        <v>417</v>
      </c>
      <c r="B418" s="6">
        <v>22563805</v>
      </c>
      <c r="C418" t="str">
        <f>VLOOKUP(B418,[1]BD_FINAL!$A:$H,2,FALSE)</f>
        <v xml:space="preserve">Olga </v>
      </c>
      <c r="D418" t="str">
        <f>VLOOKUP(B418,[1]BD_FINAL!$A:$H,3,FALSE)</f>
        <v>Baranquilla</v>
      </c>
      <c r="E418" t="str">
        <f>VLOOKUP(B418,[1]BD_FINAL!$A:$H,8,FALSE)</f>
        <v>Control</v>
      </c>
      <c r="F418" s="2">
        <f t="shared" si="18"/>
        <v>0</v>
      </c>
      <c r="G418">
        <f t="shared" si="19"/>
        <v>3</v>
      </c>
      <c r="H418" s="3" t="s">
        <v>4371</v>
      </c>
      <c r="I418" s="6" t="str">
        <f t="shared" si="20"/>
        <v>00030417</v>
      </c>
    </row>
    <row r="419" spans="1:9" x14ac:dyDescent="0.3">
      <c r="A419">
        <v>418</v>
      </c>
      <c r="B419" s="6">
        <v>22564910</v>
      </c>
      <c r="C419" t="str">
        <f>VLOOKUP(B419,[1]BD_FINAL!$A:$H,2,FALSE)</f>
        <v xml:space="preserve">Ines Esther </v>
      </c>
      <c r="D419" t="str">
        <f>VLOOKUP(B419,[1]BD_FINAL!$A:$H,3,FALSE)</f>
        <v>Baranquilla</v>
      </c>
      <c r="E419" t="str">
        <f>VLOOKUP(B419,[1]BD_FINAL!$A:$H,8,FALSE)</f>
        <v>Control</v>
      </c>
      <c r="F419" s="2">
        <f t="shared" si="18"/>
        <v>0</v>
      </c>
      <c r="G419">
        <f t="shared" si="19"/>
        <v>3</v>
      </c>
      <c r="H419" s="3" t="s">
        <v>4372</v>
      </c>
      <c r="I419" s="6" t="str">
        <f t="shared" si="20"/>
        <v>00030418</v>
      </c>
    </row>
    <row r="420" spans="1:9" x14ac:dyDescent="0.3">
      <c r="A420">
        <v>419</v>
      </c>
      <c r="B420" s="6">
        <v>22567435</v>
      </c>
      <c r="C420" t="str">
        <f>VLOOKUP(B420,[1]BD_FINAL!$A:$H,2,FALSE)</f>
        <v xml:space="preserve">Rosalba </v>
      </c>
      <c r="D420" t="str">
        <f>VLOOKUP(B420,[1]BD_FINAL!$A:$H,3,FALSE)</f>
        <v>Baranquilla</v>
      </c>
      <c r="E420" t="str">
        <f>VLOOKUP(B420,[1]BD_FINAL!$A:$H,8,FALSE)</f>
        <v>Tratamiento</v>
      </c>
      <c r="F420" s="2">
        <f t="shared" si="18"/>
        <v>1</v>
      </c>
      <c r="G420">
        <f t="shared" si="19"/>
        <v>3</v>
      </c>
      <c r="H420" s="3" t="s">
        <v>4373</v>
      </c>
      <c r="I420" s="6" t="str">
        <f t="shared" si="20"/>
        <v>01030419</v>
      </c>
    </row>
    <row r="421" spans="1:9" x14ac:dyDescent="0.3">
      <c r="A421">
        <v>420</v>
      </c>
      <c r="B421" s="6">
        <v>22590461</v>
      </c>
      <c r="C421" t="str">
        <f>VLOOKUP(B421,[1]BD_FINAL!$A:$H,2,FALSE)</f>
        <v>Diana</v>
      </c>
      <c r="D421" t="str">
        <f>VLOOKUP(B421,[1]BD_FINAL!$A:$H,3,FALSE)</f>
        <v>Baranquilla</v>
      </c>
      <c r="E421" t="str">
        <f>VLOOKUP(B421,[1]BD_FINAL!$A:$H,8,FALSE)</f>
        <v>Tratamiento</v>
      </c>
      <c r="F421" s="2">
        <f t="shared" si="18"/>
        <v>1</v>
      </c>
      <c r="G421">
        <f t="shared" si="19"/>
        <v>3</v>
      </c>
      <c r="H421" s="3" t="s">
        <v>4374</v>
      </c>
      <c r="I421" s="6" t="str">
        <f t="shared" si="20"/>
        <v>01030420</v>
      </c>
    </row>
    <row r="422" spans="1:9" x14ac:dyDescent="0.3">
      <c r="A422">
        <v>421</v>
      </c>
      <c r="B422" s="6">
        <v>22599446</v>
      </c>
      <c r="C422" t="str">
        <f>VLOOKUP(B422,[1]BD_FINAL!$A:$H,2,FALSE)</f>
        <v>Viviana</v>
      </c>
      <c r="D422" t="str">
        <f>VLOOKUP(B422,[1]BD_FINAL!$A:$H,3,FALSE)</f>
        <v>Baranquilla</v>
      </c>
      <c r="E422" t="str">
        <f>VLOOKUP(B422,[1]BD_FINAL!$A:$H,8,FALSE)</f>
        <v>Control</v>
      </c>
      <c r="F422" s="2">
        <f t="shared" si="18"/>
        <v>0</v>
      </c>
      <c r="G422">
        <f t="shared" si="19"/>
        <v>3</v>
      </c>
      <c r="H422" s="3" t="s">
        <v>4375</v>
      </c>
      <c r="I422" s="6" t="str">
        <f t="shared" si="20"/>
        <v>00030421</v>
      </c>
    </row>
    <row r="423" spans="1:9" x14ac:dyDescent="0.3">
      <c r="A423">
        <v>422</v>
      </c>
      <c r="B423" s="6">
        <v>22645705</v>
      </c>
      <c r="C423" t="str">
        <f>VLOOKUP(B423,[1]BD_FINAL!$A:$H,2,FALSE)</f>
        <v>Doralys</v>
      </c>
      <c r="D423" t="str">
        <f>VLOOKUP(B423,[1]BD_FINAL!$A:$H,3,FALSE)</f>
        <v>Baranquilla</v>
      </c>
      <c r="E423" t="str">
        <f>VLOOKUP(B423,[1]BD_FINAL!$A:$H,8,FALSE)</f>
        <v>Control</v>
      </c>
      <c r="F423" s="2">
        <f t="shared" si="18"/>
        <v>0</v>
      </c>
      <c r="G423">
        <f t="shared" si="19"/>
        <v>3</v>
      </c>
      <c r="H423" s="3" t="s">
        <v>4376</v>
      </c>
      <c r="I423" s="6" t="str">
        <f t="shared" si="20"/>
        <v>00030422</v>
      </c>
    </row>
    <row r="424" spans="1:9" x14ac:dyDescent="0.3">
      <c r="A424">
        <v>423</v>
      </c>
      <c r="B424" s="6">
        <v>22645794</v>
      </c>
      <c r="C424" t="str">
        <f>VLOOKUP(B424,[1]BD_FINAL!$A:$H,2,FALSE)</f>
        <v>Lizbeth</v>
      </c>
      <c r="D424" t="str">
        <f>VLOOKUP(B424,[1]BD_FINAL!$A:$H,3,FALSE)</f>
        <v>Baranquilla</v>
      </c>
      <c r="E424" t="str">
        <f>VLOOKUP(B424,[1]BD_FINAL!$A:$H,8,FALSE)</f>
        <v>Tratamiento</v>
      </c>
      <c r="F424" s="2">
        <f t="shared" si="18"/>
        <v>1</v>
      </c>
      <c r="G424">
        <f t="shared" si="19"/>
        <v>3</v>
      </c>
      <c r="H424" s="3" t="s">
        <v>4377</v>
      </c>
      <c r="I424" s="6" t="str">
        <f t="shared" si="20"/>
        <v>01030423</v>
      </c>
    </row>
    <row r="425" spans="1:9" x14ac:dyDescent="0.3">
      <c r="A425">
        <v>424</v>
      </c>
      <c r="B425" s="6">
        <v>22646716</v>
      </c>
      <c r="C425" t="str">
        <f>VLOOKUP(B425,[1]BD_FINAL!$A:$H,2,FALSE)</f>
        <v xml:space="preserve">Heidy yomaira </v>
      </c>
      <c r="D425" t="str">
        <f>VLOOKUP(B425,[1]BD_FINAL!$A:$H,3,FALSE)</f>
        <v>Baranquilla</v>
      </c>
      <c r="E425" t="str">
        <f>VLOOKUP(B425,[1]BD_FINAL!$A:$H,8,FALSE)</f>
        <v>Tratamiento</v>
      </c>
      <c r="F425" s="2">
        <f t="shared" si="18"/>
        <v>1</v>
      </c>
      <c r="G425">
        <f t="shared" si="19"/>
        <v>3</v>
      </c>
      <c r="H425" s="3" t="s">
        <v>4378</v>
      </c>
      <c r="I425" s="6" t="str">
        <f t="shared" si="20"/>
        <v>01030424</v>
      </c>
    </row>
    <row r="426" spans="1:9" x14ac:dyDescent="0.3">
      <c r="A426">
        <v>425</v>
      </c>
      <c r="B426" s="6">
        <v>22648878</v>
      </c>
      <c r="C426" t="str">
        <f>VLOOKUP(B426,[1]BD_FINAL!$A:$H,2,FALSE)</f>
        <v xml:space="preserve">Rosiris concepción </v>
      </c>
      <c r="D426" t="str">
        <f>VLOOKUP(B426,[1]BD_FINAL!$A:$H,3,FALSE)</f>
        <v>Baranquilla</v>
      </c>
      <c r="E426" t="str">
        <f>VLOOKUP(B426,[1]BD_FINAL!$A:$H,8,FALSE)</f>
        <v>Tratamiento</v>
      </c>
      <c r="F426" s="2">
        <f t="shared" si="18"/>
        <v>1</v>
      </c>
      <c r="G426">
        <f t="shared" si="19"/>
        <v>3</v>
      </c>
      <c r="H426" s="3" t="s">
        <v>4379</v>
      </c>
      <c r="I426" s="6" t="str">
        <f t="shared" si="20"/>
        <v>01030425</v>
      </c>
    </row>
    <row r="427" spans="1:9" x14ac:dyDescent="0.3">
      <c r="A427">
        <v>426</v>
      </c>
      <c r="B427" s="6">
        <v>22650279</v>
      </c>
      <c r="C427" t="str">
        <f>VLOOKUP(B427,[1]BD_FINAL!$A:$H,2,FALSE)</f>
        <v xml:space="preserve">Manuela </v>
      </c>
      <c r="D427" t="str">
        <f>VLOOKUP(B427,[1]BD_FINAL!$A:$H,3,FALSE)</f>
        <v>Baranquilla</v>
      </c>
      <c r="E427" t="str">
        <f>VLOOKUP(B427,[1]BD_FINAL!$A:$H,8,FALSE)</f>
        <v>Control</v>
      </c>
      <c r="F427" s="2">
        <f t="shared" si="18"/>
        <v>0</v>
      </c>
      <c r="G427">
        <f t="shared" si="19"/>
        <v>3</v>
      </c>
      <c r="H427" s="3" t="s">
        <v>4380</v>
      </c>
      <c r="I427" s="6" t="str">
        <f t="shared" si="20"/>
        <v>00030426</v>
      </c>
    </row>
    <row r="428" spans="1:9" x14ac:dyDescent="0.3">
      <c r="A428">
        <v>427</v>
      </c>
      <c r="B428" s="6">
        <v>22655403</v>
      </c>
      <c r="C428" t="str">
        <f>VLOOKUP(B428,[1]BD_FINAL!$A:$H,2,FALSE)</f>
        <v>Yolima isabel</v>
      </c>
      <c r="D428" t="str">
        <f>VLOOKUP(B428,[1]BD_FINAL!$A:$H,3,FALSE)</f>
        <v>Baranquilla</v>
      </c>
      <c r="E428" t="str">
        <f>VLOOKUP(B428,[1]BD_FINAL!$A:$H,8,FALSE)</f>
        <v>Tratamiento</v>
      </c>
      <c r="F428" s="2">
        <f t="shared" si="18"/>
        <v>1</v>
      </c>
      <c r="G428">
        <f t="shared" si="19"/>
        <v>3</v>
      </c>
      <c r="H428" s="3" t="s">
        <v>4381</v>
      </c>
      <c r="I428" s="6" t="str">
        <f t="shared" si="20"/>
        <v>01030427</v>
      </c>
    </row>
    <row r="429" spans="1:9" x14ac:dyDescent="0.3">
      <c r="A429">
        <v>428</v>
      </c>
      <c r="B429" s="6">
        <v>22703396</v>
      </c>
      <c r="C429" t="str">
        <f>VLOOKUP(B429,[1]BD_FINAL!$A:$H,2,FALSE)</f>
        <v xml:space="preserve">Amalia </v>
      </c>
      <c r="D429" t="str">
        <f>VLOOKUP(B429,[1]BD_FINAL!$A:$H,3,FALSE)</f>
        <v>Baranquilla</v>
      </c>
      <c r="E429" t="str">
        <f>VLOOKUP(B429,[1]BD_FINAL!$A:$H,8,FALSE)</f>
        <v>Tratamiento</v>
      </c>
      <c r="F429" s="2">
        <f t="shared" si="18"/>
        <v>1</v>
      </c>
      <c r="G429">
        <f t="shared" si="19"/>
        <v>3</v>
      </c>
      <c r="H429" s="3" t="s">
        <v>4382</v>
      </c>
      <c r="I429" s="6" t="str">
        <f t="shared" si="20"/>
        <v>01030428</v>
      </c>
    </row>
    <row r="430" spans="1:9" x14ac:dyDescent="0.3">
      <c r="A430">
        <v>429</v>
      </c>
      <c r="B430" s="6">
        <v>22712132</v>
      </c>
      <c r="C430" t="str">
        <f>VLOOKUP(B430,[1]BD_FINAL!$A:$H,2,FALSE)</f>
        <v xml:space="preserve">Silvia Rosa </v>
      </c>
      <c r="D430" t="str">
        <f>VLOOKUP(B430,[1]BD_FINAL!$A:$H,3,FALSE)</f>
        <v>Baranquilla</v>
      </c>
      <c r="E430" t="str">
        <f>VLOOKUP(B430,[1]BD_FINAL!$A:$H,8,FALSE)</f>
        <v>Control</v>
      </c>
      <c r="F430" s="2">
        <f t="shared" si="18"/>
        <v>0</v>
      </c>
      <c r="G430">
        <f t="shared" si="19"/>
        <v>3</v>
      </c>
      <c r="H430" s="3" t="s">
        <v>4383</v>
      </c>
      <c r="I430" s="6" t="str">
        <f t="shared" si="20"/>
        <v>00030429</v>
      </c>
    </row>
    <row r="431" spans="1:9" x14ac:dyDescent="0.3">
      <c r="A431">
        <v>430</v>
      </c>
      <c r="B431" s="6">
        <v>2272778</v>
      </c>
      <c r="C431" t="str">
        <f>VLOOKUP(B431,[1]BD_FINAL!$A:$H,2,FALSE)</f>
        <v>Augusto</v>
      </c>
      <c r="D431" t="str">
        <f>VLOOKUP(B431,[1]BD_FINAL!$A:$H,3,FALSE)</f>
        <v>Cali</v>
      </c>
      <c r="E431" t="str">
        <f>VLOOKUP(B431,[1]BD_FINAL!$A:$H,8,FALSE)</f>
        <v>Control</v>
      </c>
      <c r="F431" s="2">
        <f t="shared" si="18"/>
        <v>0</v>
      </c>
      <c r="G431">
        <f t="shared" si="19"/>
        <v>2</v>
      </c>
      <c r="H431" s="3" t="s">
        <v>4384</v>
      </c>
      <c r="I431" s="6" t="str">
        <f t="shared" si="20"/>
        <v>00020430</v>
      </c>
    </row>
    <row r="432" spans="1:9" x14ac:dyDescent="0.3">
      <c r="A432">
        <v>431</v>
      </c>
      <c r="B432" s="6">
        <v>22732410</v>
      </c>
      <c r="C432" t="str">
        <f>VLOOKUP(B432,[1]BD_FINAL!$A:$H,2,FALSE)</f>
        <v>Monica liliana</v>
      </c>
      <c r="D432" t="str">
        <f>VLOOKUP(B432,[1]BD_FINAL!$A:$H,3,FALSE)</f>
        <v>Baranquilla</v>
      </c>
      <c r="E432" t="str">
        <f>VLOOKUP(B432,[1]BD_FINAL!$A:$H,8,FALSE)</f>
        <v>Tratamiento</v>
      </c>
      <c r="F432" s="2">
        <f t="shared" si="18"/>
        <v>1</v>
      </c>
      <c r="G432">
        <f t="shared" si="19"/>
        <v>3</v>
      </c>
      <c r="H432" s="3" t="s">
        <v>4385</v>
      </c>
      <c r="I432" s="6" t="str">
        <f t="shared" si="20"/>
        <v>01030431</v>
      </c>
    </row>
    <row r="433" spans="1:9" x14ac:dyDescent="0.3">
      <c r="A433">
        <v>432</v>
      </c>
      <c r="B433" s="6">
        <v>22733884</v>
      </c>
      <c r="C433" t="str">
        <f>VLOOKUP(B433,[1]BD_FINAL!$A:$H,2,FALSE)</f>
        <v>Ruby yaneth</v>
      </c>
      <c r="D433" t="str">
        <f>VLOOKUP(B433,[1]BD_FINAL!$A:$H,3,FALSE)</f>
        <v>Baranquilla</v>
      </c>
      <c r="E433" t="str">
        <f>VLOOKUP(B433,[1]BD_FINAL!$A:$H,8,FALSE)</f>
        <v>Control</v>
      </c>
      <c r="F433" s="2">
        <f t="shared" si="18"/>
        <v>0</v>
      </c>
      <c r="G433">
        <f t="shared" si="19"/>
        <v>3</v>
      </c>
      <c r="H433" s="3" t="s">
        <v>4386</v>
      </c>
      <c r="I433" s="6" t="str">
        <f t="shared" si="20"/>
        <v>00030432</v>
      </c>
    </row>
    <row r="434" spans="1:9" x14ac:dyDescent="0.3">
      <c r="A434">
        <v>433</v>
      </c>
      <c r="B434" s="6">
        <v>22736024</v>
      </c>
      <c r="C434" t="str">
        <f>VLOOKUP(B434,[1]BD_FINAL!$A:$H,2,FALSE)</f>
        <v xml:space="preserve">Karolay </v>
      </c>
      <c r="D434" t="str">
        <f>VLOOKUP(B434,[1]BD_FINAL!$A:$H,3,FALSE)</f>
        <v>Baranquilla</v>
      </c>
      <c r="E434" t="str">
        <f>VLOOKUP(B434,[1]BD_FINAL!$A:$H,8,FALSE)</f>
        <v>Tratamiento</v>
      </c>
      <c r="F434" s="2">
        <f t="shared" si="18"/>
        <v>1</v>
      </c>
      <c r="G434">
        <f t="shared" si="19"/>
        <v>3</v>
      </c>
      <c r="H434" s="3" t="s">
        <v>4387</v>
      </c>
      <c r="I434" s="6" t="str">
        <f t="shared" si="20"/>
        <v>01030433</v>
      </c>
    </row>
    <row r="435" spans="1:9" x14ac:dyDescent="0.3">
      <c r="A435">
        <v>434</v>
      </c>
      <c r="B435" s="6">
        <v>22738294</v>
      </c>
      <c r="C435" t="str">
        <f>VLOOKUP(B435,[1]BD_FINAL!$A:$H,2,FALSE)</f>
        <v xml:space="preserve">Yudi Esther </v>
      </c>
      <c r="D435" t="str">
        <f>VLOOKUP(B435,[1]BD_FINAL!$A:$H,3,FALSE)</f>
        <v>Baranquilla</v>
      </c>
      <c r="E435" t="str">
        <f>VLOOKUP(B435,[1]BD_FINAL!$A:$H,8,FALSE)</f>
        <v>Control</v>
      </c>
      <c r="F435" s="2">
        <f t="shared" si="18"/>
        <v>0</v>
      </c>
      <c r="G435">
        <f t="shared" si="19"/>
        <v>3</v>
      </c>
      <c r="H435" s="3" t="s">
        <v>4388</v>
      </c>
      <c r="I435" s="6" t="str">
        <f t="shared" si="20"/>
        <v>00030434</v>
      </c>
    </row>
    <row r="436" spans="1:9" x14ac:dyDescent="0.3">
      <c r="A436">
        <v>435</v>
      </c>
      <c r="B436" s="6">
        <v>22739665</v>
      </c>
      <c r="C436" t="str">
        <f>VLOOKUP(B436,[1]BD_FINAL!$A:$H,2,FALSE)</f>
        <v>Sugeidy</v>
      </c>
      <c r="D436" t="str">
        <f>VLOOKUP(B436,[1]BD_FINAL!$A:$H,3,FALSE)</f>
        <v>Baranquilla</v>
      </c>
      <c r="E436" t="str">
        <f>VLOOKUP(B436,[1]BD_FINAL!$A:$H,8,FALSE)</f>
        <v>Control</v>
      </c>
      <c r="F436" s="2">
        <f t="shared" si="18"/>
        <v>0</v>
      </c>
      <c r="G436">
        <f t="shared" si="19"/>
        <v>3</v>
      </c>
      <c r="H436" s="3" t="s">
        <v>4389</v>
      </c>
      <c r="I436" s="6" t="str">
        <f t="shared" si="20"/>
        <v>00030435</v>
      </c>
    </row>
    <row r="437" spans="1:9" x14ac:dyDescent="0.3">
      <c r="A437">
        <v>436</v>
      </c>
      <c r="B437" s="6">
        <v>22744065</v>
      </c>
      <c r="C437" t="str">
        <f>VLOOKUP(B437,[1]BD_FINAL!$A:$H,2,FALSE)</f>
        <v>Rosmeris</v>
      </c>
      <c r="D437" t="str">
        <f>VLOOKUP(B437,[1]BD_FINAL!$A:$H,3,FALSE)</f>
        <v>Baranquilla</v>
      </c>
      <c r="E437" t="str">
        <f>VLOOKUP(B437,[1]BD_FINAL!$A:$H,8,FALSE)</f>
        <v>Control</v>
      </c>
      <c r="F437" s="2">
        <f t="shared" si="18"/>
        <v>0</v>
      </c>
      <c r="G437">
        <f t="shared" si="19"/>
        <v>3</v>
      </c>
      <c r="H437" s="3" t="s">
        <v>4390</v>
      </c>
      <c r="I437" s="6" t="str">
        <f t="shared" si="20"/>
        <v>00030436</v>
      </c>
    </row>
    <row r="438" spans="1:9" x14ac:dyDescent="0.3">
      <c r="A438">
        <v>437</v>
      </c>
      <c r="B438" s="6">
        <v>22744721</v>
      </c>
      <c r="C438" t="str">
        <f>VLOOKUP(B438,[1]BD_FINAL!$A:$H,2,FALSE)</f>
        <v>Maria</v>
      </c>
      <c r="D438" t="str">
        <f>VLOOKUP(B438,[1]BD_FINAL!$A:$H,3,FALSE)</f>
        <v>Baranquilla</v>
      </c>
      <c r="E438" t="str">
        <f>VLOOKUP(B438,[1]BD_FINAL!$A:$H,8,FALSE)</f>
        <v>Tratamiento</v>
      </c>
      <c r="F438" s="2">
        <f t="shared" si="18"/>
        <v>1</v>
      </c>
      <c r="G438">
        <f t="shared" si="19"/>
        <v>3</v>
      </c>
      <c r="H438" s="3" t="s">
        <v>4391</v>
      </c>
      <c r="I438" s="6" t="str">
        <f t="shared" si="20"/>
        <v>01030437</v>
      </c>
    </row>
    <row r="439" spans="1:9" x14ac:dyDescent="0.3">
      <c r="A439">
        <v>438</v>
      </c>
      <c r="B439" s="6">
        <v>22845935</v>
      </c>
      <c r="C439" t="str">
        <f>VLOOKUP(B439,[1]BD_FINAL!$A:$H,2,FALSE)</f>
        <v>Ana</v>
      </c>
      <c r="D439" t="str">
        <f>VLOOKUP(B439,[1]BD_FINAL!$A:$H,3,FALSE)</f>
        <v>Baranquilla</v>
      </c>
      <c r="E439" t="str">
        <f>VLOOKUP(B439,[1]BD_FINAL!$A:$H,8,FALSE)</f>
        <v>Tratamiento</v>
      </c>
      <c r="F439" s="2">
        <f t="shared" si="18"/>
        <v>1</v>
      </c>
      <c r="G439">
        <f t="shared" si="19"/>
        <v>3</v>
      </c>
      <c r="H439" s="3" t="s">
        <v>4392</v>
      </c>
      <c r="I439" s="6" t="str">
        <f t="shared" si="20"/>
        <v>01030438</v>
      </c>
    </row>
    <row r="440" spans="1:9" x14ac:dyDescent="0.3">
      <c r="A440">
        <v>439</v>
      </c>
      <c r="B440" s="6">
        <v>22858815</v>
      </c>
      <c r="C440" t="str">
        <f>VLOOKUP(B440,[1]BD_FINAL!$A:$H,2,FALSE)</f>
        <v>Martha cecilia</v>
      </c>
      <c r="D440" t="str">
        <f>VLOOKUP(B440,[1]BD_FINAL!$A:$H,3,FALSE)</f>
        <v>Baranquilla</v>
      </c>
      <c r="E440" t="str">
        <f>VLOOKUP(B440,[1]BD_FINAL!$A:$H,8,FALSE)</f>
        <v>Control</v>
      </c>
      <c r="F440" s="2">
        <f t="shared" si="18"/>
        <v>0</v>
      </c>
      <c r="G440">
        <f t="shared" si="19"/>
        <v>3</v>
      </c>
      <c r="H440" s="3" t="s">
        <v>4393</v>
      </c>
      <c r="I440" s="6" t="str">
        <f t="shared" si="20"/>
        <v>00030439</v>
      </c>
    </row>
    <row r="441" spans="1:9" x14ac:dyDescent="0.3">
      <c r="A441">
        <v>440</v>
      </c>
      <c r="B441" s="6">
        <v>22954309</v>
      </c>
      <c r="C441" t="str">
        <f>VLOOKUP(B441,[1]BD_FINAL!$A:$H,2,FALSE)</f>
        <v xml:space="preserve">Manuela </v>
      </c>
      <c r="D441" t="str">
        <f>VLOOKUP(B441,[1]BD_FINAL!$A:$H,3,FALSE)</f>
        <v>Baranquilla</v>
      </c>
      <c r="E441" t="str">
        <f>VLOOKUP(B441,[1]BD_FINAL!$A:$H,8,FALSE)</f>
        <v>Tratamiento</v>
      </c>
      <c r="F441" s="2">
        <f t="shared" si="18"/>
        <v>1</v>
      </c>
      <c r="G441">
        <f t="shared" si="19"/>
        <v>3</v>
      </c>
      <c r="H441" s="3" t="s">
        <v>4394</v>
      </c>
      <c r="I441" s="6" t="str">
        <f t="shared" si="20"/>
        <v>01030440</v>
      </c>
    </row>
    <row r="442" spans="1:9" x14ac:dyDescent="0.3">
      <c r="A442">
        <v>441</v>
      </c>
      <c r="B442" s="6">
        <v>23070779</v>
      </c>
      <c r="C442" t="str">
        <f>VLOOKUP(B442,[1]BD_FINAL!$A:$H,2,FALSE)</f>
        <v xml:space="preserve">GILBA TERESA </v>
      </c>
      <c r="D442" t="str">
        <f>VLOOKUP(B442,[1]BD_FINAL!$A:$H,3,FALSE)</f>
        <v>Baranquilla</v>
      </c>
      <c r="E442" t="str">
        <f>VLOOKUP(B442,[1]BD_FINAL!$A:$H,8,FALSE)</f>
        <v>Tratamiento</v>
      </c>
      <c r="F442" s="2">
        <f t="shared" si="18"/>
        <v>1</v>
      </c>
      <c r="G442">
        <f t="shared" si="19"/>
        <v>3</v>
      </c>
      <c r="H442" s="3" t="s">
        <v>4395</v>
      </c>
      <c r="I442" s="6" t="str">
        <f t="shared" si="20"/>
        <v>01030441</v>
      </c>
    </row>
    <row r="443" spans="1:9" x14ac:dyDescent="0.3">
      <c r="A443">
        <v>442</v>
      </c>
      <c r="B443" s="6">
        <v>23142186</v>
      </c>
      <c r="C443" t="str">
        <f>VLOOKUP(B443,[1]BD_FINAL!$A:$H,2,FALSE)</f>
        <v>Gladys</v>
      </c>
      <c r="D443" t="str">
        <f>VLOOKUP(B443,[1]BD_FINAL!$A:$H,3,FALSE)</f>
        <v>Baranquilla</v>
      </c>
      <c r="E443" t="str">
        <f>VLOOKUP(B443,[1]BD_FINAL!$A:$H,8,FALSE)</f>
        <v>Control</v>
      </c>
      <c r="F443" s="2">
        <f t="shared" si="18"/>
        <v>0</v>
      </c>
      <c r="G443">
        <f t="shared" si="19"/>
        <v>3</v>
      </c>
      <c r="H443" s="3" t="s">
        <v>4396</v>
      </c>
      <c r="I443" s="6" t="str">
        <f t="shared" si="20"/>
        <v>00030442</v>
      </c>
    </row>
    <row r="444" spans="1:9" x14ac:dyDescent="0.3">
      <c r="A444">
        <v>443</v>
      </c>
      <c r="B444" s="6">
        <v>23242735</v>
      </c>
      <c r="C444" t="str">
        <f>VLOOKUP(B444,[1]BD_FINAL!$A:$H,2,FALSE)</f>
        <v>EMELINA ROSA</v>
      </c>
      <c r="D444" t="str">
        <f>VLOOKUP(B444,[1]BD_FINAL!$A:$H,3,FALSE)</f>
        <v>Baranquilla</v>
      </c>
      <c r="E444" t="str">
        <f>VLOOKUP(B444,[1]BD_FINAL!$A:$H,8,FALSE)</f>
        <v>Tratamiento</v>
      </c>
      <c r="F444" s="2">
        <f t="shared" si="18"/>
        <v>1</v>
      </c>
      <c r="G444">
        <f t="shared" si="19"/>
        <v>3</v>
      </c>
      <c r="H444" s="3" t="s">
        <v>4397</v>
      </c>
      <c r="I444" s="6" t="str">
        <f t="shared" si="20"/>
        <v>01030443</v>
      </c>
    </row>
    <row r="445" spans="1:9" x14ac:dyDescent="0.3">
      <c r="A445">
        <v>444</v>
      </c>
      <c r="B445" s="6">
        <v>24117503</v>
      </c>
      <c r="C445" t="str">
        <f>VLOOKUP(B445,[1]BD_FINAL!$A:$H,2,FALSE)</f>
        <v xml:space="preserve">JOSE FELIX </v>
      </c>
      <c r="D445" t="str">
        <f>VLOOKUP(B445,[1]BD_FINAL!$A:$H,3,FALSE)</f>
        <v>Cali</v>
      </c>
      <c r="E445" t="str">
        <f>VLOOKUP(B445,[1]BD_FINAL!$A:$H,8,FALSE)</f>
        <v>Control</v>
      </c>
      <c r="F445" s="2">
        <f t="shared" si="18"/>
        <v>0</v>
      </c>
      <c r="G445">
        <f t="shared" si="19"/>
        <v>2</v>
      </c>
      <c r="H445" s="3" t="s">
        <v>4398</v>
      </c>
      <c r="I445" s="6" t="str">
        <f t="shared" si="20"/>
        <v>00020444</v>
      </c>
    </row>
    <row r="446" spans="1:9" x14ac:dyDescent="0.3">
      <c r="A446">
        <v>445</v>
      </c>
      <c r="B446" s="6">
        <v>24529522</v>
      </c>
      <c r="C446" t="str">
        <f>VLOOKUP(B446,[1]BD_FINAL!$A:$H,2,FALSE)</f>
        <v>María Elena</v>
      </c>
      <c r="D446" t="str">
        <f>VLOOKUP(B446,[1]BD_FINAL!$A:$H,3,FALSE)</f>
        <v>Cali</v>
      </c>
      <c r="E446" t="str">
        <f>VLOOKUP(B446,[1]BD_FINAL!$A:$H,8,FALSE)</f>
        <v>Tratamiento</v>
      </c>
      <c r="F446" s="2">
        <f t="shared" si="18"/>
        <v>1</v>
      </c>
      <c r="G446">
        <f t="shared" si="19"/>
        <v>2</v>
      </c>
      <c r="H446" s="3" t="s">
        <v>4399</v>
      </c>
      <c r="I446" s="6" t="str">
        <f t="shared" si="20"/>
        <v>01020445</v>
      </c>
    </row>
    <row r="447" spans="1:9" x14ac:dyDescent="0.3">
      <c r="A447">
        <v>446</v>
      </c>
      <c r="B447" s="6">
        <v>24552101</v>
      </c>
      <c r="C447" t="str">
        <f>VLOOKUP(B447,[1]BD_FINAL!$A:$H,2,FALSE)</f>
        <v>Liliana del Socorro</v>
      </c>
      <c r="D447" t="str">
        <f>VLOOKUP(B447,[1]BD_FINAL!$A:$H,3,FALSE)</f>
        <v>Medellin</v>
      </c>
      <c r="E447" t="str">
        <f>VLOOKUP(B447,[1]BD_FINAL!$A:$H,8,FALSE)</f>
        <v>Tratamiento</v>
      </c>
      <c r="F447" s="2">
        <f t="shared" si="18"/>
        <v>1</v>
      </c>
      <c r="G447">
        <f t="shared" si="19"/>
        <v>1</v>
      </c>
      <c r="H447" s="3" t="s">
        <v>4400</v>
      </c>
      <c r="I447" s="6" t="str">
        <f t="shared" si="20"/>
        <v>01010446</v>
      </c>
    </row>
    <row r="448" spans="1:9" x14ac:dyDescent="0.3">
      <c r="A448">
        <v>447</v>
      </c>
      <c r="B448" s="6">
        <v>2484445</v>
      </c>
      <c r="C448" t="str">
        <f>VLOOKUP(B448,[1]BD_FINAL!$A:$H,2,FALSE)</f>
        <v xml:space="preserve">LUIS CARLOS </v>
      </c>
      <c r="D448" t="str">
        <f>VLOOKUP(B448,[1]BD_FINAL!$A:$H,3,FALSE)</f>
        <v>Cali</v>
      </c>
      <c r="E448" t="str">
        <f>VLOOKUP(B448,[1]BD_FINAL!$A:$H,8,FALSE)</f>
        <v>Control</v>
      </c>
      <c r="F448" s="2">
        <f t="shared" si="18"/>
        <v>0</v>
      </c>
      <c r="G448">
        <f t="shared" si="19"/>
        <v>2</v>
      </c>
      <c r="H448" s="3" t="s">
        <v>4401</v>
      </c>
      <c r="I448" s="6" t="str">
        <f t="shared" si="20"/>
        <v>00020447</v>
      </c>
    </row>
    <row r="449" spans="1:9" x14ac:dyDescent="0.3">
      <c r="A449">
        <v>448</v>
      </c>
      <c r="B449" s="6">
        <v>24923028</v>
      </c>
      <c r="C449" t="str">
        <f>VLOOKUP(B449,[1]BD_FINAL!$A:$H,2,FALSE)</f>
        <v xml:space="preserve">María del socorro </v>
      </c>
      <c r="D449" t="str">
        <f>VLOOKUP(B449,[1]BD_FINAL!$A:$H,3,FALSE)</f>
        <v>Cali</v>
      </c>
      <c r="E449" t="str">
        <f>VLOOKUP(B449,[1]BD_FINAL!$A:$H,8,FALSE)</f>
        <v>Control</v>
      </c>
      <c r="F449" s="2">
        <f t="shared" si="18"/>
        <v>0</v>
      </c>
      <c r="G449">
        <f t="shared" si="19"/>
        <v>2</v>
      </c>
      <c r="H449" s="3" t="s">
        <v>4402</v>
      </c>
      <c r="I449" s="6" t="str">
        <f t="shared" si="20"/>
        <v>00020448</v>
      </c>
    </row>
    <row r="450" spans="1:9" x14ac:dyDescent="0.3">
      <c r="A450">
        <v>449</v>
      </c>
      <c r="B450" s="6">
        <v>24999258</v>
      </c>
      <c r="C450" t="str">
        <f>VLOOKUP(B450,[1]BD_FINAL!$A:$H,2,FALSE)</f>
        <v>Argemiro Muñoz roldan</v>
      </c>
      <c r="D450" t="str">
        <f>VLOOKUP(B450,[1]BD_FINAL!$A:$H,3,FALSE)</f>
        <v>Medellin</v>
      </c>
      <c r="E450" t="str">
        <f>VLOOKUP(B450,[1]BD_FINAL!$A:$H,8,FALSE)</f>
        <v>Tratamiento</v>
      </c>
      <c r="F450" s="2">
        <f t="shared" si="18"/>
        <v>1</v>
      </c>
      <c r="G450">
        <f t="shared" si="19"/>
        <v>1</v>
      </c>
      <c r="H450" s="3" t="s">
        <v>4403</v>
      </c>
      <c r="I450" s="6" t="str">
        <f t="shared" si="20"/>
        <v>01010449</v>
      </c>
    </row>
    <row r="451" spans="1:9" x14ac:dyDescent="0.3">
      <c r="A451">
        <v>450</v>
      </c>
      <c r="B451" s="6">
        <v>25036381</v>
      </c>
      <c r="C451" t="str">
        <f>VLOOKUP(B451,[1]BD_FINAL!$A:$H,2,FALSE)</f>
        <v xml:space="preserve">Lucia </v>
      </c>
      <c r="D451" t="str">
        <f>VLOOKUP(B451,[1]BD_FINAL!$A:$H,3,FALSE)</f>
        <v>Cali</v>
      </c>
      <c r="E451" t="str">
        <f>VLOOKUP(B451,[1]BD_FINAL!$A:$H,8,FALSE)</f>
        <v>Tratamiento</v>
      </c>
      <c r="F451" s="2">
        <f t="shared" ref="F451:F514" si="21">IF(E451="CONTROL",0,1)</f>
        <v>1</v>
      </c>
      <c r="G451">
        <f t="shared" ref="G451:G514" si="22">IF(D451="Medellin",1,IF(D451="Cali",2,IF(D451="Baranquilla",3,0)))</f>
        <v>2</v>
      </c>
      <c r="H451" s="3" t="s">
        <v>4404</v>
      </c>
      <c r="I451" s="6" t="str">
        <f t="shared" ref="I451:I514" si="23">_xlfn.CONCAT(0,F451,0,G451,H451)</f>
        <v>01020450</v>
      </c>
    </row>
    <row r="452" spans="1:9" x14ac:dyDescent="0.3">
      <c r="A452">
        <v>451</v>
      </c>
      <c r="B452" s="6">
        <v>25097620</v>
      </c>
      <c r="C452" t="str">
        <f>VLOOKUP(B452,[1]BD_FINAL!$A:$H,2,FALSE)</f>
        <v>Nency</v>
      </c>
      <c r="D452" t="str">
        <f>VLOOKUP(B452,[1]BD_FINAL!$A:$H,3,FALSE)</f>
        <v>Cali</v>
      </c>
      <c r="E452" t="str">
        <f>VLOOKUP(B452,[1]BD_FINAL!$A:$H,8,FALSE)</f>
        <v>Tratamiento</v>
      </c>
      <c r="F452" s="2">
        <f t="shared" si="21"/>
        <v>1</v>
      </c>
      <c r="G452">
        <f t="shared" si="22"/>
        <v>2</v>
      </c>
      <c r="H452" s="3" t="s">
        <v>4405</v>
      </c>
      <c r="I452" s="6" t="str">
        <f t="shared" si="23"/>
        <v>01020451</v>
      </c>
    </row>
    <row r="453" spans="1:9" x14ac:dyDescent="0.3">
      <c r="A453">
        <v>452</v>
      </c>
      <c r="B453" s="6">
        <v>25265831</v>
      </c>
      <c r="C453" t="str">
        <f>VLOOKUP(B453,[1]BD_FINAL!$A:$H,2,FALSE)</f>
        <v xml:space="preserve">María Bertha </v>
      </c>
      <c r="D453" t="str">
        <f>VLOOKUP(B453,[1]BD_FINAL!$A:$H,3,FALSE)</f>
        <v>Cali</v>
      </c>
      <c r="E453" t="str">
        <f>VLOOKUP(B453,[1]BD_FINAL!$A:$H,8,FALSE)</f>
        <v>Control</v>
      </c>
      <c r="F453" s="2">
        <f t="shared" si="21"/>
        <v>0</v>
      </c>
      <c r="G453">
        <f t="shared" si="22"/>
        <v>2</v>
      </c>
      <c r="H453" s="3" t="s">
        <v>4406</v>
      </c>
      <c r="I453" s="6" t="str">
        <f t="shared" si="23"/>
        <v>00020452</v>
      </c>
    </row>
    <row r="454" spans="1:9" x14ac:dyDescent="0.3">
      <c r="A454">
        <v>453</v>
      </c>
      <c r="B454" s="6">
        <v>25340411</v>
      </c>
      <c r="C454" t="str">
        <f>VLOOKUP(B454,[1]BD_FINAL!$A:$H,2,FALSE)</f>
        <v xml:space="preserve">Teresa </v>
      </c>
      <c r="D454" t="str">
        <f>VLOOKUP(B454,[1]BD_FINAL!$A:$H,3,FALSE)</f>
        <v>Cali</v>
      </c>
      <c r="E454" t="str">
        <f>VLOOKUP(B454,[1]BD_FINAL!$A:$H,8,FALSE)</f>
        <v>Tratamiento</v>
      </c>
      <c r="F454" s="2">
        <f t="shared" si="21"/>
        <v>1</v>
      </c>
      <c r="G454">
        <f t="shared" si="22"/>
        <v>2</v>
      </c>
      <c r="H454" s="3" t="s">
        <v>4407</v>
      </c>
      <c r="I454" s="6" t="str">
        <f t="shared" si="23"/>
        <v>01020453</v>
      </c>
    </row>
    <row r="455" spans="1:9" x14ac:dyDescent="0.3">
      <c r="A455">
        <v>454</v>
      </c>
      <c r="B455" s="6">
        <v>25340770</v>
      </c>
      <c r="C455" t="str">
        <f>VLOOKUP(B455,[1]BD_FINAL!$A:$H,2,FALSE)</f>
        <v>Ismenia</v>
      </c>
      <c r="D455" t="str">
        <f>VLOOKUP(B455,[1]BD_FINAL!$A:$H,3,FALSE)</f>
        <v>Cali</v>
      </c>
      <c r="E455" t="str">
        <f>VLOOKUP(B455,[1]BD_FINAL!$A:$H,8,FALSE)</f>
        <v>Tratamiento</v>
      </c>
      <c r="F455" s="2">
        <f t="shared" si="21"/>
        <v>1</v>
      </c>
      <c r="G455">
        <f t="shared" si="22"/>
        <v>2</v>
      </c>
      <c r="H455" s="3" t="s">
        <v>4408</v>
      </c>
      <c r="I455" s="6" t="str">
        <f t="shared" si="23"/>
        <v>01020454</v>
      </c>
    </row>
    <row r="456" spans="1:9" x14ac:dyDescent="0.3">
      <c r="A456">
        <v>455</v>
      </c>
      <c r="B456" s="6">
        <v>25351368</v>
      </c>
      <c r="C456" t="str">
        <f>VLOOKUP(B456,[1]BD_FINAL!$A:$H,2,FALSE)</f>
        <v xml:space="preserve">ROSA MARÍA </v>
      </c>
      <c r="D456" t="str">
        <f>VLOOKUP(B456,[1]BD_FINAL!$A:$H,3,FALSE)</f>
        <v>Cali</v>
      </c>
      <c r="E456" t="str">
        <f>VLOOKUP(B456,[1]BD_FINAL!$A:$H,8,FALSE)</f>
        <v>Tratamiento</v>
      </c>
      <c r="F456" s="2">
        <f t="shared" si="21"/>
        <v>1</v>
      </c>
      <c r="G456">
        <f t="shared" si="22"/>
        <v>2</v>
      </c>
      <c r="H456" s="3" t="s">
        <v>4409</v>
      </c>
      <c r="I456" s="6" t="str">
        <f t="shared" si="23"/>
        <v>01020455</v>
      </c>
    </row>
    <row r="457" spans="1:9" x14ac:dyDescent="0.3">
      <c r="A457">
        <v>456</v>
      </c>
      <c r="B457" s="6">
        <v>25413263</v>
      </c>
      <c r="C457" t="str">
        <f>VLOOKUP(B457,[1]BD_FINAL!$A:$H,2,FALSE)</f>
        <v xml:space="preserve">Noelba </v>
      </c>
      <c r="D457" t="str">
        <f>VLOOKUP(B457,[1]BD_FINAL!$A:$H,3,FALSE)</f>
        <v>Cali</v>
      </c>
      <c r="E457" t="str">
        <f>VLOOKUP(B457,[1]BD_FINAL!$A:$H,8,FALSE)</f>
        <v>Control</v>
      </c>
      <c r="F457" s="2">
        <f t="shared" si="21"/>
        <v>0</v>
      </c>
      <c r="G457">
        <f t="shared" si="22"/>
        <v>2</v>
      </c>
      <c r="H457" s="3" t="s">
        <v>4410</v>
      </c>
      <c r="I457" s="6" t="str">
        <f t="shared" si="23"/>
        <v>00020456</v>
      </c>
    </row>
    <row r="458" spans="1:9" x14ac:dyDescent="0.3">
      <c r="A458">
        <v>457</v>
      </c>
      <c r="B458" s="6">
        <v>25485764</v>
      </c>
      <c r="C458" t="str">
        <f>VLOOKUP(B458,[1]BD_FINAL!$A:$H,2,FALSE)</f>
        <v xml:space="preserve">Yuliana </v>
      </c>
      <c r="D458" t="str">
        <f>VLOOKUP(B458,[1]BD_FINAL!$A:$H,3,FALSE)</f>
        <v>Cali</v>
      </c>
      <c r="E458" t="str">
        <f>VLOOKUP(B458,[1]BD_FINAL!$A:$H,8,FALSE)</f>
        <v>Control</v>
      </c>
      <c r="F458" s="2">
        <f t="shared" si="21"/>
        <v>0</v>
      </c>
      <c r="G458">
        <f t="shared" si="22"/>
        <v>2</v>
      </c>
      <c r="H458" s="3" t="s">
        <v>4411</v>
      </c>
      <c r="I458" s="6" t="str">
        <f t="shared" si="23"/>
        <v>00020457</v>
      </c>
    </row>
    <row r="459" spans="1:9" x14ac:dyDescent="0.3">
      <c r="A459">
        <v>458</v>
      </c>
      <c r="B459" s="6">
        <v>25487137</v>
      </c>
      <c r="C459" t="str">
        <f>VLOOKUP(B459,[1]BD_FINAL!$A:$H,2,FALSE)</f>
        <v>Emérita</v>
      </c>
      <c r="D459" t="str">
        <f>VLOOKUP(B459,[1]BD_FINAL!$A:$H,3,FALSE)</f>
        <v>Cali</v>
      </c>
      <c r="E459" t="str">
        <f>VLOOKUP(B459,[1]BD_FINAL!$A:$H,8,FALSE)</f>
        <v>Control</v>
      </c>
      <c r="F459" s="2">
        <f t="shared" si="21"/>
        <v>0</v>
      </c>
      <c r="G459">
        <f t="shared" si="22"/>
        <v>2</v>
      </c>
      <c r="H459" s="3" t="s">
        <v>4412</v>
      </c>
      <c r="I459" s="6" t="str">
        <f t="shared" si="23"/>
        <v>00020458</v>
      </c>
    </row>
    <row r="460" spans="1:9" x14ac:dyDescent="0.3">
      <c r="A460">
        <v>459</v>
      </c>
      <c r="B460" s="6">
        <v>25489365</v>
      </c>
      <c r="C460" t="str">
        <f>VLOOKUP(B460,[1]BD_FINAL!$A:$H,2,FALSE)</f>
        <v>NELIDA</v>
      </c>
      <c r="D460" t="str">
        <f>VLOOKUP(B460,[1]BD_FINAL!$A:$H,3,FALSE)</f>
        <v>Cali</v>
      </c>
      <c r="E460" t="str">
        <f>VLOOKUP(B460,[1]BD_FINAL!$A:$H,8,FALSE)</f>
        <v>Control</v>
      </c>
      <c r="F460" s="2">
        <f t="shared" si="21"/>
        <v>0</v>
      </c>
      <c r="G460">
        <f t="shared" si="22"/>
        <v>2</v>
      </c>
      <c r="H460" s="3" t="s">
        <v>4413</v>
      </c>
      <c r="I460" s="6" t="str">
        <f t="shared" si="23"/>
        <v>00020459</v>
      </c>
    </row>
    <row r="461" spans="1:9" x14ac:dyDescent="0.3">
      <c r="A461">
        <v>460</v>
      </c>
      <c r="B461" s="6">
        <v>25490780</v>
      </c>
      <c r="C461" t="str">
        <f>VLOOKUP(B461,[1]BD_FINAL!$A:$H,2,FALSE)</f>
        <v>SEMIRA MIREIS</v>
      </c>
      <c r="D461" t="str">
        <f>VLOOKUP(B461,[1]BD_FINAL!$A:$H,3,FALSE)</f>
        <v>Cali</v>
      </c>
      <c r="E461" t="str">
        <f>VLOOKUP(B461,[1]BD_FINAL!$A:$H,8,FALSE)</f>
        <v>Control</v>
      </c>
      <c r="F461" s="2">
        <f t="shared" si="21"/>
        <v>0</v>
      </c>
      <c r="G461">
        <f t="shared" si="22"/>
        <v>2</v>
      </c>
      <c r="H461" s="3" t="s">
        <v>4414</v>
      </c>
      <c r="I461" s="6" t="str">
        <f t="shared" si="23"/>
        <v>00020460</v>
      </c>
    </row>
    <row r="462" spans="1:9" x14ac:dyDescent="0.3">
      <c r="A462">
        <v>461</v>
      </c>
      <c r="B462" s="6">
        <v>25492271</v>
      </c>
      <c r="C462" t="str">
        <f>VLOOKUP(B462,[1]BD_FINAL!$A:$H,2,FALSE)</f>
        <v xml:space="preserve">MARÍA GRACIELA </v>
      </c>
      <c r="D462" t="str">
        <f>VLOOKUP(B462,[1]BD_FINAL!$A:$H,3,FALSE)</f>
        <v>Cali</v>
      </c>
      <c r="E462" t="str">
        <f>VLOOKUP(B462,[1]BD_FINAL!$A:$H,8,FALSE)</f>
        <v>Tratamiento</v>
      </c>
      <c r="F462" s="2">
        <f t="shared" si="21"/>
        <v>1</v>
      </c>
      <c r="G462">
        <f t="shared" si="22"/>
        <v>2</v>
      </c>
      <c r="H462" s="3" t="s">
        <v>4415</v>
      </c>
      <c r="I462" s="6" t="str">
        <f t="shared" si="23"/>
        <v>01020461</v>
      </c>
    </row>
    <row r="463" spans="1:9" x14ac:dyDescent="0.3">
      <c r="A463">
        <v>462</v>
      </c>
      <c r="B463" s="6">
        <v>25619493</v>
      </c>
      <c r="C463" t="str">
        <f>VLOOKUP(B463,[1]BD_FINAL!$A:$H,2,FALSE)</f>
        <v>Carmen rosa</v>
      </c>
      <c r="D463" t="str">
        <f>VLOOKUP(B463,[1]BD_FINAL!$A:$H,3,FALSE)</f>
        <v>Cali</v>
      </c>
      <c r="E463" t="str">
        <f>VLOOKUP(B463,[1]BD_FINAL!$A:$H,8,FALSE)</f>
        <v>Tratamiento</v>
      </c>
      <c r="F463" s="2">
        <f t="shared" si="21"/>
        <v>1</v>
      </c>
      <c r="G463">
        <f t="shared" si="22"/>
        <v>2</v>
      </c>
      <c r="H463" s="3" t="s">
        <v>4416</v>
      </c>
      <c r="I463" s="6" t="str">
        <f t="shared" si="23"/>
        <v>01020462</v>
      </c>
    </row>
    <row r="464" spans="1:9" x14ac:dyDescent="0.3">
      <c r="A464">
        <v>463</v>
      </c>
      <c r="B464" s="6">
        <v>25638302</v>
      </c>
      <c r="C464" t="str">
        <f>VLOOKUP(B464,[1]BD_FINAL!$A:$H,2,FALSE)</f>
        <v>Gloria</v>
      </c>
      <c r="D464" t="str">
        <f>VLOOKUP(B464,[1]BD_FINAL!$A:$H,3,FALSE)</f>
        <v>Cali</v>
      </c>
      <c r="E464" t="str">
        <f>VLOOKUP(B464,[1]BD_FINAL!$A:$H,8,FALSE)</f>
        <v>Control</v>
      </c>
      <c r="F464" s="2">
        <f t="shared" si="21"/>
        <v>0</v>
      </c>
      <c r="G464">
        <f t="shared" si="22"/>
        <v>2</v>
      </c>
      <c r="H464" s="3" t="s">
        <v>4417</v>
      </c>
      <c r="I464" s="6" t="str">
        <f t="shared" si="23"/>
        <v>00020463</v>
      </c>
    </row>
    <row r="465" spans="1:9" x14ac:dyDescent="0.3">
      <c r="A465">
        <v>464</v>
      </c>
      <c r="B465" s="6">
        <v>25683891</v>
      </c>
      <c r="C465" t="str">
        <f>VLOOKUP(B465,[1]BD_FINAL!$A:$H,2,FALSE)</f>
        <v xml:space="preserve">Ana Cecilia </v>
      </c>
      <c r="D465" t="str">
        <f>VLOOKUP(B465,[1]BD_FINAL!$A:$H,3,FALSE)</f>
        <v>Cali</v>
      </c>
      <c r="E465" t="str">
        <f>VLOOKUP(B465,[1]BD_FINAL!$A:$H,8,FALSE)</f>
        <v>Tratamiento</v>
      </c>
      <c r="F465" s="2">
        <f t="shared" si="21"/>
        <v>1</v>
      </c>
      <c r="G465">
        <f t="shared" si="22"/>
        <v>2</v>
      </c>
      <c r="H465" s="3" t="s">
        <v>4418</v>
      </c>
      <c r="I465" s="6" t="str">
        <f t="shared" si="23"/>
        <v>01020464</v>
      </c>
    </row>
    <row r="466" spans="1:9" x14ac:dyDescent="0.3">
      <c r="A466">
        <v>465</v>
      </c>
      <c r="B466" s="6">
        <v>25954420</v>
      </c>
      <c r="C466" t="str">
        <f>VLOOKUP(B466,[1]BD_FINAL!$A:$H,2,FALSE)</f>
        <v>EDITH DEL CARMEN</v>
      </c>
      <c r="D466" t="str">
        <f>VLOOKUP(B466,[1]BD_FINAL!$A:$H,3,FALSE)</f>
        <v>Baranquilla</v>
      </c>
      <c r="E466" t="str">
        <f>VLOOKUP(B466,[1]BD_FINAL!$A:$H,8,FALSE)</f>
        <v>Tratamiento</v>
      </c>
      <c r="F466" s="2">
        <f t="shared" si="21"/>
        <v>1</v>
      </c>
      <c r="G466">
        <f t="shared" si="22"/>
        <v>3</v>
      </c>
      <c r="H466" s="3" t="s">
        <v>4419</v>
      </c>
      <c r="I466" s="6" t="str">
        <f t="shared" si="23"/>
        <v>01030465</v>
      </c>
    </row>
    <row r="467" spans="1:9" x14ac:dyDescent="0.3">
      <c r="A467">
        <v>466</v>
      </c>
      <c r="B467" s="6">
        <v>26256330</v>
      </c>
      <c r="C467" t="str">
        <f>VLOOKUP(B467,[1]BD_FINAL!$A:$H,2,FALSE)</f>
        <v xml:space="preserve">MARLENY </v>
      </c>
      <c r="D467" t="str">
        <f>VLOOKUP(B467,[1]BD_FINAL!$A:$H,3,FALSE)</f>
        <v>Cali</v>
      </c>
      <c r="E467" t="str">
        <f>VLOOKUP(B467,[1]BD_FINAL!$A:$H,8,FALSE)</f>
        <v>Tratamiento</v>
      </c>
      <c r="F467" s="2">
        <f t="shared" si="21"/>
        <v>1</v>
      </c>
      <c r="G467">
        <f t="shared" si="22"/>
        <v>2</v>
      </c>
      <c r="H467" s="3" t="s">
        <v>4420</v>
      </c>
      <c r="I467" s="6" t="str">
        <f t="shared" si="23"/>
        <v>01020466</v>
      </c>
    </row>
    <row r="468" spans="1:9" x14ac:dyDescent="0.3">
      <c r="A468">
        <v>467</v>
      </c>
      <c r="B468" s="6">
        <v>26256767</v>
      </c>
      <c r="C468" t="str">
        <f>VLOOKUP(B468,[1]BD_FINAL!$A:$H,2,FALSE)</f>
        <v>Gloria Casas Yoreda</v>
      </c>
      <c r="D468" t="str">
        <f>VLOOKUP(B468,[1]BD_FINAL!$A:$H,3,FALSE)</f>
        <v>Medellin</v>
      </c>
      <c r="E468" t="str">
        <f>VLOOKUP(B468,[1]BD_FINAL!$A:$H,8,FALSE)</f>
        <v>Control</v>
      </c>
      <c r="F468" s="2">
        <f t="shared" si="21"/>
        <v>0</v>
      </c>
      <c r="G468">
        <f t="shared" si="22"/>
        <v>1</v>
      </c>
      <c r="H468" s="3" t="s">
        <v>4421</v>
      </c>
      <c r="I468" s="6" t="str">
        <f t="shared" si="23"/>
        <v>00010467</v>
      </c>
    </row>
    <row r="469" spans="1:9" x14ac:dyDescent="0.3">
      <c r="A469">
        <v>468</v>
      </c>
      <c r="B469" s="6">
        <v>26393898</v>
      </c>
      <c r="C469" t="str">
        <f>VLOOKUP(B469,[1]BD_FINAL!$A:$H,2,FALSE)</f>
        <v xml:space="preserve">Martina Sara </v>
      </c>
      <c r="D469" t="str">
        <f>VLOOKUP(B469,[1]BD_FINAL!$A:$H,3,FALSE)</f>
        <v>Medellin</v>
      </c>
      <c r="E469" t="str">
        <f>VLOOKUP(B469,[1]BD_FINAL!$A:$H,8,FALSE)</f>
        <v>Tratamiento</v>
      </c>
      <c r="F469" s="2">
        <f t="shared" si="21"/>
        <v>1</v>
      </c>
      <c r="G469">
        <f t="shared" si="22"/>
        <v>1</v>
      </c>
      <c r="H469" s="3" t="s">
        <v>4422</v>
      </c>
      <c r="I469" s="6" t="str">
        <f t="shared" si="23"/>
        <v>01010468</v>
      </c>
    </row>
    <row r="470" spans="1:9" x14ac:dyDescent="0.3">
      <c r="A470">
        <v>469</v>
      </c>
      <c r="B470" s="6">
        <v>26718435</v>
      </c>
      <c r="C470" t="str">
        <f>VLOOKUP(B470,[1]BD_FINAL!$A:$H,2,FALSE)</f>
        <v>Aura helena</v>
      </c>
      <c r="D470" t="str">
        <f>VLOOKUP(B470,[1]BD_FINAL!$A:$H,3,FALSE)</f>
        <v>Baranquilla</v>
      </c>
      <c r="E470" t="str">
        <f>VLOOKUP(B470,[1]BD_FINAL!$A:$H,8,FALSE)</f>
        <v>Tratamiento</v>
      </c>
      <c r="F470" s="2">
        <f t="shared" si="21"/>
        <v>1</v>
      </c>
      <c r="G470">
        <f t="shared" si="22"/>
        <v>3</v>
      </c>
      <c r="H470" s="3" t="s">
        <v>4423</v>
      </c>
      <c r="I470" s="6" t="str">
        <f t="shared" si="23"/>
        <v>01030469</v>
      </c>
    </row>
    <row r="471" spans="1:9" x14ac:dyDescent="0.3">
      <c r="A471">
        <v>470</v>
      </c>
      <c r="B471" s="6">
        <v>26757628</v>
      </c>
      <c r="C471" t="str">
        <f>VLOOKUP(B471,[1]BD_FINAL!$A:$H,2,FALSE)</f>
        <v xml:space="preserve">Nimia Mercedes </v>
      </c>
      <c r="D471" t="str">
        <f>VLOOKUP(B471,[1]BD_FINAL!$A:$H,3,FALSE)</f>
        <v>Baranquilla</v>
      </c>
      <c r="E471" t="str">
        <f>VLOOKUP(B471,[1]BD_FINAL!$A:$H,8,FALSE)</f>
        <v>Control</v>
      </c>
      <c r="F471" s="2">
        <f t="shared" si="21"/>
        <v>0</v>
      </c>
      <c r="G471">
        <f t="shared" si="22"/>
        <v>3</v>
      </c>
      <c r="H471" s="3" t="s">
        <v>4424</v>
      </c>
      <c r="I471" s="6" t="str">
        <f t="shared" si="23"/>
        <v>00030470</v>
      </c>
    </row>
    <row r="472" spans="1:9" x14ac:dyDescent="0.3">
      <c r="A472">
        <v>471</v>
      </c>
      <c r="B472" s="6">
        <v>26757731</v>
      </c>
      <c r="C472" t="str">
        <f>VLOOKUP(B472,[1]BD_FINAL!$A:$H,2,FALSE)</f>
        <v>María isabel</v>
      </c>
      <c r="D472" t="str">
        <f>VLOOKUP(B472,[1]BD_FINAL!$A:$H,3,FALSE)</f>
        <v>Baranquilla</v>
      </c>
      <c r="E472" t="str">
        <f>VLOOKUP(B472,[1]BD_FINAL!$A:$H,8,FALSE)</f>
        <v>Control</v>
      </c>
      <c r="F472" s="2">
        <f t="shared" si="21"/>
        <v>0</v>
      </c>
      <c r="G472">
        <f t="shared" si="22"/>
        <v>3</v>
      </c>
      <c r="H472" s="3" t="s">
        <v>4425</v>
      </c>
      <c r="I472" s="6" t="str">
        <f t="shared" si="23"/>
        <v>00030471</v>
      </c>
    </row>
    <row r="473" spans="1:9" x14ac:dyDescent="0.3">
      <c r="A473">
        <v>472</v>
      </c>
      <c r="B473" s="6">
        <v>2680456</v>
      </c>
      <c r="C473" t="str">
        <f>VLOOKUP(B473,[1]BD_FINAL!$A:$H,2,FALSE)</f>
        <v>Rooselved</v>
      </c>
      <c r="D473" t="str">
        <f>VLOOKUP(B473,[1]BD_FINAL!$A:$H,3,FALSE)</f>
        <v>Cali</v>
      </c>
      <c r="E473" t="str">
        <f>VLOOKUP(B473,[1]BD_FINAL!$A:$H,8,FALSE)</f>
        <v>Control</v>
      </c>
      <c r="F473" s="2">
        <f t="shared" si="21"/>
        <v>0</v>
      </c>
      <c r="G473">
        <f t="shared" si="22"/>
        <v>2</v>
      </c>
      <c r="H473" s="3" t="s">
        <v>4426</v>
      </c>
      <c r="I473" s="6" t="str">
        <f t="shared" si="23"/>
        <v>00020472</v>
      </c>
    </row>
    <row r="474" spans="1:9" x14ac:dyDescent="0.3">
      <c r="A474">
        <v>473</v>
      </c>
      <c r="B474" s="6">
        <v>2699661</v>
      </c>
      <c r="C474" t="str">
        <f>VLOOKUP(B474,[1]BD_FINAL!$A:$H,2,FALSE)</f>
        <v xml:space="preserve">GILBERTO </v>
      </c>
      <c r="D474" t="str">
        <f>VLOOKUP(B474,[1]BD_FINAL!$A:$H,3,FALSE)</f>
        <v>Cali</v>
      </c>
      <c r="E474" t="str">
        <f>VLOOKUP(B474,[1]BD_FINAL!$A:$H,8,FALSE)</f>
        <v>Tratamiento</v>
      </c>
      <c r="F474" s="2">
        <f t="shared" si="21"/>
        <v>1</v>
      </c>
      <c r="G474">
        <f t="shared" si="22"/>
        <v>2</v>
      </c>
      <c r="H474" s="3" t="s">
        <v>4427</v>
      </c>
      <c r="I474" s="6" t="str">
        <f t="shared" si="23"/>
        <v>01020473</v>
      </c>
    </row>
    <row r="475" spans="1:9" x14ac:dyDescent="0.3">
      <c r="A475">
        <v>474</v>
      </c>
      <c r="B475" s="6">
        <v>27104551</v>
      </c>
      <c r="C475" t="str">
        <f>VLOOKUP(B475,[1]BD_FINAL!$A:$H,2,FALSE)</f>
        <v>AURA LIGIA</v>
      </c>
      <c r="D475" t="str">
        <f>VLOOKUP(B475,[1]BD_FINAL!$A:$H,3,FALSE)</f>
        <v>Cali</v>
      </c>
      <c r="E475" t="str">
        <f>VLOOKUP(B475,[1]BD_FINAL!$A:$H,8,FALSE)</f>
        <v>Control</v>
      </c>
      <c r="F475" s="2">
        <f t="shared" si="21"/>
        <v>0</v>
      </c>
      <c r="G475">
        <f t="shared" si="22"/>
        <v>2</v>
      </c>
      <c r="H475" s="3" t="s">
        <v>4428</v>
      </c>
      <c r="I475" s="6" t="str">
        <f t="shared" si="23"/>
        <v>00020474</v>
      </c>
    </row>
    <row r="476" spans="1:9" x14ac:dyDescent="0.3">
      <c r="A476">
        <v>475</v>
      </c>
      <c r="B476" s="6">
        <v>27123795</v>
      </c>
      <c r="C476" t="str">
        <f>VLOOKUP(B476,[1]BD_FINAL!$A:$H,2,FALSE)</f>
        <v>ROSA AMALIA</v>
      </c>
      <c r="D476" t="str">
        <f>VLOOKUP(B476,[1]BD_FINAL!$A:$H,3,FALSE)</f>
        <v>Cali</v>
      </c>
      <c r="E476" t="str">
        <f>VLOOKUP(B476,[1]BD_FINAL!$A:$H,8,FALSE)</f>
        <v>Control</v>
      </c>
      <c r="F476" s="2">
        <f t="shared" si="21"/>
        <v>0</v>
      </c>
      <c r="G476">
        <f t="shared" si="22"/>
        <v>2</v>
      </c>
      <c r="H476" s="3" t="s">
        <v>4429</v>
      </c>
      <c r="I476" s="6" t="str">
        <f t="shared" si="23"/>
        <v>00020475</v>
      </c>
    </row>
    <row r="477" spans="1:9" x14ac:dyDescent="0.3">
      <c r="A477">
        <v>476</v>
      </c>
      <c r="B477" s="6">
        <v>2775711</v>
      </c>
      <c r="C477" t="str">
        <f>VLOOKUP(B477,[1]BD_FINAL!$A:$H,2,FALSE)</f>
        <v>Libia Rosa</v>
      </c>
      <c r="D477" t="str">
        <f>VLOOKUP(B477,[1]BD_FINAL!$A:$H,3,FALSE)</f>
        <v>Medellin</v>
      </c>
      <c r="E477" t="str">
        <f>VLOOKUP(B477,[1]BD_FINAL!$A:$H,8,FALSE)</f>
        <v>Control</v>
      </c>
      <c r="F477" s="2">
        <f t="shared" si="21"/>
        <v>0</v>
      </c>
      <c r="G477">
        <f t="shared" si="22"/>
        <v>1</v>
      </c>
      <c r="H477" s="3" t="s">
        <v>4430</v>
      </c>
      <c r="I477" s="6" t="str">
        <f t="shared" si="23"/>
        <v>00010476</v>
      </c>
    </row>
    <row r="478" spans="1:9" x14ac:dyDescent="0.3">
      <c r="A478">
        <v>477</v>
      </c>
      <c r="B478" s="6">
        <v>28588708</v>
      </c>
      <c r="C478" t="str">
        <f>VLOOKUP(B478,[1]BD_FINAL!$A:$H,2,FALSE)</f>
        <v xml:space="preserve">Sandra Milena </v>
      </c>
      <c r="D478" t="str">
        <f>VLOOKUP(B478,[1]BD_FINAL!$A:$H,3,FALSE)</f>
        <v>Cali</v>
      </c>
      <c r="E478" t="str">
        <f>VLOOKUP(B478,[1]BD_FINAL!$A:$H,8,FALSE)</f>
        <v>Tratamiento</v>
      </c>
      <c r="F478" s="2">
        <f t="shared" si="21"/>
        <v>1</v>
      </c>
      <c r="G478">
        <f t="shared" si="22"/>
        <v>2</v>
      </c>
      <c r="H478" s="3" t="s">
        <v>4431</v>
      </c>
      <c r="I478" s="6" t="str">
        <f t="shared" si="23"/>
        <v>01020477</v>
      </c>
    </row>
    <row r="479" spans="1:9" x14ac:dyDescent="0.3">
      <c r="A479">
        <v>478</v>
      </c>
      <c r="B479" s="6">
        <v>29105566</v>
      </c>
      <c r="C479" t="str">
        <f>VLOOKUP(B479,[1]BD_FINAL!$A:$H,2,FALSE)</f>
        <v>Mireya</v>
      </c>
      <c r="D479" t="str">
        <f>VLOOKUP(B479,[1]BD_FINAL!$A:$H,3,FALSE)</f>
        <v>Cali</v>
      </c>
      <c r="E479" t="str">
        <f>VLOOKUP(B479,[1]BD_FINAL!$A:$H,8,FALSE)</f>
        <v>Control</v>
      </c>
      <c r="F479" s="2">
        <f t="shared" si="21"/>
        <v>0</v>
      </c>
      <c r="G479">
        <f t="shared" si="22"/>
        <v>2</v>
      </c>
      <c r="H479" s="3" t="s">
        <v>4432</v>
      </c>
      <c r="I479" s="6" t="str">
        <f t="shared" si="23"/>
        <v>00020478</v>
      </c>
    </row>
    <row r="480" spans="1:9" x14ac:dyDescent="0.3">
      <c r="A480">
        <v>479</v>
      </c>
      <c r="B480" s="6">
        <v>29119222</v>
      </c>
      <c r="C480" t="str">
        <f>VLOOKUP(B480,[1]BD_FINAL!$A:$H,2,FALSE)</f>
        <v>Bella nery</v>
      </c>
      <c r="D480" t="str">
        <f>VLOOKUP(B480,[1]BD_FINAL!$A:$H,3,FALSE)</f>
        <v>Cali</v>
      </c>
      <c r="E480" t="str">
        <f>VLOOKUP(B480,[1]BD_FINAL!$A:$H,8,FALSE)</f>
        <v>Tratamiento</v>
      </c>
      <c r="F480" s="2">
        <f t="shared" si="21"/>
        <v>1</v>
      </c>
      <c r="G480">
        <f t="shared" si="22"/>
        <v>2</v>
      </c>
      <c r="H480" s="3" t="s">
        <v>4433</v>
      </c>
      <c r="I480" s="6" t="str">
        <f t="shared" si="23"/>
        <v>01020479</v>
      </c>
    </row>
    <row r="481" spans="1:9" x14ac:dyDescent="0.3">
      <c r="A481">
        <v>480</v>
      </c>
      <c r="B481" s="6">
        <v>29120687</v>
      </c>
      <c r="C481" t="str">
        <f>VLOOKUP(B481,[1]BD_FINAL!$A:$H,2,FALSE)</f>
        <v>SANDRA</v>
      </c>
      <c r="D481" t="str">
        <f>VLOOKUP(B481,[1]BD_FINAL!$A:$H,3,FALSE)</f>
        <v>Cali</v>
      </c>
      <c r="E481" t="str">
        <f>VLOOKUP(B481,[1]BD_FINAL!$A:$H,8,FALSE)</f>
        <v>Control</v>
      </c>
      <c r="F481" s="2">
        <f t="shared" si="21"/>
        <v>0</v>
      </c>
      <c r="G481">
        <f t="shared" si="22"/>
        <v>2</v>
      </c>
      <c r="H481" s="3" t="s">
        <v>4434</v>
      </c>
      <c r="I481" s="6" t="str">
        <f t="shared" si="23"/>
        <v>00020480</v>
      </c>
    </row>
    <row r="482" spans="1:9" x14ac:dyDescent="0.3">
      <c r="A482">
        <v>481</v>
      </c>
      <c r="B482" s="6">
        <v>29177698</v>
      </c>
      <c r="C482" t="str">
        <f>VLOOKUP(B482,[1]BD_FINAL!$A:$H,2,FALSE)</f>
        <v>SHIRLEY</v>
      </c>
      <c r="D482" t="str">
        <f>VLOOKUP(B482,[1]BD_FINAL!$A:$H,3,FALSE)</f>
        <v>Cali</v>
      </c>
      <c r="E482" t="str">
        <f>VLOOKUP(B482,[1]BD_FINAL!$A:$H,8,FALSE)</f>
        <v>Control</v>
      </c>
      <c r="F482" s="2">
        <f t="shared" si="21"/>
        <v>0</v>
      </c>
      <c r="G482">
        <f t="shared" si="22"/>
        <v>2</v>
      </c>
      <c r="H482" s="3" t="s">
        <v>4435</v>
      </c>
      <c r="I482" s="6" t="str">
        <f t="shared" si="23"/>
        <v>00020481</v>
      </c>
    </row>
    <row r="483" spans="1:9" x14ac:dyDescent="0.3">
      <c r="A483">
        <v>482</v>
      </c>
      <c r="B483" s="6">
        <v>29178636</v>
      </c>
      <c r="C483" t="str">
        <f>VLOOKUP(B483,[1]BD_FINAL!$A:$H,2,FALSE)</f>
        <v>Aida</v>
      </c>
      <c r="D483" t="str">
        <f>VLOOKUP(B483,[1]BD_FINAL!$A:$H,3,FALSE)</f>
        <v>Cali</v>
      </c>
      <c r="E483" t="str">
        <f>VLOOKUP(B483,[1]BD_FINAL!$A:$H,8,FALSE)</f>
        <v>Control</v>
      </c>
      <c r="F483" s="2">
        <f t="shared" si="21"/>
        <v>0</v>
      </c>
      <c r="G483">
        <f t="shared" si="22"/>
        <v>2</v>
      </c>
      <c r="H483" s="3" t="s">
        <v>4436</v>
      </c>
      <c r="I483" s="6" t="str">
        <f t="shared" si="23"/>
        <v>00020482</v>
      </c>
    </row>
    <row r="484" spans="1:9" x14ac:dyDescent="0.3">
      <c r="A484">
        <v>483</v>
      </c>
      <c r="B484" s="6">
        <v>29179765</v>
      </c>
      <c r="C484" t="str">
        <f>VLOOKUP(B484,[1]BD_FINAL!$A:$H,2,FALSE)</f>
        <v>Harlen</v>
      </c>
      <c r="D484" t="str">
        <f>VLOOKUP(B484,[1]BD_FINAL!$A:$H,3,FALSE)</f>
        <v>Cali</v>
      </c>
      <c r="E484" t="str">
        <f>VLOOKUP(B484,[1]BD_FINAL!$A:$H,8,FALSE)</f>
        <v>Tratamiento</v>
      </c>
      <c r="F484" s="2">
        <f t="shared" si="21"/>
        <v>1</v>
      </c>
      <c r="G484">
        <f t="shared" si="22"/>
        <v>2</v>
      </c>
      <c r="H484" s="3" t="s">
        <v>4437</v>
      </c>
      <c r="I484" s="6" t="str">
        <f t="shared" si="23"/>
        <v>01020483</v>
      </c>
    </row>
    <row r="485" spans="1:9" x14ac:dyDescent="0.3">
      <c r="A485">
        <v>484</v>
      </c>
      <c r="B485" s="6">
        <v>29179902</v>
      </c>
      <c r="C485" t="str">
        <f>VLOOKUP(B485,[1]BD_FINAL!$A:$H,2,FALSE)</f>
        <v>Marisol</v>
      </c>
      <c r="D485" t="str">
        <f>VLOOKUP(B485,[1]BD_FINAL!$A:$H,3,FALSE)</f>
        <v>Cali</v>
      </c>
      <c r="E485" t="str">
        <f>VLOOKUP(B485,[1]BD_FINAL!$A:$H,8,FALSE)</f>
        <v>Control</v>
      </c>
      <c r="F485" s="2">
        <f t="shared" si="21"/>
        <v>0</v>
      </c>
      <c r="G485">
        <f t="shared" si="22"/>
        <v>2</v>
      </c>
      <c r="H485" s="3" t="s">
        <v>4438</v>
      </c>
      <c r="I485" s="6" t="str">
        <f t="shared" si="23"/>
        <v>00020484</v>
      </c>
    </row>
    <row r="486" spans="1:9" x14ac:dyDescent="0.3">
      <c r="A486">
        <v>485</v>
      </c>
      <c r="B486" s="6">
        <v>29346502</v>
      </c>
      <c r="C486" t="str">
        <f>VLOOKUP(B486,[1]BD_FINAL!$A:$H,2,FALSE)</f>
        <v>Rossmira</v>
      </c>
      <c r="D486" t="str">
        <f>VLOOKUP(B486,[1]BD_FINAL!$A:$H,3,FALSE)</f>
        <v>Cali</v>
      </c>
      <c r="E486" t="str">
        <f>VLOOKUP(B486,[1]BD_FINAL!$A:$H,8,FALSE)</f>
        <v>Tratamiento</v>
      </c>
      <c r="F486" s="2">
        <f t="shared" si="21"/>
        <v>1</v>
      </c>
      <c r="G486">
        <f t="shared" si="22"/>
        <v>2</v>
      </c>
      <c r="H486" s="3" t="s">
        <v>4439</v>
      </c>
      <c r="I486" s="6" t="str">
        <f t="shared" si="23"/>
        <v>01020485</v>
      </c>
    </row>
    <row r="487" spans="1:9" x14ac:dyDescent="0.3">
      <c r="A487">
        <v>486</v>
      </c>
      <c r="B487" s="6">
        <v>29377098</v>
      </c>
      <c r="C487" t="str">
        <f>VLOOKUP(B487,[1]BD_FINAL!$A:$H,2,FALSE)</f>
        <v xml:space="preserve">Fanny </v>
      </c>
      <c r="D487" t="str">
        <f>VLOOKUP(B487,[1]BD_FINAL!$A:$H,3,FALSE)</f>
        <v>Cali</v>
      </c>
      <c r="E487" t="str">
        <f>VLOOKUP(B487,[1]BD_FINAL!$A:$H,8,FALSE)</f>
        <v>Control</v>
      </c>
      <c r="F487" s="2">
        <f t="shared" si="21"/>
        <v>0</v>
      </c>
      <c r="G487">
        <f t="shared" si="22"/>
        <v>2</v>
      </c>
      <c r="H487" s="3" t="s">
        <v>4440</v>
      </c>
      <c r="I487" s="6" t="str">
        <f t="shared" si="23"/>
        <v>00020486</v>
      </c>
    </row>
    <row r="488" spans="1:9" x14ac:dyDescent="0.3">
      <c r="A488">
        <v>487</v>
      </c>
      <c r="B488" s="6">
        <v>29398776</v>
      </c>
      <c r="C488" t="str">
        <f>VLOOKUP(B488,[1]BD_FINAL!$A:$H,2,FALSE)</f>
        <v xml:space="preserve">Rosario </v>
      </c>
      <c r="D488" t="str">
        <f>VLOOKUP(B488,[1]BD_FINAL!$A:$H,3,FALSE)</f>
        <v>Cali</v>
      </c>
      <c r="E488" t="str">
        <f>VLOOKUP(B488,[1]BD_FINAL!$A:$H,8,FALSE)</f>
        <v>Control</v>
      </c>
      <c r="F488" s="2">
        <f t="shared" si="21"/>
        <v>0</v>
      </c>
      <c r="G488">
        <f t="shared" si="22"/>
        <v>2</v>
      </c>
      <c r="H488" s="3" t="s">
        <v>4441</v>
      </c>
      <c r="I488" s="6" t="str">
        <f t="shared" si="23"/>
        <v>00020487</v>
      </c>
    </row>
    <row r="489" spans="1:9" x14ac:dyDescent="0.3">
      <c r="A489">
        <v>488</v>
      </c>
      <c r="B489" s="6">
        <v>29534923</v>
      </c>
      <c r="C489" t="str">
        <f>VLOOKUP(B489,[1]BD_FINAL!$A:$H,2,FALSE)</f>
        <v>AMELIA ROSA</v>
      </c>
      <c r="D489" t="str">
        <f>VLOOKUP(B489,[1]BD_FINAL!$A:$H,3,FALSE)</f>
        <v>Cali</v>
      </c>
      <c r="E489" t="str">
        <f>VLOOKUP(B489,[1]BD_FINAL!$A:$H,8,FALSE)</f>
        <v>Control</v>
      </c>
      <c r="F489" s="2">
        <f t="shared" si="21"/>
        <v>0</v>
      </c>
      <c r="G489">
        <f t="shared" si="22"/>
        <v>2</v>
      </c>
      <c r="H489" s="3" t="s">
        <v>4442</v>
      </c>
      <c r="I489" s="6" t="str">
        <f t="shared" si="23"/>
        <v>00020488</v>
      </c>
    </row>
    <row r="490" spans="1:9" x14ac:dyDescent="0.3">
      <c r="A490">
        <v>489</v>
      </c>
      <c r="B490" s="6">
        <v>29555202</v>
      </c>
      <c r="C490" t="str">
        <f>VLOOKUP(B490,[1]BD_FINAL!$A:$H,2,FALSE)</f>
        <v xml:space="preserve">Alicia </v>
      </c>
      <c r="D490" t="str">
        <f>VLOOKUP(B490,[1]BD_FINAL!$A:$H,3,FALSE)</f>
        <v>Cali</v>
      </c>
      <c r="E490" t="str">
        <f>VLOOKUP(B490,[1]BD_FINAL!$A:$H,8,FALSE)</f>
        <v>Control</v>
      </c>
      <c r="F490" s="2">
        <f t="shared" si="21"/>
        <v>0</v>
      </c>
      <c r="G490">
        <f t="shared" si="22"/>
        <v>2</v>
      </c>
      <c r="H490" s="3" t="s">
        <v>4443</v>
      </c>
      <c r="I490" s="6" t="str">
        <f t="shared" si="23"/>
        <v>00020489</v>
      </c>
    </row>
    <row r="491" spans="1:9" x14ac:dyDescent="0.3">
      <c r="A491">
        <v>490</v>
      </c>
      <c r="B491" s="6">
        <v>29563232</v>
      </c>
      <c r="C491" t="str">
        <f>VLOOKUP(B491,[1]BD_FINAL!$A:$H,2,FALSE)</f>
        <v xml:space="preserve">Aura María </v>
      </c>
      <c r="D491" t="str">
        <f>VLOOKUP(B491,[1]BD_FINAL!$A:$H,3,FALSE)</f>
        <v>Cali</v>
      </c>
      <c r="E491" t="str">
        <f>VLOOKUP(B491,[1]BD_FINAL!$A:$H,8,FALSE)</f>
        <v>Tratamiento</v>
      </c>
      <c r="F491" s="2">
        <f t="shared" si="21"/>
        <v>1</v>
      </c>
      <c r="G491">
        <f t="shared" si="22"/>
        <v>2</v>
      </c>
      <c r="H491" s="3" t="s">
        <v>4444</v>
      </c>
      <c r="I491" s="6" t="str">
        <f t="shared" si="23"/>
        <v>01020490</v>
      </c>
    </row>
    <row r="492" spans="1:9" x14ac:dyDescent="0.3">
      <c r="A492">
        <v>491</v>
      </c>
      <c r="B492" s="6">
        <v>29563360</v>
      </c>
      <c r="C492" t="str">
        <f>VLOOKUP(B492,[1]BD_FINAL!$A:$H,2,FALSE)</f>
        <v>Ana. Sofia</v>
      </c>
      <c r="D492" t="str">
        <f>VLOOKUP(B492,[1]BD_FINAL!$A:$H,3,FALSE)</f>
        <v>Cali</v>
      </c>
      <c r="E492" t="str">
        <f>VLOOKUP(B492,[1]BD_FINAL!$A:$H,8,FALSE)</f>
        <v>Tratamiento</v>
      </c>
      <c r="F492" s="2">
        <f t="shared" si="21"/>
        <v>1</v>
      </c>
      <c r="G492">
        <f t="shared" si="22"/>
        <v>2</v>
      </c>
      <c r="H492" s="3" t="s">
        <v>4445</v>
      </c>
      <c r="I492" s="6" t="str">
        <f t="shared" si="23"/>
        <v>01020491</v>
      </c>
    </row>
    <row r="493" spans="1:9" x14ac:dyDescent="0.3">
      <c r="A493">
        <v>492</v>
      </c>
      <c r="B493" s="6">
        <v>29568155</v>
      </c>
      <c r="C493" t="str">
        <f>VLOOKUP(B493,[1]BD_FINAL!$A:$H,2,FALSE)</f>
        <v>Rosiber</v>
      </c>
      <c r="D493" t="str">
        <f>VLOOKUP(B493,[1]BD_FINAL!$A:$H,3,FALSE)</f>
        <v>Cali</v>
      </c>
      <c r="E493" t="str">
        <f>VLOOKUP(B493,[1]BD_FINAL!$A:$H,8,FALSE)</f>
        <v>Control</v>
      </c>
      <c r="F493" s="2">
        <f t="shared" si="21"/>
        <v>0</v>
      </c>
      <c r="G493">
        <f t="shared" si="22"/>
        <v>2</v>
      </c>
      <c r="H493" s="3" t="s">
        <v>4446</v>
      </c>
      <c r="I493" s="6" t="str">
        <f t="shared" si="23"/>
        <v>00020492</v>
      </c>
    </row>
    <row r="494" spans="1:9" x14ac:dyDescent="0.3">
      <c r="A494">
        <v>493</v>
      </c>
      <c r="B494" s="6">
        <v>29686407</v>
      </c>
      <c r="C494" t="str">
        <f>VLOOKUP(B494,[1]BD_FINAL!$A:$H,2,FALSE)</f>
        <v>ANA SENEIDA</v>
      </c>
      <c r="D494" t="str">
        <f>VLOOKUP(B494,[1]BD_FINAL!$A:$H,3,FALSE)</f>
        <v>Cali</v>
      </c>
      <c r="E494" t="str">
        <f>VLOOKUP(B494,[1]BD_FINAL!$A:$H,8,FALSE)</f>
        <v>Tratamiento</v>
      </c>
      <c r="F494" s="2">
        <f t="shared" si="21"/>
        <v>1</v>
      </c>
      <c r="G494">
        <f t="shared" si="22"/>
        <v>2</v>
      </c>
      <c r="H494" s="3" t="s">
        <v>4447</v>
      </c>
      <c r="I494" s="6" t="str">
        <f t="shared" si="23"/>
        <v>01020493</v>
      </c>
    </row>
    <row r="495" spans="1:9" x14ac:dyDescent="0.3">
      <c r="A495">
        <v>494</v>
      </c>
      <c r="B495" s="6">
        <v>29703356</v>
      </c>
      <c r="C495" t="str">
        <f>VLOOKUP(B495,[1]BD_FINAL!$A:$H,2,FALSE)</f>
        <v xml:space="preserve">Javier
</v>
      </c>
      <c r="D495" t="str">
        <f>VLOOKUP(B495,[1]BD_FINAL!$A:$H,3,FALSE)</f>
        <v>Cali</v>
      </c>
      <c r="E495" t="str">
        <f>VLOOKUP(B495,[1]BD_FINAL!$A:$H,8,FALSE)</f>
        <v>Control</v>
      </c>
      <c r="F495" s="2">
        <f t="shared" si="21"/>
        <v>0</v>
      </c>
      <c r="G495">
        <f t="shared" si="22"/>
        <v>2</v>
      </c>
      <c r="H495" s="3" t="s">
        <v>4448</v>
      </c>
      <c r="I495" s="6" t="str">
        <f t="shared" si="23"/>
        <v>00020494</v>
      </c>
    </row>
    <row r="496" spans="1:9" x14ac:dyDescent="0.3">
      <c r="A496">
        <v>495</v>
      </c>
      <c r="B496" s="6">
        <v>30402150</v>
      </c>
      <c r="C496" t="str">
        <f>VLOOKUP(B496,[1]BD_FINAL!$A:$H,2,FALSE)</f>
        <v>Luz Dary</v>
      </c>
      <c r="D496" t="str">
        <f>VLOOKUP(B496,[1]BD_FINAL!$A:$H,3,FALSE)</f>
        <v>Medellin</v>
      </c>
      <c r="E496" t="str">
        <f>VLOOKUP(B496,[1]BD_FINAL!$A:$H,8,FALSE)</f>
        <v>Tratamiento</v>
      </c>
      <c r="F496" s="2">
        <f t="shared" si="21"/>
        <v>1</v>
      </c>
      <c r="G496">
        <f t="shared" si="22"/>
        <v>1</v>
      </c>
      <c r="H496" s="3" t="s">
        <v>4449</v>
      </c>
      <c r="I496" s="6" t="str">
        <f t="shared" si="23"/>
        <v>01010495</v>
      </c>
    </row>
    <row r="497" spans="1:9" x14ac:dyDescent="0.3">
      <c r="A497">
        <v>496</v>
      </c>
      <c r="B497" s="6">
        <v>30579593</v>
      </c>
      <c r="C497" t="str">
        <f>VLOOKUP(B497,[1]BD_FINAL!$A:$H,2,FALSE)</f>
        <v>Luz Dary</v>
      </c>
      <c r="D497" t="str">
        <f>VLOOKUP(B497,[1]BD_FINAL!$A:$H,3,FALSE)</f>
        <v>Baranquilla</v>
      </c>
      <c r="E497" t="str">
        <f>VLOOKUP(B497,[1]BD_FINAL!$A:$H,8,FALSE)</f>
        <v>Control</v>
      </c>
      <c r="F497" s="2">
        <f t="shared" si="21"/>
        <v>0</v>
      </c>
      <c r="G497">
        <f t="shared" si="22"/>
        <v>3</v>
      </c>
      <c r="H497" s="3" t="s">
        <v>4450</v>
      </c>
      <c r="I497" s="6" t="str">
        <f t="shared" si="23"/>
        <v>00030496</v>
      </c>
    </row>
    <row r="498" spans="1:9" x14ac:dyDescent="0.3">
      <c r="A498">
        <v>497</v>
      </c>
      <c r="B498" s="6">
        <v>30855437</v>
      </c>
      <c r="C498" t="str">
        <f>VLOOKUP(B498,[1]BD_FINAL!$A:$H,2,FALSE)</f>
        <v xml:space="preserve">Omeira </v>
      </c>
      <c r="D498" t="str">
        <f>VLOOKUP(B498,[1]BD_FINAL!$A:$H,3,FALSE)</f>
        <v>Baranquilla</v>
      </c>
      <c r="E498" t="str">
        <f>VLOOKUP(B498,[1]BD_FINAL!$A:$H,8,FALSE)</f>
        <v>Control</v>
      </c>
      <c r="F498" s="2">
        <f t="shared" si="21"/>
        <v>0</v>
      </c>
      <c r="G498">
        <f t="shared" si="22"/>
        <v>3</v>
      </c>
      <c r="H498" s="3" t="s">
        <v>4451</v>
      </c>
      <c r="I498" s="6" t="str">
        <f t="shared" si="23"/>
        <v>00030497</v>
      </c>
    </row>
    <row r="499" spans="1:9" x14ac:dyDescent="0.3">
      <c r="A499">
        <v>498</v>
      </c>
      <c r="B499" s="6">
        <v>31162284</v>
      </c>
      <c r="C499" t="str">
        <f>VLOOKUP(B499,[1]BD_FINAL!$A:$H,2,FALSE)</f>
        <v>MARLENI</v>
      </c>
      <c r="D499" t="str">
        <f>VLOOKUP(B499,[1]BD_FINAL!$A:$H,3,FALSE)</f>
        <v>Cali</v>
      </c>
      <c r="E499" t="str">
        <f>VLOOKUP(B499,[1]BD_FINAL!$A:$H,8,FALSE)</f>
        <v>Control</v>
      </c>
      <c r="F499" s="2">
        <f t="shared" si="21"/>
        <v>0</v>
      </c>
      <c r="G499">
        <f t="shared" si="22"/>
        <v>2</v>
      </c>
      <c r="H499" s="3" t="s">
        <v>4452</v>
      </c>
      <c r="I499" s="6" t="str">
        <f t="shared" si="23"/>
        <v>00020498</v>
      </c>
    </row>
    <row r="500" spans="1:9" x14ac:dyDescent="0.3">
      <c r="A500">
        <v>499</v>
      </c>
      <c r="B500" s="6">
        <v>31214997</v>
      </c>
      <c r="C500" t="str">
        <f>VLOOKUP(B500,[1]BD_FINAL!$A:$H,2,FALSE)</f>
        <v>Gregoria</v>
      </c>
      <c r="D500" t="str">
        <f>VLOOKUP(B500,[1]BD_FINAL!$A:$H,3,FALSE)</f>
        <v>Cali</v>
      </c>
      <c r="E500" t="str">
        <f>VLOOKUP(B500,[1]BD_FINAL!$A:$H,8,FALSE)</f>
        <v>Tratamiento</v>
      </c>
      <c r="F500" s="2">
        <f t="shared" si="21"/>
        <v>1</v>
      </c>
      <c r="G500">
        <f t="shared" si="22"/>
        <v>2</v>
      </c>
      <c r="H500" s="3" t="s">
        <v>4453</v>
      </c>
      <c r="I500" s="6" t="str">
        <f t="shared" si="23"/>
        <v>01020499</v>
      </c>
    </row>
    <row r="501" spans="1:9" x14ac:dyDescent="0.3">
      <c r="A501">
        <v>500</v>
      </c>
      <c r="B501" s="6">
        <v>31219519</v>
      </c>
      <c r="C501" t="str">
        <f>VLOOKUP(B501,[1]BD_FINAL!$A:$H,2,FALSE)</f>
        <v xml:space="preserve">Leonila </v>
      </c>
      <c r="D501" t="str">
        <f>VLOOKUP(B501,[1]BD_FINAL!$A:$H,3,FALSE)</f>
        <v>Cali</v>
      </c>
      <c r="E501" t="str">
        <f>VLOOKUP(B501,[1]BD_FINAL!$A:$H,8,FALSE)</f>
        <v>Control</v>
      </c>
      <c r="F501" s="2">
        <f t="shared" si="21"/>
        <v>0</v>
      </c>
      <c r="G501">
        <f t="shared" si="22"/>
        <v>2</v>
      </c>
      <c r="H501" s="3" t="s">
        <v>4454</v>
      </c>
      <c r="I501" s="6" t="str">
        <f t="shared" si="23"/>
        <v>00020500</v>
      </c>
    </row>
    <row r="502" spans="1:9" x14ac:dyDescent="0.3">
      <c r="A502">
        <v>501</v>
      </c>
      <c r="B502" s="6">
        <v>31223132</v>
      </c>
      <c r="C502" t="str">
        <f>VLOOKUP(B502,[1]BD_FINAL!$A:$H,2,FALSE)</f>
        <v>Bertha</v>
      </c>
      <c r="D502" t="str">
        <f>VLOOKUP(B502,[1]BD_FINAL!$A:$H,3,FALSE)</f>
        <v>Cali</v>
      </c>
      <c r="E502" t="str">
        <f>VLOOKUP(B502,[1]BD_FINAL!$A:$H,8,FALSE)</f>
        <v>Control</v>
      </c>
      <c r="F502" s="2">
        <f t="shared" si="21"/>
        <v>0</v>
      </c>
      <c r="G502">
        <f t="shared" si="22"/>
        <v>2</v>
      </c>
      <c r="H502" s="3" t="s">
        <v>4455</v>
      </c>
      <c r="I502" s="6" t="str">
        <f t="shared" si="23"/>
        <v>00020501</v>
      </c>
    </row>
    <row r="503" spans="1:9" x14ac:dyDescent="0.3">
      <c r="A503">
        <v>502</v>
      </c>
      <c r="B503" s="6">
        <v>31231329</v>
      </c>
      <c r="C503" t="str">
        <f>VLOOKUP(B503,[1]BD_FINAL!$A:$H,2,FALSE)</f>
        <v xml:space="preserve">Miriam </v>
      </c>
      <c r="D503" t="str">
        <f>VLOOKUP(B503,[1]BD_FINAL!$A:$H,3,FALSE)</f>
        <v>Cali</v>
      </c>
      <c r="E503" t="str">
        <f>VLOOKUP(B503,[1]BD_FINAL!$A:$H,8,FALSE)</f>
        <v>Control</v>
      </c>
      <c r="F503" s="2">
        <f t="shared" si="21"/>
        <v>0</v>
      </c>
      <c r="G503">
        <f t="shared" si="22"/>
        <v>2</v>
      </c>
      <c r="H503" s="3" t="s">
        <v>4456</v>
      </c>
      <c r="I503" s="6" t="str">
        <f t="shared" si="23"/>
        <v>00020502</v>
      </c>
    </row>
    <row r="504" spans="1:9" x14ac:dyDescent="0.3">
      <c r="A504">
        <v>503</v>
      </c>
      <c r="B504" s="6">
        <v>31244762</v>
      </c>
      <c r="C504" t="str">
        <f>VLOOKUP(B504,[1]BD_FINAL!$A:$H,2,FALSE)</f>
        <v xml:space="preserve">Olga María </v>
      </c>
      <c r="D504" t="str">
        <f>VLOOKUP(B504,[1]BD_FINAL!$A:$H,3,FALSE)</f>
        <v>Cali</v>
      </c>
      <c r="E504" t="str">
        <f>VLOOKUP(B504,[1]BD_FINAL!$A:$H,8,FALSE)</f>
        <v>Control</v>
      </c>
      <c r="F504" s="2">
        <f t="shared" si="21"/>
        <v>0</v>
      </c>
      <c r="G504">
        <f t="shared" si="22"/>
        <v>2</v>
      </c>
      <c r="H504" s="3" t="s">
        <v>4457</v>
      </c>
      <c r="I504" s="6" t="str">
        <f t="shared" si="23"/>
        <v>00020503</v>
      </c>
    </row>
    <row r="505" spans="1:9" x14ac:dyDescent="0.3">
      <c r="A505">
        <v>504</v>
      </c>
      <c r="B505" s="6">
        <v>31248209</v>
      </c>
      <c r="C505" t="str">
        <f>VLOOKUP(B505,[1]BD_FINAL!$A:$H,2,FALSE)</f>
        <v>Zoila rosa</v>
      </c>
      <c r="D505" t="str">
        <f>VLOOKUP(B505,[1]BD_FINAL!$A:$H,3,FALSE)</f>
        <v>Cali</v>
      </c>
      <c r="E505" t="str">
        <f>VLOOKUP(B505,[1]BD_FINAL!$A:$H,8,FALSE)</f>
        <v>Control</v>
      </c>
      <c r="F505" s="2">
        <f t="shared" si="21"/>
        <v>0</v>
      </c>
      <c r="G505">
        <f t="shared" si="22"/>
        <v>2</v>
      </c>
      <c r="H505" s="3" t="s">
        <v>4458</v>
      </c>
      <c r="I505" s="6" t="str">
        <f t="shared" si="23"/>
        <v>00020504</v>
      </c>
    </row>
    <row r="506" spans="1:9" x14ac:dyDescent="0.3">
      <c r="A506">
        <v>505</v>
      </c>
      <c r="B506" s="6">
        <v>31249710</v>
      </c>
      <c r="C506" t="str">
        <f>VLOOKUP(B506,[1]BD_FINAL!$A:$H,2,FALSE)</f>
        <v>María Soledad</v>
      </c>
      <c r="D506" t="str">
        <f>VLOOKUP(B506,[1]BD_FINAL!$A:$H,3,FALSE)</f>
        <v>Cali</v>
      </c>
      <c r="E506" t="str">
        <f>VLOOKUP(B506,[1]BD_FINAL!$A:$H,8,FALSE)</f>
        <v>Control</v>
      </c>
      <c r="F506" s="2">
        <f t="shared" si="21"/>
        <v>0</v>
      </c>
      <c r="G506">
        <f t="shared" si="22"/>
        <v>2</v>
      </c>
      <c r="H506" s="3" t="s">
        <v>4459</v>
      </c>
      <c r="I506" s="6" t="str">
        <f t="shared" si="23"/>
        <v>00020505</v>
      </c>
    </row>
    <row r="507" spans="1:9" x14ac:dyDescent="0.3">
      <c r="A507">
        <v>506</v>
      </c>
      <c r="B507" s="6">
        <v>31255887</v>
      </c>
      <c r="C507" t="str">
        <f>VLOOKUP(B507,[1]BD_FINAL!$A:$H,2,FALSE)</f>
        <v>Yolanda</v>
      </c>
      <c r="D507" t="str">
        <f>VLOOKUP(B507,[1]BD_FINAL!$A:$H,3,FALSE)</f>
        <v>Cali</v>
      </c>
      <c r="E507" t="str">
        <f>VLOOKUP(B507,[1]BD_FINAL!$A:$H,8,FALSE)</f>
        <v>Control</v>
      </c>
      <c r="F507" s="2">
        <f t="shared" si="21"/>
        <v>0</v>
      </c>
      <c r="G507">
        <f t="shared" si="22"/>
        <v>2</v>
      </c>
      <c r="H507" s="3" t="s">
        <v>4460</v>
      </c>
      <c r="I507" s="6" t="str">
        <f t="shared" si="23"/>
        <v>00020506</v>
      </c>
    </row>
    <row r="508" spans="1:9" x14ac:dyDescent="0.3">
      <c r="A508">
        <v>507</v>
      </c>
      <c r="B508" s="6">
        <v>31264863</v>
      </c>
      <c r="C508" t="str">
        <f>VLOOKUP(B508,[1]BD_FINAL!$A:$H,2,FALSE)</f>
        <v xml:space="preserve">LUZ MARINA </v>
      </c>
      <c r="D508" t="str">
        <f>VLOOKUP(B508,[1]BD_FINAL!$A:$H,3,FALSE)</f>
        <v>Cali</v>
      </c>
      <c r="E508" t="str">
        <f>VLOOKUP(B508,[1]BD_FINAL!$A:$H,8,FALSE)</f>
        <v>Control</v>
      </c>
      <c r="F508" s="2">
        <f t="shared" si="21"/>
        <v>0</v>
      </c>
      <c r="G508">
        <f t="shared" si="22"/>
        <v>2</v>
      </c>
      <c r="H508" s="3" t="s">
        <v>4461</v>
      </c>
      <c r="I508" s="6" t="str">
        <f t="shared" si="23"/>
        <v>00020507</v>
      </c>
    </row>
    <row r="509" spans="1:9" x14ac:dyDescent="0.3">
      <c r="A509">
        <v>508</v>
      </c>
      <c r="B509" s="6">
        <v>31264907</v>
      </c>
      <c r="C509" t="str">
        <f>VLOOKUP(B509,[1]BD_FINAL!$A:$H,2,FALSE)</f>
        <v>Maria Elcira</v>
      </c>
      <c r="D509" t="str">
        <f>VLOOKUP(B509,[1]BD_FINAL!$A:$H,3,FALSE)</f>
        <v>Cali</v>
      </c>
      <c r="E509" t="str">
        <f>VLOOKUP(B509,[1]BD_FINAL!$A:$H,8,FALSE)</f>
        <v>Control</v>
      </c>
      <c r="F509" s="2">
        <f t="shared" si="21"/>
        <v>0</v>
      </c>
      <c r="G509">
        <f t="shared" si="22"/>
        <v>2</v>
      </c>
      <c r="H509" s="3" t="s">
        <v>4462</v>
      </c>
      <c r="I509" s="6" t="str">
        <f t="shared" si="23"/>
        <v>00020508</v>
      </c>
    </row>
    <row r="510" spans="1:9" x14ac:dyDescent="0.3">
      <c r="A510">
        <v>509</v>
      </c>
      <c r="B510" s="6">
        <v>31272555</v>
      </c>
      <c r="C510" t="str">
        <f>VLOOKUP(B510,[1]BD_FINAL!$A:$H,2,FALSE)</f>
        <v>Reina María</v>
      </c>
      <c r="D510" t="str">
        <f>VLOOKUP(B510,[1]BD_FINAL!$A:$H,3,FALSE)</f>
        <v>Cali</v>
      </c>
      <c r="E510" t="str">
        <f>VLOOKUP(B510,[1]BD_FINAL!$A:$H,8,FALSE)</f>
        <v>Control</v>
      </c>
      <c r="F510" s="2">
        <f t="shared" si="21"/>
        <v>0</v>
      </c>
      <c r="G510">
        <f t="shared" si="22"/>
        <v>2</v>
      </c>
      <c r="H510" s="3" t="s">
        <v>4463</v>
      </c>
      <c r="I510" s="6" t="str">
        <f t="shared" si="23"/>
        <v>00020509</v>
      </c>
    </row>
    <row r="511" spans="1:9" x14ac:dyDescent="0.3">
      <c r="A511">
        <v>510</v>
      </c>
      <c r="B511" s="6">
        <v>31282345</v>
      </c>
      <c r="C511" t="str">
        <f>VLOOKUP(B511,[1]BD_FINAL!$A:$H,2,FALSE)</f>
        <v xml:space="preserve">MARÍA ELENA </v>
      </c>
      <c r="D511" t="str">
        <f>VLOOKUP(B511,[1]BD_FINAL!$A:$H,3,FALSE)</f>
        <v>Cali</v>
      </c>
      <c r="E511" t="str">
        <f>VLOOKUP(B511,[1]BD_FINAL!$A:$H,8,FALSE)</f>
        <v>Tratamiento</v>
      </c>
      <c r="F511" s="2">
        <f t="shared" si="21"/>
        <v>1</v>
      </c>
      <c r="G511">
        <f t="shared" si="22"/>
        <v>2</v>
      </c>
      <c r="H511" s="3" t="s">
        <v>4464</v>
      </c>
      <c r="I511" s="6" t="str">
        <f t="shared" si="23"/>
        <v>01020510</v>
      </c>
    </row>
    <row r="512" spans="1:9" x14ac:dyDescent="0.3">
      <c r="A512">
        <v>511</v>
      </c>
      <c r="B512" s="6">
        <v>31282655</v>
      </c>
      <c r="C512" t="str">
        <f>VLOOKUP(B512,[1]BD_FINAL!$A:$H,2,FALSE)</f>
        <v>Graciela</v>
      </c>
      <c r="D512" t="str">
        <f>VLOOKUP(B512,[1]BD_FINAL!$A:$H,3,FALSE)</f>
        <v>Cali</v>
      </c>
      <c r="E512" t="str">
        <f>VLOOKUP(B512,[1]BD_FINAL!$A:$H,8,FALSE)</f>
        <v>Control</v>
      </c>
      <c r="F512" s="2">
        <f t="shared" si="21"/>
        <v>0</v>
      </c>
      <c r="G512">
        <f t="shared" si="22"/>
        <v>2</v>
      </c>
      <c r="H512" s="3" t="s">
        <v>4465</v>
      </c>
      <c r="I512" s="6" t="str">
        <f t="shared" si="23"/>
        <v>00020511</v>
      </c>
    </row>
    <row r="513" spans="1:9" x14ac:dyDescent="0.3">
      <c r="A513">
        <v>512</v>
      </c>
      <c r="B513" s="6">
        <v>31288307</v>
      </c>
      <c r="C513" t="str">
        <f>VLOOKUP(B513,[1]BD_FINAL!$A:$H,2,FALSE)</f>
        <v xml:space="preserve">MARÍA ELEUTERIA </v>
      </c>
      <c r="D513" t="str">
        <f>VLOOKUP(B513,[1]BD_FINAL!$A:$H,3,FALSE)</f>
        <v>Cali</v>
      </c>
      <c r="E513" t="str">
        <f>VLOOKUP(B513,[1]BD_FINAL!$A:$H,8,FALSE)</f>
        <v>Tratamiento</v>
      </c>
      <c r="F513" s="2">
        <f t="shared" si="21"/>
        <v>1</v>
      </c>
      <c r="G513">
        <f t="shared" si="22"/>
        <v>2</v>
      </c>
      <c r="H513" s="3" t="s">
        <v>4466</v>
      </c>
      <c r="I513" s="6" t="str">
        <f t="shared" si="23"/>
        <v>01020512</v>
      </c>
    </row>
    <row r="514" spans="1:9" x14ac:dyDescent="0.3">
      <c r="A514">
        <v>513</v>
      </c>
      <c r="B514" s="6">
        <v>31289498</v>
      </c>
      <c r="C514" t="str">
        <f>VLOOKUP(B514,[1]BD_FINAL!$A:$H,2,FALSE)</f>
        <v xml:space="preserve">Laureano </v>
      </c>
      <c r="D514" t="str">
        <f>VLOOKUP(B514,[1]BD_FINAL!$A:$H,3,FALSE)</f>
        <v>Cali</v>
      </c>
      <c r="E514" t="str">
        <f>VLOOKUP(B514,[1]BD_FINAL!$A:$H,8,FALSE)</f>
        <v>Tratamiento</v>
      </c>
      <c r="F514" s="2">
        <f t="shared" si="21"/>
        <v>1</v>
      </c>
      <c r="G514">
        <f t="shared" si="22"/>
        <v>2</v>
      </c>
      <c r="H514" s="3" t="s">
        <v>4467</v>
      </c>
      <c r="I514" s="6" t="str">
        <f t="shared" si="23"/>
        <v>01020513</v>
      </c>
    </row>
    <row r="515" spans="1:9" x14ac:dyDescent="0.3">
      <c r="A515">
        <v>514</v>
      </c>
      <c r="B515" s="6">
        <v>31295696</v>
      </c>
      <c r="C515" t="str">
        <f>VLOOKUP(B515,[1]BD_FINAL!$A:$H,2,FALSE)</f>
        <v>Mery floralba</v>
      </c>
      <c r="D515" t="str">
        <f>VLOOKUP(B515,[1]BD_FINAL!$A:$H,3,FALSE)</f>
        <v>Cali</v>
      </c>
      <c r="E515" t="str">
        <f>VLOOKUP(B515,[1]BD_FINAL!$A:$H,8,FALSE)</f>
        <v>Control</v>
      </c>
      <c r="F515" s="2">
        <f t="shared" ref="F515:F578" si="24">IF(E515="CONTROL",0,1)</f>
        <v>0</v>
      </c>
      <c r="G515">
        <f t="shared" ref="G515:G578" si="25">IF(D515="Medellin",1,IF(D515="Cali",2,IF(D515="Baranquilla",3,0)))</f>
        <v>2</v>
      </c>
      <c r="H515" s="3" t="s">
        <v>4468</v>
      </c>
      <c r="I515" s="6" t="str">
        <f t="shared" ref="I515:I578" si="26">_xlfn.CONCAT(0,F515,0,G515,H515)</f>
        <v>00020514</v>
      </c>
    </row>
    <row r="516" spans="1:9" x14ac:dyDescent="0.3">
      <c r="A516">
        <v>515</v>
      </c>
      <c r="B516" s="6">
        <v>31298525</v>
      </c>
      <c r="C516" t="str">
        <f>VLOOKUP(B516,[1]BD_FINAL!$A:$H,2,FALSE)</f>
        <v>María Nubia</v>
      </c>
      <c r="D516" t="str">
        <f>VLOOKUP(B516,[1]BD_FINAL!$A:$H,3,FALSE)</f>
        <v>Cali</v>
      </c>
      <c r="E516" t="str">
        <f>VLOOKUP(B516,[1]BD_FINAL!$A:$H,8,FALSE)</f>
        <v>Tratamiento</v>
      </c>
      <c r="F516" s="2">
        <f t="shared" si="24"/>
        <v>1</v>
      </c>
      <c r="G516">
        <f t="shared" si="25"/>
        <v>2</v>
      </c>
      <c r="H516" s="3" t="s">
        <v>4469</v>
      </c>
      <c r="I516" s="6" t="str">
        <f t="shared" si="26"/>
        <v>01020515</v>
      </c>
    </row>
    <row r="517" spans="1:9" x14ac:dyDescent="0.3">
      <c r="A517">
        <v>516</v>
      </c>
      <c r="B517" s="6">
        <v>31299759</v>
      </c>
      <c r="C517" t="str">
        <f>VLOOKUP(B517,[1]BD_FINAL!$A:$H,2,FALSE)</f>
        <v xml:space="preserve">AMANDA </v>
      </c>
      <c r="D517" t="str">
        <f>VLOOKUP(B517,[1]BD_FINAL!$A:$H,3,FALSE)</f>
        <v>Cali</v>
      </c>
      <c r="E517" t="str">
        <f>VLOOKUP(B517,[1]BD_FINAL!$A:$H,8,FALSE)</f>
        <v>Control</v>
      </c>
      <c r="F517" s="2">
        <f t="shared" si="24"/>
        <v>0</v>
      </c>
      <c r="G517">
        <f t="shared" si="25"/>
        <v>2</v>
      </c>
      <c r="H517" s="3" t="s">
        <v>4470</v>
      </c>
      <c r="I517" s="6" t="str">
        <f t="shared" si="26"/>
        <v>00020516</v>
      </c>
    </row>
    <row r="518" spans="1:9" x14ac:dyDescent="0.3">
      <c r="A518">
        <v>517</v>
      </c>
      <c r="B518" s="6">
        <v>31304801</v>
      </c>
      <c r="C518" t="str">
        <f>VLOOKUP(B518,[1]BD_FINAL!$A:$H,2,FALSE)</f>
        <v>Aixa maria</v>
      </c>
      <c r="D518" t="str">
        <f>VLOOKUP(B518,[1]BD_FINAL!$A:$H,3,FALSE)</f>
        <v>Cali</v>
      </c>
      <c r="E518" t="str">
        <f>VLOOKUP(B518,[1]BD_FINAL!$A:$H,8,FALSE)</f>
        <v>Tratamiento</v>
      </c>
      <c r="F518" s="2">
        <f t="shared" si="24"/>
        <v>1</v>
      </c>
      <c r="G518">
        <f t="shared" si="25"/>
        <v>2</v>
      </c>
      <c r="H518" s="3" t="s">
        <v>4471</v>
      </c>
      <c r="I518" s="6" t="str">
        <f t="shared" si="26"/>
        <v>01020517</v>
      </c>
    </row>
    <row r="519" spans="1:9" x14ac:dyDescent="0.3">
      <c r="A519">
        <v>518</v>
      </c>
      <c r="B519" s="6">
        <v>31304971</v>
      </c>
      <c r="C519" t="str">
        <f>VLOOKUP(B519,[1]BD_FINAL!$A:$H,2,FALSE)</f>
        <v>Maria Fidelina</v>
      </c>
      <c r="D519" t="str">
        <f>VLOOKUP(B519,[1]BD_FINAL!$A:$H,3,FALSE)</f>
        <v>Cali</v>
      </c>
      <c r="E519" t="str">
        <f>VLOOKUP(B519,[1]BD_FINAL!$A:$H,8,FALSE)</f>
        <v>Control</v>
      </c>
      <c r="F519" s="2">
        <f t="shared" si="24"/>
        <v>0</v>
      </c>
      <c r="G519">
        <f t="shared" si="25"/>
        <v>2</v>
      </c>
      <c r="H519" s="3" t="s">
        <v>4472</v>
      </c>
      <c r="I519" s="6" t="str">
        <f t="shared" si="26"/>
        <v>00020518</v>
      </c>
    </row>
    <row r="520" spans="1:9" x14ac:dyDescent="0.3">
      <c r="A520">
        <v>519</v>
      </c>
      <c r="B520" s="6">
        <v>31304999</v>
      </c>
      <c r="C520" t="str">
        <f>VLOOKUP(B520,[1]BD_FINAL!$A:$H,2,FALSE)</f>
        <v>Ana</v>
      </c>
      <c r="D520" t="str">
        <f>VLOOKUP(B520,[1]BD_FINAL!$A:$H,3,FALSE)</f>
        <v>Cali</v>
      </c>
      <c r="E520" t="str">
        <f>VLOOKUP(B520,[1]BD_FINAL!$A:$H,8,FALSE)</f>
        <v>Control</v>
      </c>
      <c r="F520" s="2">
        <f t="shared" si="24"/>
        <v>0</v>
      </c>
      <c r="G520">
        <f t="shared" si="25"/>
        <v>2</v>
      </c>
      <c r="H520" s="3" t="s">
        <v>4473</v>
      </c>
      <c r="I520" s="6" t="str">
        <f t="shared" si="26"/>
        <v>00020519</v>
      </c>
    </row>
    <row r="521" spans="1:9" x14ac:dyDescent="0.3">
      <c r="A521">
        <v>520</v>
      </c>
      <c r="B521" s="6">
        <v>31400886</v>
      </c>
      <c r="C521" t="str">
        <f>VLOOKUP(B521,[1]BD_FINAL!$A:$H,2,FALSE)</f>
        <v>Rosaurina</v>
      </c>
      <c r="D521" t="str">
        <f>VLOOKUP(B521,[1]BD_FINAL!$A:$H,3,FALSE)</f>
        <v>Cali</v>
      </c>
      <c r="E521" t="str">
        <f>VLOOKUP(B521,[1]BD_FINAL!$A:$H,8,FALSE)</f>
        <v>Control</v>
      </c>
      <c r="F521" s="2">
        <f t="shared" si="24"/>
        <v>0</v>
      </c>
      <c r="G521">
        <f t="shared" si="25"/>
        <v>2</v>
      </c>
      <c r="H521" s="3" t="s">
        <v>4474</v>
      </c>
      <c r="I521" s="6" t="str">
        <f t="shared" si="26"/>
        <v>00020520</v>
      </c>
    </row>
    <row r="522" spans="1:9" x14ac:dyDescent="0.3">
      <c r="A522">
        <v>521</v>
      </c>
      <c r="B522" s="6">
        <v>31445562</v>
      </c>
      <c r="C522" t="str">
        <f>VLOOKUP(B522,[1]BD_FINAL!$A:$H,2,FALSE)</f>
        <v>Mariela</v>
      </c>
      <c r="D522" t="str">
        <f>VLOOKUP(B522,[1]BD_FINAL!$A:$H,3,FALSE)</f>
        <v>Cali</v>
      </c>
      <c r="E522" t="str">
        <f>VLOOKUP(B522,[1]BD_FINAL!$A:$H,8,FALSE)</f>
        <v>Tratamiento</v>
      </c>
      <c r="F522" s="2">
        <f t="shared" si="24"/>
        <v>1</v>
      </c>
      <c r="G522">
        <f t="shared" si="25"/>
        <v>2</v>
      </c>
      <c r="H522" s="3" t="s">
        <v>4475</v>
      </c>
      <c r="I522" s="6" t="str">
        <f t="shared" si="26"/>
        <v>01020521</v>
      </c>
    </row>
    <row r="523" spans="1:9" x14ac:dyDescent="0.3">
      <c r="A523">
        <v>522</v>
      </c>
      <c r="B523" s="6">
        <v>31445743</v>
      </c>
      <c r="C523" t="str">
        <f>VLOOKUP(B523,[1]BD_FINAL!$A:$H,2,FALSE)</f>
        <v>Sandra Milena</v>
      </c>
      <c r="D523" t="str">
        <f>VLOOKUP(B523,[1]BD_FINAL!$A:$H,3,FALSE)</f>
        <v>Cali</v>
      </c>
      <c r="E523" t="str">
        <f>VLOOKUP(B523,[1]BD_FINAL!$A:$H,8,FALSE)</f>
        <v>Tratamiento</v>
      </c>
      <c r="F523" s="2">
        <f t="shared" si="24"/>
        <v>1</v>
      </c>
      <c r="G523">
        <f t="shared" si="25"/>
        <v>2</v>
      </c>
      <c r="H523" s="3" t="s">
        <v>4476</v>
      </c>
      <c r="I523" s="6" t="str">
        <f t="shared" si="26"/>
        <v>01020522</v>
      </c>
    </row>
    <row r="524" spans="1:9" x14ac:dyDescent="0.3">
      <c r="A524">
        <v>523</v>
      </c>
      <c r="B524" s="6">
        <v>31446617</v>
      </c>
      <c r="C524" t="str">
        <f>VLOOKUP(B524,[1]BD_FINAL!$A:$H,2,FALSE)</f>
        <v xml:space="preserve">Paulo cesar </v>
      </c>
      <c r="D524" t="str">
        <f>VLOOKUP(B524,[1]BD_FINAL!$A:$H,3,FALSE)</f>
        <v>Cali</v>
      </c>
      <c r="E524" t="str">
        <f>VLOOKUP(B524,[1]BD_FINAL!$A:$H,8,FALSE)</f>
        <v>Tratamiento</v>
      </c>
      <c r="F524" s="2">
        <f t="shared" si="24"/>
        <v>1</v>
      </c>
      <c r="G524">
        <f t="shared" si="25"/>
        <v>2</v>
      </c>
      <c r="H524" s="3" t="s">
        <v>4477</v>
      </c>
      <c r="I524" s="6" t="str">
        <f t="shared" si="26"/>
        <v>01020523</v>
      </c>
    </row>
    <row r="525" spans="1:9" x14ac:dyDescent="0.3">
      <c r="A525">
        <v>524</v>
      </c>
      <c r="B525" s="6">
        <v>31449382</v>
      </c>
      <c r="C525" t="str">
        <f>VLOOKUP(B525,[1]BD_FINAL!$A:$H,2,FALSE)</f>
        <v>Sandra milena</v>
      </c>
      <c r="D525" t="str">
        <f>VLOOKUP(B525,[1]BD_FINAL!$A:$H,3,FALSE)</f>
        <v>Cali</v>
      </c>
      <c r="E525" t="str">
        <f>VLOOKUP(B525,[1]BD_FINAL!$A:$H,8,FALSE)</f>
        <v>Tratamiento</v>
      </c>
      <c r="F525" s="2">
        <f t="shared" si="24"/>
        <v>1</v>
      </c>
      <c r="G525">
        <f t="shared" si="25"/>
        <v>2</v>
      </c>
      <c r="H525" s="3" t="s">
        <v>4478</v>
      </c>
      <c r="I525" s="6" t="str">
        <f t="shared" si="26"/>
        <v>01020524</v>
      </c>
    </row>
    <row r="526" spans="1:9" x14ac:dyDescent="0.3">
      <c r="A526">
        <v>525</v>
      </c>
      <c r="B526" s="6">
        <v>31474654</v>
      </c>
      <c r="C526" t="str">
        <f>VLOOKUP(B526,[1]BD_FINAL!$A:$H,2,FALSE)</f>
        <v xml:space="preserve">LUZ MARY </v>
      </c>
      <c r="D526" t="str">
        <f>VLOOKUP(B526,[1]BD_FINAL!$A:$H,3,FALSE)</f>
        <v>Cali</v>
      </c>
      <c r="E526" t="str">
        <f>VLOOKUP(B526,[1]BD_FINAL!$A:$H,8,FALSE)</f>
        <v>Control</v>
      </c>
      <c r="F526" s="2">
        <f t="shared" si="24"/>
        <v>0</v>
      </c>
      <c r="G526">
        <f t="shared" si="25"/>
        <v>2</v>
      </c>
      <c r="H526" s="3" t="s">
        <v>4479</v>
      </c>
      <c r="I526" s="6" t="str">
        <f t="shared" si="26"/>
        <v>00020525</v>
      </c>
    </row>
    <row r="527" spans="1:9" x14ac:dyDescent="0.3">
      <c r="A527">
        <v>526</v>
      </c>
      <c r="B527" s="6">
        <v>31524379</v>
      </c>
      <c r="C527" t="str">
        <f>VLOOKUP(B527,[1]BD_FINAL!$A:$H,2,FALSE)</f>
        <v xml:space="preserve">GERARDINA </v>
      </c>
      <c r="D527" t="str">
        <f>VLOOKUP(B527,[1]BD_FINAL!$A:$H,3,FALSE)</f>
        <v>Cali</v>
      </c>
      <c r="E527" t="str">
        <f>VLOOKUP(B527,[1]BD_FINAL!$A:$H,8,FALSE)</f>
        <v>Tratamiento</v>
      </c>
      <c r="F527" s="2">
        <f t="shared" si="24"/>
        <v>1</v>
      </c>
      <c r="G527">
        <f t="shared" si="25"/>
        <v>2</v>
      </c>
      <c r="H527" s="3" t="s">
        <v>4480</v>
      </c>
      <c r="I527" s="6" t="str">
        <f t="shared" si="26"/>
        <v>01020526</v>
      </c>
    </row>
    <row r="528" spans="1:9" x14ac:dyDescent="0.3">
      <c r="A528">
        <v>527</v>
      </c>
      <c r="B528" s="6">
        <v>31525011</v>
      </c>
      <c r="C528" t="str">
        <f>VLOOKUP(B528,[1]BD_FINAL!$A:$H,2,FALSE)</f>
        <v>María jesus</v>
      </c>
      <c r="D528" t="str">
        <f>VLOOKUP(B528,[1]BD_FINAL!$A:$H,3,FALSE)</f>
        <v>Cali</v>
      </c>
      <c r="E528" t="str">
        <f>VLOOKUP(B528,[1]BD_FINAL!$A:$H,8,FALSE)</f>
        <v>Tratamiento</v>
      </c>
      <c r="F528" s="2">
        <f t="shared" si="24"/>
        <v>1</v>
      </c>
      <c r="G528">
        <f t="shared" si="25"/>
        <v>2</v>
      </c>
      <c r="H528" s="3" t="s">
        <v>4481</v>
      </c>
      <c r="I528" s="6" t="str">
        <f t="shared" si="26"/>
        <v>01020527</v>
      </c>
    </row>
    <row r="529" spans="1:9" x14ac:dyDescent="0.3">
      <c r="A529">
        <v>528</v>
      </c>
      <c r="B529" s="6">
        <v>31525413</v>
      </c>
      <c r="C529" t="str">
        <f>VLOOKUP(B529,[1]BD_FINAL!$A:$H,2,FALSE)</f>
        <v>José argiro</v>
      </c>
      <c r="D529" t="str">
        <f>VLOOKUP(B529,[1]BD_FINAL!$A:$H,3,FALSE)</f>
        <v>Cali</v>
      </c>
      <c r="E529" t="str">
        <f>VLOOKUP(B529,[1]BD_FINAL!$A:$H,8,FALSE)</f>
        <v>Tratamiento</v>
      </c>
      <c r="F529" s="2">
        <f t="shared" si="24"/>
        <v>1</v>
      </c>
      <c r="G529">
        <f t="shared" si="25"/>
        <v>2</v>
      </c>
      <c r="H529" s="3" t="s">
        <v>4482</v>
      </c>
      <c r="I529" s="6" t="str">
        <f t="shared" si="26"/>
        <v>01020528</v>
      </c>
    </row>
    <row r="530" spans="1:9" x14ac:dyDescent="0.3">
      <c r="A530">
        <v>529</v>
      </c>
      <c r="B530" s="6">
        <v>31534174</v>
      </c>
      <c r="C530" t="str">
        <f>VLOOKUP(B530,[1]BD_FINAL!$A:$H,2,FALSE)</f>
        <v xml:space="preserve">Ana Milena </v>
      </c>
      <c r="D530" t="str">
        <f>VLOOKUP(B530,[1]BD_FINAL!$A:$H,3,FALSE)</f>
        <v>Cali</v>
      </c>
      <c r="E530" t="str">
        <f>VLOOKUP(B530,[1]BD_FINAL!$A:$H,8,FALSE)</f>
        <v>Tratamiento</v>
      </c>
      <c r="F530" s="2">
        <f t="shared" si="24"/>
        <v>1</v>
      </c>
      <c r="G530">
        <f t="shared" si="25"/>
        <v>2</v>
      </c>
      <c r="H530" s="3" t="s">
        <v>4483</v>
      </c>
      <c r="I530" s="6" t="str">
        <f t="shared" si="26"/>
        <v>01020529</v>
      </c>
    </row>
    <row r="531" spans="1:9" x14ac:dyDescent="0.3">
      <c r="A531">
        <v>530</v>
      </c>
      <c r="B531" s="6">
        <v>31535355</v>
      </c>
      <c r="C531" t="str">
        <f>VLOOKUP(B531,[1]BD_FINAL!$A:$H,2,FALSE)</f>
        <v>MONICA</v>
      </c>
      <c r="D531" t="str">
        <f>VLOOKUP(B531,[1]BD_FINAL!$A:$H,3,FALSE)</f>
        <v>Cali</v>
      </c>
      <c r="E531" t="str">
        <f>VLOOKUP(B531,[1]BD_FINAL!$A:$H,8,FALSE)</f>
        <v>Tratamiento</v>
      </c>
      <c r="F531" s="2">
        <f t="shared" si="24"/>
        <v>1</v>
      </c>
      <c r="G531">
        <f t="shared" si="25"/>
        <v>2</v>
      </c>
      <c r="H531" s="3" t="s">
        <v>4484</v>
      </c>
      <c r="I531" s="6" t="str">
        <f t="shared" si="26"/>
        <v>01020530</v>
      </c>
    </row>
    <row r="532" spans="1:9" x14ac:dyDescent="0.3">
      <c r="A532">
        <v>531</v>
      </c>
      <c r="B532" s="6">
        <v>31537995</v>
      </c>
      <c r="C532" t="str">
        <f>VLOOKUP(B532,[1]BD_FINAL!$A:$H,2,FALSE)</f>
        <v xml:space="preserve">LUZ ENEIDA </v>
      </c>
      <c r="D532" t="str">
        <f>VLOOKUP(B532,[1]BD_FINAL!$A:$H,3,FALSE)</f>
        <v>Cali</v>
      </c>
      <c r="E532" t="str">
        <f>VLOOKUP(B532,[1]BD_FINAL!$A:$H,8,FALSE)</f>
        <v>Tratamiento</v>
      </c>
      <c r="F532" s="2">
        <f t="shared" si="24"/>
        <v>1</v>
      </c>
      <c r="G532">
        <f t="shared" si="25"/>
        <v>2</v>
      </c>
      <c r="H532" s="3" t="s">
        <v>4485</v>
      </c>
      <c r="I532" s="6" t="str">
        <f t="shared" si="26"/>
        <v>01020531</v>
      </c>
    </row>
    <row r="533" spans="1:9" x14ac:dyDescent="0.3">
      <c r="A533">
        <v>532</v>
      </c>
      <c r="B533" s="6">
        <v>31574328</v>
      </c>
      <c r="C533" t="str">
        <f>VLOOKUP(B533,[1]BD_FINAL!$A:$H,2,FALSE)</f>
        <v>MÓNICA</v>
      </c>
      <c r="D533" t="str">
        <f>VLOOKUP(B533,[1]BD_FINAL!$A:$H,3,FALSE)</f>
        <v>Cali</v>
      </c>
      <c r="E533" t="str">
        <f>VLOOKUP(B533,[1]BD_FINAL!$A:$H,8,FALSE)</f>
        <v>Control</v>
      </c>
      <c r="F533" s="2">
        <f t="shared" si="24"/>
        <v>0</v>
      </c>
      <c r="G533">
        <f t="shared" si="25"/>
        <v>2</v>
      </c>
      <c r="H533" s="3" t="s">
        <v>4486</v>
      </c>
      <c r="I533" s="6" t="str">
        <f t="shared" si="26"/>
        <v>00020532</v>
      </c>
    </row>
    <row r="534" spans="1:9" x14ac:dyDescent="0.3">
      <c r="A534">
        <v>533</v>
      </c>
      <c r="B534" s="6">
        <v>31577413</v>
      </c>
      <c r="C534" t="str">
        <f>VLOOKUP(B534,[1]BD_FINAL!$A:$H,2,FALSE)</f>
        <v xml:space="preserve">STELLA </v>
      </c>
      <c r="D534" t="str">
        <f>VLOOKUP(B534,[1]BD_FINAL!$A:$H,3,FALSE)</f>
        <v>Cali</v>
      </c>
      <c r="E534" t="str">
        <f>VLOOKUP(B534,[1]BD_FINAL!$A:$H,8,FALSE)</f>
        <v>Tratamiento</v>
      </c>
      <c r="F534" s="2">
        <f t="shared" si="24"/>
        <v>1</v>
      </c>
      <c r="G534">
        <f t="shared" si="25"/>
        <v>2</v>
      </c>
      <c r="H534" s="3" t="s">
        <v>4487</v>
      </c>
      <c r="I534" s="6" t="str">
        <f t="shared" si="26"/>
        <v>01020533</v>
      </c>
    </row>
    <row r="535" spans="1:9" x14ac:dyDescent="0.3">
      <c r="A535">
        <v>534</v>
      </c>
      <c r="B535" s="6">
        <v>31578203</v>
      </c>
      <c r="C535" t="str">
        <f>VLOOKUP(B535,[1]BD_FINAL!$A:$H,2,FALSE)</f>
        <v>Bersalina</v>
      </c>
      <c r="D535" t="str">
        <f>VLOOKUP(B535,[1]BD_FINAL!$A:$H,3,FALSE)</f>
        <v>Cali</v>
      </c>
      <c r="E535" t="str">
        <f>VLOOKUP(B535,[1]BD_FINAL!$A:$H,8,FALSE)</f>
        <v>Tratamiento</v>
      </c>
      <c r="F535" s="2">
        <f t="shared" si="24"/>
        <v>1</v>
      </c>
      <c r="G535">
        <f t="shared" si="25"/>
        <v>2</v>
      </c>
      <c r="H535" s="3" t="s">
        <v>4488</v>
      </c>
      <c r="I535" s="6" t="str">
        <f t="shared" si="26"/>
        <v>01020534</v>
      </c>
    </row>
    <row r="536" spans="1:9" x14ac:dyDescent="0.3">
      <c r="A536">
        <v>535</v>
      </c>
      <c r="B536" s="6">
        <v>31579325</v>
      </c>
      <c r="C536" t="str">
        <f>VLOOKUP(B536,[1]BD_FINAL!$A:$H,2,FALSE)</f>
        <v>MARIA DELMIRA</v>
      </c>
      <c r="D536" t="str">
        <f>VLOOKUP(B536,[1]BD_FINAL!$A:$H,3,FALSE)</f>
        <v>Cali</v>
      </c>
      <c r="E536" t="str">
        <f>VLOOKUP(B536,[1]BD_FINAL!$A:$H,8,FALSE)</f>
        <v>Control</v>
      </c>
      <c r="F536" s="2">
        <f t="shared" si="24"/>
        <v>0</v>
      </c>
      <c r="G536">
        <f t="shared" si="25"/>
        <v>2</v>
      </c>
      <c r="H536" s="3" t="s">
        <v>4489</v>
      </c>
      <c r="I536" s="6" t="str">
        <f t="shared" si="26"/>
        <v>00020535</v>
      </c>
    </row>
    <row r="537" spans="1:9" x14ac:dyDescent="0.3">
      <c r="A537">
        <v>536</v>
      </c>
      <c r="B537" s="6">
        <v>31830427</v>
      </c>
      <c r="C537" t="str">
        <f>VLOOKUP(B537,[1]BD_FINAL!$A:$H,2,FALSE)</f>
        <v>Marlene</v>
      </c>
      <c r="D537" t="str">
        <f>VLOOKUP(B537,[1]BD_FINAL!$A:$H,3,FALSE)</f>
        <v>Cali</v>
      </c>
      <c r="E537" t="str">
        <f>VLOOKUP(B537,[1]BD_FINAL!$A:$H,8,FALSE)</f>
        <v>Tratamiento</v>
      </c>
      <c r="F537" s="2">
        <f t="shared" si="24"/>
        <v>1</v>
      </c>
      <c r="G537">
        <f t="shared" si="25"/>
        <v>2</v>
      </c>
      <c r="H537" s="3" t="s">
        <v>4490</v>
      </c>
      <c r="I537" s="6" t="str">
        <f t="shared" si="26"/>
        <v>01020536</v>
      </c>
    </row>
    <row r="538" spans="1:9" x14ac:dyDescent="0.3">
      <c r="A538">
        <v>537</v>
      </c>
      <c r="B538" s="6">
        <v>31838102</v>
      </c>
      <c r="C538" t="str">
        <f>VLOOKUP(B538,[1]BD_FINAL!$A:$H,2,FALSE)</f>
        <v xml:space="preserve">Teresa </v>
      </c>
      <c r="D538" t="str">
        <f>VLOOKUP(B538,[1]BD_FINAL!$A:$H,3,FALSE)</f>
        <v>Cali</v>
      </c>
      <c r="E538" t="str">
        <f>VLOOKUP(B538,[1]BD_FINAL!$A:$H,8,FALSE)</f>
        <v>Control</v>
      </c>
      <c r="F538" s="2">
        <f t="shared" si="24"/>
        <v>0</v>
      </c>
      <c r="G538">
        <f t="shared" si="25"/>
        <v>2</v>
      </c>
      <c r="H538" s="3" t="s">
        <v>4491</v>
      </c>
      <c r="I538" s="6" t="str">
        <f t="shared" si="26"/>
        <v>00020537</v>
      </c>
    </row>
    <row r="539" spans="1:9" x14ac:dyDescent="0.3">
      <c r="A539">
        <v>538</v>
      </c>
      <c r="B539" s="6">
        <v>31844574</v>
      </c>
      <c r="C539" t="str">
        <f>VLOOKUP(B539,[1]BD_FINAL!$A:$H,2,FALSE)</f>
        <v xml:space="preserve">Luz marina </v>
      </c>
      <c r="D539" t="str">
        <f>VLOOKUP(B539,[1]BD_FINAL!$A:$H,3,FALSE)</f>
        <v>Cali</v>
      </c>
      <c r="E539" t="str">
        <f>VLOOKUP(B539,[1]BD_FINAL!$A:$H,8,FALSE)</f>
        <v>Tratamiento</v>
      </c>
      <c r="F539" s="2">
        <f t="shared" si="24"/>
        <v>1</v>
      </c>
      <c r="G539">
        <f t="shared" si="25"/>
        <v>2</v>
      </c>
      <c r="H539" s="3" t="s">
        <v>4492</v>
      </c>
      <c r="I539" s="6" t="str">
        <f t="shared" si="26"/>
        <v>01020538</v>
      </c>
    </row>
    <row r="540" spans="1:9" x14ac:dyDescent="0.3">
      <c r="A540">
        <v>539</v>
      </c>
      <c r="B540" s="6">
        <v>31849780</v>
      </c>
      <c r="C540" t="str">
        <f>VLOOKUP(B540,[1]BD_FINAL!$A:$H,2,FALSE)</f>
        <v>TEODOMIRA</v>
      </c>
      <c r="D540" t="str">
        <f>VLOOKUP(B540,[1]BD_FINAL!$A:$H,3,FALSE)</f>
        <v>Cali</v>
      </c>
      <c r="E540" t="str">
        <f>VLOOKUP(B540,[1]BD_FINAL!$A:$H,8,FALSE)</f>
        <v>Control</v>
      </c>
      <c r="F540" s="2">
        <f t="shared" si="24"/>
        <v>0</v>
      </c>
      <c r="G540">
        <f t="shared" si="25"/>
        <v>2</v>
      </c>
      <c r="H540" s="3" t="s">
        <v>4493</v>
      </c>
      <c r="I540" s="6" t="str">
        <f t="shared" si="26"/>
        <v>00020539</v>
      </c>
    </row>
    <row r="541" spans="1:9" x14ac:dyDescent="0.3">
      <c r="A541">
        <v>540</v>
      </c>
      <c r="B541" s="6">
        <v>31853274</v>
      </c>
      <c r="C541" t="str">
        <f>VLOOKUP(B541,[1]BD_FINAL!$A:$H,2,FALSE)</f>
        <v>LUZ MIRIAM</v>
      </c>
      <c r="D541" t="str">
        <f>VLOOKUP(B541,[1]BD_FINAL!$A:$H,3,FALSE)</f>
        <v>Cali</v>
      </c>
      <c r="E541" t="str">
        <f>VLOOKUP(B541,[1]BD_FINAL!$A:$H,8,FALSE)</f>
        <v>Control</v>
      </c>
      <c r="F541" s="2">
        <f t="shared" si="24"/>
        <v>0</v>
      </c>
      <c r="G541">
        <f t="shared" si="25"/>
        <v>2</v>
      </c>
      <c r="H541" s="3" t="s">
        <v>4494</v>
      </c>
      <c r="I541" s="6" t="str">
        <f t="shared" si="26"/>
        <v>00020540</v>
      </c>
    </row>
    <row r="542" spans="1:9" x14ac:dyDescent="0.3">
      <c r="A542">
        <v>541</v>
      </c>
      <c r="B542" s="6">
        <v>31855498</v>
      </c>
      <c r="C542" t="str">
        <f>VLOOKUP(B542,[1]BD_FINAL!$A:$H,2,FALSE)</f>
        <v xml:space="preserve">Amparo </v>
      </c>
      <c r="D542" t="str">
        <f>VLOOKUP(B542,[1]BD_FINAL!$A:$H,3,FALSE)</f>
        <v>Cali</v>
      </c>
      <c r="E542" t="str">
        <f>VLOOKUP(B542,[1]BD_FINAL!$A:$H,8,FALSE)</f>
        <v>Control</v>
      </c>
      <c r="F542" s="2">
        <f t="shared" si="24"/>
        <v>0</v>
      </c>
      <c r="G542">
        <f t="shared" si="25"/>
        <v>2</v>
      </c>
      <c r="H542" s="3" t="s">
        <v>4495</v>
      </c>
      <c r="I542" s="6" t="str">
        <f t="shared" si="26"/>
        <v>00020541</v>
      </c>
    </row>
    <row r="543" spans="1:9" x14ac:dyDescent="0.3">
      <c r="A543">
        <v>542</v>
      </c>
      <c r="B543" s="6">
        <v>31855556</v>
      </c>
      <c r="C543" t="str">
        <f>VLOOKUP(B543,[1]BD_FINAL!$A:$H,2,FALSE)</f>
        <v>María yolanda</v>
      </c>
      <c r="D543" t="str">
        <f>VLOOKUP(B543,[1]BD_FINAL!$A:$H,3,FALSE)</f>
        <v>Cali</v>
      </c>
      <c r="E543" t="str">
        <f>VLOOKUP(B543,[1]BD_FINAL!$A:$H,8,FALSE)</f>
        <v>Control</v>
      </c>
      <c r="F543" s="2">
        <f t="shared" si="24"/>
        <v>0</v>
      </c>
      <c r="G543">
        <f t="shared" si="25"/>
        <v>2</v>
      </c>
      <c r="H543" s="3" t="s">
        <v>4496</v>
      </c>
      <c r="I543" s="6" t="str">
        <f t="shared" si="26"/>
        <v>00020542</v>
      </c>
    </row>
    <row r="544" spans="1:9" x14ac:dyDescent="0.3">
      <c r="A544">
        <v>543</v>
      </c>
      <c r="B544" s="6">
        <v>31857033</v>
      </c>
      <c r="C544" t="str">
        <f>VLOOKUP(B544,[1]BD_FINAL!$A:$H,2,FALSE)</f>
        <v>MARICELA</v>
      </c>
      <c r="D544" t="str">
        <f>VLOOKUP(B544,[1]BD_FINAL!$A:$H,3,FALSE)</f>
        <v>Cali</v>
      </c>
      <c r="E544" t="str">
        <f>VLOOKUP(B544,[1]BD_FINAL!$A:$H,8,FALSE)</f>
        <v>Control</v>
      </c>
      <c r="F544" s="2">
        <f t="shared" si="24"/>
        <v>0</v>
      </c>
      <c r="G544">
        <f t="shared" si="25"/>
        <v>2</v>
      </c>
      <c r="H544" s="3" t="s">
        <v>4497</v>
      </c>
      <c r="I544" s="6" t="str">
        <f t="shared" si="26"/>
        <v>00020543</v>
      </c>
    </row>
    <row r="545" spans="1:9" x14ac:dyDescent="0.3">
      <c r="A545">
        <v>544</v>
      </c>
      <c r="B545" s="6">
        <v>31857560</v>
      </c>
      <c r="C545" t="str">
        <f>VLOOKUP(B545,[1]BD_FINAL!$A:$H,2,FALSE)</f>
        <v>María fulvia jacinta</v>
      </c>
      <c r="D545" t="str">
        <f>VLOOKUP(B545,[1]BD_FINAL!$A:$H,3,FALSE)</f>
        <v>Cali</v>
      </c>
      <c r="E545" t="str">
        <f>VLOOKUP(B545,[1]BD_FINAL!$A:$H,8,FALSE)</f>
        <v>Control</v>
      </c>
      <c r="F545" s="2">
        <f t="shared" si="24"/>
        <v>0</v>
      </c>
      <c r="G545">
        <f t="shared" si="25"/>
        <v>2</v>
      </c>
      <c r="H545" s="3" t="s">
        <v>4498</v>
      </c>
      <c r="I545" s="6" t="str">
        <f t="shared" si="26"/>
        <v>00020544</v>
      </c>
    </row>
    <row r="546" spans="1:9" x14ac:dyDescent="0.3">
      <c r="A546">
        <v>545</v>
      </c>
      <c r="B546" s="6">
        <v>31858321</v>
      </c>
      <c r="C546" t="str">
        <f>VLOOKUP(B546,[1]BD_FINAL!$A:$H,2,FALSE)</f>
        <v xml:space="preserve">MARIA DOMINGA </v>
      </c>
      <c r="D546" t="str">
        <f>VLOOKUP(B546,[1]BD_FINAL!$A:$H,3,FALSE)</f>
        <v>Cali</v>
      </c>
      <c r="E546" t="str">
        <f>VLOOKUP(B546,[1]BD_FINAL!$A:$H,8,FALSE)</f>
        <v>Control</v>
      </c>
      <c r="F546" s="2">
        <f t="shared" si="24"/>
        <v>0</v>
      </c>
      <c r="G546">
        <f t="shared" si="25"/>
        <v>2</v>
      </c>
      <c r="H546" s="3" t="s">
        <v>4499</v>
      </c>
      <c r="I546" s="6" t="str">
        <f t="shared" si="26"/>
        <v>00020545</v>
      </c>
    </row>
    <row r="547" spans="1:9" x14ac:dyDescent="0.3">
      <c r="A547">
        <v>546</v>
      </c>
      <c r="B547" s="6">
        <v>31870926</v>
      </c>
      <c r="C547" t="str">
        <f>VLOOKUP(B547,[1]BD_FINAL!$A:$H,2,FALSE)</f>
        <v>MELBA INES</v>
      </c>
      <c r="D547" t="str">
        <f>VLOOKUP(B547,[1]BD_FINAL!$A:$H,3,FALSE)</f>
        <v>Cali</v>
      </c>
      <c r="E547" t="str">
        <f>VLOOKUP(B547,[1]BD_FINAL!$A:$H,8,FALSE)</f>
        <v>Control</v>
      </c>
      <c r="F547" s="2">
        <f t="shared" si="24"/>
        <v>0</v>
      </c>
      <c r="G547">
        <f t="shared" si="25"/>
        <v>2</v>
      </c>
      <c r="H547" s="3" t="s">
        <v>4500</v>
      </c>
      <c r="I547" s="6" t="str">
        <f t="shared" si="26"/>
        <v>00020546</v>
      </c>
    </row>
    <row r="548" spans="1:9" x14ac:dyDescent="0.3">
      <c r="A548">
        <v>547</v>
      </c>
      <c r="B548" s="6">
        <v>31871549</v>
      </c>
      <c r="C548" t="str">
        <f>VLOOKUP(B548,[1]BD_FINAL!$A:$H,2,FALSE)</f>
        <v>Fanny</v>
      </c>
      <c r="D548" t="str">
        <f>VLOOKUP(B548,[1]BD_FINAL!$A:$H,3,FALSE)</f>
        <v>Cali</v>
      </c>
      <c r="E548" t="str">
        <f>VLOOKUP(B548,[1]BD_FINAL!$A:$H,8,FALSE)</f>
        <v>Tratamiento</v>
      </c>
      <c r="F548" s="2">
        <f t="shared" si="24"/>
        <v>1</v>
      </c>
      <c r="G548">
        <f t="shared" si="25"/>
        <v>2</v>
      </c>
      <c r="H548" s="3" t="s">
        <v>4501</v>
      </c>
      <c r="I548" s="6" t="str">
        <f t="shared" si="26"/>
        <v>01020547</v>
      </c>
    </row>
    <row r="549" spans="1:9" x14ac:dyDescent="0.3">
      <c r="A549">
        <v>548</v>
      </c>
      <c r="B549" s="6">
        <v>31873574</v>
      </c>
      <c r="C549" t="str">
        <f>VLOOKUP(B549,[1]BD_FINAL!$A:$H,2,FALSE)</f>
        <v xml:space="preserve">María del Carmen </v>
      </c>
      <c r="D549" t="str">
        <f>VLOOKUP(B549,[1]BD_FINAL!$A:$H,3,FALSE)</f>
        <v>Cali</v>
      </c>
      <c r="E549" t="str">
        <f>VLOOKUP(B549,[1]BD_FINAL!$A:$H,8,FALSE)</f>
        <v>Control</v>
      </c>
      <c r="F549" s="2">
        <f t="shared" si="24"/>
        <v>0</v>
      </c>
      <c r="G549">
        <f t="shared" si="25"/>
        <v>2</v>
      </c>
      <c r="H549" s="3" t="s">
        <v>4502</v>
      </c>
      <c r="I549" s="6" t="str">
        <f t="shared" si="26"/>
        <v>00020548</v>
      </c>
    </row>
    <row r="550" spans="1:9" x14ac:dyDescent="0.3">
      <c r="A550">
        <v>549</v>
      </c>
      <c r="B550" s="6">
        <v>31876572</v>
      </c>
      <c r="C550" t="str">
        <f>VLOOKUP(B550,[1]BD_FINAL!$A:$H,2,FALSE)</f>
        <v>BERTHA LUCIA</v>
      </c>
      <c r="D550" t="str">
        <f>VLOOKUP(B550,[1]BD_FINAL!$A:$H,3,FALSE)</f>
        <v>Cali</v>
      </c>
      <c r="E550" t="str">
        <f>VLOOKUP(B550,[1]BD_FINAL!$A:$H,8,FALSE)</f>
        <v>Control</v>
      </c>
      <c r="F550" s="2">
        <f t="shared" si="24"/>
        <v>0</v>
      </c>
      <c r="G550">
        <f t="shared" si="25"/>
        <v>2</v>
      </c>
      <c r="H550" s="3" t="s">
        <v>4503</v>
      </c>
      <c r="I550" s="6" t="str">
        <f t="shared" si="26"/>
        <v>00020549</v>
      </c>
    </row>
    <row r="551" spans="1:9" x14ac:dyDescent="0.3">
      <c r="A551">
        <v>550</v>
      </c>
      <c r="B551" s="6">
        <v>31884956</v>
      </c>
      <c r="C551" t="str">
        <f>VLOOKUP(B551,[1]BD_FINAL!$A:$H,2,FALSE)</f>
        <v>AYDEE</v>
      </c>
      <c r="D551" t="str">
        <f>VLOOKUP(B551,[1]BD_FINAL!$A:$H,3,FALSE)</f>
        <v>Cali</v>
      </c>
      <c r="E551" t="str">
        <f>VLOOKUP(B551,[1]BD_FINAL!$A:$H,8,FALSE)</f>
        <v>Control</v>
      </c>
      <c r="F551" s="2">
        <f t="shared" si="24"/>
        <v>0</v>
      </c>
      <c r="G551">
        <f t="shared" si="25"/>
        <v>2</v>
      </c>
      <c r="H551" s="3" t="s">
        <v>4504</v>
      </c>
      <c r="I551" s="6" t="str">
        <f t="shared" si="26"/>
        <v>00020550</v>
      </c>
    </row>
    <row r="552" spans="1:9" x14ac:dyDescent="0.3">
      <c r="A552">
        <v>551</v>
      </c>
      <c r="B552" s="6">
        <v>31887694</v>
      </c>
      <c r="C552" t="str">
        <f>VLOOKUP(B552,[1]BD_FINAL!$A:$H,2,FALSE)</f>
        <v>María Miller</v>
      </c>
      <c r="D552" t="str">
        <f>VLOOKUP(B552,[1]BD_FINAL!$A:$H,3,FALSE)</f>
        <v>Cali</v>
      </c>
      <c r="E552" t="str">
        <f>VLOOKUP(B552,[1]BD_FINAL!$A:$H,8,FALSE)</f>
        <v>Tratamiento</v>
      </c>
      <c r="F552" s="2">
        <f t="shared" si="24"/>
        <v>1</v>
      </c>
      <c r="G552">
        <f t="shared" si="25"/>
        <v>2</v>
      </c>
      <c r="H552" s="3" t="s">
        <v>4505</v>
      </c>
      <c r="I552" s="6" t="str">
        <f t="shared" si="26"/>
        <v>01020551</v>
      </c>
    </row>
    <row r="553" spans="1:9" x14ac:dyDescent="0.3">
      <c r="A553">
        <v>552</v>
      </c>
      <c r="B553" s="6">
        <v>31895484</v>
      </c>
      <c r="C553" t="str">
        <f>VLOOKUP(B553,[1]BD_FINAL!$A:$H,2,FALSE)</f>
        <v>MARIA OFELIA</v>
      </c>
      <c r="D553" t="str">
        <f>VLOOKUP(B553,[1]BD_FINAL!$A:$H,3,FALSE)</f>
        <v>Cali</v>
      </c>
      <c r="E553" t="str">
        <f>VLOOKUP(B553,[1]BD_FINAL!$A:$H,8,FALSE)</f>
        <v>Control</v>
      </c>
      <c r="F553" s="2">
        <f t="shared" si="24"/>
        <v>0</v>
      </c>
      <c r="G553">
        <f t="shared" si="25"/>
        <v>2</v>
      </c>
      <c r="H553" s="3" t="s">
        <v>4506</v>
      </c>
      <c r="I553" s="6" t="str">
        <f t="shared" si="26"/>
        <v>00020552</v>
      </c>
    </row>
    <row r="554" spans="1:9" x14ac:dyDescent="0.3">
      <c r="A554">
        <v>553</v>
      </c>
      <c r="B554" s="6">
        <v>31902498</v>
      </c>
      <c r="C554" t="str">
        <f>VLOOKUP(B554,[1]BD_FINAL!$A:$H,2,FALSE)</f>
        <v xml:space="preserve">Lilia Marlene </v>
      </c>
      <c r="D554" t="str">
        <f>VLOOKUP(B554,[1]BD_FINAL!$A:$H,3,FALSE)</f>
        <v>Cali</v>
      </c>
      <c r="E554" t="str">
        <f>VLOOKUP(B554,[1]BD_FINAL!$A:$H,8,FALSE)</f>
        <v>Tratamiento</v>
      </c>
      <c r="F554" s="2">
        <f t="shared" si="24"/>
        <v>1</v>
      </c>
      <c r="G554">
        <f t="shared" si="25"/>
        <v>2</v>
      </c>
      <c r="H554" s="3" t="s">
        <v>4507</v>
      </c>
      <c r="I554" s="6" t="str">
        <f t="shared" si="26"/>
        <v>01020553</v>
      </c>
    </row>
    <row r="555" spans="1:9" x14ac:dyDescent="0.3">
      <c r="A555">
        <v>554</v>
      </c>
      <c r="B555" s="6">
        <v>31905712</v>
      </c>
      <c r="C555" t="str">
        <f>VLOOKUP(B555,[1]BD_FINAL!$A:$H,2,FALSE)</f>
        <v xml:space="preserve">FIDELINE </v>
      </c>
      <c r="D555" t="str">
        <f>VLOOKUP(B555,[1]BD_FINAL!$A:$H,3,FALSE)</f>
        <v>Cali</v>
      </c>
      <c r="E555" t="str">
        <f>VLOOKUP(B555,[1]BD_FINAL!$A:$H,8,FALSE)</f>
        <v>Control</v>
      </c>
      <c r="F555" s="2">
        <f t="shared" si="24"/>
        <v>0</v>
      </c>
      <c r="G555">
        <f t="shared" si="25"/>
        <v>2</v>
      </c>
      <c r="H555" s="3" t="s">
        <v>4508</v>
      </c>
      <c r="I555" s="6" t="str">
        <f t="shared" si="26"/>
        <v>00020554</v>
      </c>
    </row>
    <row r="556" spans="1:9" x14ac:dyDescent="0.3">
      <c r="A556">
        <v>555</v>
      </c>
      <c r="B556" s="6">
        <v>31909149</v>
      </c>
      <c r="C556" t="str">
        <f>VLOOKUP(B556,[1]BD_FINAL!$A:$H,2,FALSE)</f>
        <v>Ana elisa</v>
      </c>
      <c r="D556" t="str">
        <f>VLOOKUP(B556,[1]BD_FINAL!$A:$H,3,FALSE)</f>
        <v>Cali</v>
      </c>
      <c r="E556" t="str">
        <f>VLOOKUP(B556,[1]BD_FINAL!$A:$H,8,FALSE)</f>
        <v>Tratamiento</v>
      </c>
      <c r="F556" s="2">
        <f t="shared" si="24"/>
        <v>1</v>
      </c>
      <c r="G556">
        <f t="shared" si="25"/>
        <v>2</v>
      </c>
      <c r="H556" s="3" t="s">
        <v>4509</v>
      </c>
      <c r="I556" s="6" t="str">
        <f t="shared" si="26"/>
        <v>01020555</v>
      </c>
    </row>
    <row r="557" spans="1:9" x14ac:dyDescent="0.3">
      <c r="A557">
        <v>556</v>
      </c>
      <c r="B557" s="6">
        <v>31909838</v>
      </c>
      <c r="C557" t="str">
        <f>VLOOKUP(B557,[1]BD_FINAL!$A:$H,2,FALSE)</f>
        <v>MARÍA BELBA</v>
      </c>
      <c r="D557" t="str">
        <f>VLOOKUP(B557,[1]BD_FINAL!$A:$H,3,FALSE)</f>
        <v>Cali</v>
      </c>
      <c r="E557" t="str">
        <f>VLOOKUP(B557,[1]BD_FINAL!$A:$H,8,FALSE)</f>
        <v>Control</v>
      </c>
      <c r="F557" s="2">
        <f t="shared" si="24"/>
        <v>0</v>
      </c>
      <c r="G557">
        <f t="shared" si="25"/>
        <v>2</v>
      </c>
      <c r="H557" s="3" t="s">
        <v>4510</v>
      </c>
      <c r="I557" s="6" t="str">
        <f t="shared" si="26"/>
        <v>00020556</v>
      </c>
    </row>
    <row r="558" spans="1:9" x14ac:dyDescent="0.3">
      <c r="A558">
        <v>557</v>
      </c>
      <c r="B558" s="6">
        <v>31914369</v>
      </c>
      <c r="C558" t="str">
        <f>VLOOKUP(B558,[1]BD_FINAL!$A:$H,2,FALSE)</f>
        <v>Yolanda</v>
      </c>
      <c r="D558" t="str">
        <f>VLOOKUP(B558,[1]BD_FINAL!$A:$H,3,FALSE)</f>
        <v>Cali</v>
      </c>
      <c r="E558" t="str">
        <f>VLOOKUP(B558,[1]BD_FINAL!$A:$H,8,FALSE)</f>
        <v>Control</v>
      </c>
      <c r="F558" s="2">
        <f t="shared" si="24"/>
        <v>0</v>
      </c>
      <c r="G558">
        <f t="shared" si="25"/>
        <v>2</v>
      </c>
      <c r="H558" s="3" t="s">
        <v>4511</v>
      </c>
      <c r="I558" s="6" t="str">
        <f t="shared" si="26"/>
        <v>00020557</v>
      </c>
    </row>
    <row r="559" spans="1:9" x14ac:dyDescent="0.3">
      <c r="A559">
        <v>558</v>
      </c>
      <c r="B559" s="6">
        <v>31916260</v>
      </c>
      <c r="C559" t="str">
        <f>VLOOKUP(B559,[1]BD_FINAL!$A:$H,2,FALSE)</f>
        <v xml:space="preserve">LUZ MARIELA </v>
      </c>
      <c r="D559" t="str">
        <f>VLOOKUP(B559,[1]BD_FINAL!$A:$H,3,FALSE)</f>
        <v>Cali</v>
      </c>
      <c r="E559" t="str">
        <f>VLOOKUP(B559,[1]BD_FINAL!$A:$H,8,FALSE)</f>
        <v>Control</v>
      </c>
      <c r="F559" s="2">
        <f t="shared" si="24"/>
        <v>0</v>
      </c>
      <c r="G559">
        <f t="shared" si="25"/>
        <v>2</v>
      </c>
      <c r="H559" s="3" t="s">
        <v>4512</v>
      </c>
      <c r="I559" s="6" t="str">
        <f t="shared" si="26"/>
        <v>00020558</v>
      </c>
    </row>
    <row r="560" spans="1:9" x14ac:dyDescent="0.3">
      <c r="A560">
        <v>559</v>
      </c>
      <c r="B560" s="6">
        <v>31923598</v>
      </c>
      <c r="C560" t="str">
        <f>VLOOKUP(B560,[1]BD_FINAL!$A:$H,2,FALSE)</f>
        <v>Gladis stela</v>
      </c>
      <c r="D560" t="str">
        <f>VLOOKUP(B560,[1]BD_FINAL!$A:$H,3,FALSE)</f>
        <v>Cali</v>
      </c>
      <c r="E560" t="str">
        <f>VLOOKUP(B560,[1]BD_FINAL!$A:$H,8,FALSE)</f>
        <v>Tratamiento</v>
      </c>
      <c r="F560" s="2">
        <f t="shared" si="24"/>
        <v>1</v>
      </c>
      <c r="G560">
        <f t="shared" si="25"/>
        <v>2</v>
      </c>
      <c r="H560" s="3" t="s">
        <v>4513</v>
      </c>
      <c r="I560" s="6" t="str">
        <f t="shared" si="26"/>
        <v>01020559</v>
      </c>
    </row>
    <row r="561" spans="1:9" x14ac:dyDescent="0.3">
      <c r="A561">
        <v>560</v>
      </c>
      <c r="B561" s="6">
        <v>31923606</v>
      </c>
      <c r="C561" t="str">
        <f>VLOOKUP(B561,[1]BD_FINAL!$A:$H,2,FALSE)</f>
        <v>Gloria Amparo</v>
      </c>
      <c r="D561" t="str">
        <f>VLOOKUP(B561,[1]BD_FINAL!$A:$H,3,FALSE)</f>
        <v>Cali</v>
      </c>
      <c r="E561" t="str">
        <f>VLOOKUP(B561,[1]BD_FINAL!$A:$H,8,FALSE)</f>
        <v>Control</v>
      </c>
      <c r="F561" s="2">
        <f t="shared" si="24"/>
        <v>0</v>
      </c>
      <c r="G561">
        <f t="shared" si="25"/>
        <v>2</v>
      </c>
      <c r="H561" s="3" t="s">
        <v>4514</v>
      </c>
      <c r="I561" s="6" t="str">
        <f t="shared" si="26"/>
        <v>00020560</v>
      </c>
    </row>
    <row r="562" spans="1:9" x14ac:dyDescent="0.3">
      <c r="A562">
        <v>561</v>
      </c>
      <c r="B562" s="6">
        <v>31924208</v>
      </c>
      <c r="C562" t="str">
        <f>VLOOKUP(B562,[1]BD_FINAL!$A:$H,2,FALSE)</f>
        <v>Henrry</v>
      </c>
      <c r="D562" t="str">
        <f>VLOOKUP(B562,[1]BD_FINAL!$A:$H,3,FALSE)</f>
        <v>Cali</v>
      </c>
      <c r="E562" t="str">
        <f>VLOOKUP(B562,[1]BD_FINAL!$A:$H,8,FALSE)</f>
        <v>Control</v>
      </c>
      <c r="F562" s="2">
        <f t="shared" si="24"/>
        <v>0</v>
      </c>
      <c r="G562">
        <f t="shared" si="25"/>
        <v>2</v>
      </c>
      <c r="H562" s="3" t="s">
        <v>4515</v>
      </c>
      <c r="I562" s="6" t="str">
        <f t="shared" si="26"/>
        <v>00020561</v>
      </c>
    </row>
    <row r="563" spans="1:9" x14ac:dyDescent="0.3">
      <c r="A563">
        <v>562</v>
      </c>
      <c r="B563" s="6">
        <v>31925580</v>
      </c>
      <c r="C563" t="str">
        <f>VLOOKUP(B563,[1]BD_FINAL!$A:$H,2,FALSE)</f>
        <v xml:space="preserve">FLOR </v>
      </c>
      <c r="D563" t="str">
        <f>VLOOKUP(B563,[1]BD_FINAL!$A:$H,3,FALSE)</f>
        <v>Cali</v>
      </c>
      <c r="E563" t="str">
        <f>VLOOKUP(B563,[1]BD_FINAL!$A:$H,8,FALSE)</f>
        <v>Control</v>
      </c>
      <c r="F563" s="2">
        <f t="shared" si="24"/>
        <v>0</v>
      </c>
      <c r="G563">
        <f t="shared" si="25"/>
        <v>2</v>
      </c>
      <c r="H563" s="3" t="s">
        <v>4516</v>
      </c>
      <c r="I563" s="6" t="str">
        <f t="shared" si="26"/>
        <v>00020562</v>
      </c>
    </row>
    <row r="564" spans="1:9" x14ac:dyDescent="0.3">
      <c r="A564">
        <v>563</v>
      </c>
      <c r="B564" s="6">
        <v>31929380</v>
      </c>
      <c r="C564" t="str">
        <f>VLOOKUP(B564,[1]BD_FINAL!$A:$H,2,FALSE)</f>
        <v>GLORIA AMPARO</v>
      </c>
      <c r="D564" t="str">
        <f>VLOOKUP(B564,[1]BD_FINAL!$A:$H,3,FALSE)</f>
        <v>Cali</v>
      </c>
      <c r="E564" t="str">
        <f>VLOOKUP(B564,[1]BD_FINAL!$A:$H,8,FALSE)</f>
        <v>Tratamiento</v>
      </c>
      <c r="F564" s="2">
        <f t="shared" si="24"/>
        <v>1</v>
      </c>
      <c r="G564">
        <f t="shared" si="25"/>
        <v>2</v>
      </c>
      <c r="H564" s="3" t="s">
        <v>4517</v>
      </c>
      <c r="I564" s="6" t="str">
        <f t="shared" si="26"/>
        <v>01020563</v>
      </c>
    </row>
    <row r="565" spans="1:9" x14ac:dyDescent="0.3">
      <c r="A565">
        <v>564</v>
      </c>
      <c r="B565" s="6">
        <v>31931128</v>
      </c>
      <c r="C565" t="str">
        <f>VLOOKUP(B565,[1]BD_FINAL!$A:$H,2,FALSE)</f>
        <v>Pastora Esneda</v>
      </c>
      <c r="D565" t="str">
        <f>VLOOKUP(B565,[1]BD_FINAL!$A:$H,3,FALSE)</f>
        <v>Cali</v>
      </c>
      <c r="E565" t="str">
        <f>VLOOKUP(B565,[1]BD_FINAL!$A:$H,8,FALSE)</f>
        <v>Control</v>
      </c>
      <c r="F565" s="2">
        <f t="shared" si="24"/>
        <v>0</v>
      </c>
      <c r="G565">
        <f t="shared" si="25"/>
        <v>2</v>
      </c>
      <c r="H565" s="3" t="s">
        <v>4518</v>
      </c>
      <c r="I565" s="6" t="str">
        <f t="shared" si="26"/>
        <v>00020564</v>
      </c>
    </row>
    <row r="566" spans="1:9" x14ac:dyDescent="0.3">
      <c r="A566">
        <v>565</v>
      </c>
      <c r="B566" s="6">
        <v>31948620</v>
      </c>
      <c r="C566" t="str">
        <f>VLOOKUP(B566,[1]BD_FINAL!$A:$H,2,FALSE)</f>
        <v>Martha cecilia</v>
      </c>
      <c r="D566" t="str">
        <f>VLOOKUP(B566,[1]BD_FINAL!$A:$H,3,FALSE)</f>
        <v>Cali</v>
      </c>
      <c r="E566" t="str">
        <f>VLOOKUP(B566,[1]BD_FINAL!$A:$H,8,FALSE)</f>
        <v>Control</v>
      </c>
      <c r="F566" s="2">
        <f t="shared" si="24"/>
        <v>0</v>
      </c>
      <c r="G566">
        <f t="shared" si="25"/>
        <v>2</v>
      </c>
      <c r="H566" s="3" t="s">
        <v>4519</v>
      </c>
      <c r="I566" s="6" t="str">
        <f t="shared" si="26"/>
        <v>00020565</v>
      </c>
    </row>
    <row r="567" spans="1:9" x14ac:dyDescent="0.3">
      <c r="A567">
        <v>566</v>
      </c>
      <c r="B567" s="6">
        <v>31959597</v>
      </c>
      <c r="C567" t="str">
        <f>VLOOKUP(B567,[1]BD_FINAL!$A:$H,2,FALSE)</f>
        <v xml:space="preserve">Benilda </v>
      </c>
      <c r="D567" t="str">
        <f>VLOOKUP(B567,[1]BD_FINAL!$A:$H,3,FALSE)</f>
        <v>Cali</v>
      </c>
      <c r="E567" t="str">
        <f>VLOOKUP(B567,[1]BD_FINAL!$A:$H,8,FALSE)</f>
        <v>Tratamiento</v>
      </c>
      <c r="F567" s="2">
        <f t="shared" si="24"/>
        <v>1</v>
      </c>
      <c r="G567">
        <f t="shared" si="25"/>
        <v>2</v>
      </c>
      <c r="H567" s="3" t="s">
        <v>4520</v>
      </c>
      <c r="I567" s="6" t="str">
        <f t="shared" si="26"/>
        <v>01020566</v>
      </c>
    </row>
    <row r="568" spans="1:9" x14ac:dyDescent="0.3">
      <c r="A568">
        <v>567</v>
      </c>
      <c r="B568" s="6">
        <v>31972147</v>
      </c>
      <c r="C568" t="str">
        <f>VLOOKUP(B568,[1]BD_FINAL!$A:$H,2,FALSE)</f>
        <v>Maricela</v>
      </c>
      <c r="D568" t="str">
        <f>VLOOKUP(B568,[1]BD_FINAL!$A:$H,3,FALSE)</f>
        <v>Cali</v>
      </c>
      <c r="E568" t="str">
        <f>VLOOKUP(B568,[1]BD_FINAL!$A:$H,8,FALSE)</f>
        <v>Tratamiento</v>
      </c>
      <c r="F568" s="2">
        <f t="shared" si="24"/>
        <v>1</v>
      </c>
      <c r="G568">
        <f t="shared" si="25"/>
        <v>2</v>
      </c>
      <c r="H568" s="3" t="s">
        <v>4521</v>
      </c>
      <c r="I568" s="6" t="str">
        <f t="shared" si="26"/>
        <v>01020567</v>
      </c>
    </row>
    <row r="569" spans="1:9" x14ac:dyDescent="0.3">
      <c r="A569">
        <v>568</v>
      </c>
      <c r="B569" s="6">
        <v>31981946</v>
      </c>
      <c r="C569" t="str">
        <f>VLOOKUP(B569,[1]BD_FINAL!$A:$H,2,FALSE)</f>
        <v xml:space="preserve">Luz Marina </v>
      </c>
      <c r="D569" t="str">
        <f>VLOOKUP(B569,[1]BD_FINAL!$A:$H,3,FALSE)</f>
        <v>Cali</v>
      </c>
      <c r="E569" t="str">
        <f>VLOOKUP(B569,[1]BD_FINAL!$A:$H,8,FALSE)</f>
        <v>Tratamiento</v>
      </c>
      <c r="F569" s="2">
        <f t="shared" si="24"/>
        <v>1</v>
      </c>
      <c r="G569">
        <f t="shared" si="25"/>
        <v>2</v>
      </c>
      <c r="H569" s="3" t="s">
        <v>4522</v>
      </c>
      <c r="I569" s="6" t="str">
        <f t="shared" si="26"/>
        <v>01020568</v>
      </c>
    </row>
    <row r="570" spans="1:9" x14ac:dyDescent="0.3">
      <c r="A570">
        <v>569</v>
      </c>
      <c r="B570" s="6">
        <v>31983781</v>
      </c>
      <c r="C570" t="str">
        <f>VLOOKUP(B570,[1]BD_FINAL!$A:$H,2,FALSE)</f>
        <v xml:space="preserve">LEONOR </v>
      </c>
      <c r="D570" t="str">
        <f>VLOOKUP(B570,[1]BD_FINAL!$A:$H,3,FALSE)</f>
        <v>Cali</v>
      </c>
      <c r="E570" t="str">
        <f>VLOOKUP(B570,[1]BD_FINAL!$A:$H,8,FALSE)</f>
        <v>Tratamiento</v>
      </c>
      <c r="F570" s="2">
        <f t="shared" si="24"/>
        <v>1</v>
      </c>
      <c r="G570">
        <f t="shared" si="25"/>
        <v>2</v>
      </c>
      <c r="H570" s="3" t="s">
        <v>4523</v>
      </c>
      <c r="I570" s="6" t="str">
        <f t="shared" si="26"/>
        <v>01020569</v>
      </c>
    </row>
    <row r="571" spans="1:9" x14ac:dyDescent="0.3">
      <c r="A571">
        <v>570</v>
      </c>
      <c r="B571" s="6">
        <v>31992224</v>
      </c>
      <c r="C571" t="str">
        <f>VLOOKUP(B571,[1]BD_FINAL!$A:$H,2,FALSE)</f>
        <v xml:space="preserve">BLANCA INÉS </v>
      </c>
      <c r="D571" t="str">
        <f>VLOOKUP(B571,[1]BD_FINAL!$A:$H,3,FALSE)</f>
        <v>Cali</v>
      </c>
      <c r="E571" t="str">
        <f>VLOOKUP(B571,[1]BD_FINAL!$A:$H,8,FALSE)</f>
        <v>Tratamiento</v>
      </c>
      <c r="F571" s="2">
        <f t="shared" si="24"/>
        <v>1</v>
      </c>
      <c r="G571">
        <f t="shared" si="25"/>
        <v>2</v>
      </c>
      <c r="H571" s="3" t="s">
        <v>4524</v>
      </c>
      <c r="I571" s="6" t="str">
        <f t="shared" si="26"/>
        <v>01020570</v>
      </c>
    </row>
    <row r="572" spans="1:9" x14ac:dyDescent="0.3">
      <c r="A572">
        <v>571</v>
      </c>
      <c r="B572" s="6">
        <v>31992747</v>
      </c>
      <c r="C572" t="str">
        <f>VLOOKUP(B572,[1]BD_FINAL!$A:$H,2,FALSE)</f>
        <v xml:space="preserve">María  Lucinda </v>
      </c>
      <c r="D572" t="str">
        <f>VLOOKUP(B572,[1]BD_FINAL!$A:$H,3,FALSE)</f>
        <v>Cali</v>
      </c>
      <c r="E572" t="str">
        <f>VLOOKUP(B572,[1]BD_FINAL!$A:$H,8,FALSE)</f>
        <v>Tratamiento</v>
      </c>
      <c r="F572" s="2">
        <f t="shared" si="24"/>
        <v>1</v>
      </c>
      <c r="G572">
        <f t="shared" si="25"/>
        <v>2</v>
      </c>
      <c r="H572" s="3" t="s">
        <v>4525</v>
      </c>
      <c r="I572" s="6" t="str">
        <f t="shared" si="26"/>
        <v>01020571</v>
      </c>
    </row>
    <row r="573" spans="1:9" x14ac:dyDescent="0.3">
      <c r="A573">
        <v>572</v>
      </c>
      <c r="B573" s="6">
        <v>32078660</v>
      </c>
      <c r="C573" t="str">
        <f>VLOOKUP(B573,[1]BD_FINAL!$A:$H,2,FALSE)</f>
        <v>María Dioselina</v>
      </c>
      <c r="D573" t="str">
        <f>VLOOKUP(B573,[1]BD_FINAL!$A:$H,3,FALSE)</f>
        <v>Medellin</v>
      </c>
      <c r="E573" t="str">
        <f>VLOOKUP(B573,[1]BD_FINAL!$A:$H,8,FALSE)</f>
        <v>Control</v>
      </c>
      <c r="F573" s="2">
        <f t="shared" si="24"/>
        <v>0</v>
      </c>
      <c r="G573">
        <f t="shared" si="25"/>
        <v>1</v>
      </c>
      <c r="H573" s="3" t="s">
        <v>4526</v>
      </c>
      <c r="I573" s="6" t="str">
        <f t="shared" si="26"/>
        <v>00010572</v>
      </c>
    </row>
    <row r="574" spans="1:9" x14ac:dyDescent="0.3">
      <c r="A574">
        <v>573</v>
      </c>
      <c r="B574" s="6">
        <v>32102790</v>
      </c>
      <c r="C574" t="str">
        <f>VLOOKUP(B574,[1]BD_FINAL!$A:$H,2,FALSE)</f>
        <v xml:space="preserve">María Eugenia </v>
      </c>
      <c r="D574" t="str">
        <f>VLOOKUP(B574,[1]BD_FINAL!$A:$H,3,FALSE)</f>
        <v>Medellin</v>
      </c>
      <c r="E574" t="str">
        <f>VLOOKUP(B574,[1]BD_FINAL!$A:$H,8,FALSE)</f>
        <v>Tratamiento</v>
      </c>
      <c r="F574" s="2">
        <f t="shared" si="24"/>
        <v>1</v>
      </c>
      <c r="G574">
        <f t="shared" si="25"/>
        <v>1</v>
      </c>
      <c r="H574" s="3" t="s">
        <v>4527</v>
      </c>
      <c r="I574" s="6" t="str">
        <f t="shared" si="26"/>
        <v>01010573</v>
      </c>
    </row>
    <row r="575" spans="1:9" x14ac:dyDescent="0.3">
      <c r="A575">
        <v>574</v>
      </c>
      <c r="B575" s="6">
        <v>32118138</v>
      </c>
      <c r="C575" t="str">
        <f>VLOOKUP(B575,[1]BD_FINAL!$A:$H,2,FALSE)</f>
        <v>John Jairo</v>
      </c>
      <c r="D575" t="str">
        <f>VLOOKUP(B575,[1]BD_FINAL!$A:$H,3,FALSE)</f>
        <v>Medellin</v>
      </c>
      <c r="E575" t="str">
        <f>VLOOKUP(B575,[1]BD_FINAL!$A:$H,8,FALSE)</f>
        <v>Tratamiento</v>
      </c>
      <c r="F575" s="2">
        <f t="shared" si="24"/>
        <v>1</v>
      </c>
      <c r="G575">
        <f t="shared" si="25"/>
        <v>1</v>
      </c>
      <c r="H575" s="3" t="s">
        <v>4528</v>
      </c>
      <c r="I575" s="6" t="str">
        <f t="shared" si="26"/>
        <v>01010574</v>
      </c>
    </row>
    <row r="576" spans="1:9" x14ac:dyDescent="0.3">
      <c r="A576">
        <v>575</v>
      </c>
      <c r="B576" s="6">
        <v>32144313</v>
      </c>
      <c r="C576" t="str">
        <f>VLOOKUP(B576,[1]BD_FINAL!$A:$H,2,FALSE)</f>
        <v>Yadys Patricia</v>
      </c>
      <c r="D576" t="str">
        <f>VLOOKUP(B576,[1]BD_FINAL!$A:$H,3,FALSE)</f>
        <v>Medellin</v>
      </c>
      <c r="E576" t="str">
        <f>VLOOKUP(B576,[1]BD_FINAL!$A:$H,8,FALSE)</f>
        <v>Tratamiento</v>
      </c>
      <c r="F576" s="2">
        <f t="shared" si="24"/>
        <v>1</v>
      </c>
      <c r="G576">
        <f t="shared" si="25"/>
        <v>1</v>
      </c>
      <c r="H576" s="3" t="s">
        <v>4529</v>
      </c>
      <c r="I576" s="6" t="str">
        <f t="shared" si="26"/>
        <v>01010575</v>
      </c>
    </row>
    <row r="577" spans="1:9" x14ac:dyDescent="0.3">
      <c r="A577">
        <v>576</v>
      </c>
      <c r="B577" s="6">
        <v>32182047</v>
      </c>
      <c r="C577" t="str">
        <f>VLOOKUP(B577,[1]BD_FINAL!$A:$H,2,FALSE)</f>
        <v xml:space="preserve">Gloria Maria </v>
      </c>
      <c r="D577" t="str">
        <f>VLOOKUP(B577,[1]BD_FINAL!$A:$H,3,FALSE)</f>
        <v>Medellin</v>
      </c>
      <c r="E577" t="str">
        <f>VLOOKUP(B577,[1]BD_FINAL!$A:$H,8,FALSE)</f>
        <v>Control</v>
      </c>
      <c r="F577" s="2">
        <f t="shared" si="24"/>
        <v>0</v>
      </c>
      <c r="G577">
        <f t="shared" si="25"/>
        <v>1</v>
      </c>
      <c r="H577" s="3" t="s">
        <v>4530</v>
      </c>
      <c r="I577" s="6" t="str">
        <f t="shared" si="26"/>
        <v>00010576</v>
      </c>
    </row>
    <row r="578" spans="1:9" x14ac:dyDescent="0.3">
      <c r="A578">
        <v>577</v>
      </c>
      <c r="B578" s="6">
        <v>32208850</v>
      </c>
      <c r="C578" t="str">
        <f>VLOOKUP(B578,[1]BD_FINAL!$A:$H,2,FALSE)</f>
        <v xml:space="preserve">Sulinda Patricia </v>
      </c>
      <c r="D578" t="str">
        <f>VLOOKUP(B578,[1]BD_FINAL!$A:$H,3,FALSE)</f>
        <v>Medellin</v>
      </c>
      <c r="E578" t="str">
        <f>VLOOKUP(B578,[1]BD_FINAL!$A:$H,8,FALSE)</f>
        <v>Tratamiento</v>
      </c>
      <c r="F578" s="2">
        <f t="shared" si="24"/>
        <v>1</v>
      </c>
      <c r="G578">
        <f t="shared" si="25"/>
        <v>1</v>
      </c>
      <c r="H578" s="3" t="s">
        <v>4531</v>
      </c>
      <c r="I578" s="6" t="str">
        <f t="shared" si="26"/>
        <v>01010577</v>
      </c>
    </row>
    <row r="579" spans="1:9" x14ac:dyDescent="0.3">
      <c r="A579">
        <v>578</v>
      </c>
      <c r="B579" s="6">
        <v>32255078</v>
      </c>
      <c r="C579" t="str">
        <f>VLOOKUP(B579,[1]BD_FINAL!$A:$H,2,FALSE)</f>
        <v>Lina Maria</v>
      </c>
      <c r="D579" t="str">
        <f>VLOOKUP(B579,[1]BD_FINAL!$A:$H,3,FALSE)</f>
        <v>Medellin</v>
      </c>
      <c r="E579" t="str">
        <f>VLOOKUP(B579,[1]BD_FINAL!$A:$H,8,FALSE)</f>
        <v>Control</v>
      </c>
      <c r="F579" s="2">
        <f t="shared" ref="F579:F642" si="27">IF(E579="CONTROL",0,1)</f>
        <v>0</v>
      </c>
      <c r="G579">
        <f t="shared" ref="G579:G642" si="28">IF(D579="Medellin",1,IF(D579="Cali",2,IF(D579="Baranquilla",3,0)))</f>
        <v>1</v>
      </c>
      <c r="H579" s="3" t="s">
        <v>4532</v>
      </c>
      <c r="I579" s="6" t="str">
        <f t="shared" ref="I579:I642" si="29">_xlfn.CONCAT(0,F579,0,G579,H579)</f>
        <v>00010578</v>
      </c>
    </row>
    <row r="580" spans="1:9" x14ac:dyDescent="0.3">
      <c r="A580">
        <v>579</v>
      </c>
      <c r="B580" s="6">
        <v>32255448</v>
      </c>
      <c r="C580" t="str">
        <f>VLOOKUP(B580,[1]BD_FINAL!$A:$H,2,FALSE)</f>
        <v xml:space="preserve">Gloria Amparo </v>
      </c>
      <c r="D580" t="str">
        <f>VLOOKUP(B580,[1]BD_FINAL!$A:$H,3,FALSE)</f>
        <v>Medellin</v>
      </c>
      <c r="E580" t="str">
        <f>VLOOKUP(B580,[1]BD_FINAL!$A:$H,8,FALSE)</f>
        <v>Tratamiento</v>
      </c>
      <c r="F580" s="2">
        <f t="shared" si="27"/>
        <v>1</v>
      </c>
      <c r="G580">
        <f t="shared" si="28"/>
        <v>1</v>
      </c>
      <c r="H580" s="3" t="s">
        <v>4533</v>
      </c>
      <c r="I580" s="6" t="str">
        <f t="shared" si="29"/>
        <v>01010579</v>
      </c>
    </row>
    <row r="581" spans="1:9" x14ac:dyDescent="0.3">
      <c r="A581">
        <v>580</v>
      </c>
      <c r="B581" s="6">
        <v>32258550</v>
      </c>
      <c r="C581" t="str">
        <f>VLOOKUP(B581,[1]BD_FINAL!$A:$H,2,FALSE)</f>
        <v xml:space="preserve">Omaira </v>
      </c>
      <c r="D581" t="str">
        <f>VLOOKUP(B581,[1]BD_FINAL!$A:$H,3,FALSE)</f>
        <v>Medellin</v>
      </c>
      <c r="E581" t="str">
        <f>VLOOKUP(B581,[1]BD_FINAL!$A:$H,8,FALSE)</f>
        <v>Tratamiento</v>
      </c>
      <c r="F581" s="2">
        <f t="shared" si="27"/>
        <v>1</v>
      </c>
      <c r="G581">
        <f t="shared" si="28"/>
        <v>1</v>
      </c>
      <c r="H581" s="3" t="s">
        <v>4534</v>
      </c>
      <c r="I581" s="6" t="str">
        <f t="shared" si="29"/>
        <v>01010580</v>
      </c>
    </row>
    <row r="582" spans="1:9" x14ac:dyDescent="0.3">
      <c r="A582">
        <v>581</v>
      </c>
      <c r="B582" s="6">
        <v>32285101</v>
      </c>
      <c r="C582" t="str">
        <f>VLOOKUP(B582,[1]BD_FINAL!$A:$H,2,FALSE)</f>
        <v>Elida Rosa</v>
      </c>
      <c r="D582" t="str">
        <f>VLOOKUP(B582,[1]BD_FINAL!$A:$H,3,FALSE)</f>
        <v>Cali</v>
      </c>
      <c r="E582" t="str">
        <f>VLOOKUP(B582,[1]BD_FINAL!$A:$H,8,FALSE)</f>
        <v>Tratamiento</v>
      </c>
      <c r="F582" s="2">
        <f t="shared" si="27"/>
        <v>1</v>
      </c>
      <c r="G582">
        <f t="shared" si="28"/>
        <v>2</v>
      </c>
      <c r="H582" s="3" t="s">
        <v>4535</v>
      </c>
      <c r="I582" s="6" t="str">
        <f t="shared" si="29"/>
        <v>01020581</v>
      </c>
    </row>
    <row r="583" spans="1:9" x14ac:dyDescent="0.3">
      <c r="A583">
        <v>582</v>
      </c>
      <c r="B583" s="6">
        <v>32285912</v>
      </c>
      <c r="C583" t="str">
        <f>VLOOKUP(B583,[1]BD_FINAL!$A:$H,2,FALSE)</f>
        <v>María Isabelina</v>
      </c>
      <c r="D583" t="str">
        <f>VLOOKUP(B583,[1]BD_FINAL!$A:$H,3,FALSE)</f>
        <v>Cali</v>
      </c>
      <c r="E583" t="str">
        <f>VLOOKUP(B583,[1]BD_FINAL!$A:$H,8,FALSE)</f>
        <v>Tratamiento</v>
      </c>
      <c r="F583" s="2">
        <f t="shared" si="27"/>
        <v>1</v>
      </c>
      <c r="G583">
        <f t="shared" si="28"/>
        <v>2</v>
      </c>
      <c r="H583" s="3" t="s">
        <v>4536</v>
      </c>
      <c r="I583" s="6" t="str">
        <f t="shared" si="29"/>
        <v>01020582</v>
      </c>
    </row>
    <row r="584" spans="1:9" x14ac:dyDescent="0.3">
      <c r="A584">
        <v>583</v>
      </c>
      <c r="B584" s="6">
        <v>32323288</v>
      </c>
      <c r="C584" t="str">
        <f>VLOOKUP(B584,[1]BD_FINAL!$A:$H,2,FALSE)</f>
        <v>Vilma</v>
      </c>
      <c r="D584" t="str">
        <f>VLOOKUP(B584,[1]BD_FINAL!$A:$H,3,FALSE)</f>
        <v>Medellin</v>
      </c>
      <c r="E584" t="str">
        <f>VLOOKUP(B584,[1]BD_FINAL!$A:$H,8,FALSE)</f>
        <v>Control</v>
      </c>
      <c r="F584" s="2">
        <f t="shared" si="27"/>
        <v>0</v>
      </c>
      <c r="G584">
        <f t="shared" si="28"/>
        <v>1</v>
      </c>
      <c r="H584" s="3" t="s">
        <v>4537</v>
      </c>
      <c r="I584" s="6" t="str">
        <f t="shared" si="29"/>
        <v>00010583</v>
      </c>
    </row>
    <row r="585" spans="1:9" x14ac:dyDescent="0.3">
      <c r="A585">
        <v>584</v>
      </c>
      <c r="B585" s="6">
        <v>32342765</v>
      </c>
      <c r="C585" t="str">
        <f>VLOOKUP(B585,[1]BD_FINAL!$A:$H,2,FALSE)</f>
        <v>Blanca Oliva</v>
      </c>
      <c r="D585" t="str">
        <f>VLOOKUP(B585,[1]BD_FINAL!$A:$H,3,FALSE)</f>
        <v>Medellin</v>
      </c>
      <c r="E585" t="str">
        <f>VLOOKUP(B585,[1]BD_FINAL!$A:$H,8,FALSE)</f>
        <v>Control</v>
      </c>
      <c r="F585" s="2">
        <f t="shared" si="27"/>
        <v>0</v>
      </c>
      <c r="G585">
        <f t="shared" si="28"/>
        <v>1</v>
      </c>
      <c r="H585" s="3" t="s">
        <v>4538</v>
      </c>
      <c r="I585" s="6" t="str">
        <f t="shared" si="29"/>
        <v>00010584</v>
      </c>
    </row>
    <row r="586" spans="1:9" x14ac:dyDescent="0.3">
      <c r="A586">
        <v>585</v>
      </c>
      <c r="B586" s="6">
        <v>32358114</v>
      </c>
      <c r="C586" t="str">
        <f>VLOOKUP(B586,[1]BD_FINAL!$A:$H,2,FALSE)</f>
        <v>Yarledys tatiana correa</v>
      </c>
      <c r="D586" t="str">
        <f>VLOOKUP(B586,[1]BD_FINAL!$A:$H,3,FALSE)</f>
        <v>Medellin</v>
      </c>
      <c r="E586" t="str">
        <f>VLOOKUP(B586,[1]BD_FINAL!$A:$H,8,FALSE)</f>
        <v>Tratamiento</v>
      </c>
      <c r="F586" s="2">
        <f t="shared" si="27"/>
        <v>1</v>
      </c>
      <c r="G586">
        <f t="shared" si="28"/>
        <v>1</v>
      </c>
      <c r="H586" s="3" t="s">
        <v>4539</v>
      </c>
      <c r="I586" s="6" t="str">
        <f t="shared" si="29"/>
        <v>01010585</v>
      </c>
    </row>
    <row r="587" spans="1:9" x14ac:dyDescent="0.3">
      <c r="A587">
        <v>586</v>
      </c>
      <c r="B587" s="6">
        <v>32358159</v>
      </c>
      <c r="C587" t="str">
        <f>VLOOKUP(B587,[1]BD_FINAL!$A:$H,2,FALSE)</f>
        <v>Elena Rocio Torres Lozano</v>
      </c>
      <c r="D587" t="str">
        <f>VLOOKUP(B587,[1]BD_FINAL!$A:$H,3,FALSE)</f>
        <v>Medellin</v>
      </c>
      <c r="E587" t="str">
        <f>VLOOKUP(B587,[1]BD_FINAL!$A:$H,8,FALSE)</f>
        <v>Tratamiento</v>
      </c>
      <c r="F587" s="2">
        <f t="shared" si="27"/>
        <v>1</v>
      </c>
      <c r="G587">
        <f t="shared" si="28"/>
        <v>1</v>
      </c>
      <c r="H587" s="3" t="s">
        <v>4540</v>
      </c>
      <c r="I587" s="6" t="str">
        <f t="shared" si="29"/>
        <v>01010586</v>
      </c>
    </row>
    <row r="588" spans="1:9" x14ac:dyDescent="0.3">
      <c r="A588">
        <v>587</v>
      </c>
      <c r="B588" s="6">
        <v>32393942</v>
      </c>
      <c r="C588" t="str">
        <f>VLOOKUP(B588,[1]BD_FINAL!$A:$H,2,FALSE)</f>
        <v>Elkin Arley</v>
      </c>
      <c r="D588" t="str">
        <f>VLOOKUP(B588,[1]BD_FINAL!$A:$H,3,FALSE)</f>
        <v>Medellin</v>
      </c>
      <c r="E588" t="str">
        <f>VLOOKUP(B588,[1]BD_FINAL!$A:$H,8,FALSE)</f>
        <v>Control</v>
      </c>
      <c r="F588" s="2">
        <f t="shared" si="27"/>
        <v>0</v>
      </c>
      <c r="G588">
        <f t="shared" si="28"/>
        <v>1</v>
      </c>
      <c r="H588" s="3" t="s">
        <v>4541</v>
      </c>
      <c r="I588" s="6" t="str">
        <f t="shared" si="29"/>
        <v>00010587</v>
      </c>
    </row>
    <row r="589" spans="1:9" x14ac:dyDescent="0.3">
      <c r="A589">
        <v>588</v>
      </c>
      <c r="B589" s="6">
        <v>32409494</v>
      </c>
      <c r="C589" t="str">
        <f>VLOOKUP(B589,[1]BD_FINAL!$A:$H,2,FALSE)</f>
        <v>Celina</v>
      </c>
      <c r="D589" t="str">
        <f>VLOOKUP(B589,[1]BD_FINAL!$A:$H,3,FALSE)</f>
        <v>Medellin</v>
      </c>
      <c r="E589" t="str">
        <f>VLOOKUP(B589,[1]BD_FINAL!$A:$H,8,FALSE)</f>
        <v>Tratamiento</v>
      </c>
      <c r="F589" s="2">
        <f t="shared" si="27"/>
        <v>1</v>
      </c>
      <c r="G589">
        <f t="shared" si="28"/>
        <v>1</v>
      </c>
      <c r="H589" s="3" t="s">
        <v>4542</v>
      </c>
      <c r="I589" s="6" t="str">
        <f t="shared" si="29"/>
        <v>01010588</v>
      </c>
    </row>
    <row r="590" spans="1:9" x14ac:dyDescent="0.3">
      <c r="A590">
        <v>589</v>
      </c>
      <c r="B590" s="6">
        <v>32422939</v>
      </c>
      <c r="C590" t="str">
        <f>VLOOKUP(B590,[1]BD_FINAL!$A:$H,2,FALSE)</f>
        <v xml:space="preserve">Ana delfa </v>
      </c>
      <c r="D590" t="str">
        <f>VLOOKUP(B590,[1]BD_FINAL!$A:$H,3,FALSE)</f>
        <v>Medellin</v>
      </c>
      <c r="E590" t="str">
        <f>VLOOKUP(B590,[1]BD_FINAL!$A:$H,8,FALSE)</f>
        <v>Tratamiento</v>
      </c>
      <c r="F590" s="2">
        <f t="shared" si="27"/>
        <v>1</v>
      </c>
      <c r="G590">
        <f t="shared" si="28"/>
        <v>1</v>
      </c>
      <c r="H590" s="3" t="s">
        <v>4543</v>
      </c>
      <c r="I590" s="6" t="str">
        <f t="shared" si="29"/>
        <v>01010589</v>
      </c>
    </row>
    <row r="591" spans="1:9" x14ac:dyDescent="0.3">
      <c r="A591">
        <v>590</v>
      </c>
      <c r="B591" s="6">
        <v>32430020</v>
      </c>
      <c r="C591" t="str">
        <f>VLOOKUP(B591,[1]BD_FINAL!$A:$H,2,FALSE)</f>
        <v>María  aurora</v>
      </c>
      <c r="D591" t="str">
        <f>VLOOKUP(B591,[1]BD_FINAL!$A:$H,3,FALSE)</f>
        <v>Medellin</v>
      </c>
      <c r="E591" t="str">
        <f>VLOOKUP(B591,[1]BD_FINAL!$A:$H,8,FALSE)</f>
        <v>Control</v>
      </c>
      <c r="F591" s="2">
        <f t="shared" si="27"/>
        <v>0</v>
      </c>
      <c r="G591">
        <f t="shared" si="28"/>
        <v>1</v>
      </c>
      <c r="H591" s="3" t="s">
        <v>4544</v>
      </c>
      <c r="I591" s="6" t="str">
        <f t="shared" si="29"/>
        <v>00010590</v>
      </c>
    </row>
    <row r="592" spans="1:9" x14ac:dyDescent="0.3">
      <c r="A592">
        <v>591</v>
      </c>
      <c r="B592" s="6">
        <v>32452654</v>
      </c>
      <c r="C592" t="str">
        <f>VLOOKUP(B592,[1]BD_FINAL!$A:$H,2,FALSE)</f>
        <v xml:space="preserve">Maria Edilma </v>
      </c>
      <c r="D592" t="str">
        <f>VLOOKUP(B592,[1]BD_FINAL!$A:$H,3,FALSE)</f>
        <v>Medellin</v>
      </c>
      <c r="E592" t="str">
        <f>VLOOKUP(B592,[1]BD_FINAL!$A:$H,8,FALSE)</f>
        <v>Control</v>
      </c>
      <c r="F592" s="2">
        <f t="shared" si="27"/>
        <v>0</v>
      </c>
      <c r="G592">
        <f t="shared" si="28"/>
        <v>1</v>
      </c>
      <c r="H592" s="3" t="s">
        <v>4545</v>
      </c>
      <c r="I592" s="6" t="str">
        <f t="shared" si="29"/>
        <v>00010591</v>
      </c>
    </row>
    <row r="593" spans="1:9" x14ac:dyDescent="0.3">
      <c r="A593">
        <v>592</v>
      </c>
      <c r="B593" s="6">
        <v>32455454</v>
      </c>
      <c r="C593" t="str">
        <f>VLOOKUP(B593,[1]BD_FINAL!$A:$H,2,FALSE)</f>
        <v>María Ofir</v>
      </c>
      <c r="D593" t="str">
        <f>VLOOKUP(B593,[1]BD_FINAL!$A:$H,3,FALSE)</f>
        <v>Medellin</v>
      </c>
      <c r="E593" t="str">
        <f>VLOOKUP(B593,[1]BD_FINAL!$A:$H,8,FALSE)</f>
        <v>Control</v>
      </c>
      <c r="F593" s="2">
        <f t="shared" si="27"/>
        <v>0</v>
      </c>
      <c r="G593">
        <f t="shared" si="28"/>
        <v>1</v>
      </c>
      <c r="H593" s="3" t="s">
        <v>4546</v>
      </c>
      <c r="I593" s="6" t="str">
        <f t="shared" si="29"/>
        <v>00010592</v>
      </c>
    </row>
    <row r="594" spans="1:9" x14ac:dyDescent="0.3">
      <c r="A594">
        <v>593</v>
      </c>
      <c r="B594" s="6">
        <v>32465235</v>
      </c>
      <c r="C594" t="str">
        <f>VLOOKUP(B594,[1]BD_FINAL!$A:$H,2,FALSE)</f>
        <v xml:space="preserve">
María del Carmen </v>
      </c>
      <c r="D594" t="str">
        <f>VLOOKUP(B594,[1]BD_FINAL!$A:$H,3,FALSE)</f>
        <v>Medellin</v>
      </c>
      <c r="E594" t="str">
        <f>VLOOKUP(B594,[1]BD_FINAL!$A:$H,8,FALSE)</f>
        <v>Control</v>
      </c>
      <c r="F594" s="2">
        <f t="shared" si="27"/>
        <v>0</v>
      </c>
      <c r="G594">
        <f t="shared" si="28"/>
        <v>1</v>
      </c>
      <c r="H594" s="3" t="s">
        <v>4547</v>
      </c>
      <c r="I594" s="6" t="str">
        <f t="shared" si="29"/>
        <v>00010593</v>
      </c>
    </row>
    <row r="595" spans="1:9" x14ac:dyDescent="0.3">
      <c r="A595">
        <v>594</v>
      </c>
      <c r="B595" s="6">
        <v>32479953</v>
      </c>
      <c r="C595" t="str">
        <f>VLOOKUP(B595,[1]BD_FINAL!$A:$H,2,FALSE)</f>
        <v>María Jorgelina</v>
      </c>
      <c r="D595" t="str">
        <f>VLOOKUP(B595,[1]BD_FINAL!$A:$H,3,FALSE)</f>
        <v>Medellin</v>
      </c>
      <c r="E595" t="str">
        <f>VLOOKUP(B595,[1]BD_FINAL!$A:$H,8,FALSE)</f>
        <v>Control</v>
      </c>
      <c r="F595" s="2">
        <f t="shared" si="27"/>
        <v>0</v>
      </c>
      <c r="G595">
        <f t="shared" si="28"/>
        <v>1</v>
      </c>
      <c r="H595" s="3" t="s">
        <v>4548</v>
      </c>
      <c r="I595" s="6" t="str">
        <f t="shared" si="29"/>
        <v>00010594</v>
      </c>
    </row>
    <row r="596" spans="1:9" x14ac:dyDescent="0.3">
      <c r="A596">
        <v>595</v>
      </c>
      <c r="B596" s="6">
        <v>32487224</v>
      </c>
      <c r="C596" t="str">
        <f>VLOOKUP(B596,[1]BD_FINAL!$A:$H,2,FALSE)</f>
        <v xml:space="preserve">Francisco Javier </v>
      </c>
      <c r="D596" t="str">
        <f>VLOOKUP(B596,[1]BD_FINAL!$A:$H,3,FALSE)</f>
        <v>Medellin</v>
      </c>
      <c r="E596" t="str">
        <f>VLOOKUP(B596,[1]BD_FINAL!$A:$H,8,FALSE)</f>
        <v>Control</v>
      </c>
      <c r="F596" s="2">
        <f t="shared" si="27"/>
        <v>0</v>
      </c>
      <c r="G596">
        <f t="shared" si="28"/>
        <v>1</v>
      </c>
      <c r="H596" s="3" t="s">
        <v>4549</v>
      </c>
      <c r="I596" s="6" t="str">
        <f t="shared" si="29"/>
        <v>00010595</v>
      </c>
    </row>
    <row r="597" spans="1:9" x14ac:dyDescent="0.3">
      <c r="A597">
        <v>596</v>
      </c>
      <c r="B597" s="6">
        <v>32487899</v>
      </c>
      <c r="C597" t="str">
        <f>VLOOKUP(B597,[1]BD_FINAL!$A:$H,2,FALSE)</f>
        <v xml:space="preserve">Maria Amparo </v>
      </c>
      <c r="D597" t="str">
        <f>VLOOKUP(B597,[1]BD_FINAL!$A:$H,3,FALSE)</f>
        <v>Medellin</v>
      </c>
      <c r="E597" t="str">
        <f>VLOOKUP(B597,[1]BD_FINAL!$A:$H,8,FALSE)</f>
        <v>Tratamiento</v>
      </c>
      <c r="F597" s="2">
        <f t="shared" si="27"/>
        <v>1</v>
      </c>
      <c r="G597">
        <f t="shared" si="28"/>
        <v>1</v>
      </c>
      <c r="H597" s="3" t="s">
        <v>4550</v>
      </c>
      <c r="I597" s="6" t="str">
        <f t="shared" si="29"/>
        <v>01010596</v>
      </c>
    </row>
    <row r="598" spans="1:9" x14ac:dyDescent="0.3">
      <c r="A598">
        <v>597</v>
      </c>
      <c r="B598" s="6">
        <v>32500559</v>
      </c>
      <c r="C598" t="str">
        <f>VLOOKUP(B598,[1]BD_FINAL!$A:$H,2,FALSE)</f>
        <v xml:space="preserve">Flor María </v>
      </c>
      <c r="D598" t="str">
        <f>VLOOKUP(B598,[1]BD_FINAL!$A:$H,3,FALSE)</f>
        <v>Medellin</v>
      </c>
      <c r="E598" t="str">
        <f>VLOOKUP(B598,[1]BD_FINAL!$A:$H,8,FALSE)</f>
        <v>Control</v>
      </c>
      <c r="F598" s="2">
        <f t="shared" si="27"/>
        <v>0</v>
      </c>
      <c r="G598">
        <f t="shared" si="28"/>
        <v>1</v>
      </c>
      <c r="H598" s="3" t="s">
        <v>4551</v>
      </c>
      <c r="I598" s="6" t="str">
        <f t="shared" si="29"/>
        <v>00010597</v>
      </c>
    </row>
    <row r="599" spans="1:9" x14ac:dyDescent="0.3">
      <c r="A599">
        <v>598</v>
      </c>
      <c r="B599" s="6">
        <v>32500696</v>
      </c>
      <c r="C599" t="str">
        <f>VLOOKUP(B599,[1]BD_FINAL!$A:$H,2,FALSE)</f>
        <v xml:space="preserve">Maria Teresa </v>
      </c>
      <c r="D599" t="str">
        <f>VLOOKUP(B599,[1]BD_FINAL!$A:$H,3,FALSE)</f>
        <v>Medellin</v>
      </c>
      <c r="E599" t="str">
        <f>VLOOKUP(B599,[1]BD_FINAL!$A:$H,8,FALSE)</f>
        <v>Tratamiento</v>
      </c>
      <c r="F599" s="2">
        <f t="shared" si="27"/>
        <v>1</v>
      </c>
      <c r="G599">
        <f t="shared" si="28"/>
        <v>1</v>
      </c>
      <c r="H599" s="3" t="s">
        <v>4552</v>
      </c>
      <c r="I599" s="6" t="str">
        <f t="shared" si="29"/>
        <v>01010598</v>
      </c>
    </row>
    <row r="600" spans="1:9" x14ac:dyDescent="0.3">
      <c r="A600">
        <v>599</v>
      </c>
      <c r="B600" s="6">
        <v>32501795</v>
      </c>
      <c r="C600" t="str">
        <f>VLOOKUP(B600,[1]BD_FINAL!$A:$H,2,FALSE)</f>
        <v>Milena</v>
      </c>
      <c r="D600" t="str">
        <f>VLOOKUP(B600,[1]BD_FINAL!$A:$H,3,FALSE)</f>
        <v>Medellin</v>
      </c>
      <c r="E600" t="str">
        <f>VLOOKUP(B600,[1]BD_FINAL!$A:$H,8,FALSE)</f>
        <v>Control</v>
      </c>
      <c r="F600" s="2">
        <f t="shared" si="27"/>
        <v>0</v>
      </c>
      <c r="G600">
        <f t="shared" si="28"/>
        <v>1</v>
      </c>
      <c r="H600" s="3" t="s">
        <v>4553</v>
      </c>
      <c r="I600" s="6" t="str">
        <f t="shared" si="29"/>
        <v>00010599</v>
      </c>
    </row>
    <row r="601" spans="1:9" x14ac:dyDescent="0.3">
      <c r="A601">
        <v>600</v>
      </c>
      <c r="B601" s="6">
        <v>32513453</v>
      </c>
      <c r="C601" t="str">
        <f>VLOOKUP(B601,[1]BD_FINAL!$A:$H,2,FALSE)</f>
        <v xml:space="preserve">Alba Luz </v>
      </c>
      <c r="D601" t="str">
        <f>VLOOKUP(B601,[1]BD_FINAL!$A:$H,3,FALSE)</f>
        <v>Medellin</v>
      </c>
      <c r="E601" t="str">
        <f>VLOOKUP(B601,[1]BD_FINAL!$A:$H,8,FALSE)</f>
        <v>Control</v>
      </c>
      <c r="F601" s="2">
        <f t="shared" si="27"/>
        <v>0</v>
      </c>
      <c r="G601">
        <f t="shared" si="28"/>
        <v>1</v>
      </c>
      <c r="H601" s="3" t="s">
        <v>4554</v>
      </c>
      <c r="I601" s="6" t="str">
        <f t="shared" si="29"/>
        <v>00010600</v>
      </c>
    </row>
    <row r="602" spans="1:9" x14ac:dyDescent="0.3">
      <c r="A602">
        <v>601</v>
      </c>
      <c r="B602" s="6">
        <v>32516837</v>
      </c>
      <c r="C602" t="str">
        <f>VLOOKUP(B602,[1]BD_FINAL!$A:$H,2,FALSE)</f>
        <v>María Edilia</v>
      </c>
      <c r="D602" t="str">
        <f>VLOOKUP(B602,[1]BD_FINAL!$A:$H,3,FALSE)</f>
        <v>Medellin</v>
      </c>
      <c r="E602" t="str">
        <f>VLOOKUP(B602,[1]BD_FINAL!$A:$H,8,FALSE)</f>
        <v>Control</v>
      </c>
      <c r="F602" s="2">
        <f t="shared" si="27"/>
        <v>0</v>
      </c>
      <c r="G602">
        <f t="shared" si="28"/>
        <v>1</v>
      </c>
      <c r="H602" s="3" t="s">
        <v>4555</v>
      </c>
      <c r="I602" s="6" t="str">
        <f t="shared" si="29"/>
        <v>00010601</v>
      </c>
    </row>
    <row r="603" spans="1:9" x14ac:dyDescent="0.3">
      <c r="A603">
        <v>602</v>
      </c>
      <c r="B603" s="6">
        <v>32519087</v>
      </c>
      <c r="C603" t="str">
        <f>VLOOKUP(B603,[1]BD_FINAL!$A:$H,2,FALSE)</f>
        <v>Aura Cely</v>
      </c>
      <c r="D603" t="str">
        <f>VLOOKUP(B603,[1]BD_FINAL!$A:$H,3,FALSE)</f>
        <v>Medellin</v>
      </c>
      <c r="E603" t="str">
        <f>VLOOKUP(B603,[1]BD_FINAL!$A:$H,8,FALSE)</f>
        <v>Tratamiento</v>
      </c>
      <c r="F603" s="2">
        <f t="shared" si="27"/>
        <v>1</v>
      </c>
      <c r="G603">
        <f t="shared" si="28"/>
        <v>1</v>
      </c>
      <c r="H603" s="3" t="s">
        <v>4556</v>
      </c>
      <c r="I603" s="6" t="str">
        <f t="shared" si="29"/>
        <v>01010602</v>
      </c>
    </row>
    <row r="604" spans="1:9" x14ac:dyDescent="0.3">
      <c r="A604">
        <v>603</v>
      </c>
      <c r="B604" s="6">
        <v>32521000</v>
      </c>
      <c r="C604" t="str">
        <f>VLOOKUP(B604,[1]BD_FINAL!$A:$H,2,FALSE)</f>
        <v>Ana Libia</v>
      </c>
      <c r="D604" t="str">
        <f>VLOOKUP(B604,[1]BD_FINAL!$A:$H,3,FALSE)</f>
        <v>Medellin</v>
      </c>
      <c r="E604" t="str">
        <f>VLOOKUP(B604,[1]BD_FINAL!$A:$H,8,FALSE)</f>
        <v>Control</v>
      </c>
      <c r="F604" s="2">
        <f t="shared" si="27"/>
        <v>0</v>
      </c>
      <c r="G604">
        <f t="shared" si="28"/>
        <v>1</v>
      </c>
      <c r="H604" s="3" t="s">
        <v>4557</v>
      </c>
      <c r="I604" s="6" t="str">
        <f t="shared" si="29"/>
        <v>00010603</v>
      </c>
    </row>
    <row r="605" spans="1:9" x14ac:dyDescent="0.3">
      <c r="A605">
        <v>604</v>
      </c>
      <c r="B605" s="6">
        <v>32525563</v>
      </c>
      <c r="C605" t="str">
        <f>VLOOKUP(B605,[1]BD_FINAL!$A:$H,2,FALSE)</f>
        <v>GLORIA LUCÍA RUIZ DIOSA</v>
      </c>
      <c r="D605" t="str">
        <f>VLOOKUP(B605,[1]BD_FINAL!$A:$H,3,FALSE)</f>
        <v>Medellin</v>
      </c>
      <c r="E605" t="str">
        <f>VLOOKUP(B605,[1]BD_FINAL!$A:$H,8,FALSE)</f>
        <v>Control</v>
      </c>
      <c r="F605" s="2">
        <f t="shared" si="27"/>
        <v>0</v>
      </c>
      <c r="G605">
        <f t="shared" si="28"/>
        <v>1</v>
      </c>
      <c r="H605" s="3" t="s">
        <v>4558</v>
      </c>
      <c r="I605" s="6" t="str">
        <f t="shared" si="29"/>
        <v>00010604</v>
      </c>
    </row>
    <row r="606" spans="1:9" x14ac:dyDescent="0.3">
      <c r="A606">
        <v>605</v>
      </c>
      <c r="B606" s="6">
        <v>32526054</v>
      </c>
      <c r="C606" t="str">
        <f>VLOOKUP(B606,[1]BD_FINAL!$A:$H,2,FALSE)</f>
        <v xml:space="preserve">Flor del Socorro </v>
      </c>
      <c r="D606" t="str">
        <f>VLOOKUP(B606,[1]BD_FINAL!$A:$H,3,FALSE)</f>
        <v>Medellin</v>
      </c>
      <c r="E606" t="str">
        <f>VLOOKUP(B606,[1]BD_FINAL!$A:$H,8,FALSE)</f>
        <v>Control</v>
      </c>
      <c r="F606" s="2">
        <f t="shared" si="27"/>
        <v>0</v>
      </c>
      <c r="G606">
        <f t="shared" si="28"/>
        <v>1</v>
      </c>
      <c r="H606" s="3" t="s">
        <v>4559</v>
      </c>
      <c r="I606" s="6" t="str">
        <f t="shared" si="29"/>
        <v>00010605</v>
      </c>
    </row>
    <row r="607" spans="1:9" x14ac:dyDescent="0.3">
      <c r="A607">
        <v>606</v>
      </c>
      <c r="B607" s="6">
        <v>32529962</v>
      </c>
      <c r="C607" t="str">
        <f>VLOOKUP(B607,[1]BD_FINAL!$A:$H,2,FALSE)</f>
        <v>Ana Felinda</v>
      </c>
      <c r="D607" t="str">
        <f>VLOOKUP(B607,[1]BD_FINAL!$A:$H,3,FALSE)</f>
        <v>Medellin</v>
      </c>
      <c r="E607" t="str">
        <f>VLOOKUP(B607,[1]BD_FINAL!$A:$H,8,FALSE)</f>
        <v>Tratamiento</v>
      </c>
      <c r="F607" s="2">
        <f t="shared" si="27"/>
        <v>1</v>
      </c>
      <c r="G607">
        <f t="shared" si="28"/>
        <v>1</v>
      </c>
      <c r="H607" s="3" t="s">
        <v>4560</v>
      </c>
      <c r="I607" s="6" t="str">
        <f t="shared" si="29"/>
        <v>01010606</v>
      </c>
    </row>
    <row r="608" spans="1:9" x14ac:dyDescent="0.3">
      <c r="A608">
        <v>607</v>
      </c>
      <c r="B608" s="6">
        <v>32531832</v>
      </c>
      <c r="C608" t="str">
        <f>VLOOKUP(B608,[1]BD_FINAL!$A:$H,2,FALSE)</f>
        <v>Bertha Alicia</v>
      </c>
      <c r="D608" t="str">
        <f>VLOOKUP(B608,[1]BD_FINAL!$A:$H,3,FALSE)</f>
        <v>Medellin</v>
      </c>
      <c r="E608" t="str">
        <f>VLOOKUP(B608,[1]BD_FINAL!$A:$H,8,FALSE)</f>
        <v>Tratamiento</v>
      </c>
      <c r="F608" s="2">
        <f t="shared" si="27"/>
        <v>1</v>
      </c>
      <c r="G608">
        <f t="shared" si="28"/>
        <v>1</v>
      </c>
      <c r="H608" s="3" t="s">
        <v>4561</v>
      </c>
      <c r="I608" s="6" t="str">
        <f t="shared" si="29"/>
        <v>01010607</v>
      </c>
    </row>
    <row r="609" spans="1:9" x14ac:dyDescent="0.3">
      <c r="A609">
        <v>608</v>
      </c>
      <c r="B609" s="6">
        <v>32533675</v>
      </c>
      <c r="C609" t="str">
        <f>VLOOKUP(B609,[1]BD_FINAL!$A:$H,2,FALSE)</f>
        <v>Marleni del socorro</v>
      </c>
      <c r="D609" t="str">
        <f>VLOOKUP(B609,[1]BD_FINAL!$A:$H,3,FALSE)</f>
        <v>Medellin</v>
      </c>
      <c r="E609" t="str">
        <f>VLOOKUP(B609,[1]BD_FINAL!$A:$H,8,FALSE)</f>
        <v>Tratamiento</v>
      </c>
      <c r="F609" s="2">
        <f t="shared" si="27"/>
        <v>1</v>
      </c>
      <c r="G609">
        <f t="shared" si="28"/>
        <v>1</v>
      </c>
      <c r="H609" s="3" t="s">
        <v>4562</v>
      </c>
      <c r="I609" s="6" t="str">
        <f t="shared" si="29"/>
        <v>01010608</v>
      </c>
    </row>
    <row r="610" spans="1:9" x14ac:dyDescent="0.3">
      <c r="A610">
        <v>609</v>
      </c>
      <c r="B610" s="6">
        <v>32535369</v>
      </c>
      <c r="C610" t="str">
        <f>VLOOKUP(B610,[1]BD_FINAL!$A:$H,2,FALSE)</f>
        <v xml:space="preserve">Ana Lilia </v>
      </c>
      <c r="D610" t="str">
        <f>VLOOKUP(B610,[1]BD_FINAL!$A:$H,3,FALSE)</f>
        <v>Medellin</v>
      </c>
      <c r="E610" t="str">
        <f>VLOOKUP(B610,[1]BD_FINAL!$A:$H,8,FALSE)</f>
        <v>Tratamiento</v>
      </c>
      <c r="F610" s="2">
        <f t="shared" si="27"/>
        <v>1</v>
      </c>
      <c r="G610">
        <f t="shared" si="28"/>
        <v>1</v>
      </c>
      <c r="H610" s="3" t="s">
        <v>4563</v>
      </c>
      <c r="I610" s="6" t="str">
        <f t="shared" si="29"/>
        <v>01010609</v>
      </c>
    </row>
    <row r="611" spans="1:9" x14ac:dyDescent="0.3">
      <c r="A611">
        <v>610</v>
      </c>
      <c r="B611" s="6">
        <v>32538485</v>
      </c>
      <c r="C611" t="str">
        <f>VLOOKUP(B611,[1]BD_FINAL!$A:$H,2,FALSE)</f>
        <v xml:space="preserve">Cruz Elena </v>
      </c>
      <c r="D611" t="str">
        <f>VLOOKUP(B611,[1]BD_FINAL!$A:$H,3,FALSE)</f>
        <v>Medellin</v>
      </c>
      <c r="E611" t="str">
        <f>VLOOKUP(B611,[1]BD_FINAL!$A:$H,8,FALSE)</f>
        <v>Control</v>
      </c>
      <c r="F611" s="2">
        <f t="shared" si="27"/>
        <v>0</v>
      </c>
      <c r="G611">
        <f t="shared" si="28"/>
        <v>1</v>
      </c>
      <c r="H611" s="3" t="s">
        <v>4564</v>
      </c>
      <c r="I611" s="6" t="str">
        <f t="shared" si="29"/>
        <v>00010610</v>
      </c>
    </row>
    <row r="612" spans="1:9" x14ac:dyDescent="0.3">
      <c r="A612">
        <v>611</v>
      </c>
      <c r="B612" s="6">
        <v>325743367</v>
      </c>
      <c r="C612" t="str">
        <f>VLOOKUP(B612,[1]BD_FINAL!$A:$H,2,FALSE)</f>
        <v>María Eugenia</v>
      </c>
      <c r="D612" t="str">
        <f>VLOOKUP(B612,[1]BD_FINAL!$A:$H,3,FALSE)</f>
        <v>Medellin</v>
      </c>
      <c r="E612" t="str">
        <f>VLOOKUP(B612,[1]BD_FINAL!$A:$H,8,FALSE)</f>
        <v>Control</v>
      </c>
      <c r="F612" s="2">
        <f t="shared" si="27"/>
        <v>0</v>
      </c>
      <c r="G612">
        <f t="shared" si="28"/>
        <v>1</v>
      </c>
      <c r="H612" s="3" t="s">
        <v>4565</v>
      </c>
      <c r="I612" s="6" t="str">
        <f t="shared" si="29"/>
        <v>00010611</v>
      </c>
    </row>
    <row r="613" spans="1:9" x14ac:dyDescent="0.3">
      <c r="A613">
        <v>612</v>
      </c>
      <c r="B613" s="6">
        <v>32580754</v>
      </c>
      <c r="C613" t="str">
        <f>VLOOKUP(B613,[1]BD_FINAL!$A:$H,2,FALSE)</f>
        <v>JEYDI MARIA</v>
      </c>
      <c r="D613" t="str">
        <f>VLOOKUP(B613,[1]BD_FINAL!$A:$H,3,FALSE)</f>
        <v>Baranquilla</v>
      </c>
      <c r="E613" t="str">
        <f>VLOOKUP(B613,[1]BD_FINAL!$A:$H,8,FALSE)</f>
        <v>Tratamiento</v>
      </c>
      <c r="F613" s="2">
        <f t="shared" si="27"/>
        <v>1</v>
      </c>
      <c r="G613">
        <f t="shared" si="28"/>
        <v>3</v>
      </c>
      <c r="H613" s="3" t="s">
        <v>4566</v>
      </c>
      <c r="I613" s="6" t="str">
        <f t="shared" si="29"/>
        <v>01030612</v>
      </c>
    </row>
    <row r="614" spans="1:9" x14ac:dyDescent="0.3">
      <c r="A614">
        <v>613</v>
      </c>
      <c r="B614" s="6">
        <v>32609231</v>
      </c>
      <c r="C614" t="str">
        <f>VLOOKUP(B614,[1]BD_FINAL!$A:$H,2,FALSE)</f>
        <v xml:space="preserve">Claudia Patricia </v>
      </c>
      <c r="D614" t="str">
        <f>VLOOKUP(B614,[1]BD_FINAL!$A:$H,3,FALSE)</f>
        <v>Baranquilla</v>
      </c>
      <c r="E614" t="str">
        <f>VLOOKUP(B614,[1]BD_FINAL!$A:$H,8,FALSE)</f>
        <v>Control</v>
      </c>
      <c r="F614" s="2">
        <f t="shared" si="27"/>
        <v>0</v>
      </c>
      <c r="G614">
        <f t="shared" si="28"/>
        <v>3</v>
      </c>
      <c r="H614" s="3" t="s">
        <v>4567</v>
      </c>
      <c r="I614" s="6" t="str">
        <f t="shared" si="29"/>
        <v>00030613</v>
      </c>
    </row>
    <row r="615" spans="1:9" x14ac:dyDescent="0.3">
      <c r="A615">
        <v>614</v>
      </c>
      <c r="B615" s="6">
        <v>32612783</v>
      </c>
      <c r="C615" t="str">
        <f>VLOOKUP(B615,[1]BD_FINAL!$A:$H,2,FALSE)</f>
        <v>Yarleni</v>
      </c>
      <c r="D615" t="str">
        <f>VLOOKUP(B615,[1]BD_FINAL!$A:$H,3,FALSE)</f>
        <v>Baranquilla</v>
      </c>
      <c r="E615" t="str">
        <f>VLOOKUP(B615,[1]BD_FINAL!$A:$H,8,FALSE)</f>
        <v>Tratamiento</v>
      </c>
      <c r="F615" s="2">
        <f t="shared" si="27"/>
        <v>1</v>
      </c>
      <c r="G615">
        <f t="shared" si="28"/>
        <v>3</v>
      </c>
      <c r="H615" s="3" t="s">
        <v>4568</v>
      </c>
      <c r="I615" s="6" t="str">
        <f t="shared" si="29"/>
        <v>01030614</v>
      </c>
    </row>
    <row r="616" spans="1:9" x14ac:dyDescent="0.3">
      <c r="A616">
        <v>615</v>
      </c>
      <c r="B616" s="6">
        <v>32613935</v>
      </c>
      <c r="C616" t="str">
        <f>VLOOKUP(B616,[1]BD_FINAL!$A:$H,2,FALSE)</f>
        <v>NUBIA LUZ</v>
      </c>
      <c r="D616" t="str">
        <f>VLOOKUP(B616,[1]BD_FINAL!$A:$H,3,FALSE)</f>
        <v>Baranquilla</v>
      </c>
      <c r="E616" t="str">
        <f>VLOOKUP(B616,[1]BD_FINAL!$A:$H,8,FALSE)</f>
        <v>Tratamiento</v>
      </c>
      <c r="F616" s="2">
        <f t="shared" si="27"/>
        <v>1</v>
      </c>
      <c r="G616">
        <f t="shared" si="28"/>
        <v>3</v>
      </c>
      <c r="H616" s="3" t="s">
        <v>4569</v>
      </c>
      <c r="I616" s="6" t="str">
        <f t="shared" si="29"/>
        <v>01030615</v>
      </c>
    </row>
    <row r="617" spans="1:9" x14ac:dyDescent="0.3">
      <c r="A617">
        <v>616</v>
      </c>
      <c r="B617" s="6">
        <v>32619848</v>
      </c>
      <c r="C617" t="str">
        <f>VLOOKUP(B617,[1]BD_FINAL!$A:$H,2,FALSE)</f>
        <v>Luís Alberto</v>
      </c>
      <c r="D617" t="str">
        <f>VLOOKUP(B617,[1]BD_FINAL!$A:$H,3,FALSE)</f>
        <v>Baranquilla</v>
      </c>
      <c r="E617" t="str">
        <f>VLOOKUP(B617,[1]BD_FINAL!$A:$H,8,FALSE)</f>
        <v>Control</v>
      </c>
      <c r="F617" s="2">
        <f t="shared" si="27"/>
        <v>0</v>
      </c>
      <c r="G617">
        <f t="shared" si="28"/>
        <v>3</v>
      </c>
      <c r="H617" s="3" t="s">
        <v>4570</v>
      </c>
      <c r="I617" s="6" t="str">
        <f t="shared" si="29"/>
        <v>00030616</v>
      </c>
    </row>
    <row r="618" spans="1:9" x14ac:dyDescent="0.3">
      <c r="A618">
        <v>617</v>
      </c>
      <c r="B618" s="6">
        <v>32620693</v>
      </c>
      <c r="C618" t="str">
        <f>VLOOKUP(B618,[1]BD_FINAL!$A:$H,2,FALSE)</f>
        <v xml:space="preserve">María </v>
      </c>
      <c r="D618" t="str">
        <f>VLOOKUP(B618,[1]BD_FINAL!$A:$H,3,FALSE)</f>
        <v>Baranquilla</v>
      </c>
      <c r="E618" t="str">
        <f>VLOOKUP(B618,[1]BD_FINAL!$A:$H,8,FALSE)</f>
        <v>Control</v>
      </c>
      <c r="F618" s="2">
        <f t="shared" si="27"/>
        <v>0</v>
      </c>
      <c r="G618">
        <f t="shared" si="28"/>
        <v>3</v>
      </c>
      <c r="H618" s="3" t="s">
        <v>4571</v>
      </c>
      <c r="I618" s="6" t="str">
        <f t="shared" si="29"/>
        <v>00030617</v>
      </c>
    </row>
    <row r="619" spans="1:9" x14ac:dyDescent="0.3">
      <c r="A619">
        <v>618</v>
      </c>
      <c r="B619" s="6">
        <v>32623209</v>
      </c>
      <c r="C619" t="str">
        <f>VLOOKUP(B619,[1]BD_FINAL!$A:$H,2,FALSE)</f>
        <v>Luisa julio</v>
      </c>
      <c r="D619" t="str">
        <f>VLOOKUP(B619,[1]BD_FINAL!$A:$H,3,FALSE)</f>
        <v>Baranquilla</v>
      </c>
      <c r="E619" t="str">
        <f>VLOOKUP(B619,[1]BD_FINAL!$A:$H,8,FALSE)</f>
        <v>Tratamiento</v>
      </c>
      <c r="F619" s="2">
        <f t="shared" si="27"/>
        <v>1</v>
      </c>
      <c r="G619">
        <f t="shared" si="28"/>
        <v>3</v>
      </c>
      <c r="H619" s="3" t="s">
        <v>4572</v>
      </c>
      <c r="I619" s="6" t="str">
        <f t="shared" si="29"/>
        <v>01030618</v>
      </c>
    </row>
    <row r="620" spans="1:9" x14ac:dyDescent="0.3">
      <c r="A620">
        <v>619</v>
      </c>
      <c r="B620" s="6">
        <v>32627098</v>
      </c>
      <c r="C620" t="str">
        <f>VLOOKUP(B620,[1]BD_FINAL!$A:$H,2,FALSE)</f>
        <v xml:space="preserve">Betty Cecilia </v>
      </c>
      <c r="D620" t="str">
        <f>VLOOKUP(B620,[1]BD_FINAL!$A:$H,3,FALSE)</f>
        <v>Baranquilla</v>
      </c>
      <c r="E620" t="str">
        <f>VLOOKUP(B620,[1]BD_FINAL!$A:$H,8,FALSE)</f>
        <v>Control</v>
      </c>
      <c r="F620" s="2">
        <f t="shared" si="27"/>
        <v>0</v>
      </c>
      <c r="G620">
        <f t="shared" si="28"/>
        <v>3</v>
      </c>
      <c r="H620" s="3" t="s">
        <v>4573</v>
      </c>
      <c r="I620" s="6" t="str">
        <f t="shared" si="29"/>
        <v>00030619</v>
      </c>
    </row>
    <row r="621" spans="1:9" x14ac:dyDescent="0.3">
      <c r="A621">
        <v>620</v>
      </c>
      <c r="B621" s="6">
        <v>32629512</v>
      </c>
      <c r="C621" t="str">
        <f>VLOOKUP(B621,[1]BD_FINAL!$A:$H,2,FALSE)</f>
        <v xml:space="preserve">Ana isabel </v>
      </c>
      <c r="D621" t="str">
        <f>VLOOKUP(B621,[1]BD_FINAL!$A:$H,3,FALSE)</f>
        <v>Baranquilla</v>
      </c>
      <c r="E621" t="str">
        <f>VLOOKUP(B621,[1]BD_FINAL!$A:$H,8,FALSE)</f>
        <v>Tratamiento</v>
      </c>
      <c r="F621" s="2">
        <f t="shared" si="27"/>
        <v>1</v>
      </c>
      <c r="G621">
        <f t="shared" si="28"/>
        <v>3</v>
      </c>
      <c r="H621" s="3" t="s">
        <v>4574</v>
      </c>
      <c r="I621" s="6" t="str">
        <f t="shared" si="29"/>
        <v>01030620</v>
      </c>
    </row>
    <row r="622" spans="1:9" x14ac:dyDescent="0.3">
      <c r="A622">
        <v>621</v>
      </c>
      <c r="B622" s="6">
        <v>32632016</v>
      </c>
      <c r="C622" t="str">
        <f>VLOOKUP(B622,[1]BD_FINAL!$A:$H,2,FALSE)</f>
        <v>Nancy esther</v>
      </c>
      <c r="D622" t="str">
        <f>VLOOKUP(B622,[1]BD_FINAL!$A:$H,3,FALSE)</f>
        <v>Baranquilla</v>
      </c>
      <c r="E622" t="str">
        <f>VLOOKUP(B622,[1]BD_FINAL!$A:$H,8,FALSE)</f>
        <v>Control</v>
      </c>
      <c r="F622" s="2">
        <f t="shared" si="27"/>
        <v>0</v>
      </c>
      <c r="G622">
        <f t="shared" si="28"/>
        <v>3</v>
      </c>
      <c r="H622" s="3" t="s">
        <v>4575</v>
      </c>
      <c r="I622" s="6" t="str">
        <f t="shared" si="29"/>
        <v>00030621</v>
      </c>
    </row>
    <row r="623" spans="1:9" x14ac:dyDescent="0.3">
      <c r="A623">
        <v>622</v>
      </c>
      <c r="B623" s="6">
        <v>32634688</v>
      </c>
      <c r="C623" t="str">
        <f>VLOOKUP(B623,[1]BD_FINAL!$A:$H,2,FALSE)</f>
        <v>Ana</v>
      </c>
      <c r="D623" t="str">
        <f>VLOOKUP(B623,[1]BD_FINAL!$A:$H,3,FALSE)</f>
        <v>Baranquilla</v>
      </c>
      <c r="E623" t="str">
        <f>VLOOKUP(B623,[1]BD_FINAL!$A:$H,8,FALSE)</f>
        <v>Tratamiento</v>
      </c>
      <c r="F623" s="2">
        <f t="shared" si="27"/>
        <v>1</v>
      </c>
      <c r="G623">
        <f t="shared" si="28"/>
        <v>3</v>
      </c>
      <c r="H623" s="3" t="s">
        <v>4576</v>
      </c>
      <c r="I623" s="6" t="str">
        <f t="shared" si="29"/>
        <v>01030622</v>
      </c>
    </row>
    <row r="624" spans="1:9" x14ac:dyDescent="0.3">
      <c r="A624">
        <v>623</v>
      </c>
      <c r="B624" s="6">
        <v>32635477</v>
      </c>
      <c r="C624" t="str">
        <f>VLOOKUP(B624,[1]BD_FINAL!$A:$H,2,FALSE)</f>
        <v>María esther</v>
      </c>
      <c r="D624" t="str">
        <f>VLOOKUP(B624,[1]BD_FINAL!$A:$H,3,FALSE)</f>
        <v>Baranquilla</v>
      </c>
      <c r="E624" t="str">
        <f>VLOOKUP(B624,[1]BD_FINAL!$A:$H,8,FALSE)</f>
        <v>Control</v>
      </c>
      <c r="F624" s="2">
        <f t="shared" si="27"/>
        <v>0</v>
      </c>
      <c r="G624">
        <f t="shared" si="28"/>
        <v>3</v>
      </c>
      <c r="H624" s="3" t="s">
        <v>4577</v>
      </c>
      <c r="I624" s="6" t="str">
        <f t="shared" si="29"/>
        <v>00030623</v>
      </c>
    </row>
    <row r="625" spans="1:9" x14ac:dyDescent="0.3">
      <c r="A625">
        <v>624</v>
      </c>
      <c r="B625" s="6">
        <v>32636512</v>
      </c>
      <c r="C625" t="str">
        <f>VLOOKUP(B625,[1]BD_FINAL!$A:$H,2,FALSE)</f>
        <v xml:space="preserve">Vilma </v>
      </c>
      <c r="D625" t="str">
        <f>VLOOKUP(B625,[1]BD_FINAL!$A:$H,3,FALSE)</f>
        <v>Baranquilla</v>
      </c>
      <c r="E625" t="str">
        <f>VLOOKUP(B625,[1]BD_FINAL!$A:$H,8,FALSE)</f>
        <v>Control</v>
      </c>
      <c r="F625" s="2">
        <f t="shared" si="27"/>
        <v>0</v>
      </c>
      <c r="G625">
        <f t="shared" si="28"/>
        <v>3</v>
      </c>
      <c r="H625" s="3" t="s">
        <v>4578</v>
      </c>
      <c r="I625" s="6" t="str">
        <f t="shared" si="29"/>
        <v>00030624</v>
      </c>
    </row>
    <row r="626" spans="1:9" x14ac:dyDescent="0.3">
      <c r="A626">
        <v>625</v>
      </c>
      <c r="B626" s="6">
        <v>32636575</v>
      </c>
      <c r="C626" t="str">
        <f>VLOOKUP(B626,[1]BD_FINAL!$A:$H,2,FALSE)</f>
        <v xml:space="preserve">MARÍA CONCEPCIÓN </v>
      </c>
      <c r="D626" t="str">
        <f>VLOOKUP(B626,[1]BD_FINAL!$A:$H,3,FALSE)</f>
        <v>Baranquilla</v>
      </c>
      <c r="E626" t="str">
        <f>VLOOKUP(B626,[1]BD_FINAL!$A:$H,8,FALSE)</f>
        <v>Tratamiento</v>
      </c>
      <c r="F626" s="2">
        <f t="shared" si="27"/>
        <v>1</v>
      </c>
      <c r="G626">
        <f t="shared" si="28"/>
        <v>3</v>
      </c>
      <c r="H626" s="3" t="s">
        <v>4579</v>
      </c>
      <c r="I626" s="6" t="str">
        <f t="shared" si="29"/>
        <v>01030625</v>
      </c>
    </row>
    <row r="627" spans="1:9" x14ac:dyDescent="0.3">
      <c r="A627">
        <v>626</v>
      </c>
      <c r="B627" s="6">
        <v>32639743</v>
      </c>
      <c r="C627" t="str">
        <f>VLOOKUP(B627,[1]BD_FINAL!$A:$H,2,FALSE)</f>
        <v xml:space="preserve">Fani </v>
      </c>
      <c r="D627" t="str">
        <f>VLOOKUP(B627,[1]BD_FINAL!$A:$H,3,FALSE)</f>
        <v>Baranquilla</v>
      </c>
      <c r="E627" t="str">
        <f>VLOOKUP(B627,[1]BD_FINAL!$A:$H,8,FALSE)</f>
        <v>Control</v>
      </c>
      <c r="F627" s="2">
        <f t="shared" si="27"/>
        <v>0</v>
      </c>
      <c r="G627">
        <f t="shared" si="28"/>
        <v>3</v>
      </c>
      <c r="H627" s="3" t="s">
        <v>4580</v>
      </c>
      <c r="I627" s="6" t="str">
        <f t="shared" si="29"/>
        <v>00030626</v>
      </c>
    </row>
    <row r="628" spans="1:9" x14ac:dyDescent="0.3">
      <c r="A628">
        <v>627</v>
      </c>
      <c r="B628" s="6">
        <v>32639848</v>
      </c>
      <c r="C628" t="str">
        <f>VLOOKUP(B628,[1]BD_FINAL!$A:$H,2,FALSE)</f>
        <v>Maria</v>
      </c>
      <c r="D628" t="str">
        <f>VLOOKUP(B628,[1]BD_FINAL!$A:$H,3,FALSE)</f>
        <v>Baranquilla</v>
      </c>
      <c r="E628" t="str">
        <f>VLOOKUP(B628,[1]BD_FINAL!$A:$H,8,FALSE)</f>
        <v>Tratamiento</v>
      </c>
      <c r="F628" s="2">
        <f t="shared" si="27"/>
        <v>1</v>
      </c>
      <c r="G628">
        <f t="shared" si="28"/>
        <v>3</v>
      </c>
      <c r="H628" s="3" t="s">
        <v>4581</v>
      </c>
      <c r="I628" s="6" t="str">
        <f t="shared" si="29"/>
        <v>01030627</v>
      </c>
    </row>
    <row r="629" spans="1:9" x14ac:dyDescent="0.3">
      <c r="A629">
        <v>628</v>
      </c>
      <c r="B629" s="6">
        <v>32642312</v>
      </c>
      <c r="C629" t="str">
        <f>VLOOKUP(B629,[1]BD_FINAL!$A:$H,2,FALSE)</f>
        <v xml:space="preserve">Elizabeth </v>
      </c>
      <c r="D629" t="str">
        <f>VLOOKUP(B629,[1]BD_FINAL!$A:$H,3,FALSE)</f>
        <v>Baranquilla</v>
      </c>
      <c r="E629" t="str">
        <f>VLOOKUP(B629,[1]BD_FINAL!$A:$H,8,FALSE)</f>
        <v>Control</v>
      </c>
      <c r="F629" s="2">
        <f t="shared" si="27"/>
        <v>0</v>
      </c>
      <c r="G629">
        <f t="shared" si="28"/>
        <v>3</v>
      </c>
      <c r="H629" s="3" t="s">
        <v>4582</v>
      </c>
      <c r="I629" s="6" t="str">
        <f t="shared" si="29"/>
        <v>00030628</v>
      </c>
    </row>
    <row r="630" spans="1:9" x14ac:dyDescent="0.3">
      <c r="A630">
        <v>629</v>
      </c>
      <c r="B630" s="6">
        <v>32648994</v>
      </c>
      <c r="C630" t="str">
        <f>VLOOKUP(B630,[1]BD_FINAL!$A:$H,2,FALSE)</f>
        <v>Berta ester</v>
      </c>
      <c r="D630" t="str">
        <f>VLOOKUP(B630,[1]BD_FINAL!$A:$H,3,FALSE)</f>
        <v>Baranquilla</v>
      </c>
      <c r="E630" t="str">
        <f>VLOOKUP(B630,[1]BD_FINAL!$A:$H,8,FALSE)</f>
        <v>Tratamiento</v>
      </c>
      <c r="F630" s="2">
        <f t="shared" si="27"/>
        <v>1</v>
      </c>
      <c r="G630">
        <f t="shared" si="28"/>
        <v>3</v>
      </c>
      <c r="H630" s="3" t="s">
        <v>4583</v>
      </c>
      <c r="I630" s="6" t="str">
        <f t="shared" si="29"/>
        <v>01030629</v>
      </c>
    </row>
    <row r="631" spans="1:9" x14ac:dyDescent="0.3">
      <c r="A631">
        <v>630</v>
      </c>
      <c r="B631" s="6">
        <v>32649402</v>
      </c>
      <c r="C631" t="str">
        <f>VLOOKUP(B631,[1]BD_FINAL!$A:$H,2,FALSE)</f>
        <v>Iveth cecilia</v>
      </c>
      <c r="D631" t="str">
        <f>VLOOKUP(B631,[1]BD_FINAL!$A:$H,3,FALSE)</f>
        <v>Baranquilla</v>
      </c>
      <c r="E631" t="str">
        <f>VLOOKUP(B631,[1]BD_FINAL!$A:$H,8,FALSE)</f>
        <v>Control</v>
      </c>
      <c r="F631" s="2">
        <f t="shared" si="27"/>
        <v>0</v>
      </c>
      <c r="G631">
        <f t="shared" si="28"/>
        <v>3</v>
      </c>
      <c r="H631" s="3" t="s">
        <v>4584</v>
      </c>
      <c r="I631" s="6" t="str">
        <f t="shared" si="29"/>
        <v>00030630</v>
      </c>
    </row>
    <row r="632" spans="1:9" x14ac:dyDescent="0.3">
      <c r="A632">
        <v>631</v>
      </c>
      <c r="B632" s="6">
        <v>32650703</v>
      </c>
      <c r="C632" t="str">
        <f>VLOOKUP(B632,[1]BD_FINAL!$A:$H,2,FALSE)</f>
        <v>Mara</v>
      </c>
      <c r="D632" t="str">
        <f>VLOOKUP(B632,[1]BD_FINAL!$A:$H,3,FALSE)</f>
        <v>Baranquilla</v>
      </c>
      <c r="E632" t="str">
        <f>VLOOKUP(B632,[1]BD_FINAL!$A:$H,8,FALSE)</f>
        <v>Tratamiento</v>
      </c>
      <c r="F632" s="2">
        <f t="shared" si="27"/>
        <v>1</v>
      </c>
      <c r="G632">
        <f t="shared" si="28"/>
        <v>3</v>
      </c>
      <c r="H632" s="3" t="s">
        <v>4585</v>
      </c>
      <c r="I632" s="6" t="str">
        <f t="shared" si="29"/>
        <v>01030631</v>
      </c>
    </row>
    <row r="633" spans="1:9" x14ac:dyDescent="0.3">
      <c r="A633">
        <v>632</v>
      </c>
      <c r="B633" s="6">
        <v>32652678</v>
      </c>
      <c r="C633" t="str">
        <f>VLOOKUP(B633,[1]BD_FINAL!$A:$H,2,FALSE)</f>
        <v xml:space="preserve">Venus </v>
      </c>
      <c r="D633" t="str">
        <f>VLOOKUP(B633,[1]BD_FINAL!$A:$H,3,FALSE)</f>
        <v>Baranquilla</v>
      </c>
      <c r="E633" t="str">
        <f>VLOOKUP(B633,[1]BD_FINAL!$A:$H,8,FALSE)</f>
        <v>Control</v>
      </c>
      <c r="F633" s="2">
        <f t="shared" si="27"/>
        <v>0</v>
      </c>
      <c r="G633">
        <f t="shared" si="28"/>
        <v>3</v>
      </c>
      <c r="H633" s="3" t="s">
        <v>4586</v>
      </c>
      <c r="I633" s="6" t="str">
        <f t="shared" si="29"/>
        <v>00030632</v>
      </c>
    </row>
    <row r="634" spans="1:9" x14ac:dyDescent="0.3">
      <c r="A634">
        <v>633</v>
      </c>
      <c r="B634" s="6">
        <v>32657122</v>
      </c>
      <c r="C634" t="str">
        <f>VLOOKUP(B634,[1]BD_FINAL!$A:$H,2,FALSE)</f>
        <v xml:space="preserve">Cristóbal </v>
      </c>
      <c r="D634" t="str">
        <f>VLOOKUP(B634,[1]BD_FINAL!$A:$H,3,FALSE)</f>
        <v>Baranquilla</v>
      </c>
      <c r="E634" t="str">
        <f>VLOOKUP(B634,[1]BD_FINAL!$A:$H,8,FALSE)</f>
        <v>Control</v>
      </c>
      <c r="F634" s="2">
        <f t="shared" si="27"/>
        <v>0</v>
      </c>
      <c r="G634">
        <f t="shared" si="28"/>
        <v>3</v>
      </c>
      <c r="H634" s="3" t="s">
        <v>4587</v>
      </c>
      <c r="I634" s="6" t="str">
        <f t="shared" si="29"/>
        <v>00030633</v>
      </c>
    </row>
    <row r="635" spans="1:9" x14ac:dyDescent="0.3">
      <c r="A635">
        <v>634</v>
      </c>
      <c r="B635" s="6">
        <v>32661084</v>
      </c>
      <c r="C635" t="str">
        <f>VLOOKUP(B635,[1]BD_FINAL!$A:$H,2,FALSE)</f>
        <v>Emperatriz</v>
      </c>
      <c r="D635" t="str">
        <f>VLOOKUP(B635,[1]BD_FINAL!$A:$H,3,FALSE)</f>
        <v>Baranquilla</v>
      </c>
      <c r="E635" t="str">
        <f>VLOOKUP(B635,[1]BD_FINAL!$A:$H,8,FALSE)</f>
        <v>Control</v>
      </c>
      <c r="F635" s="2">
        <f t="shared" si="27"/>
        <v>0</v>
      </c>
      <c r="G635">
        <f t="shared" si="28"/>
        <v>3</v>
      </c>
      <c r="H635" s="3" t="s">
        <v>4588</v>
      </c>
      <c r="I635" s="6" t="str">
        <f t="shared" si="29"/>
        <v>00030634</v>
      </c>
    </row>
    <row r="636" spans="1:9" x14ac:dyDescent="0.3">
      <c r="A636">
        <v>635</v>
      </c>
      <c r="B636" s="6">
        <v>32661700</v>
      </c>
      <c r="C636" t="str">
        <f>VLOOKUP(B636,[1]BD_FINAL!$A:$H,2,FALSE)</f>
        <v>Sonia edith</v>
      </c>
      <c r="D636" t="str">
        <f>VLOOKUP(B636,[1]BD_FINAL!$A:$H,3,FALSE)</f>
        <v>Baranquilla</v>
      </c>
      <c r="E636" t="str">
        <f>VLOOKUP(B636,[1]BD_FINAL!$A:$H,8,FALSE)</f>
        <v>Control</v>
      </c>
      <c r="F636" s="2">
        <f t="shared" si="27"/>
        <v>0</v>
      </c>
      <c r="G636">
        <f t="shared" si="28"/>
        <v>3</v>
      </c>
      <c r="H636" s="3" t="s">
        <v>4589</v>
      </c>
      <c r="I636" s="6" t="str">
        <f t="shared" si="29"/>
        <v>00030635</v>
      </c>
    </row>
    <row r="637" spans="1:9" x14ac:dyDescent="0.3">
      <c r="A637">
        <v>636</v>
      </c>
      <c r="B637" s="6">
        <v>32665786</v>
      </c>
      <c r="C637" t="str">
        <f>VLOOKUP(B637,[1]BD_FINAL!$A:$H,2,FALSE)</f>
        <v xml:space="preserve">Héctor </v>
      </c>
      <c r="D637" t="str">
        <f>VLOOKUP(B637,[1]BD_FINAL!$A:$H,3,FALSE)</f>
        <v>Baranquilla</v>
      </c>
      <c r="E637" t="str">
        <f>VLOOKUP(B637,[1]BD_FINAL!$A:$H,8,FALSE)</f>
        <v>Tratamiento</v>
      </c>
      <c r="F637" s="2">
        <f t="shared" si="27"/>
        <v>1</v>
      </c>
      <c r="G637">
        <f t="shared" si="28"/>
        <v>3</v>
      </c>
      <c r="H637" s="3" t="s">
        <v>4590</v>
      </c>
      <c r="I637" s="6" t="str">
        <f t="shared" si="29"/>
        <v>01030636</v>
      </c>
    </row>
    <row r="638" spans="1:9" x14ac:dyDescent="0.3">
      <c r="A638">
        <v>637</v>
      </c>
      <c r="B638" s="6">
        <v>32673448</v>
      </c>
      <c r="C638" t="str">
        <f>VLOOKUP(B638,[1]BD_FINAL!$A:$H,2,FALSE)</f>
        <v>María mercedes</v>
      </c>
      <c r="D638" t="str">
        <f>VLOOKUP(B638,[1]BD_FINAL!$A:$H,3,FALSE)</f>
        <v>Baranquilla</v>
      </c>
      <c r="E638" t="str">
        <f>VLOOKUP(B638,[1]BD_FINAL!$A:$H,8,FALSE)</f>
        <v>Tratamiento</v>
      </c>
      <c r="F638" s="2">
        <f t="shared" si="27"/>
        <v>1</v>
      </c>
      <c r="G638">
        <f t="shared" si="28"/>
        <v>3</v>
      </c>
      <c r="H638" s="3" t="s">
        <v>4591</v>
      </c>
      <c r="I638" s="6" t="str">
        <f t="shared" si="29"/>
        <v>01030637</v>
      </c>
    </row>
    <row r="639" spans="1:9" x14ac:dyDescent="0.3">
      <c r="A639">
        <v>638</v>
      </c>
      <c r="B639" s="6">
        <v>32674359</v>
      </c>
      <c r="C639" t="str">
        <f>VLOOKUP(B639,[1]BD_FINAL!$A:$H,2,FALSE)</f>
        <v>Rogelio daniel</v>
      </c>
      <c r="D639" t="str">
        <f>VLOOKUP(B639,[1]BD_FINAL!$A:$H,3,FALSE)</f>
        <v>Baranquilla</v>
      </c>
      <c r="E639" t="str">
        <f>VLOOKUP(B639,[1]BD_FINAL!$A:$H,8,FALSE)</f>
        <v>Tratamiento</v>
      </c>
      <c r="F639" s="2">
        <f t="shared" si="27"/>
        <v>1</v>
      </c>
      <c r="G639">
        <f t="shared" si="28"/>
        <v>3</v>
      </c>
      <c r="H639" s="3" t="s">
        <v>4592</v>
      </c>
      <c r="I639" s="6" t="str">
        <f t="shared" si="29"/>
        <v>01030638</v>
      </c>
    </row>
    <row r="640" spans="1:9" x14ac:dyDescent="0.3">
      <c r="A640">
        <v>639</v>
      </c>
      <c r="B640" s="6">
        <v>32674864</v>
      </c>
      <c r="C640" t="str">
        <f>VLOOKUP(B640,[1]BD_FINAL!$A:$H,2,FALSE)</f>
        <v xml:space="preserve">Ana María </v>
      </c>
      <c r="D640" t="str">
        <f>VLOOKUP(B640,[1]BD_FINAL!$A:$H,3,FALSE)</f>
        <v>Baranquilla</v>
      </c>
      <c r="E640" t="str">
        <f>VLOOKUP(B640,[1]BD_FINAL!$A:$H,8,FALSE)</f>
        <v>Tratamiento</v>
      </c>
      <c r="F640" s="2">
        <f t="shared" si="27"/>
        <v>1</v>
      </c>
      <c r="G640">
        <f t="shared" si="28"/>
        <v>3</v>
      </c>
      <c r="H640" s="3" t="s">
        <v>4593</v>
      </c>
      <c r="I640" s="6" t="str">
        <f t="shared" si="29"/>
        <v>01030639</v>
      </c>
    </row>
    <row r="641" spans="1:9" x14ac:dyDescent="0.3">
      <c r="A641">
        <v>640</v>
      </c>
      <c r="B641" s="6">
        <v>32676566</v>
      </c>
      <c r="C641" t="str">
        <f>VLOOKUP(B641,[1]BD_FINAL!$A:$H,2,FALSE)</f>
        <v xml:space="preserve">Denys maria </v>
      </c>
      <c r="D641" t="str">
        <f>VLOOKUP(B641,[1]BD_FINAL!$A:$H,3,FALSE)</f>
        <v>Baranquilla</v>
      </c>
      <c r="E641" t="str">
        <f>VLOOKUP(B641,[1]BD_FINAL!$A:$H,8,FALSE)</f>
        <v>Control</v>
      </c>
      <c r="F641" s="2">
        <f t="shared" si="27"/>
        <v>0</v>
      </c>
      <c r="G641">
        <f t="shared" si="28"/>
        <v>3</v>
      </c>
      <c r="H641" s="3" t="s">
        <v>4594</v>
      </c>
      <c r="I641" s="6" t="str">
        <f t="shared" si="29"/>
        <v>00030640</v>
      </c>
    </row>
    <row r="642" spans="1:9" x14ac:dyDescent="0.3">
      <c r="A642">
        <v>641</v>
      </c>
      <c r="B642" s="6">
        <v>32678914</v>
      </c>
      <c r="C642" t="str">
        <f>VLOOKUP(B642,[1]BD_FINAL!$A:$H,2,FALSE)</f>
        <v xml:space="preserve">Escorcia mendoza </v>
      </c>
      <c r="D642" t="str">
        <f>VLOOKUP(B642,[1]BD_FINAL!$A:$H,3,FALSE)</f>
        <v>Baranquilla</v>
      </c>
      <c r="E642" t="str">
        <f>VLOOKUP(B642,[1]BD_FINAL!$A:$H,8,FALSE)</f>
        <v>Control</v>
      </c>
      <c r="F642" s="2">
        <f t="shared" si="27"/>
        <v>0</v>
      </c>
      <c r="G642">
        <f t="shared" si="28"/>
        <v>3</v>
      </c>
      <c r="H642" s="3" t="s">
        <v>4595</v>
      </c>
      <c r="I642" s="6" t="str">
        <f t="shared" si="29"/>
        <v>00030641</v>
      </c>
    </row>
    <row r="643" spans="1:9" x14ac:dyDescent="0.3">
      <c r="A643">
        <v>642</v>
      </c>
      <c r="B643" s="6">
        <v>32681585</v>
      </c>
      <c r="C643" t="str">
        <f>VLOOKUP(B643,[1]BD_FINAL!$A:$H,2,FALSE)</f>
        <v xml:space="preserve">Carmen </v>
      </c>
      <c r="D643" t="str">
        <f>VLOOKUP(B643,[1]BD_FINAL!$A:$H,3,FALSE)</f>
        <v>Baranquilla</v>
      </c>
      <c r="E643" t="str">
        <f>VLOOKUP(B643,[1]BD_FINAL!$A:$H,8,FALSE)</f>
        <v>Control</v>
      </c>
      <c r="F643" s="2">
        <f t="shared" ref="F643:F706" si="30">IF(E643="CONTROL",0,1)</f>
        <v>0</v>
      </c>
      <c r="G643">
        <f t="shared" ref="G643:G706" si="31">IF(D643="Medellin",1,IF(D643="Cali",2,IF(D643="Baranquilla",3,0)))</f>
        <v>3</v>
      </c>
      <c r="H643" s="3" t="s">
        <v>4596</v>
      </c>
      <c r="I643" s="6" t="str">
        <f t="shared" ref="I643:I706" si="32">_xlfn.CONCAT(0,F643,0,G643,H643)</f>
        <v>00030642</v>
      </c>
    </row>
    <row r="644" spans="1:9" x14ac:dyDescent="0.3">
      <c r="A644">
        <v>643</v>
      </c>
      <c r="B644" s="6">
        <v>32682939</v>
      </c>
      <c r="C644" t="str">
        <f>VLOOKUP(B644,[1]BD_FINAL!$A:$H,2,FALSE)</f>
        <v>Maribel</v>
      </c>
      <c r="D644" t="str">
        <f>VLOOKUP(B644,[1]BD_FINAL!$A:$H,3,FALSE)</f>
        <v>Baranquilla</v>
      </c>
      <c r="E644" t="str">
        <f>VLOOKUP(B644,[1]BD_FINAL!$A:$H,8,FALSE)</f>
        <v>Tratamiento</v>
      </c>
      <c r="F644" s="2">
        <f t="shared" si="30"/>
        <v>1</v>
      </c>
      <c r="G644">
        <f t="shared" si="31"/>
        <v>3</v>
      </c>
      <c r="H644" s="3" t="s">
        <v>4597</v>
      </c>
      <c r="I644" s="6" t="str">
        <f t="shared" si="32"/>
        <v>01030643</v>
      </c>
    </row>
    <row r="645" spans="1:9" x14ac:dyDescent="0.3">
      <c r="A645">
        <v>644</v>
      </c>
      <c r="B645" s="6">
        <v>32684085</v>
      </c>
      <c r="C645" t="str">
        <f>VLOOKUP(B645,[1]BD_FINAL!$A:$H,2,FALSE)</f>
        <v>Edibia</v>
      </c>
      <c r="D645" t="str">
        <f>VLOOKUP(B645,[1]BD_FINAL!$A:$H,3,FALSE)</f>
        <v>Baranquilla</v>
      </c>
      <c r="E645" t="str">
        <f>VLOOKUP(B645,[1]BD_FINAL!$A:$H,8,FALSE)</f>
        <v>Control</v>
      </c>
      <c r="F645" s="2">
        <f t="shared" si="30"/>
        <v>0</v>
      </c>
      <c r="G645">
        <f t="shared" si="31"/>
        <v>3</v>
      </c>
      <c r="H645" s="3" t="s">
        <v>4598</v>
      </c>
      <c r="I645" s="6" t="str">
        <f t="shared" si="32"/>
        <v>00030644</v>
      </c>
    </row>
    <row r="646" spans="1:9" x14ac:dyDescent="0.3">
      <c r="A646">
        <v>645</v>
      </c>
      <c r="B646" s="6">
        <v>32684827</v>
      </c>
      <c r="C646" t="str">
        <f>VLOOKUP(B646,[1]BD_FINAL!$A:$H,2,FALSE)</f>
        <v>Eucaris Maria</v>
      </c>
      <c r="D646" t="str">
        <f>VLOOKUP(B646,[1]BD_FINAL!$A:$H,3,FALSE)</f>
        <v>Baranquilla</v>
      </c>
      <c r="E646" t="str">
        <f>VLOOKUP(B646,[1]BD_FINAL!$A:$H,8,FALSE)</f>
        <v>Control</v>
      </c>
      <c r="F646" s="2">
        <f t="shared" si="30"/>
        <v>0</v>
      </c>
      <c r="G646">
        <f t="shared" si="31"/>
        <v>3</v>
      </c>
      <c r="H646" s="3" t="s">
        <v>4599</v>
      </c>
      <c r="I646" s="6" t="str">
        <f t="shared" si="32"/>
        <v>00030645</v>
      </c>
    </row>
    <row r="647" spans="1:9" x14ac:dyDescent="0.3">
      <c r="A647">
        <v>646</v>
      </c>
      <c r="B647" s="6">
        <v>32688218</v>
      </c>
      <c r="C647" t="str">
        <f>VLOOKUP(B647,[1]BD_FINAL!$A:$H,2,FALSE)</f>
        <v>Luz helena</v>
      </c>
      <c r="D647" t="str">
        <f>VLOOKUP(B647,[1]BD_FINAL!$A:$H,3,FALSE)</f>
        <v>Baranquilla</v>
      </c>
      <c r="E647" t="str">
        <f>VLOOKUP(B647,[1]BD_FINAL!$A:$H,8,FALSE)</f>
        <v>Tratamiento</v>
      </c>
      <c r="F647" s="2">
        <f t="shared" si="30"/>
        <v>1</v>
      </c>
      <c r="G647">
        <f t="shared" si="31"/>
        <v>3</v>
      </c>
      <c r="H647" s="3" t="s">
        <v>4600</v>
      </c>
      <c r="I647" s="6" t="str">
        <f t="shared" si="32"/>
        <v>01030646</v>
      </c>
    </row>
    <row r="648" spans="1:9" x14ac:dyDescent="0.3">
      <c r="A648">
        <v>647</v>
      </c>
      <c r="B648" s="6">
        <v>32688521</v>
      </c>
      <c r="C648" t="str">
        <f>VLOOKUP(B648,[1]BD_FINAL!$A:$H,2,FALSE)</f>
        <v>Juana</v>
      </c>
      <c r="D648" t="str">
        <f>VLOOKUP(B648,[1]BD_FINAL!$A:$H,3,FALSE)</f>
        <v>Baranquilla</v>
      </c>
      <c r="E648" t="str">
        <f>VLOOKUP(B648,[1]BD_FINAL!$A:$H,8,FALSE)</f>
        <v>Tratamiento</v>
      </c>
      <c r="F648" s="2">
        <f t="shared" si="30"/>
        <v>1</v>
      </c>
      <c r="G648">
        <f t="shared" si="31"/>
        <v>3</v>
      </c>
      <c r="H648" s="3" t="s">
        <v>4601</v>
      </c>
      <c r="I648" s="6" t="str">
        <f t="shared" si="32"/>
        <v>01030647</v>
      </c>
    </row>
    <row r="649" spans="1:9" x14ac:dyDescent="0.3">
      <c r="A649">
        <v>648</v>
      </c>
      <c r="B649" s="6">
        <v>32689210</v>
      </c>
      <c r="C649" t="str">
        <f>VLOOKUP(B649,[1]BD_FINAL!$A:$H,2,FALSE)</f>
        <v xml:space="preserve">Beatriz </v>
      </c>
      <c r="D649" t="str">
        <f>VLOOKUP(B649,[1]BD_FINAL!$A:$H,3,FALSE)</f>
        <v>Baranquilla</v>
      </c>
      <c r="E649" t="str">
        <f>VLOOKUP(B649,[1]BD_FINAL!$A:$H,8,FALSE)</f>
        <v>Control</v>
      </c>
      <c r="F649" s="2">
        <f t="shared" si="30"/>
        <v>0</v>
      </c>
      <c r="G649">
        <f t="shared" si="31"/>
        <v>3</v>
      </c>
      <c r="H649" s="3" t="s">
        <v>4602</v>
      </c>
      <c r="I649" s="6" t="str">
        <f t="shared" si="32"/>
        <v>00030648</v>
      </c>
    </row>
    <row r="650" spans="1:9" x14ac:dyDescent="0.3">
      <c r="A650">
        <v>649</v>
      </c>
      <c r="B650" s="6">
        <v>32690815</v>
      </c>
      <c r="C650" t="str">
        <f>VLOOKUP(B650,[1]BD_FINAL!$A:$H,2,FALSE)</f>
        <v xml:space="preserve">Sol teresa </v>
      </c>
      <c r="D650" t="str">
        <f>VLOOKUP(B650,[1]BD_FINAL!$A:$H,3,FALSE)</f>
        <v>Baranquilla</v>
      </c>
      <c r="E650" t="str">
        <f>VLOOKUP(B650,[1]BD_FINAL!$A:$H,8,FALSE)</f>
        <v>Tratamiento</v>
      </c>
      <c r="F650" s="2">
        <f t="shared" si="30"/>
        <v>1</v>
      </c>
      <c r="G650">
        <f t="shared" si="31"/>
        <v>3</v>
      </c>
      <c r="H650" s="3" t="s">
        <v>4603</v>
      </c>
      <c r="I650" s="6" t="str">
        <f t="shared" si="32"/>
        <v>01030649</v>
      </c>
    </row>
    <row r="651" spans="1:9" x14ac:dyDescent="0.3">
      <c r="A651">
        <v>650</v>
      </c>
      <c r="B651" s="6">
        <v>32693059</v>
      </c>
      <c r="C651" t="str">
        <f>VLOOKUP(B651,[1]BD_FINAL!$A:$H,2,FALSE)</f>
        <v xml:space="preserve">Yadira  Ester </v>
      </c>
      <c r="D651" t="str">
        <f>VLOOKUP(B651,[1]BD_FINAL!$A:$H,3,FALSE)</f>
        <v>Medellin</v>
      </c>
      <c r="E651" t="str">
        <f>VLOOKUP(B651,[1]BD_FINAL!$A:$H,8,FALSE)</f>
        <v>Control</v>
      </c>
      <c r="F651" s="2">
        <f t="shared" si="30"/>
        <v>0</v>
      </c>
      <c r="G651">
        <f t="shared" si="31"/>
        <v>1</v>
      </c>
      <c r="H651" s="3" t="s">
        <v>4604</v>
      </c>
      <c r="I651" s="6" t="str">
        <f t="shared" si="32"/>
        <v>00010650</v>
      </c>
    </row>
    <row r="652" spans="1:9" x14ac:dyDescent="0.3">
      <c r="A652">
        <v>651</v>
      </c>
      <c r="B652" s="6">
        <v>32694200</v>
      </c>
      <c r="C652" t="str">
        <f>VLOOKUP(B652,[1]BD_FINAL!$A:$H,2,FALSE)</f>
        <v>Lía esther</v>
      </c>
      <c r="D652" t="str">
        <f>VLOOKUP(B652,[1]BD_FINAL!$A:$H,3,FALSE)</f>
        <v>Baranquilla</v>
      </c>
      <c r="E652" t="str">
        <f>VLOOKUP(B652,[1]BD_FINAL!$A:$H,8,FALSE)</f>
        <v>Tratamiento</v>
      </c>
      <c r="F652" s="2">
        <f t="shared" si="30"/>
        <v>1</v>
      </c>
      <c r="G652">
        <f t="shared" si="31"/>
        <v>3</v>
      </c>
      <c r="H652" s="3" t="s">
        <v>4605</v>
      </c>
      <c r="I652" s="6" t="str">
        <f t="shared" si="32"/>
        <v>01030651</v>
      </c>
    </row>
    <row r="653" spans="1:9" x14ac:dyDescent="0.3">
      <c r="A653">
        <v>652</v>
      </c>
      <c r="B653" s="6">
        <v>32694457</v>
      </c>
      <c r="C653" t="str">
        <f>VLOOKUP(B653,[1]BD_FINAL!$A:$H,2,FALSE)</f>
        <v xml:space="preserve">Delfina </v>
      </c>
      <c r="D653" t="str">
        <f>VLOOKUP(B653,[1]BD_FINAL!$A:$H,3,FALSE)</f>
        <v>Baranquilla</v>
      </c>
      <c r="E653" t="str">
        <f>VLOOKUP(B653,[1]BD_FINAL!$A:$H,8,FALSE)</f>
        <v>Control</v>
      </c>
      <c r="F653" s="2">
        <f t="shared" si="30"/>
        <v>0</v>
      </c>
      <c r="G653">
        <f t="shared" si="31"/>
        <v>3</v>
      </c>
      <c r="H653" s="3" t="s">
        <v>4606</v>
      </c>
      <c r="I653" s="6" t="str">
        <f t="shared" si="32"/>
        <v>00030652</v>
      </c>
    </row>
    <row r="654" spans="1:9" x14ac:dyDescent="0.3">
      <c r="A654">
        <v>653</v>
      </c>
      <c r="B654" s="6">
        <v>32694900</v>
      </c>
      <c r="C654" t="str">
        <f>VLOOKUP(B654,[1]BD_FINAL!$A:$H,2,FALSE)</f>
        <v xml:space="preserve">Deyanira Cecilia </v>
      </c>
      <c r="D654" t="str">
        <f>VLOOKUP(B654,[1]BD_FINAL!$A:$H,3,FALSE)</f>
        <v>Baranquilla</v>
      </c>
      <c r="E654" t="str">
        <f>VLOOKUP(B654,[1]BD_FINAL!$A:$H,8,FALSE)</f>
        <v>Control</v>
      </c>
      <c r="F654" s="2">
        <f t="shared" si="30"/>
        <v>0</v>
      </c>
      <c r="G654">
        <f t="shared" si="31"/>
        <v>3</v>
      </c>
      <c r="H654" s="3" t="s">
        <v>4607</v>
      </c>
      <c r="I654" s="6" t="str">
        <f t="shared" si="32"/>
        <v>00030653</v>
      </c>
    </row>
    <row r="655" spans="1:9" x14ac:dyDescent="0.3">
      <c r="A655">
        <v>654</v>
      </c>
      <c r="B655" s="6">
        <v>32697995</v>
      </c>
      <c r="C655" t="str">
        <f>VLOOKUP(B655,[1]BD_FINAL!$A:$H,2,FALSE)</f>
        <v xml:space="preserve">Mercedes isabel </v>
      </c>
      <c r="D655" t="str">
        <f>VLOOKUP(B655,[1]BD_FINAL!$A:$H,3,FALSE)</f>
        <v>Baranquilla</v>
      </c>
      <c r="E655" t="str">
        <f>VLOOKUP(B655,[1]BD_FINAL!$A:$H,8,FALSE)</f>
        <v>Control</v>
      </c>
      <c r="F655" s="2">
        <f t="shared" si="30"/>
        <v>0</v>
      </c>
      <c r="G655">
        <f t="shared" si="31"/>
        <v>3</v>
      </c>
      <c r="H655" s="3" t="s">
        <v>4608</v>
      </c>
      <c r="I655" s="6" t="str">
        <f t="shared" si="32"/>
        <v>00030654</v>
      </c>
    </row>
    <row r="656" spans="1:9" x14ac:dyDescent="0.3">
      <c r="A656">
        <v>655</v>
      </c>
      <c r="B656" s="6">
        <v>32703275</v>
      </c>
      <c r="C656" t="str">
        <f>VLOOKUP(B656,[1]BD_FINAL!$A:$H,2,FALSE)</f>
        <v xml:space="preserve">Ernia </v>
      </c>
      <c r="D656" t="str">
        <f>VLOOKUP(B656,[1]BD_FINAL!$A:$H,3,FALSE)</f>
        <v>Baranquilla</v>
      </c>
      <c r="E656" t="str">
        <f>VLOOKUP(B656,[1]BD_FINAL!$A:$H,8,FALSE)</f>
        <v>Control</v>
      </c>
      <c r="F656" s="2">
        <f t="shared" si="30"/>
        <v>0</v>
      </c>
      <c r="G656">
        <f t="shared" si="31"/>
        <v>3</v>
      </c>
      <c r="H656" s="3" t="s">
        <v>4609</v>
      </c>
      <c r="I656" s="6" t="str">
        <f t="shared" si="32"/>
        <v>00030655</v>
      </c>
    </row>
    <row r="657" spans="1:9" x14ac:dyDescent="0.3">
      <c r="A657">
        <v>656</v>
      </c>
      <c r="B657" s="6">
        <v>32705837</v>
      </c>
      <c r="C657" t="str">
        <f>VLOOKUP(B657,[1]BD_FINAL!$A:$H,2,FALSE)</f>
        <v>Rocío esther</v>
      </c>
      <c r="D657" t="str">
        <f>VLOOKUP(B657,[1]BD_FINAL!$A:$H,3,FALSE)</f>
        <v>Baranquilla</v>
      </c>
      <c r="E657" t="str">
        <f>VLOOKUP(B657,[1]BD_FINAL!$A:$H,8,FALSE)</f>
        <v>Control</v>
      </c>
      <c r="F657" s="2">
        <f t="shared" si="30"/>
        <v>0</v>
      </c>
      <c r="G657">
        <f t="shared" si="31"/>
        <v>3</v>
      </c>
      <c r="H657" s="3" t="s">
        <v>4610</v>
      </c>
      <c r="I657" s="6" t="str">
        <f t="shared" si="32"/>
        <v>00030656</v>
      </c>
    </row>
    <row r="658" spans="1:9" x14ac:dyDescent="0.3">
      <c r="A658">
        <v>657</v>
      </c>
      <c r="B658" s="6">
        <v>32707038</v>
      </c>
      <c r="C658" t="str">
        <f>VLOOKUP(B658,[1]BD_FINAL!$A:$H,2,FALSE)</f>
        <v>Vilma isabel</v>
      </c>
      <c r="D658" t="str">
        <f>VLOOKUP(B658,[1]BD_FINAL!$A:$H,3,FALSE)</f>
        <v>Baranquilla</v>
      </c>
      <c r="E658" t="str">
        <f>VLOOKUP(B658,[1]BD_FINAL!$A:$H,8,FALSE)</f>
        <v>Tratamiento</v>
      </c>
      <c r="F658" s="2">
        <f t="shared" si="30"/>
        <v>1</v>
      </c>
      <c r="G658">
        <f t="shared" si="31"/>
        <v>3</v>
      </c>
      <c r="H658" s="3" t="s">
        <v>4611</v>
      </c>
      <c r="I658" s="6" t="str">
        <f t="shared" si="32"/>
        <v>01030657</v>
      </c>
    </row>
    <row r="659" spans="1:9" x14ac:dyDescent="0.3">
      <c r="A659">
        <v>658</v>
      </c>
      <c r="B659" s="6">
        <v>32708738</v>
      </c>
      <c r="C659" t="str">
        <f>VLOOKUP(B659,[1]BD_FINAL!$A:$H,2,FALSE)</f>
        <v>Miladys esther</v>
      </c>
      <c r="D659" t="str">
        <f>VLOOKUP(B659,[1]BD_FINAL!$A:$H,3,FALSE)</f>
        <v>Baranquilla</v>
      </c>
      <c r="E659" t="str">
        <f>VLOOKUP(B659,[1]BD_FINAL!$A:$H,8,FALSE)</f>
        <v>Tratamiento</v>
      </c>
      <c r="F659" s="2">
        <f t="shared" si="30"/>
        <v>1</v>
      </c>
      <c r="G659">
        <f t="shared" si="31"/>
        <v>3</v>
      </c>
      <c r="H659" s="3" t="s">
        <v>4612</v>
      </c>
      <c r="I659" s="6" t="str">
        <f t="shared" si="32"/>
        <v>01030658</v>
      </c>
    </row>
    <row r="660" spans="1:9" x14ac:dyDescent="0.3">
      <c r="A660">
        <v>659</v>
      </c>
      <c r="B660" s="6">
        <v>32709507</v>
      </c>
      <c r="C660" t="str">
        <f>VLOOKUP(B660,[1]BD_FINAL!$A:$H,2,FALSE)</f>
        <v xml:space="preserve">GLORIA ESTHER </v>
      </c>
      <c r="D660" t="str">
        <f>VLOOKUP(B660,[1]BD_FINAL!$A:$H,3,FALSE)</f>
        <v>Baranquilla</v>
      </c>
      <c r="E660" t="str">
        <f>VLOOKUP(B660,[1]BD_FINAL!$A:$H,8,FALSE)</f>
        <v>Tratamiento</v>
      </c>
      <c r="F660" s="2">
        <f t="shared" si="30"/>
        <v>1</v>
      </c>
      <c r="G660">
        <f t="shared" si="31"/>
        <v>3</v>
      </c>
      <c r="H660" s="3" t="s">
        <v>4613</v>
      </c>
      <c r="I660" s="6" t="str">
        <f t="shared" si="32"/>
        <v>01030659</v>
      </c>
    </row>
    <row r="661" spans="1:9" x14ac:dyDescent="0.3">
      <c r="A661">
        <v>660</v>
      </c>
      <c r="B661" s="6">
        <v>32709662</v>
      </c>
      <c r="C661" t="str">
        <f>VLOOKUP(B661,[1]BD_FINAL!$A:$H,2,FALSE)</f>
        <v xml:space="preserve">Nuris Esther </v>
      </c>
      <c r="D661" t="str">
        <f>VLOOKUP(B661,[1]BD_FINAL!$A:$H,3,FALSE)</f>
        <v>Baranquilla</v>
      </c>
      <c r="E661" t="str">
        <f>VLOOKUP(B661,[1]BD_FINAL!$A:$H,8,FALSE)</f>
        <v>Control</v>
      </c>
      <c r="F661" s="2">
        <f t="shared" si="30"/>
        <v>0</v>
      </c>
      <c r="G661">
        <f t="shared" si="31"/>
        <v>3</v>
      </c>
      <c r="H661" s="3" t="s">
        <v>4614</v>
      </c>
      <c r="I661" s="6" t="str">
        <f t="shared" si="32"/>
        <v>00030660</v>
      </c>
    </row>
    <row r="662" spans="1:9" x14ac:dyDescent="0.3">
      <c r="A662">
        <v>661</v>
      </c>
      <c r="B662" s="6">
        <v>32710701</v>
      </c>
      <c r="C662" t="str">
        <f>VLOOKUP(B662,[1]BD_FINAL!$A:$H,2,FALSE)</f>
        <v xml:space="preserve">Carmen María </v>
      </c>
      <c r="D662" t="str">
        <f>VLOOKUP(B662,[1]BD_FINAL!$A:$H,3,FALSE)</f>
        <v>Baranquilla</v>
      </c>
      <c r="E662" t="str">
        <f>VLOOKUP(B662,[1]BD_FINAL!$A:$H,8,FALSE)</f>
        <v>Tratamiento</v>
      </c>
      <c r="F662" s="2">
        <f t="shared" si="30"/>
        <v>1</v>
      </c>
      <c r="G662">
        <f t="shared" si="31"/>
        <v>3</v>
      </c>
      <c r="H662" s="3" t="s">
        <v>4615</v>
      </c>
      <c r="I662" s="6" t="str">
        <f t="shared" si="32"/>
        <v>01030661</v>
      </c>
    </row>
    <row r="663" spans="1:9" x14ac:dyDescent="0.3">
      <c r="A663">
        <v>662</v>
      </c>
      <c r="B663" s="6">
        <v>32712481</v>
      </c>
      <c r="C663" t="str">
        <f>VLOOKUP(B663,[1]BD_FINAL!$A:$H,2,FALSE)</f>
        <v xml:space="preserve">JUDITH CECILIA </v>
      </c>
      <c r="D663" t="str">
        <f>VLOOKUP(B663,[1]BD_FINAL!$A:$H,3,FALSE)</f>
        <v>Baranquilla</v>
      </c>
      <c r="E663" t="str">
        <f>VLOOKUP(B663,[1]BD_FINAL!$A:$H,8,FALSE)</f>
        <v>Tratamiento</v>
      </c>
      <c r="F663" s="2">
        <f t="shared" si="30"/>
        <v>1</v>
      </c>
      <c r="G663">
        <f t="shared" si="31"/>
        <v>3</v>
      </c>
      <c r="H663" s="3" t="s">
        <v>4616</v>
      </c>
      <c r="I663" s="6" t="str">
        <f t="shared" si="32"/>
        <v>01030662</v>
      </c>
    </row>
    <row r="664" spans="1:9" x14ac:dyDescent="0.3">
      <c r="A664">
        <v>663</v>
      </c>
      <c r="B664" s="6">
        <v>32716378</v>
      </c>
      <c r="C664" t="str">
        <f>VLOOKUP(B664,[1]BD_FINAL!$A:$H,2,FALSE)</f>
        <v>Enilda</v>
      </c>
      <c r="D664" t="str">
        <f>VLOOKUP(B664,[1]BD_FINAL!$A:$H,3,FALSE)</f>
        <v>Baranquilla</v>
      </c>
      <c r="E664" t="str">
        <f>VLOOKUP(B664,[1]BD_FINAL!$A:$H,8,FALSE)</f>
        <v>Tratamiento</v>
      </c>
      <c r="F664" s="2">
        <f t="shared" si="30"/>
        <v>1</v>
      </c>
      <c r="G664">
        <f t="shared" si="31"/>
        <v>3</v>
      </c>
      <c r="H664" s="3" t="s">
        <v>4617</v>
      </c>
      <c r="I664" s="6" t="str">
        <f t="shared" si="32"/>
        <v>01030663</v>
      </c>
    </row>
    <row r="665" spans="1:9" x14ac:dyDescent="0.3">
      <c r="A665">
        <v>664</v>
      </c>
      <c r="B665" s="6">
        <v>32717266</v>
      </c>
      <c r="C665" t="str">
        <f>VLOOKUP(B665,[1]BD_FINAL!$A:$H,2,FALSE)</f>
        <v xml:space="preserve">Dorelis patricia </v>
      </c>
      <c r="D665" t="str">
        <f>VLOOKUP(B665,[1]BD_FINAL!$A:$H,3,FALSE)</f>
        <v>Baranquilla</v>
      </c>
      <c r="E665" t="str">
        <f>VLOOKUP(B665,[1]BD_FINAL!$A:$H,8,FALSE)</f>
        <v>Tratamiento</v>
      </c>
      <c r="F665" s="2">
        <f t="shared" si="30"/>
        <v>1</v>
      </c>
      <c r="G665">
        <f t="shared" si="31"/>
        <v>3</v>
      </c>
      <c r="H665" s="3" t="s">
        <v>4618</v>
      </c>
      <c r="I665" s="6" t="str">
        <f t="shared" si="32"/>
        <v>01030664</v>
      </c>
    </row>
    <row r="666" spans="1:9" x14ac:dyDescent="0.3">
      <c r="A666">
        <v>665</v>
      </c>
      <c r="B666" s="6">
        <v>32719297</v>
      </c>
      <c r="C666" t="str">
        <f>VLOOKUP(B666,[1]BD_FINAL!$A:$H,2,FALSE)</f>
        <v xml:space="preserve">Javier enrique </v>
      </c>
      <c r="D666" t="str">
        <f>VLOOKUP(B666,[1]BD_FINAL!$A:$H,3,FALSE)</f>
        <v>Baranquilla</v>
      </c>
      <c r="E666" t="str">
        <f>VLOOKUP(B666,[1]BD_FINAL!$A:$H,8,FALSE)</f>
        <v>Control</v>
      </c>
      <c r="F666" s="2">
        <f t="shared" si="30"/>
        <v>0</v>
      </c>
      <c r="G666">
        <f t="shared" si="31"/>
        <v>3</v>
      </c>
      <c r="H666" s="3" t="s">
        <v>4619</v>
      </c>
      <c r="I666" s="6" t="str">
        <f t="shared" si="32"/>
        <v>00030665</v>
      </c>
    </row>
    <row r="667" spans="1:9" x14ac:dyDescent="0.3">
      <c r="A667">
        <v>666</v>
      </c>
      <c r="B667" s="6">
        <v>32727855</v>
      </c>
      <c r="C667" t="str">
        <f>VLOOKUP(B667,[1]BD_FINAL!$A:$H,2,FALSE)</f>
        <v xml:space="preserve">YUDIS ISABEL </v>
      </c>
      <c r="D667" t="str">
        <f>VLOOKUP(B667,[1]BD_FINAL!$A:$H,3,FALSE)</f>
        <v>Baranquilla</v>
      </c>
      <c r="E667" t="str">
        <f>VLOOKUP(B667,[1]BD_FINAL!$A:$H,8,FALSE)</f>
        <v>Tratamiento</v>
      </c>
      <c r="F667" s="2">
        <f t="shared" si="30"/>
        <v>1</v>
      </c>
      <c r="G667">
        <f t="shared" si="31"/>
        <v>3</v>
      </c>
      <c r="H667" s="3" t="s">
        <v>4620</v>
      </c>
      <c r="I667" s="6" t="str">
        <f t="shared" si="32"/>
        <v>01030666</v>
      </c>
    </row>
    <row r="668" spans="1:9" x14ac:dyDescent="0.3">
      <c r="A668">
        <v>667</v>
      </c>
      <c r="B668" s="6">
        <v>32729377</v>
      </c>
      <c r="C668" t="str">
        <f>VLOOKUP(B668,[1]BD_FINAL!$A:$H,2,FALSE)</f>
        <v xml:space="preserve">Elizabeth </v>
      </c>
      <c r="D668" t="str">
        <f>VLOOKUP(B668,[1]BD_FINAL!$A:$H,3,FALSE)</f>
        <v>Baranquilla</v>
      </c>
      <c r="E668" t="str">
        <f>VLOOKUP(B668,[1]BD_FINAL!$A:$H,8,FALSE)</f>
        <v>Control</v>
      </c>
      <c r="F668" s="2">
        <f t="shared" si="30"/>
        <v>0</v>
      </c>
      <c r="G668">
        <f t="shared" si="31"/>
        <v>3</v>
      </c>
      <c r="H668" s="3" t="s">
        <v>4621</v>
      </c>
      <c r="I668" s="6" t="str">
        <f t="shared" si="32"/>
        <v>00030667</v>
      </c>
    </row>
    <row r="669" spans="1:9" x14ac:dyDescent="0.3">
      <c r="A669">
        <v>668</v>
      </c>
      <c r="B669" s="6">
        <v>32730886</v>
      </c>
      <c r="C669" t="str">
        <f>VLOOKUP(B669,[1]BD_FINAL!$A:$H,2,FALSE)</f>
        <v xml:space="preserve">Gladys </v>
      </c>
      <c r="D669" t="str">
        <f>VLOOKUP(B669,[1]BD_FINAL!$A:$H,3,FALSE)</f>
        <v>Baranquilla</v>
      </c>
      <c r="E669" t="str">
        <f>VLOOKUP(B669,[1]BD_FINAL!$A:$H,8,FALSE)</f>
        <v>Control</v>
      </c>
      <c r="F669" s="2">
        <f t="shared" si="30"/>
        <v>0</v>
      </c>
      <c r="G669">
        <f t="shared" si="31"/>
        <v>3</v>
      </c>
      <c r="H669" s="3" t="s">
        <v>4622</v>
      </c>
      <c r="I669" s="6" t="str">
        <f t="shared" si="32"/>
        <v>00030668</v>
      </c>
    </row>
    <row r="670" spans="1:9" x14ac:dyDescent="0.3">
      <c r="A670">
        <v>669</v>
      </c>
      <c r="B670" s="6">
        <v>32732227</v>
      </c>
      <c r="C670" t="str">
        <f>VLOOKUP(B670,[1]BD_FINAL!$A:$H,2,FALSE)</f>
        <v>Rosalba</v>
      </c>
      <c r="D670" t="str">
        <f>VLOOKUP(B670,[1]BD_FINAL!$A:$H,3,FALSE)</f>
        <v>Baranquilla</v>
      </c>
      <c r="E670" t="str">
        <f>VLOOKUP(B670,[1]BD_FINAL!$A:$H,8,FALSE)</f>
        <v>Control</v>
      </c>
      <c r="F670" s="2">
        <f t="shared" si="30"/>
        <v>0</v>
      </c>
      <c r="G670">
        <f t="shared" si="31"/>
        <v>3</v>
      </c>
      <c r="H670" s="3" t="s">
        <v>4623</v>
      </c>
      <c r="I670" s="6" t="str">
        <f t="shared" si="32"/>
        <v>00030669</v>
      </c>
    </row>
    <row r="671" spans="1:9" x14ac:dyDescent="0.3">
      <c r="A671">
        <v>670</v>
      </c>
      <c r="B671" s="6">
        <v>32733938</v>
      </c>
      <c r="C671" t="str">
        <f>VLOOKUP(B671,[1]BD_FINAL!$A:$H,2,FALSE)</f>
        <v xml:space="preserve">Teresa </v>
      </c>
      <c r="D671" t="str">
        <f>VLOOKUP(B671,[1]BD_FINAL!$A:$H,3,FALSE)</f>
        <v>Baranquilla</v>
      </c>
      <c r="E671" t="str">
        <f>VLOOKUP(B671,[1]BD_FINAL!$A:$H,8,FALSE)</f>
        <v>Tratamiento</v>
      </c>
      <c r="F671" s="2">
        <f t="shared" si="30"/>
        <v>1</v>
      </c>
      <c r="G671">
        <f t="shared" si="31"/>
        <v>3</v>
      </c>
      <c r="H671" s="3" t="s">
        <v>4624</v>
      </c>
      <c r="I671" s="6" t="str">
        <f t="shared" si="32"/>
        <v>01030670</v>
      </c>
    </row>
    <row r="672" spans="1:9" x14ac:dyDescent="0.3">
      <c r="A672">
        <v>671</v>
      </c>
      <c r="B672" s="6">
        <v>32734044</v>
      </c>
      <c r="C672" t="str">
        <f>VLOOKUP(B672,[1]BD_FINAL!$A:$H,2,FALSE)</f>
        <v>Elsa Regina</v>
      </c>
      <c r="D672" t="str">
        <f>VLOOKUP(B672,[1]BD_FINAL!$A:$H,3,FALSE)</f>
        <v>Baranquilla</v>
      </c>
      <c r="E672" t="str">
        <f>VLOOKUP(B672,[1]BD_FINAL!$A:$H,8,FALSE)</f>
        <v>Tratamiento</v>
      </c>
      <c r="F672" s="2">
        <f t="shared" si="30"/>
        <v>1</v>
      </c>
      <c r="G672">
        <f t="shared" si="31"/>
        <v>3</v>
      </c>
      <c r="H672" s="3" t="s">
        <v>4625</v>
      </c>
      <c r="I672" s="6" t="str">
        <f t="shared" si="32"/>
        <v>01030671</v>
      </c>
    </row>
    <row r="673" spans="1:9" x14ac:dyDescent="0.3">
      <c r="A673">
        <v>672</v>
      </c>
      <c r="B673" s="6">
        <v>32736975</v>
      </c>
      <c r="C673" t="str">
        <f>VLOOKUP(B673,[1]BD_FINAL!$A:$H,2,FALSE)</f>
        <v>Nancy esther</v>
      </c>
      <c r="D673" t="str">
        <f>VLOOKUP(B673,[1]BD_FINAL!$A:$H,3,FALSE)</f>
        <v>Baranquilla</v>
      </c>
      <c r="E673" t="str">
        <f>VLOOKUP(B673,[1]BD_FINAL!$A:$H,8,FALSE)</f>
        <v>Tratamiento</v>
      </c>
      <c r="F673" s="2">
        <f t="shared" si="30"/>
        <v>1</v>
      </c>
      <c r="G673">
        <f t="shared" si="31"/>
        <v>3</v>
      </c>
      <c r="H673" s="3" t="s">
        <v>4626</v>
      </c>
      <c r="I673" s="6" t="str">
        <f t="shared" si="32"/>
        <v>01030672</v>
      </c>
    </row>
    <row r="674" spans="1:9" x14ac:dyDescent="0.3">
      <c r="A674">
        <v>673</v>
      </c>
      <c r="B674" s="6">
        <v>32740221</v>
      </c>
      <c r="C674" t="str">
        <f>VLOOKUP(B674,[1]BD_FINAL!$A:$H,2,FALSE)</f>
        <v>Ofelia</v>
      </c>
      <c r="D674" t="str">
        <f>VLOOKUP(B674,[1]BD_FINAL!$A:$H,3,FALSE)</f>
        <v>Baranquilla</v>
      </c>
      <c r="E674" t="str">
        <f>VLOOKUP(B674,[1]BD_FINAL!$A:$H,8,FALSE)</f>
        <v>Tratamiento</v>
      </c>
      <c r="F674" s="2">
        <f t="shared" si="30"/>
        <v>1</v>
      </c>
      <c r="G674">
        <f t="shared" si="31"/>
        <v>3</v>
      </c>
      <c r="H674" s="3" t="s">
        <v>4627</v>
      </c>
      <c r="I674" s="6" t="str">
        <f t="shared" si="32"/>
        <v>01030673</v>
      </c>
    </row>
    <row r="675" spans="1:9" x14ac:dyDescent="0.3">
      <c r="A675">
        <v>674</v>
      </c>
      <c r="B675" s="6">
        <v>32740279</v>
      </c>
      <c r="C675" t="str">
        <f>VLOOKUP(B675,[1]BD_FINAL!$A:$H,2,FALSE)</f>
        <v xml:space="preserve">Martha </v>
      </c>
      <c r="D675" t="str">
        <f>VLOOKUP(B675,[1]BD_FINAL!$A:$H,3,FALSE)</f>
        <v>Baranquilla</v>
      </c>
      <c r="E675" t="str">
        <f>VLOOKUP(B675,[1]BD_FINAL!$A:$H,8,FALSE)</f>
        <v>Control</v>
      </c>
      <c r="F675" s="2">
        <f t="shared" si="30"/>
        <v>0</v>
      </c>
      <c r="G675">
        <f t="shared" si="31"/>
        <v>3</v>
      </c>
      <c r="H675" s="3" t="s">
        <v>4628</v>
      </c>
      <c r="I675" s="6" t="str">
        <f t="shared" si="32"/>
        <v>00030674</v>
      </c>
    </row>
    <row r="676" spans="1:9" x14ac:dyDescent="0.3">
      <c r="A676">
        <v>675</v>
      </c>
      <c r="B676" s="6">
        <v>32740999</v>
      </c>
      <c r="C676" t="str">
        <f>VLOOKUP(B676,[1]BD_FINAL!$A:$H,2,FALSE)</f>
        <v>Mara judith</v>
      </c>
      <c r="D676" t="str">
        <f>VLOOKUP(B676,[1]BD_FINAL!$A:$H,3,FALSE)</f>
        <v>Baranquilla</v>
      </c>
      <c r="E676" t="str">
        <f>VLOOKUP(B676,[1]BD_FINAL!$A:$H,8,FALSE)</f>
        <v>Tratamiento</v>
      </c>
      <c r="F676" s="2">
        <f t="shared" si="30"/>
        <v>1</v>
      </c>
      <c r="G676">
        <f t="shared" si="31"/>
        <v>3</v>
      </c>
      <c r="H676" s="3" t="s">
        <v>4629</v>
      </c>
      <c r="I676" s="6" t="str">
        <f t="shared" si="32"/>
        <v>01030675</v>
      </c>
    </row>
    <row r="677" spans="1:9" x14ac:dyDescent="0.3">
      <c r="A677">
        <v>676</v>
      </c>
      <c r="B677" s="6">
        <v>32741994</v>
      </c>
      <c r="C677" t="str">
        <f>VLOOKUP(B677,[1]BD_FINAL!$A:$H,2,FALSE)</f>
        <v>Manuela ester</v>
      </c>
      <c r="D677" t="str">
        <f>VLOOKUP(B677,[1]BD_FINAL!$A:$H,3,FALSE)</f>
        <v>Baranquilla</v>
      </c>
      <c r="E677" t="str">
        <f>VLOOKUP(B677,[1]BD_FINAL!$A:$H,8,FALSE)</f>
        <v>Tratamiento</v>
      </c>
      <c r="F677" s="2">
        <f t="shared" si="30"/>
        <v>1</v>
      </c>
      <c r="G677">
        <f t="shared" si="31"/>
        <v>3</v>
      </c>
      <c r="H677" s="3" t="s">
        <v>4630</v>
      </c>
      <c r="I677" s="6" t="str">
        <f t="shared" si="32"/>
        <v>01030676</v>
      </c>
    </row>
    <row r="678" spans="1:9" x14ac:dyDescent="0.3">
      <c r="A678">
        <v>677</v>
      </c>
      <c r="B678" s="6">
        <v>32744428</v>
      </c>
      <c r="C678" t="str">
        <f>VLOOKUP(B678,[1]BD_FINAL!$A:$H,2,FALSE)</f>
        <v xml:space="preserve">Ingrid enid </v>
      </c>
      <c r="D678" t="str">
        <f>VLOOKUP(B678,[1]BD_FINAL!$A:$H,3,FALSE)</f>
        <v>Baranquilla</v>
      </c>
      <c r="E678" t="str">
        <f>VLOOKUP(B678,[1]BD_FINAL!$A:$H,8,FALSE)</f>
        <v>Tratamiento</v>
      </c>
      <c r="F678" s="2">
        <f t="shared" si="30"/>
        <v>1</v>
      </c>
      <c r="G678">
        <f t="shared" si="31"/>
        <v>3</v>
      </c>
      <c r="H678" s="3" t="s">
        <v>4631</v>
      </c>
      <c r="I678" s="6" t="str">
        <f t="shared" si="32"/>
        <v>01030677</v>
      </c>
    </row>
    <row r="679" spans="1:9" x14ac:dyDescent="0.3">
      <c r="A679">
        <v>678</v>
      </c>
      <c r="B679" s="6">
        <v>32745229</v>
      </c>
      <c r="C679" t="str">
        <f>VLOOKUP(B679,[1]BD_FINAL!$A:$H,2,FALSE)</f>
        <v>Zenith maria</v>
      </c>
      <c r="D679" t="str">
        <f>VLOOKUP(B679,[1]BD_FINAL!$A:$H,3,FALSE)</f>
        <v>Baranquilla</v>
      </c>
      <c r="E679" t="str">
        <f>VLOOKUP(B679,[1]BD_FINAL!$A:$H,8,FALSE)</f>
        <v>Control</v>
      </c>
      <c r="F679" s="2">
        <f t="shared" si="30"/>
        <v>0</v>
      </c>
      <c r="G679">
        <f t="shared" si="31"/>
        <v>3</v>
      </c>
      <c r="H679" s="3" t="s">
        <v>4632</v>
      </c>
      <c r="I679" s="6" t="str">
        <f t="shared" si="32"/>
        <v>00030678</v>
      </c>
    </row>
    <row r="680" spans="1:9" x14ac:dyDescent="0.3">
      <c r="A680">
        <v>679</v>
      </c>
      <c r="B680" s="6">
        <v>32749067</v>
      </c>
      <c r="C680" t="str">
        <f>VLOOKUP(B680,[1]BD_FINAL!$A:$H,2,FALSE)</f>
        <v xml:space="preserve">Yamiles de jesus </v>
      </c>
      <c r="D680" t="str">
        <f>VLOOKUP(B680,[1]BD_FINAL!$A:$H,3,FALSE)</f>
        <v>Baranquilla</v>
      </c>
      <c r="E680" t="str">
        <f>VLOOKUP(B680,[1]BD_FINAL!$A:$H,8,FALSE)</f>
        <v>Control</v>
      </c>
      <c r="F680" s="2">
        <f t="shared" si="30"/>
        <v>0</v>
      </c>
      <c r="G680">
        <f t="shared" si="31"/>
        <v>3</v>
      </c>
      <c r="H680" s="3" t="s">
        <v>4633</v>
      </c>
      <c r="I680" s="6" t="str">
        <f t="shared" si="32"/>
        <v>00030679</v>
      </c>
    </row>
    <row r="681" spans="1:9" x14ac:dyDescent="0.3">
      <c r="A681">
        <v>680</v>
      </c>
      <c r="B681" s="6">
        <v>32750464</v>
      </c>
      <c r="C681" t="str">
        <f>VLOOKUP(B681,[1]BD_FINAL!$A:$H,2,FALSE)</f>
        <v xml:space="preserve">Margarita Rosa </v>
      </c>
      <c r="D681" t="str">
        <f>VLOOKUP(B681,[1]BD_FINAL!$A:$H,3,FALSE)</f>
        <v>Baranquilla</v>
      </c>
      <c r="E681" t="str">
        <f>VLOOKUP(B681,[1]BD_FINAL!$A:$H,8,FALSE)</f>
        <v>Control</v>
      </c>
      <c r="F681" s="2">
        <f t="shared" si="30"/>
        <v>0</v>
      </c>
      <c r="G681">
        <f t="shared" si="31"/>
        <v>3</v>
      </c>
      <c r="H681" s="3" t="s">
        <v>4634</v>
      </c>
      <c r="I681" s="6" t="str">
        <f t="shared" si="32"/>
        <v>00030680</v>
      </c>
    </row>
    <row r="682" spans="1:9" x14ac:dyDescent="0.3">
      <c r="A682">
        <v>681</v>
      </c>
      <c r="B682" s="6">
        <v>32752555</v>
      </c>
      <c r="C682" t="str">
        <f>VLOOKUP(B682,[1]BD_FINAL!$A:$H,2,FALSE)</f>
        <v xml:space="preserve">ENEDITH DEL CARMEN </v>
      </c>
      <c r="D682" t="str">
        <f>VLOOKUP(B682,[1]BD_FINAL!$A:$H,3,FALSE)</f>
        <v>Baranquilla</v>
      </c>
      <c r="E682" t="str">
        <f>VLOOKUP(B682,[1]BD_FINAL!$A:$H,8,FALSE)</f>
        <v>Tratamiento</v>
      </c>
      <c r="F682" s="2">
        <f t="shared" si="30"/>
        <v>1</v>
      </c>
      <c r="G682">
        <f t="shared" si="31"/>
        <v>3</v>
      </c>
      <c r="H682" s="3" t="s">
        <v>4635</v>
      </c>
      <c r="I682" s="6" t="str">
        <f t="shared" si="32"/>
        <v>01030681</v>
      </c>
    </row>
    <row r="683" spans="1:9" x14ac:dyDescent="0.3">
      <c r="A683">
        <v>682</v>
      </c>
      <c r="B683" s="6">
        <v>32754634</v>
      </c>
      <c r="C683" t="str">
        <f>VLOOKUP(B683,[1]BD_FINAL!$A:$H,2,FALSE)</f>
        <v xml:space="preserve">Diorselis </v>
      </c>
      <c r="D683" t="str">
        <f>VLOOKUP(B683,[1]BD_FINAL!$A:$H,3,FALSE)</f>
        <v>Baranquilla</v>
      </c>
      <c r="E683" t="str">
        <f>VLOOKUP(B683,[1]BD_FINAL!$A:$H,8,FALSE)</f>
        <v>Control</v>
      </c>
      <c r="F683" s="2">
        <f t="shared" si="30"/>
        <v>0</v>
      </c>
      <c r="G683">
        <f t="shared" si="31"/>
        <v>3</v>
      </c>
      <c r="H683" s="3" t="s">
        <v>4636</v>
      </c>
      <c r="I683" s="6" t="str">
        <f t="shared" si="32"/>
        <v>00030682</v>
      </c>
    </row>
    <row r="684" spans="1:9" x14ac:dyDescent="0.3">
      <c r="A684">
        <v>683</v>
      </c>
      <c r="B684" s="6">
        <v>32761116</v>
      </c>
      <c r="C684" t="str">
        <f>VLOOKUP(B684,[1]BD_FINAL!$A:$H,2,FALSE)</f>
        <v>Gladis</v>
      </c>
      <c r="D684" t="str">
        <f>VLOOKUP(B684,[1]BD_FINAL!$A:$H,3,FALSE)</f>
        <v>Baranquilla</v>
      </c>
      <c r="E684" t="str">
        <f>VLOOKUP(B684,[1]BD_FINAL!$A:$H,8,FALSE)</f>
        <v>Control</v>
      </c>
      <c r="F684" s="2">
        <f t="shared" si="30"/>
        <v>0</v>
      </c>
      <c r="G684">
        <f t="shared" si="31"/>
        <v>3</v>
      </c>
      <c r="H684" s="3" t="s">
        <v>4637</v>
      </c>
      <c r="I684" s="6" t="str">
        <f t="shared" si="32"/>
        <v>00030683</v>
      </c>
    </row>
    <row r="685" spans="1:9" x14ac:dyDescent="0.3">
      <c r="A685">
        <v>684</v>
      </c>
      <c r="B685" s="6">
        <v>32764598</v>
      </c>
      <c r="C685" t="str">
        <f>VLOOKUP(B685,[1]BD_FINAL!$A:$H,2,FALSE)</f>
        <v>Dalys</v>
      </c>
      <c r="D685" t="str">
        <f>VLOOKUP(B685,[1]BD_FINAL!$A:$H,3,FALSE)</f>
        <v>Baranquilla</v>
      </c>
      <c r="E685" t="str">
        <f>VLOOKUP(B685,[1]BD_FINAL!$A:$H,8,FALSE)</f>
        <v>Tratamiento</v>
      </c>
      <c r="F685" s="2">
        <f t="shared" si="30"/>
        <v>1</v>
      </c>
      <c r="G685">
        <f t="shared" si="31"/>
        <v>3</v>
      </c>
      <c r="H685" s="3" t="s">
        <v>4638</v>
      </c>
      <c r="I685" s="6" t="str">
        <f t="shared" si="32"/>
        <v>01030684</v>
      </c>
    </row>
    <row r="686" spans="1:9" x14ac:dyDescent="0.3">
      <c r="A686">
        <v>685</v>
      </c>
      <c r="B686" s="6">
        <v>32766298</v>
      </c>
      <c r="C686" t="str">
        <f>VLOOKUP(B686,[1]BD_FINAL!$A:$H,2,FALSE)</f>
        <v xml:space="preserve">
Zaida judith</v>
      </c>
      <c r="D686" t="str">
        <f>VLOOKUP(B686,[1]BD_FINAL!$A:$H,3,FALSE)</f>
        <v>Baranquilla</v>
      </c>
      <c r="E686" t="str">
        <f>VLOOKUP(B686,[1]BD_FINAL!$A:$H,8,FALSE)</f>
        <v>Control</v>
      </c>
      <c r="F686" s="2">
        <f t="shared" si="30"/>
        <v>0</v>
      </c>
      <c r="G686">
        <f t="shared" si="31"/>
        <v>3</v>
      </c>
      <c r="H686" s="3" t="s">
        <v>4639</v>
      </c>
      <c r="I686" s="6" t="str">
        <f t="shared" si="32"/>
        <v>00030685</v>
      </c>
    </row>
    <row r="687" spans="1:9" x14ac:dyDescent="0.3">
      <c r="A687">
        <v>686</v>
      </c>
      <c r="B687" s="6">
        <v>32766429</v>
      </c>
      <c r="C687" t="str">
        <f>VLOOKUP(B687,[1]BD_FINAL!$A:$H,2,FALSE)</f>
        <v xml:space="preserve">Edith Esther </v>
      </c>
      <c r="D687" t="str">
        <f>VLOOKUP(B687,[1]BD_FINAL!$A:$H,3,FALSE)</f>
        <v>Baranquilla</v>
      </c>
      <c r="E687" t="str">
        <f>VLOOKUP(B687,[1]BD_FINAL!$A:$H,8,FALSE)</f>
        <v>Control</v>
      </c>
      <c r="F687" s="2">
        <f t="shared" si="30"/>
        <v>0</v>
      </c>
      <c r="G687">
        <f t="shared" si="31"/>
        <v>3</v>
      </c>
      <c r="H687" s="3" t="s">
        <v>4640</v>
      </c>
      <c r="I687" s="6" t="str">
        <f t="shared" si="32"/>
        <v>00030686</v>
      </c>
    </row>
    <row r="688" spans="1:9" x14ac:dyDescent="0.3">
      <c r="A688">
        <v>687</v>
      </c>
      <c r="B688" s="6">
        <v>32771620</v>
      </c>
      <c r="C688" t="str">
        <f>VLOOKUP(B688,[1]BD_FINAL!$A:$H,2,FALSE)</f>
        <v xml:space="preserve">Marlene </v>
      </c>
      <c r="D688" t="str">
        <f>VLOOKUP(B688,[1]BD_FINAL!$A:$H,3,FALSE)</f>
        <v>Baranquilla</v>
      </c>
      <c r="E688" t="str">
        <f>VLOOKUP(B688,[1]BD_FINAL!$A:$H,8,FALSE)</f>
        <v>Control</v>
      </c>
      <c r="F688" s="2">
        <f t="shared" si="30"/>
        <v>0</v>
      </c>
      <c r="G688">
        <f t="shared" si="31"/>
        <v>3</v>
      </c>
      <c r="H688" s="3" t="s">
        <v>4641</v>
      </c>
      <c r="I688" s="6" t="str">
        <f t="shared" si="32"/>
        <v>00030687</v>
      </c>
    </row>
    <row r="689" spans="1:9" x14ac:dyDescent="0.3">
      <c r="A689">
        <v>688</v>
      </c>
      <c r="B689" s="6">
        <v>32772911</v>
      </c>
      <c r="C689" t="str">
        <f>VLOOKUP(B689,[1]BD_FINAL!$A:$H,2,FALSE)</f>
        <v>Patricia yanet</v>
      </c>
      <c r="D689" t="str">
        <f>VLOOKUP(B689,[1]BD_FINAL!$A:$H,3,FALSE)</f>
        <v>Baranquilla</v>
      </c>
      <c r="E689" t="str">
        <f>VLOOKUP(B689,[1]BD_FINAL!$A:$H,8,FALSE)</f>
        <v>Tratamiento</v>
      </c>
      <c r="F689" s="2">
        <f t="shared" si="30"/>
        <v>1</v>
      </c>
      <c r="G689">
        <f t="shared" si="31"/>
        <v>3</v>
      </c>
      <c r="H689" s="3" t="s">
        <v>4642</v>
      </c>
      <c r="I689" s="6" t="str">
        <f t="shared" si="32"/>
        <v>01030688</v>
      </c>
    </row>
    <row r="690" spans="1:9" x14ac:dyDescent="0.3">
      <c r="A690">
        <v>689</v>
      </c>
      <c r="B690" s="6">
        <v>32776426</v>
      </c>
      <c r="C690" t="str">
        <f>VLOOKUP(B690,[1]BD_FINAL!$A:$H,2,FALSE)</f>
        <v>Janeth</v>
      </c>
      <c r="D690" t="str">
        <f>VLOOKUP(B690,[1]BD_FINAL!$A:$H,3,FALSE)</f>
        <v>Baranquilla</v>
      </c>
      <c r="E690" t="str">
        <f>VLOOKUP(B690,[1]BD_FINAL!$A:$H,8,FALSE)</f>
        <v>Control</v>
      </c>
      <c r="F690" s="2">
        <f t="shared" si="30"/>
        <v>0</v>
      </c>
      <c r="G690">
        <f t="shared" si="31"/>
        <v>3</v>
      </c>
      <c r="H690" s="3" t="s">
        <v>4643</v>
      </c>
      <c r="I690" s="6" t="str">
        <f t="shared" si="32"/>
        <v>00030689</v>
      </c>
    </row>
    <row r="691" spans="1:9" x14ac:dyDescent="0.3">
      <c r="A691">
        <v>690</v>
      </c>
      <c r="B691" s="6">
        <v>32776499</v>
      </c>
      <c r="C691" t="str">
        <f>VLOOKUP(B691,[1]BD_FINAL!$A:$H,2,FALSE)</f>
        <v>Celina</v>
      </c>
      <c r="D691" t="str">
        <f>VLOOKUP(B691,[1]BD_FINAL!$A:$H,3,FALSE)</f>
        <v>Baranquilla</v>
      </c>
      <c r="E691" t="str">
        <f>VLOOKUP(B691,[1]BD_FINAL!$A:$H,8,FALSE)</f>
        <v>Control</v>
      </c>
      <c r="F691" s="2">
        <f t="shared" si="30"/>
        <v>0</v>
      </c>
      <c r="G691">
        <f t="shared" si="31"/>
        <v>3</v>
      </c>
      <c r="H691" s="3" t="s">
        <v>4644</v>
      </c>
      <c r="I691" s="6" t="str">
        <f t="shared" si="32"/>
        <v>00030690</v>
      </c>
    </row>
    <row r="692" spans="1:9" x14ac:dyDescent="0.3">
      <c r="A692">
        <v>691</v>
      </c>
      <c r="B692" s="6">
        <v>32778590</v>
      </c>
      <c r="C692" t="str">
        <f>VLOOKUP(B692,[1]BD_FINAL!$A:$H,2,FALSE)</f>
        <v xml:space="preserve">Piedad 
</v>
      </c>
      <c r="D692" t="str">
        <f>VLOOKUP(B692,[1]BD_FINAL!$A:$H,3,FALSE)</f>
        <v>Baranquilla</v>
      </c>
      <c r="E692" t="str">
        <f>VLOOKUP(B692,[1]BD_FINAL!$A:$H,8,FALSE)</f>
        <v>Tratamiento</v>
      </c>
      <c r="F692" s="2">
        <f t="shared" si="30"/>
        <v>1</v>
      </c>
      <c r="G692">
        <f t="shared" si="31"/>
        <v>3</v>
      </c>
      <c r="H692" s="3" t="s">
        <v>4645</v>
      </c>
      <c r="I692" s="6" t="str">
        <f t="shared" si="32"/>
        <v>01030691</v>
      </c>
    </row>
    <row r="693" spans="1:9" x14ac:dyDescent="0.3">
      <c r="A693">
        <v>692</v>
      </c>
      <c r="B693" s="6">
        <v>32779874</v>
      </c>
      <c r="C693" t="str">
        <f>VLOOKUP(B693,[1]BD_FINAL!$A:$H,2,FALSE)</f>
        <v>Eufemia</v>
      </c>
      <c r="D693" t="str">
        <f>VLOOKUP(B693,[1]BD_FINAL!$A:$H,3,FALSE)</f>
        <v>Baranquilla</v>
      </c>
      <c r="E693" t="str">
        <f>VLOOKUP(B693,[1]BD_FINAL!$A:$H,8,FALSE)</f>
        <v>Tratamiento</v>
      </c>
      <c r="F693" s="2">
        <f t="shared" si="30"/>
        <v>1</v>
      </c>
      <c r="G693">
        <f t="shared" si="31"/>
        <v>3</v>
      </c>
      <c r="H693" s="3" t="s">
        <v>4646</v>
      </c>
      <c r="I693" s="6" t="str">
        <f t="shared" si="32"/>
        <v>01030692</v>
      </c>
    </row>
    <row r="694" spans="1:9" x14ac:dyDescent="0.3">
      <c r="A694">
        <v>693</v>
      </c>
      <c r="B694" s="6">
        <v>32783129</v>
      </c>
      <c r="C694" t="str">
        <f>VLOOKUP(B694,[1]BD_FINAL!$A:$H,2,FALSE)</f>
        <v>GALINA ISABEL</v>
      </c>
      <c r="D694" t="str">
        <f>VLOOKUP(B694,[1]BD_FINAL!$A:$H,3,FALSE)</f>
        <v>Baranquilla</v>
      </c>
      <c r="E694" t="str">
        <f>VLOOKUP(B694,[1]BD_FINAL!$A:$H,8,FALSE)</f>
        <v>Tratamiento</v>
      </c>
      <c r="F694" s="2">
        <f t="shared" si="30"/>
        <v>1</v>
      </c>
      <c r="G694">
        <f t="shared" si="31"/>
        <v>3</v>
      </c>
      <c r="H694" s="3" t="s">
        <v>4647</v>
      </c>
      <c r="I694" s="6" t="str">
        <f t="shared" si="32"/>
        <v>01030693</v>
      </c>
    </row>
    <row r="695" spans="1:9" x14ac:dyDescent="0.3">
      <c r="A695">
        <v>694</v>
      </c>
      <c r="B695" s="6">
        <v>32783639</v>
      </c>
      <c r="C695" t="str">
        <f>VLOOKUP(B695,[1]BD_FINAL!$A:$H,2,FALSE)</f>
        <v>Martha luz</v>
      </c>
      <c r="D695" t="str">
        <f>VLOOKUP(B695,[1]BD_FINAL!$A:$H,3,FALSE)</f>
        <v>Baranquilla</v>
      </c>
      <c r="E695" t="str">
        <f>VLOOKUP(B695,[1]BD_FINAL!$A:$H,8,FALSE)</f>
        <v>Control</v>
      </c>
      <c r="F695" s="2">
        <f t="shared" si="30"/>
        <v>0</v>
      </c>
      <c r="G695">
        <f t="shared" si="31"/>
        <v>3</v>
      </c>
      <c r="H695" s="3" t="s">
        <v>4648</v>
      </c>
      <c r="I695" s="6" t="str">
        <f t="shared" si="32"/>
        <v>00030694</v>
      </c>
    </row>
    <row r="696" spans="1:9" x14ac:dyDescent="0.3">
      <c r="A696">
        <v>695</v>
      </c>
      <c r="B696" s="6">
        <v>32783797</v>
      </c>
      <c r="C696" t="str">
        <f>VLOOKUP(B696,[1]BD_FINAL!$A:$H,2,FALSE)</f>
        <v xml:space="preserve">Yolanda </v>
      </c>
      <c r="D696" t="str">
        <f>VLOOKUP(B696,[1]BD_FINAL!$A:$H,3,FALSE)</f>
        <v>Baranquilla</v>
      </c>
      <c r="E696" t="str">
        <f>VLOOKUP(B696,[1]BD_FINAL!$A:$H,8,FALSE)</f>
        <v>Tratamiento</v>
      </c>
      <c r="F696" s="2">
        <f t="shared" si="30"/>
        <v>1</v>
      </c>
      <c r="G696">
        <f t="shared" si="31"/>
        <v>3</v>
      </c>
      <c r="H696" s="3" t="s">
        <v>4649</v>
      </c>
      <c r="I696" s="6" t="str">
        <f t="shared" si="32"/>
        <v>01030695</v>
      </c>
    </row>
    <row r="697" spans="1:9" x14ac:dyDescent="0.3">
      <c r="A697">
        <v>696</v>
      </c>
      <c r="B697" s="6">
        <v>32783861</v>
      </c>
      <c r="C697" t="str">
        <f>VLOOKUP(B697,[1]BD_FINAL!$A:$H,2,FALSE)</f>
        <v>Nubia esther</v>
      </c>
      <c r="D697" t="str">
        <f>VLOOKUP(B697,[1]BD_FINAL!$A:$H,3,FALSE)</f>
        <v>Baranquilla</v>
      </c>
      <c r="E697" t="str">
        <f>VLOOKUP(B697,[1]BD_FINAL!$A:$H,8,FALSE)</f>
        <v>Control</v>
      </c>
      <c r="F697" s="2">
        <f t="shared" si="30"/>
        <v>0</v>
      </c>
      <c r="G697">
        <f t="shared" si="31"/>
        <v>3</v>
      </c>
      <c r="H697" s="3" t="s">
        <v>4650</v>
      </c>
      <c r="I697" s="6" t="str">
        <f t="shared" si="32"/>
        <v>00030696</v>
      </c>
    </row>
    <row r="698" spans="1:9" x14ac:dyDescent="0.3">
      <c r="A698">
        <v>697</v>
      </c>
      <c r="B698" s="6">
        <v>32785097</v>
      </c>
      <c r="C698" t="str">
        <f>VLOOKUP(B698,[1]BD_FINAL!$A:$H,2,FALSE)</f>
        <v>Virina</v>
      </c>
      <c r="D698" t="str">
        <f>VLOOKUP(B698,[1]BD_FINAL!$A:$H,3,FALSE)</f>
        <v>Baranquilla</v>
      </c>
      <c r="E698" t="str">
        <f>VLOOKUP(B698,[1]BD_FINAL!$A:$H,8,FALSE)</f>
        <v>Tratamiento</v>
      </c>
      <c r="F698" s="2">
        <f t="shared" si="30"/>
        <v>1</v>
      </c>
      <c r="G698">
        <f t="shared" si="31"/>
        <v>3</v>
      </c>
      <c r="H698" s="3" t="s">
        <v>4651</v>
      </c>
      <c r="I698" s="6" t="str">
        <f t="shared" si="32"/>
        <v>01030697</v>
      </c>
    </row>
    <row r="699" spans="1:9" x14ac:dyDescent="0.3">
      <c r="A699">
        <v>698</v>
      </c>
      <c r="B699" s="6">
        <v>32786242</v>
      </c>
      <c r="C699" t="str">
        <f>VLOOKUP(B699,[1]BD_FINAL!$A:$H,2,FALSE)</f>
        <v xml:space="preserve">Astrid </v>
      </c>
      <c r="D699" t="str">
        <f>VLOOKUP(B699,[1]BD_FINAL!$A:$H,3,FALSE)</f>
        <v>Baranquilla</v>
      </c>
      <c r="E699" t="str">
        <f>VLOOKUP(B699,[1]BD_FINAL!$A:$H,8,FALSE)</f>
        <v>Control</v>
      </c>
      <c r="F699" s="2">
        <f t="shared" si="30"/>
        <v>0</v>
      </c>
      <c r="G699">
        <f t="shared" si="31"/>
        <v>3</v>
      </c>
      <c r="H699" s="3" t="s">
        <v>4652</v>
      </c>
      <c r="I699" s="6" t="str">
        <f t="shared" si="32"/>
        <v>00030698</v>
      </c>
    </row>
    <row r="700" spans="1:9" x14ac:dyDescent="0.3">
      <c r="A700">
        <v>699</v>
      </c>
      <c r="B700" s="6">
        <v>32790051</v>
      </c>
      <c r="C700" t="str">
        <f>VLOOKUP(B700,[1]BD_FINAL!$A:$H,2,FALSE)</f>
        <v>Doris</v>
      </c>
      <c r="D700" t="str">
        <f>VLOOKUP(B700,[1]BD_FINAL!$A:$H,3,FALSE)</f>
        <v>Baranquilla</v>
      </c>
      <c r="E700" t="str">
        <f>VLOOKUP(B700,[1]BD_FINAL!$A:$H,8,FALSE)</f>
        <v>Tratamiento</v>
      </c>
      <c r="F700" s="2">
        <f t="shared" si="30"/>
        <v>1</v>
      </c>
      <c r="G700">
        <f t="shared" si="31"/>
        <v>3</v>
      </c>
      <c r="H700" s="3" t="s">
        <v>4653</v>
      </c>
      <c r="I700" s="6" t="str">
        <f t="shared" si="32"/>
        <v>01030699</v>
      </c>
    </row>
    <row r="701" spans="1:9" x14ac:dyDescent="0.3">
      <c r="A701">
        <v>700</v>
      </c>
      <c r="B701" s="6">
        <v>32792195</v>
      </c>
      <c r="C701" t="str">
        <f>VLOOKUP(B701,[1]BD_FINAL!$A:$H,2,FALSE)</f>
        <v>Lodis</v>
      </c>
      <c r="D701" t="str">
        <f>VLOOKUP(B701,[1]BD_FINAL!$A:$H,3,FALSE)</f>
        <v>Baranquilla</v>
      </c>
      <c r="E701" t="str">
        <f>VLOOKUP(B701,[1]BD_FINAL!$A:$H,8,FALSE)</f>
        <v>Control</v>
      </c>
      <c r="F701" s="2">
        <f t="shared" si="30"/>
        <v>0</v>
      </c>
      <c r="G701">
        <f t="shared" si="31"/>
        <v>3</v>
      </c>
      <c r="H701" s="3" t="s">
        <v>4654</v>
      </c>
      <c r="I701" s="6" t="str">
        <f t="shared" si="32"/>
        <v>00030700</v>
      </c>
    </row>
    <row r="702" spans="1:9" x14ac:dyDescent="0.3">
      <c r="A702">
        <v>701</v>
      </c>
      <c r="B702" s="6">
        <v>32796944</v>
      </c>
      <c r="C702" t="str">
        <f>VLOOKUP(B702,[1]BD_FINAL!$A:$H,2,FALSE)</f>
        <v>Gilama rosa</v>
      </c>
      <c r="D702" t="str">
        <f>VLOOKUP(B702,[1]BD_FINAL!$A:$H,3,FALSE)</f>
        <v>Baranquilla</v>
      </c>
      <c r="E702" t="str">
        <f>VLOOKUP(B702,[1]BD_FINAL!$A:$H,8,FALSE)</f>
        <v>Tratamiento</v>
      </c>
      <c r="F702" s="2">
        <f t="shared" si="30"/>
        <v>1</v>
      </c>
      <c r="G702">
        <f t="shared" si="31"/>
        <v>3</v>
      </c>
      <c r="H702" s="3" t="s">
        <v>4655</v>
      </c>
      <c r="I702" s="6" t="str">
        <f t="shared" si="32"/>
        <v>01030701</v>
      </c>
    </row>
    <row r="703" spans="1:9" x14ac:dyDescent="0.3">
      <c r="A703">
        <v>702</v>
      </c>
      <c r="B703" s="6">
        <v>32797627</v>
      </c>
      <c r="C703" t="str">
        <f>VLOOKUP(B703,[1]BD_FINAL!$A:$H,2,FALSE)</f>
        <v>Nelci</v>
      </c>
      <c r="D703" t="str">
        <f>VLOOKUP(B703,[1]BD_FINAL!$A:$H,3,FALSE)</f>
        <v>Baranquilla</v>
      </c>
      <c r="E703" t="str">
        <f>VLOOKUP(B703,[1]BD_FINAL!$A:$H,8,FALSE)</f>
        <v>Tratamiento</v>
      </c>
      <c r="F703" s="2">
        <f t="shared" si="30"/>
        <v>1</v>
      </c>
      <c r="G703">
        <f t="shared" si="31"/>
        <v>3</v>
      </c>
      <c r="H703" s="3" t="s">
        <v>4656</v>
      </c>
      <c r="I703" s="6" t="str">
        <f t="shared" si="32"/>
        <v>01030702</v>
      </c>
    </row>
    <row r="704" spans="1:9" x14ac:dyDescent="0.3">
      <c r="A704">
        <v>703</v>
      </c>
      <c r="B704" s="6">
        <v>32800662</v>
      </c>
      <c r="C704" t="str">
        <f>VLOOKUP(B704,[1]BD_FINAL!$A:$H,2,FALSE)</f>
        <v xml:space="preserve">Luisa </v>
      </c>
      <c r="D704" t="str">
        <f>VLOOKUP(B704,[1]BD_FINAL!$A:$H,3,FALSE)</f>
        <v>Baranquilla</v>
      </c>
      <c r="E704" t="str">
        <f>VLOOKUP(B704,[1]BD_FINAL!$A:$H,8,FALSE)</f>
        <v>Tratamiento</v>
      </c>
      <c r="F704" s="2">
        <f t="shared" si="30"/>
        <v>1</v>
      </c>
      <c r="G704">
        <f t="shared" si="31"/>
        <v>3</v>
      </c>
      <c r="H704" s="3" t="s">
        <v>4657</v>
      </c>
      <c r="I704" s="6" t="str">
        <f t="shared" si="32"/>
        <v>01030703</v>
      </c>
    </row>
    <row r="705" spans="1:9" x14ac:dyDescent="0.3">
      <c r="A705">
        <v>704</v>
      </c>
      <c r="B705" s="6">
        <v>32802610</v>
      </c>
      <c r="C705" t="str">
        <f>VLOOKUP(B705,[1]BD_FINAL!$A:$H,2,FALSE)</f>
        <v>Tulia</v>
      </c>
      <c r="D705" t="str">
        <f>VLOOKUP(B705,[1]BD_FINAL!$A:$H,3,FALSE)</f>
        <v>Baranquilla</v>
      </c>
      <c r="E705" t="str">
        <f>VLOOKUP(B705,[1]BD_FINAL!$A:$H,8,FALSE)</f>
        <v>Tratamiento</v>
      </c>
      <c r="F705" s="2">
        <f t="shared" si="30"/>
        <v>1</v>
      </c>
      <c r="G705">
        <f t="shared" si="31"/>
        <v>3</v>
      </c>
      <c r="H705" s="3" t="s">
        <v>4658</v>
      </c>
      <c r="I705" s="6" t="str">
        <f t="shared" si="32"/>
        <v>01030704</v>
      </c>
    </row>
    <row r="706" spans="1:9" x14ac:dyDescent="0.3">
      <c r="A706">
        <v>705</v>
      </c>
      <c r="B706" s="6">
        <v>32803448</v>
      </c>
      <c r="C706" t="str">
        <f>VLOOKUP(B706,[1]BD_FINAL!$A:$H,2,FALSE)</f>
        <v>CAROLINA ESTHER</v>
      </c>
      <c r="D706" t="str">
        <f>VLOOKUP(B706,[1]BD_FINAL!$A:$H,3,FALSE)</f>
        <v>Baranquilla</v>
      </c>
      <c r="E706" t="str">
        <f>VLOOKUP(B706,[1]BD_FINAL!$A:$H,8,FALSE)</f>
        <v>Tratamiento</v>
      </c>
      <c r="F706" s="2">
        <f t="shared" si="30"/>
        <v>1</v>
      </c>
      <c r="G706">
        <f t="shared" si="31"/>
        <v>3</v>
      </c>
      <c r="H706" s="3" t="s">
        <v>4659</v>
      </c>
      <c r="I706" s="6" t="str">
        <f t="shared" si="32"/>
        <v>01030705</v>
      </c>
    </row>
    <row r="707" spans="1:9" x14ac:dyDescent="0.3">
      <c r="A707">
        <v>706</v>
      </c>
      <c r="B707" s="6">
        <v>32803484</v>
      </c>
      <c r="C707" t="str">
        <f>VLOOKUP(B707,[1]BD_FINAL!$A:$H,2,FALSE)</f>
        <v xml:space="preserve">Sonia Isabel </v>
      </c>
      <c r="D707" t="str">
        <f>VLOOKUP(B707,[1]BD_FINAL!$A:$H,3,FALSE)</f>
        <v>Baranquilla</v>
      </c>
      <c r="E707" t="str">
        <f>VLOOKUP(B707,[1]BD_FINAL!$A:$H,8,FALSE)</f>
        <v>Tratamiento</v>
      </c>
      <c r="F707" s="2">
        <f t="shared" ref="F707:F770" si="33">IF(E707="CONTROL",0,1)</f>
        <v>1</v>
      </c>
      <c r="G707">
        <f t="shared" ref="G707:G770" si="34">IF(D707="Medellin",1,IF(D707="Cali",2,IF(D707="Baranquilla",3,0)))</f>
        <v>3</v>
      </c>
      <c r="H707" s="3" t="s">
        <v>4660</v>
      </c>
      <c r="I707" s="6" t="str">
        <f t="shared" ref="I707:I770" si="35">_xlfn.CONCAT(0,F707,0,G707,H707)</f>
        <v>01030706</v>
      </c>
    </row>
    <row r="708" spans="1:9" x14ac:dyDescent="0.3">
      <c r="A708">
        <v>707</v>
      </c>
      <c r="B708" s="6">
        <v>32810131</v>
      </c>
      <c r="C708" t="str">
        <f>VLOOKUP(B708,[1]BD_FINAL!$A:$H,2,FALSE)</f>
        <v>FIDELINA MARIA</v>
      </c>
      <c r="D708" t="str">
        <f>VLOOKUP(B708,[1]BD_FINAL!$A:$H,3,FALSE)</f>
        <v>Baranquilla</v>
      </c>
      <c r="E708" t="str">
        <f>VLOOKUP(B708,[1]BD_FINAL!$A:$H,8,FALSE)</f>
        <v>Tratamiento</v>
      </c>
      <c r="F708" s="2">
        <f t="shared" si="33"/>
        <v>1</v>
      </c>
      <c r="G708">
        <f t="shared" si="34"/>
        <v>3</v>
      </c>
      <c r="H708" s="3" t="s">
        <v>4661</v>
      </c>
      <c r="I708" s="6" t="str">
        <f t="shared" si="35"/>
        <v>01030707</v>
      </c>
    </row>
    <row r="709" spans="1:9" x14ac:dyDescent="0.3">
      <c r="A709">
        <v>708</v>
      </c>
      <c r="B709" s="6">
        <v>32811740</v>
      </c>
      <c r="C709" t="str">
        <f>VLOOKUP(B709,[1]BD_FINAL!$A:$H,2,FALSE)</f>
        <v xml:space="preserve">Leinis esther </v>
      </c>
      <c r="D709" t="str">
        <f>VLOOKUP(B709,[1]BD_FINAL!$A:$H,3,FALSE)</f>
        <v>Baranquilla</v>
      </c>
      <c r="E709" t="str">
        <f>VLOOKUP(B709,[1]BD_FINAL!$A:$H,8,FALSE)</f>
        <v>Control</v>
      </c>
      <c r="F709" s="2">
        <f t="shared" si="33"/>
        <v>0</v>
      </c>
      <c r="G709">
        <f t="shared" si="34"/>
        <v>3</v>
      </c>
      <c r="H709" s="3" t="s">
        <v>4662</v>
      </c>
      <c r="I709" s="6" t="str">
        <f t="shared" si="35"/>
        <v>00030708</v>
      </c>
    </row>
    <row r="710" spans="1:9" x14ac:dyDescent="0.3">
      <c r="A710">
        <v>709</v>
      </c>
      <c r="B710" s="6">
        <v>32812129</v>
      </c>
      <c r="C710" t="str">
        <f>VLOOKUP(B710,[1]BD_FINAL!$A:$H,2,FALSE)</f>
        <v>DIANA ESTHER</v>
      </c>
      <c r="D710" t="str">
        <f>VLOOKUP(B710,[1]BD_FINAL!$A:$H,3,FALSE)</f>
        <v>Baranquilla</v>
      </c>
      <c r="E710" t="str">
        <f>VLOOKUP(B710,[1]BD_FINAL!$A:$H,8,FALSE)</f>
        <v>Tratamiento</v>
      </c>
      <c r="F710" s="2">
        <f t="shared" si="33"/>
        <v>1</v>
      </c>
      <c r="G710">
        <f t="shared" si="34"/>
        <v>3</v>
      </c>
      <c r="H710" s="3" t="s">
        <v>4663</v>
      </c>
      <c r="I710" s="6" t="str">
        <f t="shared" si="35"/>
        <v>01030709</v>
      </c>
    </row>
    <row r="711" spans="1:9" x14ac:dyDescent="0.3">
      <c r="A711">
        <v>710</v>
      </c>
      <c r="B711" s="6">
        <v>32812890</v>
      </c>
      <c r="C711" t="str">
        <f>VLOOKUP(B711,[1]BD_FINAL!$A:$H,2,FALSE)</f>
        <v>Rosalba</v>
      </c>
      <c r="D711" t="str">
        <f>VLOOKUP(B711,[1]BD_FINAL!$A:$H,3,FALSE)</f>
        <v>Baranquilla</v>
      </c>
      <c r="E711" t="str">
        <f>VLOOKUP(B711,[1]BD_FINAL!$A:$H,8,FALSE)</f>
        <v>Tratamiento</v>
      </c>
      <c r="F711" s="2">
        <f t="shared" si="33"/>
        <v>1</v>
      </c>
      <c r="G711">
        <f t="shared" si="34"/>
        <v>3</v>
      </c>
      <c r="H711" s="3" t="s">
        <v>4664</v>
      </c>
      <c r="I711" s="6" t="str">
        <f t="shared" si="35"/>
        <v>01030710</v>
      </c>
    </row>
    <row r="712" spans="1:9" x14ac:dyDescent="0.3">
      <c r="A712">
        <v>711</v>
      </c>
      <c r="B712" s="6">
        <v>32817186</v>
      </c>
      <c r="C712" t="str">
        <f>VLOOKUP(B712,[1]BD_FINAL!$A:$H,2,FALSE)</f>
        <v xml:space="preserve">Judith maria </v>
      </c>
      <c r="D712" t="str">
        <f>VLOOKUP(B712,[1]BD_FINAL!$A:$H,3,FALSE)</f>
        <v>Baranquilla</v>
      </c>
      <c r="E712" t="str">
        <f>VLOOKUP(B712,[1]BD_FINAL!$A:$H,8,FALSE)</f>
        <v>Control</v>
      </c>
      <c r="F712" s="2">
        <f t="shared" si="33"/>
        <v>0</v>
      </c>
      <c r="G712">
        <f t="shared" si="34"/>
        <v>3</v>
      </c>
      <c r="H712" s="3" t="s">
        <v>4665</v>
      </c>
      <c r="I712" s="6" t="str">
        <f t="shared" si="35"/>
        <v>00030711</v>
      </c>
    </row>
    <row r="713" spans="1:9" x14ac:dyDescent="0.3">
      <c r="A713">
        <v>712</v>
      </c>
      <c r="B713" s="6">
        <v>32820161</v>
      </c>
      <c r="C713" t="str">
        <f>VLOOKUP(B713,[1]BD_FINAL!$A:$H,2,FALSE)</f>
        <v>Martha</v>
      </c>
      <c r="D713" t="str">
        <f>VLOOKUP(B713,[1]BD_FINAL!$A:$H,3,FALSE)</f>
        <v>Baranquilla</v>
      </c>
      <c r="E713" t="str">
        <f>VLOOKUP(B713,[1]BD_FINAL!$A:$H,8,FALSE)</f>
        <v>Control</v>
      </c>
      <c r="F713" s="2">
        <f t="shared" si="33"/>
        <v>0</v>
      </c>
      <c r="G713">
        <f t="shared" si="34"/>
        <v>3</v>
      </c>
      <c r="H713" s="3" t="s">
        <v>4666</v>
      </c>
      <c r="I713" s="6" t="str">
        <f t="shared" si="35"/>
        <v>00030712</v>
      </c>
    </row>
    <row r="714" spans="1:9" x14ac:dyDescent="0.3">
      <c r="A714">
        <v>713</v>
      </c>
      <c r="B714" s="6">
        <v>32821469</v>
      </c>
      <c r="C714" t="str">
        <f>VLOOKUP(B714,[1]BD_FINAL!$A:$H,2,FALSE)</f>
        <v>Miguel</v>
      </c>
      <c r="D714" t="str">
        <f>VLOOKUP(B714,[1]BD_FINAL!$A:$H,3,FALSE)</f>
        <v>Baranquilla</v>
      </c>
      <c r="E714" t="str">
        <f>VLOOKUP(B714,[1]BD_FINAL!$A:$H,8,FALSE)</f>
        <v>Control</v>
      </c>
      <c r="F714" s="2">
        <f t="shared" si="33"/>
        <v>0</v>
      </c>
      <c r="G714">
        <f t="shared" si="34"/>
        <v>3</v>
      </c>
      <c r="H714" s="3" t="s">
        <v>4667</v>
      </c>
      <c r="I714" s="6" t="str">
        <f t="shared" si="35"/>
        <v>00030713</v>
      </c>
    </row>
    <row r="715" spans="1:9" x14ac:dyDescent="0.3">
      <c r="A715">
        <v>714</v>
      </c>
      <c r="B715" s="6">
        <v>32840396</v>
      </c>
      <c r="C715" t="str">
        <f>VLOOKUP(B715,[1]BD_FINAL!$A:$H,2,FALSE)</f>
        <v xml:space="preserve">Ingrid Esther </v>
      </c>
      <c r="D715" t="str">
        <f>VLOOKUP(B715,[1]BD_FINAL!$A:$H,3,FALSE)</f>
        <v>Baranquilla</v>
      </c>
      <c r="E715" t="str">
        <f>VLOOKUP(B715,[1]BD_FINAL!$A:$H,8,FALSE)</f>
        <v>Tratamiento</v>
      </c>
      <c r="F715" s="2">
        <f t="shared" si="33"/>
        <v>1</v>
      </c>
      <c r="G715">
        <f t="shared" si="34"/>
        <v>3</v>
      </c>
      <c r="H715" s="3" t="s">
        <v>4668</v>
      </c>
      <c r="I715" s="6" t="str">
        <f t="shared" si="35"/>
        <v>01030714</v>
      </c>
    </row>
    <row r="716" spans="1:9" x14ac:dyDescent="0.3">
      <c r="A716">
        <v>715</v>
      </c>
      <c r="B716" s="6">
        <v>32842694</v>
      </c>
      <c r="C716" t="str">
        <f>VLOOKUP(B716,[1]BD_FINAL!$A:$H,2,FALSE)</f>
        <v xml:space="preserve">Lourdes </v>
      </c>
      <c r="D716" t="str">
        <f>VLOOKUP(B716,[1]BD_FINAL!$A:$H,3,FALSE)</f>
        <v>Baranquilla</v>
      </c>
      <c r="E716" t="str">
        <f>VLOOKUP(B716,[1]BD_FINAL!$A:$H,8,FALSE)</f>
        <v>Control</v>
      </c>
      <c r="F716" s="2">
        <f t="shared" si="33"/>
        <v>0</v>
      </c>
      <c r="G716">
        <f t="shared" si="34"/>
        <v>3</v>
      </c>
      <c r="H716" s="3" t="s">
        <v>4669</v>
      </c>
      <c r="I716" s="6" t="str">
        <f t="shared" si="35"/>
        <v>00030715</v>
      </c>
    </row>
    <row r="717" spans="1:9" x14ac:dyDescent="0.3">
      <c r="A717">
        <v>716</v>
      </c>
      <c r="B717" s="6">
        <v>32843461</v>
      </c>
      <c r="C717" t="str">
        <f>VLOOKUP(B717,[1]BD_FINAL!$A:$H,2,FALSE)</f>
        <v xml:space="preserve">Ana </v>
      </c>
      <c r="D717" t="str">
        <f>VLOOKUP(B717,[1]BD_FINAL!$A:$H,3,FALSE)</f>
        <v>Baranquilla</v>
      </c>
      <c r="E717" t="str">
        <f>VLOOKUP(B717,[1]BD_FINAL!$A:$H,8,FALSE)</f>
        <v>Control</v>
      </c>
      <c r="F717" s="2">
        <f t="shared" si="33"/>
        <v>0</v>
      </c>
      <c r="G717">
        <f t="shared" si="34"/>
        <v>3</v>
      </c>
      <c r="H717" s="3" t="s">
        <v>4670</v>
      </c>
      <c r="I717" s="6" t="str">
        <f t="shared" si="35"/>
        <v>00030716</v>
      </c>
    </row>
    <row r="718" spans="1:9" x14ac:dyDescent="0.3">
      <c r="A718">
        <v>717</v>
      </c>
      <c r="B718" s="6">
        <v>32843467</v>
      </c>
      <c r="C718" t="str">
        <f>VLOOKUP(B718,[1]BD_FINAL!$A:$H,2,FALSE)</f>
        <v xml:space="preserve">Mirlay Esther </v>
      </c>
      <c r="D718" t="str">
        <f>VLOOKUP(B718,[1]BD_FINAL!$A:$H,3,FALSE)</f>
        <v>Baranquilla</v>
      </c>
      <c r="E718" t="str">
        <f>VLOOKUP(B718,[1]BD_FINAL!$A:$H,8,FALSE)</f>
        <v>Control</v>
      </c>
      <c r="F718" s="2">
        <f t="shared" si="33"/>
        <v>0</v>
      </c>
      <c r="G718">
        <f t="shared" si="34"/>
        <v>3</v>
      </c>
      <c r="H718" s="3" t="s">
        <v>4671</v>
      </c>
      <c r="I718" s="6" t="str">
        <f t="shared" si="35"/>
        <v>00030717</v>
      </c>
    </row>
    <row r="719" spans="1:9" x14ac:dyDescent="0.3">
      <c r="A719">
        <v>718</v>
      </c>
      <c r="B719" s="6">
        <v>32843980</v>
      </c>
      <c r="C719" t="str">
        <f>VLOOKUP(B719,[1]BD_FINAL!$A:$H,2,FALSE)</f>
        <v xml:space="preserve">Esperanza </v>
      </c>
      <c r="D719" t="str">
        <f>VLOOKUP(B719,[1]BD_FINAL!$A:$H,3,FALSE)</f>
        <v>Baranquilla</v>
      </c>
      <c r="E719" t="str">
        <f>VLOOKUP(B719,[1]BD_FINAL!$A:$H,8,FALSE)</f>
        <v>Tratamiento</v>
      </c>
      <c r="F719" s="2">
        <f t="shared" si="33"/>
        <v>1</v>
      </c>
      <c r="G719">
        <f t="shared" si="34"/>
        <v>3</v>
      </c>
      <c r="H719" s="3" t="s">
        <v>4672</v>
      </c>
      <c r="I719" s="6" t="str">
        <f t="shared" si="35"/>
        <v>01030718</v>
      </c>
    </row>
    <row r="720" spans="1:9" x14ac:dyDescent="0.3">
      <c r="A720">
        <v>719</v>
      </c>
      <c r="B720" s="6">
        <v>32844160</v>
      </c>
      <c r="C720" t="str">
        <f>VLOOKUP(B720,[1]BD_FINAL!$A:$H,2,FALSE)</f>
        <v xml:space="preserve">Johanna 
</v>
      </c>
      <c r="D720" t="str">
        <f>VLOOKUP(B720,[1]BD_FINAL!$A:$H,3,FALSE)</f>
        <v>Baranquilla</v>
      </c>
      <c r="E720" t="str">
        <f>VLOOKUP(B720,[1]BD_FINAL!$A:$H,8,FALSE)</f>
        <v>Control</v>
      </c>
      <c r="F720" s="2">
        <f t="shared" si="33"/>
        <v>0</v>
      </c>
      <c r="G720">
        <f t="shared" si="34"/>
        <v>3</v>
      </c>
      <c r="H720" s="3" t="s">
        <v>4673</v>
      </c>
      <c r="I720" s="6" t="str">
        <f t="shared" si="35"/>
        <v>00030719</v>
      </c>
    </row>
    <row r="721" spans="1:9" x14ac:dyDescent="0.3">
      <c r="A721">
        <v>720</v>
      </c>
      <c r="B721" s="6">
        <v>32850495</v>
      </c>
      <c r="C721" t="str">
        <f>VLOOKUP(B721,[1]BD_FINAL!$A:$H,2,FALSE)</f>
        <v>Elena</v>
      </c>
      <c r="D721" t="str">
        <f>VLOOKUP(B721,[1]BD_FINAL!$A:$H,3,FALSE)</f>
        <v>Baranquilla</v>
      </c>
      <c r="E721" t="str">
        <f>VLOOKUP(B721,[1]BD_FINAL!$A:$H,8,FALSE)</f>
        <v>Tratamiento</v>
      </c>
      <c r="F721" s="2">
        <f t="shared" si="33"/>
        <v>1</v>
      </c>
      <c r="G721">
        <f t="shared" si="34"/>
        <v>3</v>
      </c>
      <c r="H721" s="3" t="s">
        <v>4674</v>
      </c>
      <c r="I721" s="6" t="str">
        <f t="shared" si="35"/>
        <v>01030720</v>
      </c>
    </row>
    <row r="722" spans="1:9" x14ac:dyDescent="0.3">
      <c r="A722">
        <v>721</v>
      </c>
      <c r="B722" s="6">
        <v>32867107</v>
      </c>
      <c r="C722" t="str">
        <f>VLOOKUP(B722,[1]BD_FINAL!$A:$H,2,FALSE)</f>
        <v>Judis mercedes</v>
      </c>
      <c r="D722" t="str">
        <f>VLOOKUP(B722,[1]BD_FINAL!$A:$H,3,FALSE)</f>
        <v>Baranquilla</v>
      </c>
      <c r="E722" t="str">
        <f>VLOOKUP(B722,[1]BD_FINAL!$A:$H,8,FALSE)</f>
        <v>Control</v>
      </c>
      <c r="F722" s="2">
        <f t="shared" si="33"/>
        <v>0</v>
      </c>
      <c r="G722">
        <f t="shared" si="34"/>
        <v>3</v>
      </c>
      <c r="H722" s="3" t="s">
        <v>4675</v>
      </c>
      <c r="I722" s="6" t="str">
        <f t="shared" si="35"/>
        <v>00030721</v>
      </c>
    </row>
    <row r="723" spans="1:9" x14ac:dyDescent="0.3">
      <c r="A723">
        <v>722</v>
      </c>
      <c r="B723" s="6">
        <v>32873927</v>
      </c>
      <c r="C723" t="str">
        <f>VLOOKUP(B723,[1]BD_FINAL!$A:$H,2,FALSE)</f>
        <v xml:space="preserve">Martha </v>
      </c>
      <c r="D723" t="str">
        <f>VLOOKUP(B723,[1]BD_FINAL!$A:$H,3,FALSE)</f>
        <v>Baranquilla</v>
      </c>
      <c r="E723" t="str">
        <f>VLOOKUP(B723,[1]BD_FINAL!$A:$H,8,FALSE)</f>
        <v>Control</v>
      </c>
      <c r="F723" s="2">
        <f t="shared" si="33"/>
        <v>0</v>
      </c>
      <c r="G723">
        <f t="shared" si="34"/>
        <v>3</v>
      </c>
      <c r="H723" s="3" t="s">
        <v>4676</v>
      </c>
      <c r="I723" s="6" t="str">
        <f t="shared" si="35"/>
        <v>00030722</v>
      </c>
    </row>
    <row r="724" spans="1:9" x14ac:dyDescent="0.3">
      <c r="A724">
        <v>723</v>
      </c>
      <c r="B724" s="6">
        <v>32876516</v>
      </c>
      <c r="C724" t="str">
        <f>VLOOKUP(B724,[1]BD_FINAL!$A:$H,2,FALSE)</f>
        <v xml:space="preserve">Amanda </v>
      </c>
      <c r="D724" t="str">
        <f>VLOOKUP(B724,[1]BD_FINAL!$A:$H,3,FALSE)</f>
        <v>Baranquilla</v>
      </c>
      <c r="E724" t="str">
        <f>VLOOKUP(B724,[1]BD_FINAL!$A:$H,8,FALSE)</f>
        <v>Control</v>
      </c>
      <c r="F724" s="2">
        <f t="shared" si="33"/>
        <v>0</v>
      </c>
      <c r="G724">
        <f t="shared" si="34"/>
        <v>3</v>
      </c>
      <c r="H724" s="3" t="s">
        <v>4677</v>
      </c>
      <c r="I724" s="6" t="str">
        <f t="shared" si="35"/>
        <v>00030723</v>
      </c>
    </row>
    <row r="725" spans="1:9" x14ac:dyDescent="0.3">
      <c r="A725">
        <v>724</v>
      </c>
      <c r="B725" s="6">
        <v>32884029</v>
      </c>
      <c r="C725" t="str">
        <f>VLOOKUP(B725,[1]BD_FINAL!$A:$H,2,FALSE)</f>
        <v xml:space="preserve">MONICA PATRICIA </v>
      </c>
      <c r="D725" t="str">
        <f>VLOOKUP(B725,[1]BD_FINAL!$A:$H,3,FALSE)</f>
        <v>Baranquilla</v>
      </c>
      <c r="E725" t="str">
        <f>VLOOKUP(B725,[1]BD_FINAL!$A:$H,8,FALSE)</f>
        <v>Tratamiento</v>
      </c>
      <c r="F725" s="2">
        <f t="shared" si="33"/>
        <v>1</v>
      </c>
      <c r="G725">
        <f t="shared" si="34"/>
        <v>3</v>
      </c>
      <c r="H725" s="3" t="s">
        <v>4678</v>
      </c>
      <c r="I725" s="6" t="str">
        <f t="shared" si="35"/>
        <v>01030724</v>
      </c>
    </row>
    <row r="726" spans="1:9" x14ac:dyDescent="0.3">
      <c r="A726">
        <v>725</v>
      </c>
      <c r="B726" s="6">
        <v>32884556</v>
      </c>
      <c r="C726" t="str">
        <f>VLOOKUP(B726,[1]BD_FINAL!$A:$H,2,FALSE)</f>
        <v xml:space="preserve">Mabel Esther </v>
      </c>
      <c r="D726" t="str">
        <f>VLOOKUP(B726,[1]BD_FINAL!$A:$H,3,FALSE)</f>
        <v>Baranquilla</v>
      </c>
      <c r="E726" t="str">
        <f>VLOOKUP(B726,[1]BD_FINAL!$A:$H,8,FALSE)</f>
        <v>Tratamiento</v>
      </c>
      <c r="F726" s="2">
        <f t="shared" si="33"/>
        <v>1</v>
      </c>
      <c r="G726">
        <f t="shared" si="34"/>
        <v>3</v>
      </c>
      <c r="H726" s="3" t="s">
        <v>4679</v>
      </c>
      <c r="I726" s="6" t="str">
        <f t="shared" si="35"/>
        <v>01030725</v>
      </c>
    </row>
    <row r="727" spans="1:9" x14ac:dyDescent="0.3">
      <c r="A727">
        <v>726</v>
      </c>
      <c r="B727" s="6">
        <v>32884723</v>
      </c>
      <c r="C727" t="str">
        <f>VLOOKUP(B727,[1]BD_FINAL!$A:$H,2,FALSE)</f>
        <v>Francia elena</v>
      </c>
      <c r="D727" t="str">
        <f>VLOOKUP(B727,[1]BD_FINAL!$A:$H,3,FALSE)</f>
        <v>Baranquilla</v>
      </c>
      <c r="E727" t="str">
        <f>VLOOKUP(B727,[1]BD_FINAL!$A:$H,8,FALSE)</f>
        <v>Tratamiento</v>
      </c>
      <c r="F727" s="2">
        <f t="shared" si="33"/>
        <v>1</v>
      </c>
      <c r="G727">
        <f t="shared" si="34"/>
        <v>3</v>
      </c>
      <c r="H727" s="3" t="s">
        <v>4680</v>
      </c>
      <c r="I727" s="6" t="str">
        <f t="shared" si="35"/>
        <v>01030726</v>
      </c>
    </row>
    <row r="728" spans="1:9" x14ac:dyDescent="0.3">
      <c r="A728">
        <v>727</v>
      </c>
      <c r="B728" s="6">
        <v>32893688</v>
      </c>
      <c r="C728" t="str">
        <f>VLOOKUP(B728,[1]BD_FINAL!$A:$H,2,FALSE)</f>
        <v>aida luz</v>
      </c>
      <c r="D728" t="str">
        <f>VLOOKUP(B728,[1]BD_FINAL!$A:$H,3,FALSE)</f>
        <v>Baranquilla</v>
      </c>
      <c r="E728" t="str">
        <f>VLOOKUP(B728,[1]BD_FINAL!$A:$H,8,FALSE)</f>
        <v>Tratamiento</v>
      </c>
      <c r="F728" s="2">
        <f t="shared" si="33"/>
        <v>1</v>
      </c>
      <c r="G728">
        <f t="shared" si="34"/>
        <v>3</v>
      </c>
      <c r="H728" s="3" t="s">
        <v>4681</v>
      </c>
      <c r="I728" s="6" t="str">
        <f t="shared" si="35"/>
        <v>01030727</v>
      </c>
    </row>
    <row r="729" spans="1:9" x14ac:dyDescent="0.3">
      <c r="A729">
        <v>728</v>
      </c>
      <c r="B729" s="6">
        <v>32894006</v>
      </c>
      <c r="C729" t="str">
        <f>VLOOKUP(B729,[1]BD_FINAL!$A:$H,2,FALSE)</f>
        <v>Dilsa maria</v>
      </c>
      <c r="D729" t="str">
        <f>VLOOKUP(B729,[1]BD_FINAL!$A:$H,3,FALSE)</f>
        <v>Baranquilla</v>
      </c>
      <c r="E729" t="str">
        <f>VLOOKUP(B729,[1]BD_FINAL!$A:$H,8,FALSE)</f>
        <v>Tratamiento</v>
      </c>
      <c r="F729" s="2">
        <f t="shared" si="33"/>
        <v>1</v>
      </c>
      <c r="G729">
        <f t="shared" si="34"/>
        <v>3</v>
      </c>
      <c r="H729" s="3" t="s">
        <v>4682</v>
      </c>
      <c r="I729" s="6" t="str">
        <f t="shared" si="35"/>
        <v>01030728</v>
      </c>
    </row>
    <row r="730" spans="1:9" x14ac:dyDescent="0.3">
      <c r="A730">
        <v>729</v>
      </c>
      <c r="B730" s="6">
        <v>33107491</v>
      </c>
      <c r="C730" t="str">
        <f>VLOOKUP(B730,[1]BD_FINAL!$A:$H,2,FALSE)</f>
        <v xml:space="preserve">Luis Enrique </v>
      </c>
      <c r="D730" t="str">
        <f>VLOOKUP(B730,[1]BD_FINAL!$A:$H,3,FALSE)</f>
        <v>Baranquilla</v>
      </c>
      <c r="E730" t="str">
        <f>VLOOKUP(B730,[1]BD_FINAL!$A:$H,8,FALSE)</f>
        <v>Control</v>
      </c>
      <c r="F730" s="2">
        <f t="shared" si="33"/>
        <v>0</v>
      </c>
      <c r="G730">
        <f t="shared" si="34"/>
        <v>3</v>
      </c>
      <c r="H730" s="3" t="s">
        <v>4683</v>
      </c>
      <c r="I730" s="6" t="str">
        <f t="shared" si="35"/>
        <v>00030729</v>
      </c>
    </row>
    <row r="731" spans="1:9" x14ac:dyDescent="0.3">
      <c r="A731">
        <v>730</v>
      </c>
      <c r="B731" s="6">
        <v>33172386</v>
      </c>
      <c r="C731" t="str">
        <f>VLOOKUP(B731,[1]BD_FINAL!$A:$H,2,FALSE)</f>
        <v>Yadira</v>
      </c>
      <c r="D731" t="str">
        <f>VLOOKUP(B731,[1]BD_FINAL!$A:$H,3,FALSE)</f>
        <v>Baranquilla</v>
      </c>
      <c r="E731" t="str">
        <f>VLOOKUP(B731,[1]BD_FINAL!$A:$H,8,FALSE)</f>
        <v>Control</v>
      </c>
      <c r="F731" s="2">
        <f t="shared" si="33"/>
        <v>0</v>
      </c>
      <c r="G731">
        <f t="shared" si="34"/>
        <v>3</v>
      </c>
      <c r="H731" s="3" t="s">
        <v>4684</v>
      </c>
      <c r="I731" s="6" t="str">
        <f t="shared" si="35"/>
        <v>00030730</v>
      </c>
    </row>
    <row r="732" spans="1:9" x14ac:dyDescent="0.3">
      <c r="A732">
        <v>731</v>
      </c>
      <c r="B732" s="6">
        <v>33255246</v>
      </c>
      <c r="C732" t="str">
        <f>VLOOKUP(B732,[1]BD_FINAL!$A:$H,2,FALSE)</f>
        <v>Jerly Cristina</v>
      </c>
      <c r="D732" t="str">
        <f>VLOOKUP(B732,[1]BD_FINAL!$A:$H,3,FALSE)</f>
        <v>Medellin</v>
      </c>
      <c r="E732" t="str">
        <f>VLOOKUP(B732,[1]BD_FINAL!$A:$H,8,FALSE)</f>
        <v>Tratamiento</v>
      </c>
      <c r="F732" s="2">
        <f t="shared" si="33"/>
        <v>1</v>
      </c>
      <c r="G732">
        <f t="shared" si="34"/>
        <v>1</v>
      </c>
      <c r="H732" s="3" t="s">
        <v>4685</v>
      </c>
      <c r="I732" s="6" t="str">
        <f t="shared" si="35"/>
        <v>01010731</v>
      </c>
    </row>
    <row r="733" spans="1:9" x14ac:dyDescent="0.3">
      <c r="A733">
        <v>732</v>
      </c>
      <c r="B733" s="6">
        <v>33428029</v>
      </c>
      <c r="C733" t="str">
        <f>VLOOKUP(B733,[1]BD_FINAL!$A:$H,2,FALSE)</f>
        <v>María liliam</v>
      </c>
      <c r="D733" t="str">
        <f>VLOOKUP(B733,[1]BD_FINAL!$A:$H,3,FALSE)</f>
        <v>Medellin</v>
      </c>
      <c r="E733" t="str">
        <f>VLOOKUP(B733,[1]BD_FINAL!$A:$H,8,FALSE)</f>
        <v>Control</v>
      </c>
      <c r="F733" s="2">
        <f t="shared" si="33"/>
        <v>0</v>
      </c>
      <c r="G733">
        <f t="shared" si="34"/>
        <v>1</v>
      </c>
      <c r="H733" s="3" t="s">
        <v>4686</v>
      </c>
      <c r="I733" s="6" t="str">
        <f t="shared" si="35"/>
        <v>00010732</v>
      </c>
    </row>
    <row r="734" spans="1:9" x14ac:dyDescent="0.3">
      <c r="A734">
        <v>733</v>
      </c>
      <c r="B734" s="6">
        <v>3430889</v>
      </c>
      <c r="C734" t="str">
        <f>VLOOKUP(B734,[1]BD_FINAL!$A:$H,2,FALSE)</f>
        <v>Juan Bautista</v>
      </c>
      <c r="D734" t="str">
        <f>VLOOKUP(B734,[1]BD_FINAL!$A:$H,3,FALSE)</f>
        <v>Medellin</v>
      </c>
      <c r="E734" t="str">
        <f>VLOOKUP(B734,[1]BD_FINAL!$A:$H,8,FALSE)</f>
        <v>Control</v>
      </c>
      <c r="F734" s="2">
        <f t="shared" si="33"/>
        <v>0</v>
      </c>
      <c r="G734">
        <f t="shared" si="34"/>
        <v>1</v>
      </c>
      <c r="H734" s="3" t="s">
        <v>4687</v>
      </c>
      <c r="I734" s="6" t="str">
        <f t="shared" si="35"/>
        <v>00010733</v>
      </c>
    </row>
    <row r="735" spans="1:9" x14ac:dyDescent="0.3">
      <c r="A735">
        <v>734</v>
      </c>
      <c r="B735" s="6">
        <v>34400184</v>
      </c>
      <c r="C735" t="str">
        <f>VLOOKUP(B735,[1]BD_FINAL!$A:$H,2,FALSE)</f>
        <v>Ilda maria</v>
      </c>
      <c r="D735" t="str">
        <f>VLOOKUP(B735,[1]BD_FINAL!$A:$H,3,FALSE)</f>
        <v>Cali</v>
      </c>
      <c r="E735" t="str">
        <f>VLOOKUP(B735,[1]BD_FINAL!$A:$H,8,FALSE)</f>
        <v>Tratamiento</v>
      </c>
      <c r="F735" s="2">
        <f t="shared" si="33"/>
        <v>1</v>
      </c>
      <c r="G735">
        <f t="shared" si="34"/>
        <v>2</v>
      </c>
      <c r="H735" s="3" t="s">
        <v>4688</v>
      </c>
      <c r="I735" s="6" t="str">
        <f t="shared" si="35"/>
        <v>01020734</v>
      </c>
    </row>
    <row r="736" spans="1:9" x14ac:dyDescent="0.3">
      <c r="A736">
        <v>735</v>
      </c>
      <c r="B736" s="6">
        <v>3445785</v>
      </c>
      <c r="C736" t="str">
        <f>VLOOKUP(B736,[1]BD_FINAL!$A:$H,2,FALSE)</f>
        <v xml:space="preserve">Javier Angel </v>
      </c>
      <c r="D736" t="str">
        <f>VLOOKUP(B736,[1]BD_FINAL!$A:$H,3,FALSE)</f>
        <v>Medellin</v>
      </c>
      <c r="E736" t="str">
        <f>VLOOKUP(B736,[1]BD_FINAL!$A:$H,8,FALSE)</f>
        <v>Control</v>
      </c>
      <c r="F736" s="2">
        <f t="shared" si="33"/>
        <v>0</v>
      </c>
      <c r="G736">
        <f t="shared" si="34"/>
        <v>1</v>
      </c>
      <c r="H736" s="3" t="s">
        <v>4689</v>
      </c>
      <c r="I736" s="6" t="str">
        <f t="shared" si="35"/>
        <v>00010735</v>
      </c>
    </row>
    <row r="737" spans="1:9" x14ac:dyDescent="0.3">
      <c r="A737">
        <v>736</v>
      </c>
      <c r="B737" s="6">
        <v>34503573</v>
      </c>
      <c r="C737" t="str">
        <f>VLOOKUP(B737,[1]BD_FINAL!$A:$H,2,FALSE)</f>
        <v>Fabiola</v>
      </c>
      <c r="D737" t="str">
        <f>VLOOKUP(B737,[1]BD_FINAL!$A:$H,3,FALSE)</f>
        <v>Cali</v>
      </c>
      <c r="E737" t="str">
        <f>VLOOKUP(B737,[1]BD_FINAL!$A:$H,8,FALSE)</f>
        <v>Tratamiento</v>
      </c>
      <c r="F737" s="2">
        <f t="shared" si="33"/>
        <v>1</v>
      </c>
      <c r="G737">
        <f t="shared" si="34"/>
        <v>2</v>
      </c>
      <c r="H737" s="3" t="s">
        <v>4690</v>
      </c>
      <c r="I737" s="6" t="str">
        <f t="shared" si="35"/>
        <v>01020736</v>
      </c>
    </row>
    <row r="738" spans="1:9" x14ac:dyDescent="0.3">
      <c r="A738">
        <v>737</v>
      </c>
      <c r="B738" s="6">
        <v>34515416</v>
      </c>
      <c r="C738" t="str">
        <f>VLOOKUP(B738,[1]BD_FINAL!$A:$H,2,FALSE)</f>
        <v>Olga</v>
      </c>
      <c r="D738" t="str">
        <f>VLOOKUP(B738,[1]BD_FINAL!$A:$H,3,FALSE)</f>
        <v>Cali</v>
      </c>
      <c r="E738" t="str">
        <f>VLOOKUP(B738,[1]BD_FINAL!$A:$H,8,FALSE)</f>
        <v>Tratamiento</v>
      </c>
      <c r="F738" s="2">
        <f t="shared" si="33"/>
        <v>1</v>
      </c>
      <c r="G738">
        <f t="shared" si="34"/>
        <v>2</v>
      </c>
      <c r="H738" s="3" t="s">
        <v>4691</v>
      </c>
      <c r="I738" s="6" t="str">
        <f t="shared" si="35"/>
        <v>01020737</v>
      </c>
    </row>
    <row r="739" spans="1:9" x14ac:dyDescent="0.3">
      <c r="A739">
        <v>738</v>
      </c>
      <c r="B739" s="6">
        <v>34572562</v>
      </c>
      <c r="C739" t="str">
        <f>VLOOKUP(B739,[1]BD_FINAL!$A:$H,2,FALSE)</f>
        <v>Asuncion</v>
      </c>
      <c r="D739" t="str">
        <f>VLOOKUP(B739,[1]BD_FINAL!$A:$H,3,FALSE)</f>
        <v>Cali</v>
      </c>
      <c r="E739" t="str">
        <f>VLOOKUP(B739,[1]BD_FINAL!$A:$H,8,FALSE)</f>
        <v>Tratamiento</v>
      </c>
      <c r="F739" s="2">
        <f t="shared" si="33"/>
        <v>1</v>
      </c>
      <c r="G739">
        <f t="shared" si="34"/>
        <v>2</v>
      </c>
      <c r="H739" s="3" t="s">
        <v>4692</v>
      </c>
      <c r="I739" s="6" t="str">
        <f t="shared" si="35"/>
        <v>01020738</v>
      </c>
    </row>
    <row r="740" spans="1:9" x14ac:dyDescent="0.3">
      <c r="A740">
        <v>739</v>
      </c>
      <c r="B740" s="6">
        <v>34573715</v>
      </c>
      <c r="C740" t="str">
        <f>VLOOKUP(B740,[1]BD_FINAL!$A:$H,2,FALSE)</f>
        <v>María Jesus</v>
      </c>
      <c r="D740" t="str">
        <f>VLOOKUP(B740,[1]BD_FINAL!$A:$H,3,FALSE)</f>
        <v>Cali</v>
      </c>
      <c r="E740" t="str">
        <f>VLOOKUP(B740,[1]BD_FINAL!$A:$H,8,FALSE)</f>
        <v>Tratamiento</v>
      </c>
      <c r="F740" s="2">
        <f t="shared" si="33"/>
        <v>1</v>
      </c>
      <c r="G740">
        <f t="shared" si="34"/>
        <v>2</v>
      </c>
      <c r="H740" s="3" t="s">
        <v>4693</v>
      </c>
      <c r="I740" s="6" t="str">
        <f t="shared" si="35"/>
        <v>01020739</v>
      </c>
    </row>
    <row r="741" spans="1:9" x14ac:dyDescent="0.3">
      <c r="A741">
        <v>740</v>
      </c>
      <c r="B741" s="6">
        <v>34690139</v>
      </c>
      <c r="C741" t="str">
        <f>VLOOKUP(B741,[1]BD_FINAL!$A:$H,2,FALSE)</f>
        <v>Aleida</v>
      </c>
      <c r="D741" t="str">
        <f>VLOOKUP(B741,[1]BD_FINAL!$A:$H,3,FALSE)</f>
        <v>Cali</v>
      </c>
      <c r="E741" t="str">
        <f>VLOOKUP(B741,[1]BD_FINAL!$A:$H,8,FALSE)</f>
        <v>Tratamiento</v>
      </c>
      <c r="F741" s="2">
        <f t="shared" si="33"/>
        <v>1</v>
      </c>
      <c r="G741">
        <f t="shared" si="34"/>
        <v>2</v>
      </c>
      <c r="H741" s="3" t="s">
        <v>4694</v>
      </c>
      <c r="I741" s="6" t="str">
        <f t="shared" si="35"/>
        <v>01020740</v>
      </c>
    </row>
    <row r="742" spans="1:9" x14ac:dyDescent="0.3">
      <c r="A742">
        <v>741</v>
      </c>
      <c r="B742" s="6">
        <v>34977363</v>
      </c>
      <c r="C742" t="str">
        <f>VLOOKUP(B742,[1]BD_FINAL!$A:$H,2,FALSE)</f>
        <v>Ana</v>
      </c>
      <c r="D742" t="str">
        <f>VLOOKUP(B742,[1]BD_FINAL!$A:$H,3,FALSE)</f>
        <v>Baranquilla</v>
      </c>
      <c r="E742" t="str">
        <f>VLOOKUP(B742,[1]BD_FINAL!$A:$H,8,FALSE)</f>
        <v>Tratamiento</v>
      </c>
      <c r="F742" s="2">
        <f t="shared" si="33"/>
        <v>1</v>
      </c>
      <c r="G742">
        <f t="shared" si="34"/>
        <v>3</v>
      </c>
      <c r="H742" s="3" t="s">
        <v>4695</v>
      </c>
      <c r="I742" s="6" t="str">
        <f t="shared" si="35"/>
        <v>01030741</v>
      </c>
    </row>
    <row r="743" spans="1:9" x14ac:dyDescent="0.3">
      <c r="A743">
        <v>742</v>
      </c>
      <c r="B743" s="6">
        <v>35546366</v>
      </c>
      <c r="C743" t="str">
        <f>VLOOKUP(B743,[1]BD_FINAL!$A:$H,2,FALSE)</f>
        <v>Bacilia</v>
      </c>
      <c r="D743" t="str">
        <f>VLOOKUP(B743,[1]BD_FINAL!$A:$H,3,FALSE)</f>
        <v>Cali</v>
      </c>
      <c r="E743" t="str">
        <f>VLOOKUP(B743,[1]BD_FINAL!$A:$H,8,FALSE)</f>
        <v>Tratamiento</v>
      </c>
      <c r="F743" s="2">
        <f t="shared" si="33"/>
        <v>1</v>
      </c>
      <c r="G743">
        <f t="shared" si="34"/>
        <v>2</v>
      </c>
      <c r="H743" s="3" t="s">
        <v>4696</v>
      </c>
      <c r="I743" s="6" t="str">
        <f t="shared" si="35"/>
        <v>01020742</v>
      </c>
    </row>
    <row r="744" spans="1:9" x14ac:dyDescent="0.3">
      <c r="A744">
        <v>743</v>
      </c>
      <c r="B744" s="6">
        <v>3569578</v>
      </c>
      <c r="C744" t="str">
        <f>VLOOKUP(B744,[1]BD_FINAL!$A:$H,2,FALSE)</f>
        <v>Marcelino</v>
      </c>
      <c r="D744" t="str">
        <f>VLOOKUP(B744,[1]BD_FINAL!$A:$H,3,FALSE)</f>
        <v>Medellin</v>
      </c>
      <c r="E744" t="str">
        <f>VLOOKUP(B744,[1]BD_FINAL!$A:$H,8,FALSE)</f>
        <v>Tratamiento</v>
      </c>
      <c r="F744" s="2">
        <f t="shared" si="33"/>
        <v>1</v>
      </c>
      <c r="G744">
        <f t="shared" si="34"/>
        <v>1</v>
      </c>
      <c r="H744" s="3" t="s">
        <v>4697</v>
      </c>
      <c r="I744" s="6" t="str">
        <f t="shared" si="35"/>
        <v>01010743</v>
      </c>
    </row>
    <row r="745" spans="1:9" x14ac:dyDescent="0.3">
      <c r="A745">
        <v>744</v>
      </c>
      <c r="B745" s="6">
        <v>3575338</v>
      </c>
      <c r="C745" t="str">
        <f>VLOOKUP(B745,[1]BD_FINAL!$A:$H,2,FALSE)</f>
        <v xml:space="preserve">Luis Arturo </v>
      </c>
      <c r="D745" t="str">
        <f>VLOOKUP(B745,[1]BD_FINAL!$A:$H,3,FALSE)</f>
        <v>Medellin</v>
      </c>
      <c r="E745" t="str">
        <f>VLOOKUP(B745,[1]BD_FINAL!$A:$H,8,FALSE)</f>
        <v>Tratamiento</v>
      </c>
      <c r="F745" s="2">
        <f t="shared" si="33"/>
        <v>1</v>
      </c>
      <c r="G745">
        <f t="shared" si="34"/>
        <v>1</v>
      </c>
      <c r="H745" s="3" t="s">
        <v>4698</v>
      </c>
      <c r="I745" s="6" t="str">
        <f t="shared" si="35"/>
        <v>01010744</v>
      </c>
    </row>
    <row r="746" spans="1:9" x14ac:dyDescent="0.3">
      <c r="A746">
        <v>745</v>
      </c>
      <c r="B746" s="6">
        <v>35990267</v>
      </c>
      <c r="C746" t="str">
        <f>VLOOKUP(B746,[1]BD_FINAL!$A:$H,2,FALSE)</f>
        <v xml:space="preserve">Maria Luz </v>
      </c>
      <c r="D746" t="str">
        <f>VLOOKUP(B746,[1]BD_FINAL!$A:$H,3,FALSE)</f>
        <v>Cali</v>
      </c>
      <c r="E746" t="str">
        <f>VLOOKUP(B746,[1]BD_FINAL!$A:$H,8,FALSE)</f>
        <v>Tratamiento</v>
      </c>
      <c r="F746" s="2">
        <f t="shared" si="33"/>
        <v>1</v>
      </c>
      <c r="G746">
        <f t="shared" si="34"/>
        <v>2</v>
      </c>
      <c r="H746" s="3" t="s">
        <v>4699</v>
      </c>
      <c r="I746" s="6" t="str">
        <f t="shared" si="35"/>
        <v>01020745</v>
      </c>
    </row>
    <row r="747" spans="1:9" x14ac:dyDescent="0.3">
      <c r="A747">
        <v>746</v>
      </c>
      <c r="B747" s="6">
        <v>36489408</v>
      </c>
      <c r="C747" t="str">
        <f>VLOOKUP(B747,[1]BD_FINAL!$A:$H,2,FALSE)</f>
        <v xml:space="preserve">Rosa </v>
      </c>
      <c r="D747" t="str">
        <f>VLOOKUP(B747,[1]BD_FINAL!$A:$H,3,FALSE)</f>
        <v>Baranquilla</v>
      </c>
      <c r="E747" t="str">
        <f>VLOOKUP(B747,[1]BD_FINAL!$A:$H,8,FALSE)</f>
        <v>Control</v>
      </c>
      <c r="F747" s="2">
        <f t="shared" si="33"/>
        <v>0</v>
      </c>
      <c r="G747">
        <f t="shared" si="34"/>
        <v>3</v>
      </c>
      <c r="H747" s="3" t="s">
        <v>4700</v>
      </c>
      <c r="I747" s="6" t="str">
        <f t="shared" si="35"/>
        <v>00030746</v>
      </c>
    </row>
    <row r="748" spans="1:9" x14ac:dyDescent="0.3">
      <c r="A748">
        <v>747</v>
      </c>
      <c r="B748" s="6">
        <v>36594665</v>
      </c>
      <c r="C748" t="str">
        <f>VLOOKUP(B748,[1]BD_FINAL!$A:$H,2,FALSE)</f>
        <v xml:space="preserve">María </v>
      </c>
      <c r="D748" t="str">
        <f>VLOOKUP(B748,[1]BD_FINAL!$A:$H,3,FALSE)</f>
        <v>Baranquilla</v>
      </c>
      <c r="E748" t="str">
        <f>VLOOKUP(B748,[1]BD_FINAL!$A:$H,8,FALSE)</f>
        <v>Control</v>
      </c>
      <c r="F748" s="2">
        <f t="shared" si="33"/>
        <v>0</v>
      </c>
      <c r="G748">
        <f t="shared" si="34"/>
        <v>3</v>
      </c>
      <c r="H748" s="3" t="s">
        <v>4701</v>
      </c>
      <c r="I748" s="6" t="str">
        <f t="shared" si="35"/>
        <v>00030747</v>
      </c>
    </row>
    <row r="749" spans="1:9" x14ac:dyDescent="0.3">
      <c r="A749">
        <v>748</v>
      </c>
      <c r="B749" s="6">
        <v>37075013</v>
      </c>
      <c r="C749" t="str">
        <f>VLOOKUP(B749,[1]BD_FINAL!$A:$H,2,FALSE)</f>
        <v>Ninfa maria</v>
      </c>
      <c r="D749" t="str">
        <f>VLOOKUP(B749,[1]BD_FINAL!$A:$H,3,FALSE)</f>
        <v>Cali</v>
      </c>
      <c r="E749" t="str">
        <f>VLOOKUP(B749,[1]BD_FINAL!$A:$H,8,FALSE)</f>
        <v>Tratamiento</v>
      </c>
      <c r="F749" s="2">
        <f t="shared" si="33"/>
        <v>1</v>
      </c>
      <c r="G749">
        <f t="shared" si="34"/>
        <v>2</v>
      </c>
      <c r="H749" s="3" t="s">
        <v>4702</v>
      </c>
      <c r="I749" s="6" t="str">
        <f t="shared" si="35"/>
        <v>01020748</v>
      </c>
    </row>
    <row r="750" spans="1:9" x14ac:dyDescent="0.3">
      <c r="A750">
        <v>749</v>
      </c>
      <c r="B750" s="6">
        <v>37236302</v>
      </c>
      <c r="C750" t="str">
        <f>VLOOKUP(B750,[1]BD_FINAL!$A:$H,2,FALSE)</f>
        <v xml:space="preserve">Lucely </v>
      </c>
      <c r="D750" t="str">
        <f>VLOOKUP(B750,[1]BD_FINAL!$A:$H,3,FALSE)</f>
        <v>Cali</v>
      </c>
      <c r="E750" t="str">
        <f>VLOOKUP(B750,[1]BD_FINAL!$A:$H,8,FALSE)</f>
        <v>Control</v>
      </c>
      <c r="F750" s="2">
        <f t="shared" si="33"/>
        <v>0</v>
      </c>
      <c r="G750">
        <f t="shared" si="34"/>
        <v>2</v>
      </c>
      <c r="H750" s="3" t="s">
        <v>4703</v>
      </c>
      <c r="I750" s="6" t="str">
        <f t="shared" si="35"/>
        <v>00020749</v>
      </c>
    </row>
    <row r="751" spans="1:9" x14ac:dyDescent="0.3">
      <c r="A751">
        <v>750</v>
      </c>
      <c r="B751" s="6">
        <v>37253427</v>
      </c>
      <c r="C751" t="str">
        <f>VLOOKUP(B751,[1]BD_FINAL!$A:$H,2,FALSE)</f>
        <v xml:space="preserve">OBDULIA </v>
      </c>
      <c r="D751" t="str">
        <f>VLOOKUP(B751,[1]BD_FINAL!$A:$H,3,FALSE)</f>
        <v>Cali</v>
      </c>
      <c r="E751" t="str">
        <f>VLOOKUP(B751,[1]BD_FINAL!$A:$H,8,FALSE)</f>
        <v>Tratamiento</v>
      </c>
      <c r="F751" s="2">
        <f t="shared" si="33"/>
        <v>1</v>
      </c>
      <c r="G751">
        <f t="shared" si="34"/>
        <v>2</v>
      </c>
      <c r="H751" s="3" t="s">
        <v>4704</v>
      </c>
      <c r="I751" s="6" t="str">
        <f t="shared" si="35"/>
        <v>01020750</v>
      </c>
    </row>
    <row r="752" spans="1:9" x14ac:dyDescent="0.3">
      <c r="A752">
        <v>751</v>
      </c>
      <c r="B752" s="6">
        <v>3774099</v>
      </c>
      <c r="C752" t="str">
        <f>VLOOKUP(B752,[1]BD_FINAL!$A:$H,2,FALSE)</f>
        <v xml:space="preserve">Alex </v>
      </c>
      <c r="D752" t="str">
        <f>VLOOKUP(B752,[1]BD_FINAL!$A:$H,3,FALSE)</f>
        <v>Baranquilla</v>
      </c>
      <c r="E752" t="str">
        <f>VLOOKUP(B752,[1]BD_FINAL!$A:$H,8,FALSE)</f>
        <v>Control</v>
      </c>
      <c r="F752" s="2">
        <f t="shared" si="33"/>
        <v>0</v>
      </c>
      <c r="G752">
        <f t="shared" si="34"/>
        <v>3</v>
      </c>
      <c r="H752" s="3" t="s">
        <v>4705</v>
      </c>
      <c r="I752" s="6" t="str">
        <f t="shared" si="35"/>
        <v>00030751</v>
      </c>
    </row>
    <row r="753" spans="1:9" x14ac:dyDescent="0.3">
      <c r="A753">
        <v>752</v>
      </c>
      <c r="B753" s="6">
        <v>37926108</v>
      </c>
      <c r="C753" t="str">
        <f>VLOOKUP(B753,[1]BD_FINAL!$A:$H,2,FALSE)</f>
        <v xml:space="preserve">MARIA DE LAD MERCEDES </v>
      </c>
      <c r="D753" t="str">
        <f>VLOOKUP(B753,[1]BD_FINAL!$A:$H,3,FALSE)</f>
        <v>Baranquilla</v>
      </c>
      <c r="E753" t="str">
        <f>VLOOKUP(B753,[1]BD_FINAL!$A:$H,8,FALSE)</f>
        <v>Tratamiento</v>
      </c>
      <c r="F753" s="2">
        <f t="shared" si="33"/>
        <v>1</v>
      </c>
      <c r="G753">
        <f t="shared" si="34"/>
        <v>3</v>
      </c>
      <c r="H753" s="3" t="s">
        <v>4706</v>
      </c>
      <c r="I753" s="6" t="str">
        <f t="shared" si="35"/>
        <v>01030752</v>
      </c>
    </row>
    <row r="754" spans="1:9" x14ac:dyDescent="0.3">
      <c r="A754">
        <v>753</v>
      </c>
      <c r="B754" s="6">
        <v>38551583</v>
      </c>
      <c r="C754" t="str">
        <f>VLOOKUP(B754,[1]BD_FINAL!$A:$H,2,FALSE)</f>
        <v>ASCENSION DEL SOCORRO</v>
      </c>
      <c r="D754" t="str">
        <f>VLOOKUP(B754,[1]BD_FINAL!$A:$H,3,FALSE)</f>
        <v>Cali</v>
      </c>
      <c r="E754" t="str">
        <f>VLOOKUP(B754,[1]BD_FINAL!$A:$H,8,FALSE)</f>
        <v>Control</v>
      </c>
      <c r="F754" s="2">
        <f t="shared" si="33"/>
        <v>0</v>
      </c>
      <c r="G754">
        <f t="shared" si="34"/>
        <v>2</v>
      </c>
      <c r="H754" s="3" t="s">
        <v>4707</v>
      </c>
      <c r="I754" s="6" t="str">
        <f t="shared" si="35"/>
        <v>00020753</v>
      </c>
    </row>
    <row r="755" spans="1:9" x14ac:dyDescent="0.3">
      <c r="A755">
        <v>754</v>
      </c>
      <c r="B755" s="6">
        <v>38558662</v>
      </c>
      <c r="C755" t="str">
        <f>VLOOKUP(B755,[1]BD_FINAL!$A:$H,2,FALSE)</f>
        <v>Mirell</v>
      </c>
      <c r="D755" t="str">
        <f>VLOOKUP(B755,[1]BD_FINAL!$A:$H,3,FALSE)</f>
        <v>Cali</v>
      </c>
      <c r="E755" t="str">
        <f>VLOOKUP(B755,[1]BD_FINAL!$A:$H,8,FALSE)</f>
        <v>Control</v>
      </c>
      <c r="F755" s="2">
        <f t="shared" si="33"/>
        <v>0</v>
      </c>
      <c r="G755">
        <f t="shared" si="34"/>
        <v>2</v>
      </c>
      <c r="H755" s="3" t="s">
        <v>4708</v>
      </c>
      <c r="I755" s="6" t="str">
        <f t="shared" si="35"/>
        <v>00020754</v>
      </c>
    </row>
    <row r="756" spans="1:9" x14ac:dyDescent="0.3">
      <c r="A756">
        <v>755</v>
      </c>
      <c r="B756" s="6">
        <v>38561325</v>
      </c>
      <c r="C756" t="str">
        <f>VLOOKUP(B756,[1]BD_FINAL!$A:$H,2,FALSE)</f>
        <v xml:space="preserve">LUZ ANGELICA
</v>
      </c>
      <c r="D756" t="str">
        <f>VLOOKUP(B756,[1]BD_FINAL!$A:$H,3,FALSE)</f>
        <v>Cali</v>
      </c>
      <c r="E756" t="str">
        <f>VLOOKUP(B756,[1]BD_FINAL!$A:$H,8,FALSE)</f>
        <v>Control</v>
      </c>
      <c r="F756" s="2">
        <f t="shared" si="33"/>
        <v>0</v>
      </c>
      <c r="G756">
        <f t="shared" si="34"/>
        <v>2</v>
      </c>
      <c r="H756" s="3" t="s">
        <v>4709</v>
      </c>
      <c r="I756" s="6" t="str">
        <f t="shared" si="35"/>
        <v>00020755</v>
      </c>
    </row>
    <row r="757" spans="1:9" x14ac:dyDescent="0.3">
      <c r="A757">
        <v>756</v>
      </c>
      <c r="B757" s="6">
        <v>38567213</v>
      </c>
      <c r="C757" t="str">
        <f>VLOOKUP(B757,[1]BD_FINAL!$A:$H,2,FALSE)</f>
        <v>MARIA SENEIDA</v>
      </c>
      <c r="D757" t="str">
        <f>VLOOKUP(B757,[1]BD_FINAL!$A:$H,3,FALSE)</f>
        <v>Cali</v>
      </c>
      <c r="E757" t="str">
        <f>VLOOKUP(B757,[1]BD_FINAL!$A:$H,8,FALSE)</f>
        <v>Control</v>
      </c>
      <c r="F757" s="2">
        <f t="shared" si="33"/>
        <v>0</v>
      </c>
      <c r="G757">
        <f t="shared" si="34"/>
        <v>2</v>
      </c>
      <c r="H757" s="3" t="s">
        <v>4710</v>
      </c>
      <c r="I757" s="6" t="str">
        <f t="shared" si="35"/>
        <v>00020756</v>
      </c>
    </row>
    <row r="758" spans="1:9" x14ac:dyDescent="0.3">
      <c r="A758">
        <v>757</v>
      </c>
      <c r="B758" s="6">
        <v>38601290</v>
      </c>
      <c r="C758" t="str">
        <f>VLOOKUP(B758,[1]BD_FINAL!$A:$H,2,FALSE)</f>
        <v>Sandra liliana</v>
      </c>
      <c r="D758" t="str">
        <f>VLOOKUP(B758,[1]BD_FINAL!$A:$H,3,FALSE)</f>
        <v>Cali</v>
      </c>
      <c r="E758" t="str">
        <f>VLOOKUP(B758,[1]BD_FINAL!$A:$H,8,FALSE)</f>
        <v>Tratamiento</v>
      </c>
      <c r="F758" s="2">
        <f t="shared" si="33"/>
        <v>1</v>
      </c>
      <c r="G758">
        <f t="shared" si="34"/>
        <v>2</v>
      </c>
      <c r="H758" s="3" t="s">
        <v>4711</v>
      </c>
      <c r="I758" s="6" t="str">
        <f t="shared" si="35"/>
        <v>01020757</v>
      </c>
    </row>
    <row r="759" spans="1:9" x14ac:dyDescent="0.3">
      <c r="A759">
        <v>758</v>
      </c>
      <c r="B759" s="6">
        <v>38604490</v>
      </c>
      <c r="C759" t="str">
        <f>VLOOKUP(B759,[1]BD_FINAL!$A:$H,2,FALSE)</f>
        <v>Maria  del pilarb</v>
      </c>
      <c r="D759" t="str">
        <f>VLOOKUP(B759,[1]BD_FINAL!$A:$H,3,FALSE)</f>
        <v>Cali</v>
      </c>
      <c r="E759" t="str">
        <f>VLOOKUP(B759,[1]BD_FINAL!$A:$H,8,FALSE)</f>
        <v>Control</v>
      </c>
      <c r="F759" s="2">
        <f t="shared" si="33"/>
        <v>0</v>
      </c>
      <c r="G759">
        <f t="shared" si="34"/>
        <v>2</v>
      </c>
      <c r="H759" s="3" t="s">
        <v>4712</v>
      </c>
      <c r="I759" s="6" t="str">
        <f t="shared" si="35"/>
        <v>00020758</v>
      </c>
    </row>
    <row r="760" spans="1:9" x14ac:dyDescent="0.3">
      <c r="A760">
        <v>759</v>
      </c>
      <c r="B760" s="6">
        <v>38641010</v>
      </c>
      <c r="C760" t="str">
        <f>VLOOKUP(B760,[1]BD_FINAL!$A:$H,2,FALSE)</f>
        <v>SANDRA MILENA</v>
      </c>
      <c r="D760" t="str">
        <f>VLOOKUP(B760,[1]BD_FINAL!$A:$H,3,FALSE)</f>
        <v>Cali</v>
      </c>
      <c r="E760" t="str">
        <f>VLOOKUP(B760,[1]BD_FINAL!$A:$H,8,FALSE)</f>
        <v>Control</v>
      </c>
      <c r="F760" s="2">
        <f t="shared" si="33"/>
        <v>0</v>
      </c>
      <c r="G760">
        <f t="shared" si="34"/>
        <v>2</v>
      </c>
      <c r="H760" s="3" t="s">
        <v>4713</v>
      </c>
      <c r="I760" s="6" t="str">
        <f t="shared" si="35"/>
        <v>00020759</v>
      </c>
    </row>
    <row r="761" spans="1:9" x14ac:dyDescent="0.3">
      <c r="A761">
        <v>760</v>
      </c>
      <c r="B761" s="6">
        <v>38642608</v>
      </c>
      <c r="C761" t="str">
        <f>VLOOKUP(B761,[1]BD_FINAL!$A:$H,2,FALSE)</f>
        <v>Ana nolfi</v>
      </c>
      <c r="D761" t="str">
        <f>VLOOKUP(B761,[1]BD_FINAL!$A:$H,3,FALSE)</f>
        <v>Cali</v>
      </c>
      <c r="E761" t="str">
        <f>VLOOKUP(B761,[1]BD_FINAL!$A:$H,8,FALSE)</f>
        <v>Tratamiento</v>
      </c>
      <c r="F761" s="2">
        <f t="shared" si="33"/>
        <v>1</v>
      </c>
      <c r="G761">
        <f t="shared" si="34"/>
        <v>2</v>
      </c>
      <c r="H761" s="3" t="s">
        <v>4714</v>
      </c>
      <c r="I761" s="6" t="str">
        <f t="shared" si="35"/>
        <v>01020760</v>
      </c>
    </row>
    <row r="762" spans="1:9" x14ac:dyDescent="0.3">
      <c r="A762">
        <v>761</v>
      </c>
      <c r="B762" s="6">
        <v>38665695</v>
      </c>
      <c r="C762" t="str">
        <f>VLOOKUP(B762,[1]BD_FINAL!$A:$H,2,FALSE)</f>
        <v xml:space="preserve">RUSBITA </v>
      </c>
      <c r="D762" t="str">
        <f>VLOOKUP(B762,[1]BD_FINAL!$A:$H,3,FALSE)</f>
        <v>Cali</v>
      </c>
      <c r="E762" t="str">
        <f>VLOOKUP(B762,[1]BD_FINAL!$A:$H,8,FALSE)</f>
        <v>Tratamiento</v>
      </c>
      <c r="F762" s="2">
        <f t="shared" si="33"/>
        <v>1</v>
      </c>
      <c r="G762">
        <f t="shared" si="34"/>
        <v>2</v>
      </c>
      <c r="H762" s="3" t="s">
        <v>4715</v>
      </c>
      <c r="I762" s="6" t="str">
        <f t="shared" si="35"/>
        <v>01020761</v>
      </c>
    </row>
    <row r="763" spans="1:9" x14ac:dyDescent="0.3">
      <c r="A763">
        <v>762</v>
      </c>
      <c r="B763" s="6">
        <v>38667116</v>
      </c>
      <c r="C763" t="str">
        <f>VLOOKUP(B763,[1]BD_FINAL!$A:$H,2,FALSE)</f>
        <v>LUZ KARIME</v>
      </c>
      <c r="D763" t="str">
        <f>VLOOKUP(B763,[1]BD_FINAL!$A:$H,3,FALSE)</f>
        <v>Cali</v>
      </c>
      <c r="E763" t="str">
        <f>VLOOKUP(B763,[1]BD_FINAL!$A:$H,8,FALSE)</f>
        <v>Control</v>
      </c>
      <c r="F763" s="2">
        <f t="shared" si="33"/>
        <v>0</v>
      </c>
      <c r="G763">
        <f t="shared" si="34"/>
        <v>2</v>
      </c>
      <c r="H763" s="3" t="s">
        <v>4716</v>
      </c>
      <c r="I763" s="6" t="str">
        <f t="shared" si="35"/>
        <v>00020762</v>
      </c>
    </row>
    <row r="764" spans="1:9" x14ac:dyDescent="0.3">
      <c r="A764">
        <v>763</v>
      </c>
      <c r="B764" s="6">
        <v>38667243</v>
      </c>
      <c r="C764" t="str">
        <f>VLOOKUP(B764,[1]BD_FINAL!$A:$H,2,FALSE)</f>
        <v xml:space="preserve">MARIA DEL CARMEN </v>
      </c>
      <c r="D764" t="str">
        <f>VLOOKUP(B764,[1]BD_FINAL!$A:$H,3,FALSE)</f>
        <v>Cali</v>
      </c>
      <c r="E764" t="str">
        <f>VLOOKUP(B764,[1]BD_FINAL!$A:$H,8,FALSE)</f>
        <v>Control</v>
      </c>
      <c r="F764" s="2">
        <f t="shared" si="33"/>
        <v>0</v>
      </c>
      <c r="G764">
        <f t="shared" si="34"/>
        <v>2</v>
      </c>
      <c r="H764" s="3" t="s">
        <v>4717</v>
      </c>
      <c r="I764" s="6" t="str">
        <f t="shared" si="35"/>
        <v>00020763</v>
      </c>
    </row>
    <row r="765" spans="1:9" x14ac:dyDescent="0.3">
      <c r="A765">
        <v>764</v>
      </c>
      <c r="B765" s="6">
        <v>38668909</v>
      </c>
      <c r="C765" t="str">
        <f>VLOOKUP(B765,[1]BD_FINAL!$A:$H,2,FALSE)</f>
        <v>Martha Isabel</v>
      </c>
      <c r="D765" t="str">
        <f>VLOOKUP(B765,[1]BD_FINAL!$A:$H,3,FALSE)</f>
        <v>Cali</v>
      </c>
      <c r="E765" t="str">
        <f>VLOOKUP(B765,[1]BD_FINAL!$A:$H,8,FALSE)</f>
        <v>Tratamiento</v>
      </c>
      <c r="F765" s="2">
        <f t="shared" si="33"/>
        <v>1</v>
      </c>
      <c r="G765">
        <f t="shared" si="34"/>
        <v>2</v>
      </c>
      <c r="H765" s="3" t="s">
        <v>4718</v>
      </c>
      <c r="I765" s="6" t="str">
        <f t="shared" si="35"/>
        <v>01020764</v>
      </c>
    </row>
    <row r="766" spans="1:9" x14ac:dyDescent="0.3">
      <c r="A766">
        <v>765</v>
      </c>
      <c r="B766" s="6">
        <v>38669358</v>
      </c>
      <c r="C766" t="str">
        <f>VLOOKUP(B766,[1]BD_FINAL!$A:$H,2,FALSE)</f>
        <v xml:space="preserve">Diana grisales </v>
      </c>
      <c r="D766" t="str">
        <f>VLOOKUP(B766,[1]BD_FINAL!$A:$H,3,FALSE)</f>
        <v>Cali</v>
      </c>
      <c r="E766" t="str">
        <f>VLOOKUP(B766,[1]BD_FINAL!$A:$H,8,FALSE)</f>
        <v>Control</v>
      </c>
      <c r="F766" s="2">
        <f t="shared" si="33"/>
        <v>0</v>
      </c>
      <c r="G766">
        <f t="shared" si="34"/>
        <v>2</v>
      </c>
      <c r="H766" s="3" t="s">
        <v>4719</v>
      </c>
      <c r="I766" s="6" t="str">
        <f t="shared" si="35"/>
        <v>00020765</v>
      </c>
    </row>
    <row r="767" spans="1:9" x14ac:dyDescent="0.3">
      <c r="A767">
        <v>766</v>
      </c>
      <c r="B767" s="6">
        <v>38671487</v>
      </c>
      <c r="C767" t="str">
        <f>VLOOKUP(B767,[1]BD_FINAL!$A:$H,2,FALSE)</f>
        <v>Sandra vicky</v>
      </c>
      <c r="D767" t="str">
        <f>VLOOKUP(B767,[1]BD_FINAL!$A:$H,3,FALSE)</f>
        <v>Cali</v>
      </c>
      <c r="E767" t="str">
        <f>VLOOKUP(B767,[1]BD_FINAL!$A:$H,8,FALSE)</f>
        <v>Tratamiento</v>
      </c>
      <c r="F767" s="2">
        <f t="shared" si="33"/>
        <v>1</v>
      </c>
      <c r="G767">
        <f t="shared" si="34"/>
        <v>2</v>
      </c>
      <c r="H767" s="3" t="s">
        <v>4720</v>
      </c>
      <c r="I767" s="6" t="str">
        <f t="shared" si="35"/>
        <v>01020766</v>
      </c>
    </row>
    <row r="768" spans="1:9" x14ac:dyDescent="0.3">
      <c r="A768">
        <v>767</v>
      </c>
      <c r="B768" s="6">
        <v>38892442</v>
      </c>
      <c r="C768" t="str">
        <f>VLOOKUP(B768,[1]BD_FINAL!$A:$H,2,FALSE)</f>
        <v>María Fabiola</v>
      </c>
      <c r="D768" t="str">
        <f>VLOOKUP(B768,[1]BD_FINAL!$A:$H,3,FALSE)</f>
        <v>Cali</v>
      </c>
      <c r="E768" t="str">
        <f>VLOOKUP(B768,[1]BD_FINAL!$A:$H,8,FALSE)</f>
        <v>Control</v>
      </c>
      <c r="F768" s="2">
        <f t="shared" si="33"/>
        <v>0</v>
      </c>
      <c r="G768">
        <f t="shared" si="34"/>
        <v>2</v>
      </c>
      <c r="H768" s="3" t="s">
        <v>4721</v>
      </c>
      <c r="I768" s="6" t="str">
        <f t="shared" si="35"/>
        <v>00020767</v>
      </c>
    </row>
    <row r="769" spans="1:9" x14ac:dyDescent="0.3">
      <c r="A769">
        <v>768</v>
      </c>
      <c r="B769" s="6">
        <v>38941394</v>
      </c>
      <c r="C769" t="str">
        <f>VLOOKUP(B769,[1]BD_FINAL!$A:$H,2,FALSE)</f>
        <v xml:space="preserve">Cruz Elfrida </v>
      </c>
      <c r="D769" t="str">
        <f>VLOOKUP(B769,[1]BD_FINAL!$A:$H,3,FALSE)</f>
        <v>Cali</v>
      </c>
      <c r="E769" t="str">
        <f>VLOOKUP(B769,[1]BD_FINAL!$A:$H,8,FALSE)</f>
        <v>Control</v>
      </c>
      <c r="F769" s="2">
        <f t="shared" si="33"/>
        <v>0</v>
      </c>
      <c r="G769">
        <f t="shared" si="34"/>
        <v>2</v>
      </c>
      <c r="H769" s="3" t="s">
        <v>4722</v>
      </c>
      <c r="I769" s="6" t="str">
        <f t="shared" si="35"/>
        <v>00020768</v>
      </c>
    </row>
    <row r="770" spans="1:9" x14ac:dyDescent="0.3">
      <c r="A770">
        <v>769</v>
      </c>
      <c r="B770" s="6">
        <v>38942002</v>
      </c>
      <c r="C770" t="str">
        <f>VLOOKUP(B770,[1]BD_FINAL!$A:$H,2,FALSE)</f>
        <v>María Hilde</v>
      </c>
      <c r="D770" t="str">
        <f>VLOOKUP(B770,[1]BD_FINAL!$A:$H,3,FALSE)</f>
        <v>Cali</v>
      </c>
      <c r="E770" t="str">
        <f>VLOOKUP(B770,[1]BD_FINAL!$A:$H,8,FALSE)</f>
        <v>Control</v>
      </c>
      <c r="F770" s="2">
        <f t="shared" si="33"/>
        <v>0</v>
      </c>
      <c r="G770">
        <f t="shared" si="34"/>
        <v>2</v>
      </c>
      <c r="H770" s="3" t="s">
        <v>4723</v>
      </c>
      <c r="I770" s="6" t="str">
        <f t="shared" si="35"/>
        <v>00020769</v>
      </c>
    </row>
    <row r="771" spans="1:9" x14ac:dyDescent="0.3">
      <c r="A771">
        <v>770</v>
      </c>
      <c r="B771" s="6">
        <v>38973256</v>
      </c>
      <c r="C771" t="str">
        <f>VLOOKUP(B771,[1]BD_FINAL!$A:$H,2,FALSE)</f>
        <v xml:space="preserve">ASCENETH </v>
      </c>
      <c r="D771" t="str">
        <f>VLOOKUP(B771,[1]BD_FINAL!$A:$H,3,FALSE)</f>
        <v>Cali</v>
      </c>
      <c r="E771" t="str">
        <f>VLOOKUP(B771,[1]BD_FINAL!$A:$H,8,FALSE)</f>
        <v>Tratamiento</v>
      </c>
      <c r="F771" s="2">
        <f t="shared" ref="F771:F834" si="36">IF(E771="CONTROL",0,1)</f>
        <v>1</v>
      </c>
      <c r="G771">
        <f t="shared" ref="G771:G834" si="37">IF(D771="Medellin",1,IF(D771="Cali",2,IF(D771="Baranquilla",3,0)))</f>
        <v>2</v>
      </c>
      <c r="H771" s="3" t="s">
        <v>4724</v>
      </c>
      <c r="I771" s="6" t="str">
        <f t="shared" ref="I771:I834" si="38">_xlfn.CONCAT(0,F771,0,G771,H771)</f>
        <v>01020770</v>
      </c>
    </row>
    <row r="772" spans="1:9" x14ac:dyDescent="0.3">
      <c r="A772">
        <v>771</v>
      </c>
      <c r="B772" s="6">
        <v>38980483</v>
      </c>
      <c r="C772" t="str">
        <f>VLOOKUP(B772,[1]BD_FINAL!$A:$H,2,FALSE)</f>
        <v>Marina</v>
      </c>
      <c r="D772" t="str">
        <f>VLOOKUP(B772,[1]BD_FINAL!$A:$H,3,FALSE)</f>
        <v>Cali</v>
      </c>
      <c r="E772" t="str">
        <f>VLOOKUP(B772,[1]BD_FINAL!$A:$H,8,FALSE)</f>
        <v>Control</v>
      </c>
      <c r="F772" s="2">
        <f t="shared" si="36"/>
        <v>0</v>
      </c>
      <c r="G772">
        <f t="shared" si="37"/>
        <v>2</v>
      </c>
      <c r="H772" s="3" t="s">
        <v>4725</v>
      </c>
      <c r="I772" s="6" t="str">
        <f t="shared" si="38"/>
        <v>00020771</v>
      </c>
    </row>
    <row r="773" spans="1:9" x14ac:dyDescent="0.3">
      <c r="A773">
        <v>772</v>
      </c>
      <c r="B773" s="6">
        <v>38992016</v>
      </c>
      <c r="C773" t="str">
        <f>VLOOKUP(B773,[1]BD_FINAL!$A:$H,2,FALSE)</f>
        <v xml:space="preserve">PASTORA </v>
      </c>
      <c r="D773" t="str">
        <f>VLOOKUP(B773,[1]BD_FINAL!$A:$H,3,FALSE)</f>
        <v>Cali</v>
      </c>
      <c r="E773" t="str">
        <f>VLOOKUP(B773,[1]BD_FINAL!$A:$H,8,FALSE)</f>
        <v>Tratamiento</v>
      </c>
      <c r="F773" s="2">
        <f t="shared" si="36"/>
        <v>1</v>
      </c>
      <c r="G773">
        <f t="shared" si="37"/>
        <v>2</v>
      </c>
      <c r="H773" s="3" t="s">
        <v>4726</v>
      </c>
      <c r="I773" s="6" t="str">
        <f t="shared" si="38"/>
        <v>01020772</v>
      </c>
    </row>
    <row r="774" spans="1:9" x14ac:dyDescent="0.3">
      <c r="A774">
        <v>773</v>
      </c>
      <c r="B774" s="6">
        <v>39177963</v>
      </c>
      <c r="C774" t="str">
        <f>VLOOKUP(B774,[1]BD_FINAL!$A:$H,2,FALSE)</f>
        <v xml:space="preserve">Mónica </v>
      </c>
      <c r="D774" t="str">
        <f>VLOOKUP(B774,[1]BD_FINAL!$A:$H,3,FALSE)</f>
        <v>Medellin</v>
      </c>
      <c r="E774" t="str">
        <f>VLOOKUP(B774,[1]BD_FINAL!$A:$H,8,FALSE)</f>
        <v>Control</v>
      </c>
      <c r="F774" s="2">
        <f t="shared" si="36"/>
        <v>0</v>
      </c>
      <c r="G774">
        <f t="shared" si="37"/>
        <v>1</v>
      </c>
      <c r="H774" s="3" t="s">
        <v>4727</v>
      </c>
      <c r="I774" s="6" t="str">
        <f t="shared" si="38"/>
        <v>00010773</v>
      </c>
    </row>
    <row r="775" spans="1:9" x14ac:dyDescent="0.3">
      <c r="A775">
        <v>774</v>
      </c>
      <c r="B775" s="6">
        <v>39179753</v>
      </c>
      <c r="C775" t="str">
        <f>VLOOKUP(B775,[1]BD_FINAL!$A:$H,2,FALSE)</f>
        <v>Yuly patricia</v>
      </c>
      <c r="D775" t="str">
        <f>VLOOKUP(B775,[1]BD_FINAL!$A:$H,3,FALSE)</f>
        <v>Medellin</v>
      </c>
      <c r="E775" t="str">
        <f>VLOOKUP(B775,[1]BD_FINAL!$A:$H,8,FALSE)</f>
        <v>Control</v>
      </c>
      <c r="F775" s="2">
        <f t="shared" si="36"/>
        <v>0</v>
      </c>
      <c r="G775">
        <f t="shared" si="37"/>
        <v>1</v>
      </c>
      <c r="H775" s="3" t="s">
        <v>4728</v>
      </c>
      <c r="I775" s="6" t="str">
        <f t="shared" si="38"/>
        <v>00010774</v>
      </c>
    </row>
    <row r="776" spans="1:9" x14ac:dyDescent="0.3">
      <c r="A776">
        <v>775</v>
      </c>
      <c r="B776" s="6">
        <v>39268214</v>
      </c>
      <c r="C776" t="str">
        <f>VLOOKUP(B776,[1]BD_FINAL!$A:$H,2,FALSE)</f>
        <v>Dora helena Cardona hernandez</v>
      </c>
      <c r="D776" t="str">
        <f>VLOOKUP(B776,[1]BD_FINAL!$A:$H,3,FALSE)</f>
        <v>Medellin</v>
      </c>
      <c r="E776" t="str">
        <f>VLOOKUP(B776,[1]BD_FINAL!$A:$H,8,FALSE)</f>
        <v>Tratamiento</v>
      </c>
      <c r="F776" s="2">
        <f t="shared" si="36"/>
        <v>1</v>
      </c>
      <c r="G776">
        <f t="shared" si="37"/>
        <v>1</v>
      </c>
      <c r="H776" s="3" t="s">
        <v>4729</v>
      </c>
      <c r="I776" s="6" t="str">
        <f t="shared" si="38"/>
        <v>01010775</v>
      </c>
    </row>
    <row r="777" spans="1:9" x14ac:dyDescent="0.3">
      <c r="A777">
        <v>776</v>
      </c>
      <c r="B777" s="6">
        <v>39384513</v>
      </c>
      <c r="C777" t="str">
        <f>VLOOKUP(B777,[1]BD_FINAL!$A:$H,2,FALSE)</f>
        <v>Morelia de Jesus</v>
      </c>
      <c r="D777" t="str">
        <f>VLOOKUP(B777,[1]BD_FINAL!$A:$H,3,FALSE)</f>
        <v>Medellin</v>
      </c>
      <c r="E777" t="str">
        <f>VLOOKUP(B777,[1]BD_FINAL!$A:$H,8,FALSE)</f>
        <v>Tratamiento</v>
      </c>
      <c r="F777" s="2">
        <f t="shared" si="36"/>
        <v>1</v>
      </c>
      <c r="G777">
        <f t="shared" si="37"/>
        <v>1</v>
      </c>
      <c r="H777" s="3" t="s">
        <v>4730</v>
      </c>
      <c r="I777" s="6" t="str">
        <f t="shared" si="38"/>
        <v>01010776</v>
      </c>
    </row>
    <row r="778" spans="1:9" x14ac:dyDescent="0.3">
      <c r="A778">
        <v>777</v>
      </c>
      <c r="B778" s="6">
        <v>39387899</v>
      </c>
      <c r="C778" t="str">
        <f>VLOOKUP(B778,[1]BD_FINAL!$A:$H,2,FALSE)</f>
        <v xml:space="preserve">Dora Elena </v>
      </c>
      <c r="D778" t="str">
        <f>VLOOKUP(B778,[1]BD_FINAL!$A:$H,3,FALSE)</f>
        <v>Medellin</v>
      </c>
      <c r="E778" t="str">
        <f>VLOOKUP(B778,[1]BD_FINAL!$A:$H,8,FALSE)</f>
        <v>Control</v>
      </c>
      <c r="F778" s="2">
        <f t="shared" si="36"/>
        <v>0</v>
      </c>
      <c r="G778">
        <f t="shared" si="37"/>
        <v>1</v>
      </c>
      <c r="H778" s="3" t="s">
        <v>4731</v>
      </c>
      <c r="I778" s="6" t="str">
        <f t="shared" si="38"/>
        <v>00010777</v>
      </c>
    </row>
    <row r="779" spans="1:9" x14ac:dyDescent="0.3">
      <c r="A779">
        <v>778</v>
      </c>
      <c r="B779" s="6">
        <v>39435019</v>
      </c>
      <c r="C779" t="str">
        <f>VLOOKUP(B779,[1]BD_FINAL!$A:$H,2,FALSE)</f>
        <v xml:space="preserve">Didima </v>
      </c>
      <c r="D779" t="str">
        <f>VLOOKUP(B779,[1]BD_FINAL!$A:$H,3,FALSE)</f>
        <v>Medellin</v>
      </c>
      <c r="E779" t="str">
        <f>VLOOKUP(B779,[1]BD_FINAL!$A:$H,8,FALSE)</f>
        <v>Control</v>
      </c>
      <c r="F779" s="2">
        <f t="shared" si="36"/>
        <v>0</v>
      </c>
      <c r="G779">
        <f t="shared" si="37"/>
        <v>1</v>
      </c>
      <c r="H779" s="3" t="s">
        <v>4732</v>
      </c>
      <c r="I779" s="6" t="str">
        <f t="shared" si="38"/>
        <v>00010778</v>
      </c>
    </row>
    <row r="780" spans="1:9" x14ac:dyDescent="0.3">
      <c r="A780">
        <v>779</v>
      </c>
      <c r="B780" s="6">
        <v>40765438</v>
      </c>
      <c r="C780" t="str">
        <f>VLOOKUP(B780,[1]BD_FINAL!$A:$H,2,FALSE)</f>
        <v>María Nidia</v>
      </c>
      <c r="D780" t="str">
        <f>VLOOKUP(B780,[1]BD_FINAL!$A:$H,3,FALSE)</f>
        <v>Cali</v>
      </c>
      <c r="E780" t="str">
        <f>VLOOKUP(B780,[1]BD_FINAL!$A:$H,8,FALSE)</f>
        <v>Control</v>
      </c>
      <c r="F780" s="2">
        <f t="shared" si="36"/>
        <v>0</v>
      </c>
      <c r="G780">
        <f t="shared" si="37"/>
        <v>2</v>
      </c>
      <c r="H780" s="3" t="s">
        <v>4733</v>
      </c>
      <c r="I780" s="6" t="str">
        <f t="shared" si="38"/>
        <v>00020779</v>
      </c>
    </row>
    <row r="781" spans="1:9" x14ac:dyDescent="0.3">
      <c r="A781">
        <v>780</v>
      </c>
      <c r="B781" s="6">
        <v>41631902</v>
      </c>
      <c r="C781" t="str">
        <f>VLOOKUP(B781,[1]BD_FINAL!$A:$H,2,FALSE)</f>
        <v>Olga</v>
      </c>
      <c r="D781" t="str">
        <f>VLOOKUP(B781,[1]BD_FINAL!$A:$H,3,FALSE)</f>
        <v>Baranquilla</v>
      </c>
      <c r="E781" t="str">
        <f>VLOOKUP(B781,[1]BD_FINAL!$A:$H,8,FALSE)</f>
        <v>Control</v>
      </c>
      <c r="F781" s="2">
        <f t="shared" si="36"/>
        <v>0</v>
      </c>
      <c r="G781">
        <f t="shared" si="37"/>
        <v>3</v>
      </c>
      <c r="H781" s="3" t="s">
        <v>4734</v>
      </c>
      <c r="I781" s="6" t="str">
        <f t="shared" si="38"/>
        <v>00030780</v>
      </c>
    </row>
    <row r="782" spans="1:9" x14ac:dyDescent="0.3">
      <c r="A782">
        <v>781</v>
      </c>
      <c r="B782" s="6">
        <v>41632550</v>
      </c>
      <c r="C782" t="str">
        <f>VLOOKUP(B782,[1]BD_FINAL!$A:$H,2,FALSE)</f>
        <v>Luz Marina</v>
      </c>
      <c r="D782" t="str">
        <f>VLOOKUP(B782,[1]BD_FINAL!$A:$H,3,FALSE)</f>
        <v>Medellin</v>
      </c>
      <c r="E782" t="str">
        <f>VLOOKUP(B782,[1]BD_FINAL!$A:$H,8,FALSE)</f>
        <v>Tratamiento</v>
      </c>
      <c r="F782" s="2">
        <f t="shared" si="36"/>
        <v>1</v>
      </c>
      <c r="G782">
        <f t="shared" si="37"/>
        <v>1</v>
      </c>
      <c r="H782" s="3" t="s">
        <v>4735</v>
      </c>
      <c r="I782" s="6" t="str">
        <f t="shared" si="38"/>
        <v>01010781</v>
      </c>
    </row>
    <row r="783" spans="1:9" x14ac:dyDescent="0.3">
      <c r="A783">
        <v>782</v>
      </c>
      <c r="B783" s="6">
        <v>42008677</v>
      </c>
      <c r="C783" t="str">
        <f>VLOOKUP(B783,[1]BD_FINAL!$A:$H,2,FALSE)</f>
        <v xml:space="preserve">Orlando </v>
      </c>
      <c r="D783" t="str">
        <f>VLOOKUP(B783,[1]BD_FINAL!$A:$H,3,FALSE)</f>
        <v>Medellin</v>
      </c>
      <c r="E783" t="str">
        <f>VLOOKUP(B783,[1]BD_FINAL!$A:$H,8,FALSE)</f>
        <v>Control</v>
      </c>
      <c r="F783" s="2">
        <f t="shared" si="36"/>
        <v>0</v>
      </c>
      <c r="G783">
        <f t="shared" si="37"/>
        <v>1</v>
      </c>
      <c r="H783" s="3" t="s">
        <v>4736</v>
      </c>
      <c r="I783" s="6" t="str">
        <f t="shared" si="38"/>
        <v>00010782</v>
      </c>
    </row>
    <row r="784" spans="1:9" x14ac:dyDescent="0.3">
      <c r="A784">
        <v>783</v>
      </c>
      <c r="B784" s="6">
        <v>42061051</v>
      </c>
      <c r="C784" t="str">
        <f>VLOOKUP(B784,[1]BD_FINAL!$A:$H,2,FALSE)</f>
        <v>María</v>
      </c>
      <c r="D784" t="str">
        <f>VLOOKUP(B784,[1]BD_FINAL!$A:$H,3,FALSE)</f>
        <v>Cali</v>
      </c>
      <c r="E784" t="str">
        <f>VLOOKUP(B784,[1]BD_FINAL!$A:$H,8,FALSE)</f>
        <v>Tratamiento</v>
      </c>
      <c r="F784" s="2">
        <f t="shared" si="36"/>
        <v>1</v>
      </c>
      <c r="G784">
        <f t="shared" si="37"/>
        <v>2</v>
      </c>
      <c r="H784" s="3" t="s">
        <v>4737</v>
      </c>
      <c r="I784" s="6" t="str">
        <f t="shared" si="38"/>
        <v>01020783</v>
      </c>
    </row>
    <row r="785" spans="1:9" x14ac:dyDescent="0.3">
      <c r="A785">
        <v>784</v>
      </c>
      <c r="B785" s="6">
        <v>42128788</v>
      </c>
      <c r="C785" t="str">
        <f>VLOOKUP(B785,[1]BD_FINAL!$A:$H,2,FALSE)</f>
        <v>Luz Jhaneth</v>
      </c>
      <c r="D785" t="str">
        <f>VLOOKUP(B785,[1]BD_FINAL!$A:$H,3,FALSE)</f>
        <v>Medellin</v>
      </c>
      <c r="E785" t="str">
        <f>VLOOKUP(B785,[1]BD_FINAL!$A:$H,8,FALSE)</f>
        <v>Tratamiento</v>
      </c>
      <c r="F785" s="2">
        <f t="shared" si="36"/>
        <v>1</v>
      </c>
      <c r="G785">
        <f t="shared" si="37"/>
        <v>1</v>
      </c>
      <c r="H785" s="3" t="s">
        <v>4738</v>
      </c>
      <c r="I785" s="6" t="str">
        <f t="shared" si="38"/>
        <v>01010784</v>
      </c>
    </row>
    <row r="786" spans="1:9" x14ac:dyDescent="0.3">
      <c r="A786">
        <v>785</v>
      </c>
      <c r="B786" s="6">
        <v>42271248</v>
      </c>
      <c r="C786" t="str">
        <f>VLOOKUP(B786,[1]BD_FINAL!$A:$H,2,FALSE)</f>
        <v xml:space="preserve"> Jhoel </v>
      </c>
      <c r="D786" t="str">
        <f>VLOOKUP(B786,[1]BD_FINAL!$A:$H,3,FALSE)</f>
        <v>Baranquilla</v>
      </c>
      <c r="E786" t="str">
        <f>VLOOKUP(B786,[1]BD_FINAL!$A:$H,8,FALSE)</f>
        <v>Tratamiento</v>
      </c>
      <c r="F786" s="2">
        <f t="shared" si="36"/>
        <v>1</v>
      </c>
      <c r="G786">
        <f t="shared" si="37"/>
        <v>3</v>
      </c>
      <c r="H786" s="3" t="s">
        <v>4739</v>
      </c>
      <c r="I786" s="6" t="str">
        <f t="shared" si="38"/>
        <v>01030785</v>
      </c>
    </row>
    <row r="787" spans="1:9" x14ac:dyDescent="0.3">
      <c r="A787">
        <v>786</v>
      </c>
      <c r="B787" s="6">
        <v>42701708</v>
      </c>
      <c r="C787" t="str">
        <f>VLOOKUP(B787,[1]BD_FINAL!$A:$H,2,FALSE)</f>
        <v>Cruz berarda Morales Morales</v>
      </c>
      <c r="D787" t="str">
        <f>VLOOKUP(B787,[1]BD_FINAL!$A:$H,3,FALSE)</f>
        <v>Medellin</v>
      </c>
      <c r="E787" t="str">
        <f>VLOOKUP(B787,[1]BD_FINAL!$A:$H,8,FALSE)</f>
        <v>Tratamiento</v>
      </c>
      <c r="F787" s="2">
        <f t="shared" si="36"/>
        <v>1</v>
      </c>
      <c r="G787">
        <f t="shared" si="37"/>
        <v>1</v>
      </c>
      <c r="H787" s="3" t="s">
        <v>4740</v>
      </c>
      <c r="I787" s="6" t="str">
        <f t="shared" si="38"/>
        <v>01010786</v>
      </c>
    </row>
    <row r="788" spans="1:9" x14ac:dyDescent="0.3">
      <c r="A788">
        <v>787</v>
      </c>
      <c r="B788" s="6">
        <v>42762856</v>
      </c>
      <c r="C788" t="str">
        <f>VLOOKUP(B788,[1]BD_FINAL!$A:$H,2,FALSE)</f>
        <v>Beatriz Adiela</v>
      </c>
      <c r="D788" t="str">
        <f>VLOOKUP(B788,[1]BD_FINAL!$A:$H,3,FALSE)</f>
        <v>Medellin</v>
      </c>
      <c r="E788" t="str">
        <f>VLOOKUP(B788,[1]BD_FINAL!$A:$H,8,FALSE)</f>
        <v>Control</v>
      </c>
      <c r="F788" s="2">
        <f t="shared" si="36"/>
        <v>0</v>
      </c>
      <c r="G788">
        <f t="shared" si="37"/>
        <v>1</v>
      </c>
      <c r="H788" s="3" t="s">
        <v>4741</v>
      </c>
      <c r="I788" s="6" t="str">
        <f t="shared" si="38"/>
        <v>00010787</v>
      </c>
    </row>
    <row r="789" spans="1:9" x14ac:dyDescent="0.3">
      <c r="A789">
        <v>788</v>
      </c>
      <c r="B789" s="6">
        <v>42767896</v>
      </c>
      <c r="C789" t="str">
        <f>VLOOKUP(B789,[1]BD_FINAL!$A:$H,2,FALSE)</f>
        <v>María Consuelo parra ospina</v>
      </c>
      <c r="D789" t="str">
        <f>VLOOKUP(B789,[1]BD_FINAL!$A:$H,3,FALSE)</f>
        <v>Medellin</v>
      </c>
      <c r="E789" t="str">
        <f>VLOOKUP(B789,[1]BD_FINAL!$A:$H,8,FALSE)</f>
        <v>Tratamiento</v>
      </c>
      <c r="F789" s="2">
        <f t="shared" si="36"/>
        <v>1</v>
      </c>
      <c r="G789">
        <f t="shared" si="37"/>
        <v>1</v>
      </c>
      <c r="H789" s="3" t="s">
        <v>4742</v>
      </c>
      <c r="I789" s="6" t="str">
        <f t="shared" si="38"/>
        <v>01010788</v>
      </c>
    </row>
    <row r="790" spans="1:9" x14ac:dyDescent="0.3">
      <c r="A790">
        <v>789</v>
      </c>
      <c r="B790" s="6">
        <v>42772039</v>
      </c>
      <c r="C790" t="str">
        <f>VLOOKUP(B790,[1]BD_FINAL!$A:$H,2,FALSE)</f>
        <v>Argelis</v>
      </c>
      <c r="D790" t="str">
        <f>VLOOKUP(B790,[1]BD_FINAL!$A:$H,3,FALSE)</f>
        <v>Medellin</v>
      </c>
      <c r="E790" t="str">
        <f>VLOOKUP(B790,[1]BD_FINAL!$A:$H,8,FALSE)</f>
        <v>Tratamiento</v>
      </c>
      <c r="F790" s="2">
        <f t="shared" si="36"/>
        <v>1</v>
      </c>
      <c r="G790">
        <f t="shared" si="37"/>
        <v>1</v>
      </c>
      <c r="H790" s="3" t="s">
        <v>4743</v>
      </c>
      <c r="I790" s="6" t="str">
        <f t="shared" si="38"/>
        <v>01010789</v>
      </c>
    </row>
    <row r="791" spans="1:9" x14ac:dyDescent="0.3">
      <c r="A791">
        <v>790</v>
      </c>
      <c r="B791" s="6">
        <v>42792571</v>
      </c>
      <c r="C791" t="str">
        <f>VLOOKUP(B791,[1]BD_FINAL!$A:$H,2,FALSE)</f>
        <v>Luz Stella</v>
      </c>
      <c r="D791" t="str">
        <f>VLOOKUP(B791,[1]BD_FINAL!$A:$H,3,FALSE)</f>
        <v>Medellin</v>
      </c>
      <c r="E791" t="str">
        <f>VLOOKUP(B791,[1]BD_FINAL!$A:$H,8,FALSE)</f>
        <v>Control</v>
      </c>
      <c r="F791" s="2">
        <f t="shared" si="36"/>
        <v>0</v>
      </c>
      <c r="G791">
        <f t="shared" si="37"/>
        <v>1</v>
      </c>
      <c r="H791" s="3" t="s">
        <v>4744</v>
      </c>
      <c r="I791" s="6" t="str">
        <f t="shared" si="38"/>
        <v>00010790</v>
      </c>
    </row>
    <row r="792" spans="1:9" x14ac:dyDescent="0.3">
      <c r="A792">
        <v>791</v>
      </c>
      <c r="B792" s="6">
        <v>42792823</v>
      </c>
      <c r="C792" t="str">
        <f>VLOOKUP(B792,[1]BD_FINAL!$A:$H,2,FALSE)</f>
        <v>Mónica cecilia</v>
      </c>
      <c r="D792" t="str">
        <f>VLOOKUP(B792,[1]BD_FINAL!$A:$H,3,FALSE)</f>
        <v>Medellin</v>
      </c>
      <c r="E792" t="str">
        <f>VLOOKUP(B792,[1]BD_FINAL!$A:$H,8,FALSE)</f>
        <v>Control</v>
      </c>
      <c r="F792" s="2">
        <f t="shared" si="36"/>
        <v>0</v>
      </c>
      <c r="G792">
        <f t="shared" si="37"/>
        <v>1</v>
      </c>
      <c r="H792" s="3" t="s">
        <v>4745</v>
      </c>
      <c r="I792" s="6" t="str">
        <f t="shared" si="38"/>
        <v>00010791</v>
      </c>
    </row>
    <row r="793" spans="1:9" x14ac:dyDescent="0.3">
      <c r="A793">
        <v>792</v>
      </c>
      <c r="B793" s="6">
        <v>42820074</v>
      </c>
      <c r="C793" t="str">
        <f>VLOOKUP(B793,[1]BD_FINAL!$A:$H,2,FALSE)</f>
        <v xml:space="preserve">María Elena </v>
      </c>
      <c r="D793" t="str">
        <f>VLOOKUP(B793,[1]BD_FINAL!$A:$H,3,FALSE)</f>
        <v>Medellin</v>
      </c>
      <c r="E793" t="str">
        <f>VLOOKUP(B793,[1]BD_FINAL!$A:$H,8,FALSE)</f>
        <v>Control</v>
      </c>
      <c r="F793" s="2">
        <f t="shared" si="36"/>
        <v>0</v>
      </c>
      <c r="G793">
        <f t="shared" si="37"/>
        <v>1</v>
      </c>
      <c r="H793" s="3" t="s">
        <v>4746</v>
      </c>
      <c r="I793" s="6" t="str">
        <f t="shared" si="38"/>
        <v>00010792</v>
      </c>
    </row>
    <row r="794" spans="1:9" x14ac:dyDescent="0.3">
      <c r="A794">
        <v>793</v>
      </c>
      <c r="B794" s="6">
        <v>42884497</v>
      </c>
      <c r="C794" t="str">
        <f>VLOOKUP(B794,[1]BD_FINAL!$A:$H,2,FALSE)</f>
        <v>Amparo de Jesús higuita echavarria</v>
      </c>
      <c r="D794" t="str">
        <f>VLOOKUP(B794,[1]BD_FINAL!$A:$H,3,FALSE)</f>
        <v>Medellin</v>
      </c>
      <c r="E794" t="str">
        <f>VLOOKUP(B794,[1]BD_FINAL!$A:$H,8,FALSE)</f>
        <v>Tratamiento</v>
      </c>
      <c r="F794" s="2">
        <f t="shared" si="36"/>
        <v>1</v>
      </c>
      <c r="G794">
        <f t="shared" si="37"/>
        <v>1</v>
      </c>
      <c r="H794" s="3" t="s">
        <v>4747</v>
      </c>
      <c r="I794" s="6" t="str">
        <f t="shared" si="38"/>
        <v>01010793</v>
      </c>
    </row>
    <row r="795" spans="1:9" x14ac:dyDescent="0.3">
      <c r="A795">
        <v>794</v>
      </c>
      <c r="B795" s="6">
        <v>42892754</v>
      </c>
      <c r="C795" t="str">
        <f>VLOOKUP(B795,[1]BD_FINAL!$A:$H,2,FALSE)</f>
        <v xml:space="preserve">Wilson </v>
      </c>
      <c r="D795" t="str">
        <f>VLOOKUP(B795,[1]BD_FINAL!$A:$H,3,FALSE)</f>
        <v>Medellin</v>
      </c>
      <c r="E795" t="str">
        <f>VLOOKUP(B795,[1]BD_FINAL!$A:$H,8,FALSE)</f>
        <v>Control</v>
      </c>
      <c r="F795" s="2">
        <f t="shared" si="36"/>
        <v>0</v>
      </c>
      <c r="G795">
        <f t="shared" si="37"/>
        <v>1</v>
      </c>
      <c r="H795" s="3" t="s">
        <v>4748</v>
      </c>
      <c r="I795" s="6" t="str">
        <f t="shared" si="38"/>
        <v>00010794</v>
      </c>
    </row>
    <row r="796" spans="1:9" x14ac:dyDescent="0.3">
      <c r="A796">
        <v>795</v>
      </c>
      <c r="B796" s="6">
        <v>42973581</v>
      </c>
      <c r="C796" t="str">
        <f>VLOOKUP(B796,[1]BD_FINAL!$A:$H,2,FALSE)</f>
        <v xml:space="preserve">Luz Miriam </v>
      </c>
      <c r="D796" t="str">
        <f>VLOOKUP(B796,[1]BD_FINAL!$A:$H,3,FALSE)</f>
        <v>Medellin</v>
      </c>
      <c r="E796" t="str">
        <f>VLOOKUP(B796,[1]BD_FINAL!$A:$H,8,FALSE)</f>
        <v>Tratamiento</v>
      </c>
      <c r="F796" s="2">
        <f t="shared" si="36"/>
        <v>1</v>
      </c>
      <c r="G796">
        <f t="shared" si="37"/>
        <v>1</v>
      </c>
      <c r="H796" s="3" t="s">
        <v>4749</v>
      </c>
      <c r="I796" s="6" t="str">
        <f t="shared" si="38"/>
        <v>01010795</v>
      </c>
    </row>
    <row r="797" spans="1:9" x14ac:dyDescent="0.3">
      <c r="A797">
        <v>796</v>
      </c>
      <c r="B797" s="6">
        <v>42977679</v>
      </c>
      <c r="C797" t="str">
        <f>VLOOKUP(B797,[1]BD_FINAL!$A:$H,2,FALSE)</f>
        <v xml:space="preserve">Jhoana Marcela </v>
      </c>
      <c r="D797" t="str">
        <f>VLOOKUP(B797,[1]BD_FINAL!$A:$H,3,FALSE)</f>
        <v>Medellin</v>
      </c>
      <c r="E797" t="str">
        <f>VLOOKUP(B797,[1]BD_FINAL!$A:$H,8,FALSE)</f>
        <v>Tratamiento</v>
      </c>
      <c r="F797" s="2">
        <f t="shared" si="36"/>
        <v>1</v>
      </c>
      <c r="G797">
        <f t="shared" si="37"/>
        <v>1</v>
      </c>
      <c r="H797" s="3" t="s">
        <v>4750</v>
      </c>
      <c r="I797" s="6" t="str">
        <f t="shared" si="38"/>
        <v>01010796</v>
      </c>
    </row>
    <row r="798" spans="1:9" x14ac:dyDescent="0.3">
      <c r="A798">
        <v>797</v>
      </c>
      <c r="B798" s="6">
        <v>42979655</v>
      </c>
      <c r="C798" t="str">
        <f>VLOOKUP(B798,[1]BD_FINAL!$A:$H,2,FALSE)</f>
        <v>Maria Teresa</v>
      </c>
      <c r="D798" t="str">
        <f>VLOOKUP(B798,[1]BD_FINAL!$A:$H,3,FALSE)</f>
        <v>Medellin</v>
      </c>
      <c r="E798" t="str">
        <f>VLOOKUP(B798,[1]BD_FINAL!$A:$H,8,FALSE)</f>
        <v>Control</v>
      </c>
      <c r="F798" s="2">
        <f t="shared" si="36"/>
        <v>0</v>
      </c>
      <c r="G798">
        <f t="shared" si="37"/>
        <v>1</v>
      </c>
      <c r="H798" s="3" t="s">
        <v>4751</v>
      </c>
      <c r="I798" s="6" t="str">
        <f t="shared" si="38"/>
        <v>00010797</v>
      </c>
    </row>
    <row r="799" spans="1:9" x14ac:dyDescent="0.3">
      <c r="A799">
        <v>798</v>
      </c>
      <c r="B799" s="6">
        <v>42981495</v>
      </c>
      <c r="C799" t="str">
        <f>VLOOKUP(B799,[1]BD_FINAL!$A:$H,2,FALSE)</f>
        <v>Rosilia de jesus</v>
      </c>
      <c r="D799" t="str">
        <f>VLOOKUP(B799,[1]BD_FINAL!$A:$H,3,FALSE)</f>
        <v>Medellin</v>
      </c>
      <c r="E799" t="str">
        <f>VLOOKUP(B799,[1]BD_FINAL!$A:$H,8,FALSE)</f>
        <v>Control</v>
      </c>
      <c r="F799" s="2">
        <f t="shared" si="36"/>
        <v>0</v>
      </c>
      <c r="G799">
        <f t="shared" si="37"/>
        <v>1</v>
      </c>
      <c r="H799" s="3" t="s">
        <v>4752</v>
      </c>
      <c r="I799" s="6" t="str">
        <f t="shared" si="38"/>
        <v>00010798</v>
      </c>
    </row>
    <row r="800" spans="1:9" x14ac:dyDescent="0.3">
      <c r="A800">
        <v>799</v>
      </c>
      <c r="B800" s="6">
        <v>42987727</v>
      </c>
      <c r="C800" t="str">
        <f>VLOOKUP(B800,[1]BD_FINAL!$A:$H,2,FALSE)</f>
        <v xml:space="preserve">José Inocencio </v>
      </c>
      <c r="D800" t="str">
        <f>VLOOKUP(B800,[1]BD_FINAL!$A:$H,3,FALSE)</f>
        <v>Medellin</v>
      </c>
      <c r="E800" t="str">
        <f>VLOOKUP(B800,[1]BD_FINAL!$A:$H,8,FALSE)</f>
        <v>Control</v>
      </c>
      <c r="F800" s="2">
        <f t="shared" si="36"/>
        <v>0</v>
      </c>
      <c r="G800">
        <f t="shared" si="37"/>
        <v>1</v>
      </c>
      <c r="H800" s="3" t="s">
        <v>4753</v>
      </c>
      <c r="I800" s="6" t="str">
        <f t="shared" si="38"/>
        <v>00010799</v>
      </c>
    </row>
    <row r="801" spans="1:9" x14ac:dyDescent="0.3">
      <c r="A801">
        <v>800</v>
      </c>
      <c r="B801" s="6">
        <v>42991676</v>
      </c>
      <c r="C801" t="str">
        <f>VLOOKUP(B801,[1]BD_FINAL!$A:$H,2,FALSE)</f>
        <v>Ángela Gloria</v>
      </c>
      <c r="D801" t="str">
        <f>VLOOKUP(B801,[1]BD_FINAL!$A:$H,3,FALSE)</f>
        <v>Medellin</v>
      </c>
      <c r="E801" t="str">
        <f>VLOOKUP(B801,[1]BD_FINAL!$A:$H,8,FALSE)</f>
        <v>Tratamiento</v>
      </c>
      <c r="F801" s="2">
        <f t="shared" si="36"/>
        <v>1</v>
      </c>
      <c r="G801">
        <f t="shared" si="37"/>
        <v>1</v>
      </c>
      <c r="H801" s="3" t="s">
        <v>4754</v>
      </c>
      <c r="I801" s="6" t="str">
        <f t="shared" si="38"/>
        <v>01010800</v>
      </c>
    </row>
    <row r="802" spans="1:9" x14ac:dyDescent="0.3">
      <c r="A802">
        <v>801</v>
      </c>
      <c r="B802" s="6">
        <v>42995862</v>
      </c>
      <c r="C802" t="str">
        <f>VLOOKUP(B802,[1]BD_FINAL!$A:$H,2,FALSE)</f>
        <v xml:space="preserve">Edilma de Jesús </v>
      </c>
      <c r="D802" t="str">
        <f>VLOOKUP(B802,[1]BD_FINAL!$A:$H,3,FALSE)</f>
        <v>Medellin</v>
      </c>
      <c r="E802" t="str">
        <f>VLOOKUP(B802,[1]BD_FINAL!$A:$H,8,FALSE)</f>
        <v>Tratamiento</v>
      </c>
      <c r="F802" s="2">
        <f t="shared" si="36"/>
        <v>1</v>
      </c>
      <c r="G802">
        <f t="shared" si="37"/>
        <v>1</v>
      </c>
      <c r="H802" s="3" t="s">
        <v>4755</v>
      </c>
      <c r="I802" s="6" t="str">
        <f t="shared" si="38"/>
        <v>01010801</v>
      </c>
    </row>
    <row r="803" spans="1:9" x14ac:dyDescent="0.3">
      <c r="A803">
        <v>802</v>
      </c>
      <c r="B803" s="6">
        <v>43000384</v>
      </c>
      <c r="C803" t="str">
        <f>VLOOKUP(B803,[1]BD_FINAL!$A:$H,2,FALSE)</f>
        <v>Margot</v>
      </c>
      <c r="D803" t="str">
        <f>VLOOKUP(B803,[1]BD_FINAL!$A:$H,3,FALSE)</f>
        <v>Medellin</v>
      </c>
      <c r="E803" t="str">
        <f>VLOOKUP(B803,[1]BD_FINAL!$A:$H,8,FALSE)</f>
        <v>Control</v>
      </c>
      <c r="F803" s="2">
        <f t="shared" si="36"/>
        <v>0</v>
      </c>
      <c r="G803">
        <f t="shared" si="37"/>
        <v>1</v>
      </c>
      <c r="H803" s="3" t="s">
        <v>4756</v>
      </c>
      <c r="I803" s="6" t="str">
        <f t="shared" si="38"/>
        <v>00010802</v>
      </c>
    </row>
    <row r="804" spans="1:9" x14ac:dyDescent="0.3">
      <c r="A804">
        <v>803</v>
      </c>
      <c r="B804" s="6">
        <v>43011082</v>
      </c>
      <c r="C804" t="str">
        <f>VLOOKUP(B804,[1]BD_FINAL!$A:$H,2,FALSE)</f>
        <v>Maria Magdalena</v>
      </c>
      <c r="D804" t="str">
        <f>VLOOKUP(B804,[1]BD_FINAL!$A:$H,3,FALSE)</f>
        <v>Medellin</v>
      </c>
      <c r="E804" t="str">
        <f>VLOOKUP(B804,[1]BD_FINAL!$A:$H,8,FALSE)</f>
        <v>Control</v>
      </c>
      <c r="F804" s="2">
        <f t="shared" si="36"/>
        <v>0</v>
      </c>
      <c r="G804">
        <f t="shared" si="37"/>
        <v>1</v>
      </c>
      <c r="H804" s="3" t="s">
        <v>4757</v>
      </c>
      <c r="I804" s="6" t="str">
        <f t="shared" si="38"/>
        <v>00010803</v>
      </c>
    </row>
    <row r="805" spans="1:9" x14ac:dyDescent="0.3">
      <c r="A805">
        <v>804</v>
      </c>
      <c r="B805" s="6">
        <v>43025963</v>
      </c>
      <c r="C805" t="str">
        <f>VLOOKUP(B805,[1]BD_FINAL!$A:$H,2,FALSE)</f>
        <v xml:space="preserve">Daisy </v>
      </c>
      <c r="D805" t="str">
        <f>VLOOKUP(B805,[1]BD_FINAL!$A:$H,3,FALSE)</f>
        <v>Medellin</v>
      </c>
      <c r="E805" t="str">
        <f>VLOOKUP(B805,[1]BD_FINAL!$A:$H,8,FALSE)</f>
        <v>Control</v>
      </c>
      <c r="F805" s="2">
        <f t="shared" si="36"/>
        <v>0</v>
      </c>
      <c r="G805">
        <f t="shared" si="37"/>
        <v>1</v>
      </c>
      <c r="H805" s="3" t="s">
        <v>4758</v>
      </c>
      <c r="I805" s="6" t="str">
        <f t="shared" si="38"/>
        <v>00010804</v>
      </c>
    </row>
    <row r="806" spans="1:9" x14ac:dyDescent="0.3">
      <c r="A806">
        <v>805</v>
      </c>
      <c r="B806" s="6">
        <v>43030246</v>
      </c>
      <c r="C806" t="str">
        <f>VLOOKUP(B806,[1]BD_FINAL!$A:$H,2,FALSE)</f>
        <v>Luis Eduardo</v>
      </c>
      <c r="D806" t="str">
        <f>VLOOKUP(B806,[1]BD_FINAL!$A:$H,3,FALSE)</f>
        <v>Medellin</v>
      </c>
      <c r="E806" t="str">
        <f>VLOOKUP(B806,[1]BD_FINAL!$A:$H,8,FALSE)</f>
        <v>Control</v>
      </c>
      <c r="F806" s="2">
        <f t="shared" si="36"/>
        <v>0</v>
      </c>
      <c r="G806">
        <f t="shared" si="37"/>
        <v>1</v>
      </c>
      <c r="H806" s="3" t="s">
        <v>4759</v>
      </c>
      <c r="I806" s="6" t="str">
        <f t="shared" si="38"/>
        <v>00010805</v>
      </c>
    </row>
    <row r="807" spans="1:9" x14ac:dyDescent="0.3">
      <c r="A807">
        <v>806</v>
      </c>
      <c r="B807" s="6">
        <v>43033841</v>
      </c>
      <c r="C807" t="str">
        <f>VLOOKUP(B807,[1]BD_FINAL!$A:$H,2,FALSE)</f>
        <v xml:space="preserve">Gilma de Jesús </v>
      </c>
      <c r="D807" t="str">
        <f>VLOOKUP(B807,[1]BD_FINAL!$A:$H,3,FALSE)</f>
        <v>Medellin</v>
      </c>
      <c r="E807" t="str">
        <f>VLOOKUP(B807,[1]BD_FINAL!$A:$H,8,FALSE)</f>
        <v>Control</v>
      </c>
      <c r="F807" s="2">
        <f t="shared" si="36"/>
        <v>0</v>
      </c>
      <c r="G807">
        <f t="shared" si="37"/>
        <v>1</v>
      </c>
      <c r="H807" s="3" t="s">
        <v>4760</v>
      </c>
      <c r="I807" s="6" t="str">
        <f t="shared" si="38"/>
        <v>00010806</v>
      </c>
    </row>
    <row r="808" spans="1:9" x14ac:dyDescent="0.3">
      <c r="A808">
        <v>807</v>
      </c>
      <c r="B808" s="6">
        <v>43034542</v>
      </c>
      <c r="C808" t="str">
        <f>VLOOKUP(B808,[1]BD_FINAL!$A:$H,2,FALSE)</f>
        <v>Manuel José montaya muñoz</v>
      </c>
      <c r="D808" t="str">
        <f>VLOOKUP(B808,[1]BD_FINAL!$A:$H,3,FALSE)</f>
        <v>Medellin</v>
      </c>
      <c r="E808" t="str">
        <f>VLOOKUP(B808,[1]BD_FINAL!$A:$H,8,FALSE)</f>
        <v>Tratamiento</v>
      </c>
      <c r="F808" s="2">
        <f t="shared" si="36"/>
        <v>1</v>
      </c>
      <c r="G808">
        <f t="shared" si="37"/>
        <v>1</v>
      </c>
      <c r="H808" s="3" t="s">
        <v>4761</v>
      </c>
      <c r="I808" s="6" t="str">
        <f t="shared" si="38"/>
        <v>01010807</v>
      </c>
    </row>
    <row r="809" spans="1:9" x14ac:dyDescent="0.3">
      <c r="A809">
        <v>808</v>
      </c>
      <c r="B809" s="6">
        <v>43036224</v>
      </c>
      <c r="C809" t="str">
        <f>VLOOKUP(B809,[1]BD_FINAL!$A:$H,2,FALSE)</f>
        <v xml:space="preserve">Olga Ines  </v>
      </c>
      <c r="D809" t="str">
        <f>VLOOKUP(B809,[1]BD_FINAL!$A:$H,3,FALSE)</f>
        <v>Medellin</v>
      </c>
      <c r="E809" t="str">
        <f>VLOOKUP(B809,[1]BD_FINAL!$A:$H,8,FALSE)</f>
        <v>Control</v>
      </c>
      <c r="F809" s="2">
        <f t="shared" si="36"/>
        <v>0</v>
      </c>
      <c r="G809">
        <f t="shared" si="37"/>
        <v>1</v>
      </c>
      <c r="H809" s="3" t="s">
        <v>4762</v>
      </c>
      <c r="I809" s="6" t="str">
        <f t="shared" si="38"/>
        <v>00010808</v>
      </c>
    </row>
    <row r="810" spans="1:9" x14ac:dyDescent="0.3">
      <c r="A810">
        <v>809</v>
      </c>
      <c r="B810" s="6">
        <v>43044407</v>
      </c>
      <c r="C810" t="str">
        <f>VLOOKUP(B810,[1]BD_FINAL!$A:$H,2,FALSE)</f>
        <v>Maria luzmila</v>
      </c>
      <c r="D810" t="str">
        <f>VLOOKUP(B810,[1]BD_FINAL!$A:$H,3,FALSE)</f>
        <v>Medellin</v>
      </c>
      <c r="E810" t="str">
        <f>VLOOKUP(B810,[1]BD_FINAL!$A:$H,8,FALSE)</f>
        <v>Control</v>
      </c>
      <c r="F810" s="2">
        <f t="shared" si="36"/>
        <v>0</v>
      </c>
      <c r="G810">
        <f t="shared" si="37"/>
        <v>1</v>
      </c>
      <c r="H810" s="3" t="s">
        <v>4763</v>
      </c>
      <c r="I810" s="6" t="str">
        <f t="shared" si="38"/>
        <v>00010809</v>
      </c>
    </row>
    <row r="811" spans="1:9" x14ac:dyDescent="0.3">
      <c r="A811">
        <v>810</v>
      </c>
      <c r="B811" s="6">
        <v>43057779</v>
      </c>
      <c r="C811" t="str">
        <f>VLOOKUP(B811,[1]BD_FINAL!$A:$H,2,FALSE)</f>
        <v xml:space="preserve">Luz Marina del socorro </v>
      </c>
      <c r="D811" t="str">
        <f>VLOOKUP(B811,[1]BD_FINAL!$A:$H,3,FALSE)</f>
        <v>Medellin</v>
      </c>
      <c r="E811" t="str">
        <f>VLOOKUP(B811,[1]BD_FINAL!$A:$H,8,FALSE)</f>
        <v>Tratamiento</v>
      </c>
      <c r="F811" s="2">
        <f t="shared" si="36"/>
        <v>1</v>
      </c>
      <c r="G811">
        <f t="shared" si="37"/>
        <v>1</v>
      </c>
      <c r="H811" s="3" t="s">
        <v>4764</v>
      </c>
      <c r="I811" s="6" t="str">
        <f t="shared" si="38"/>
        <v>01010810</v>
      </c>
    </row>
    <row r="812" spans="1:9" x14ac:dyDescent="0.3">
      <c r="A812">
        <v>811</v>
      </c>
      <c r="B812" s="6">
        <v>43062092</v>
      </c>
      <c r="C812" t="str">
        <f>VLOOKUP(B812,[1]BD_FINAL!$A:$H,2,FALSE)</f>
        <v>María sobeiba Martínez marin</v>
      </c>
      <c r="D812" t="str">
        <f>VLOOKUP(B812,[1]BD_FINAL!$A:$H,3,FALSE)</f>
        <v>Medellin</v>
      </c>
      <c r="E812" t="str">
        <f>VLOOKUP(B812,[1]BD_FINAL!$A:$H,8,FALSE)</f>
        <v>Tratamiento</v>
      </c>
      <c r="F812" s="2">
        <f t="shared" si="36"/>
        <v>1</v>
      </c>
      <c r="G812">
        <f t="shared" si="37"/>
        <v>1</v>
      </c>
      <c r="H812" s="3" t="s">
        <v>4765</v>
      </c>
      <c r="I812" s="6" t="str">
        <f t="shared" si="38"/>
        <v>01010811</v>
      </c>
    </row>
    <row r="813" spans="1:9" x14ac:dyDescent="0.3">
      <c r="A813">
        <v>812</v>
      </c>
      <c r="B813" s="6">
        <v>43065696</v>
      </c>
      <c r="C813" t="str">
        <f>VLOOKUP(B813,[1]BD_FINAL!$A:$H,2,FALSE)</f>
        <v>Amanda</v>
      </c>
      <c r="D813" t="str">
        <f>VLOOKUP(B813,[1]BD_FINAL!$A:$H,3,FALSE)</f>
        <v>Medellin</v>
      </c>
      <c r="E813" t="str">
        <f>VLOOKUP(B813,[1]BD_FINAL!$A:$H,8,FALSE)</f>
        <v>Control</v>
      </c>
      <c r="F813" s="2">
        <f t="shared" si="36"/>
        <v>0</v>
      </c>
      <c r="G813">
        <f t="shared" si="37"/>
        <v>1</v>
      </c>
      <c r="H813" s="3" t="s">
        <v>4766</v>
      </c>
      <c r="I813" s="6" t="str">
        <f t="shared" si="38"/>
        <v>00010812</v>
      </c>
    </row>
    <row r="814" spans="1:9" x14ac:dyDescent="0.3">
      <c r="A814">
        <v>813</v>
      </c>
      <c r="B814" s="6">
        <v>43066439</v>
      </c>
      <c r="C814" t="str">
        <f>VLOOKUP(B814,[1]BD_FINAL!$A:$H,2,FALSE)</f>
        <v xml:space="preserve">María Teresa </v>
      </c>
      <c r="D814" t="str">
        <f>VLOOKUP(B814,[1]BD_FINAL!$A:$H,3,FALSE)</f>
        <v>Medellin</v>
      </c>
      <c r="E814" t="str">
        <f>VLOOKUP(B814,[1]BD_FINAL!$A:$H,8,FALSE)</f>
        <v>Control</v>
      </c>
      <c r="F814" s="2">
        <f t="shared" si="36"/>
        <v>0</v>
      </c>
      <c r="G814">
        <f t="shared" si="37"/>
        <v>1</v>
      </c>
      <c r="H814" s="3" t="s">
        <v>4767</v>
      </c>
      <c r="I814" s="6" t="str">
        <f t="shared" si="38"/>
        <v>00010813</v>
      </c>
    </row>
    <row r="815" spans="1:9" x14ac:dyDescent="0.3">
      <c r="A815">
        <v>814</v>
      </c>
      <c r="B815" s="6">
        <v>43066481</v>
      </c>
      <c r="C815" t="str">
        <f>VLOOKUP(B815,[1]BD_FINAL!$A:$H,2,FALSE)</f>
        <v>Maria Libia</v>
      </c>
      <c r="D815" t="str">
        <f>VLOOKUP(B815,[1]BD_FINAL!$A:$H,3,FALSE)</f>
        <v>Medellin</v>
      </c>
      <c r="E815" t="str">
        <f>VLOOKUP(B815,[1]BD_FINAL!$A:$H,8,FALSE)</f>
        <v>Control</v>
      </c>
      <c r="F815" s="2">
        <f t="shared" si="36"/>
        <v>0</v>
      </c>
      <c r="G815">
        <f t="shared" si="37"/>
        <v>1</v>
      </c>
      <c r="H815" s="3" t="s">
        <v>4768</v>
      </c>
      <c r="I815" s="6" t="str">
        <f t="shared" si="38"/>
        <v>00010814</v>
      </c>
    </row>
    <row r="816" spans="1:9" x14ac:dyDescent="0.3">
      <c r="A816">
        <v>815</v>
      </c>
      <c r="B816" s="6">
        <v>43066859</v>
      </c>
      <c r="C816" t="str">
        <f>VLOOKUP(B816,[1]BD_FINAL!$A:$H,2,FALSE)</f>
        <v>María Araceli</v>
      </c>
      <c r="D816" t="str">
        <f>VLOOKUP(B816,[1]BD_FINAL!$A:$H,3,FALSE)</f>
        <v>Medellin</v>
      </c>
      <c r="E816" t="str">
        <f>VLOOKUP(B816,[1]BD_FINAL!$A:$H,8,FALSE)</f>
        <v>Tratamiento</v>
      </c>
      <c r="F816" s="2">
        <f t="shared" si="36"/>
        <v>1</v>
      </c>
      <c r="G816">
        <f t="shared" si="37"/>
        <v>1</v>
      </c>
      <c r="H816" s="3" t="s">
        <v>4769</v>
      </c>
      <c r="I816" s="6" t="str">
        <f t="shared" si="38"/>
        <v>01010815</v>
      </c>
    </row>
    <row r="817" spans="1:9" x14ac:dyDescent="0.3">
      <c r="A817">
        <v>816</v>
      </c>
      <c r="B817" s="6">
        <v>43069093</v>
      </c>
      <c r="C817" t="str">
        <f>VLOOKUP(B817,[1]BD_FINAL!$A:$H,2,FALSE)</f>
        <v xml:space="preserve">Maria Alba Luz </v>
      </c>
      <c r="D817" t="str">
        <f>VLOOKUP(B817,[1]BD_FINAL!$A:$H,3,FALSE)</f>
        <v>Medellin</v>
      </c>
      <c r="E817" t="str">
        <f>VLOOKUP(B817,[1]BD_FINAL!$A:$H,8,FALSE)</f>
        <v>Tratamiento</v>
      </c>
      <c r="F817" s="2">
        <f t="shared" si="36"/>
        <v>1</v>
      </c>
      <c r="G817">
        <f t="shared" si="37"/>
        <v>1</v>
      </c>
      <c r="H817" s="3" t="s">
        <v>4770</v>
      </c>
      <c r="I817" s="6" t="str">
        <f t="shared" si="38"/>
        <v>01010816</v>
      </c>
    </row>
    <row r="818" spans="1:9" x14ac:dyDescent="0.3">
      <c r="A818">
        <v>817</v>
      </c>
      <c r="B818" s="6">
        <v>43070425</v>
      </c>
      <c r="C818" t="str">
        <f>VLOOKUP(B818,[1]BD_FINAL!$A:$H,2,FALSE)</f>
        <v>Margarita</v>
      </c>
      <c r="D818" t="str">
        <f>VLOOKUP(B818,[1]BD_FINAL!$A:$H,3,FALSE)</f>
        <v>Medellin</v>
      </c>
      <c r="E818" t="str">
        <f>VLOOKUP(B818,[1]BD_FINAL!$A:$H,8,FALSE)</f>
        <v>Control</v>
      </c>
      <c r="F818" s="2">
        <f t="shared" si="36"/>
        <v>0</v>
      </c>
      <c r="G818">
        <f t="shared" si="37"/>
        <v>1</v>
      </c>
      <c r="H818" s="3" t="s">
        <v>4771</v>
      </c>
      <c r="I818" s="6" t="str">
        <f t="shared" si="38"/>
        <v>00010817</v>
      </c>
    </row>
    <row r="819" spans="1:9" x14ac:dyDescent="0.3">
      <c r="A819">
        <v>818</v>
      </c>
      <c r="B819" s="6">
        <v>43070884</v>
      </c>
      <c r="C819" t="str">
        <f>VLOOKUP(B819,[1]BD_FINAL!$A:$H,2,FALSE)</f>
        <v>María Dolores</v>
      </c>
      <c r="D819" t="str">
        <f>VLOOKUP(B819,[1]BD_FINAL!$A:$H,3,FALSE)</f>
        <v>Medellin</v>
      </c>
      <c r="E819" t="str">
        <f>VLOOKUP(B819,[1]BD_FINAL!$A:$H,8,FALSE)</f>
        <v>Tratamiento</v>
      </c>
      <c r="F819" s="2">
        <f t="shared" si="36"/>
        <v>1</v>
      </c>
      <c r="G819">
        <f t="shared" si="37"/>
        <v>1</v>
      </c>
      <c r="H819" s="3" t="s">
        <v>4772</v>
      </c>
      <c r="I819" s="6" t="str">
        <f t="shared" si="38"/>
        <v>01010818</v>
      </c>
    </row>
    <row r="820" spans="1:9" x14ac:dyDescent="0.3">
      <c r="A820">
        <v>819</v>
      </c>
      <c r="B820" s="6">
        <v>43073733</v>
      </c>
      <c r="C820" t="str">
        <f>VLOOKUP(B820,[1]BD_FINAL!$A:$H,2,FALSE)</f>
        <v xml:space="preserve">Luz Estella </v>
      </c>
      <c r="D820" t="str">
        <f>VLOOKUP(B820,[1]BD_FINAL!$A:$H,3,FALSE)</f>
        <v>Medellin</v>
      </c>
      <c r="E820" t="str">
        <f>VLOOKUP(B820,[1]BD_FINAL!$A:$H,8,FALSE)</f>
        <v>Control</v>
      </c>
      <c r="F820" s="2">
        <f t="shared" si="36"/>
        <v>0</v>
      </c>
      <c r="G820">
        <f t="shared" si="37"/>
        <v>1</v>
      </c>
      <c r="H820" s="3" t="s">
        <v>4773</v>
      </c>
      <c r="I820" s="6" t="str">
        <f t="shared" si="38"/>
        <v>00010819</v>
      </c>
    </row>
    <row r="821" spans="1:9" x14ac:dyDescent="0.3">
      <c r="A821">
        <v>820</v>
      </c>
      <c r="B821" s="6">
        <v>43075851</v>
      </c>
      <c r="C821" t="str">
        <f>VLOOKUP(B821,[1]BD_FINAL!$A:$H,2,FALSE)</f>
        <v>Ofelia</v>
      </c>
      <c r="D821" t="str">
        <f>VLOOKUP(B821,[1]BD_FINAL!$A:$H,3,FALSE)</f>
        <v>Medellin</v>
      </c>
      <c r="E821" t="str">
        <f>VLOOKUP(B821,[1]BD_FINAL!$A:$H,8,FALSE)</f>
        <v>Tratamiento</v>
      </c>
      <c r="F821" s="2">
        <f t="shared" si="36"/>
        <v>1</v>
      </c>
      <c r="G821">
        <f t="shared" si="37"/>
        <v>1</v>
      </c>
      <c r="H821" s="3" t="s">
        <v>4774</v>
      </c>
      <c r="I821" s="6" t="str">
        <f t="shared" si="38"/>
        <v>01010820</v>
      </c>
    </row>
    <row r="822" spans="1:9" x14ac:dyDescent="0.3">
      <c r="A822">
        <v>821</v>
      </c>
      <c r="B822" s="6">
        <v>43078979</v>
      </c>
      <c r="C822" t="str">
        <f>VLOOKUP(B822,[1]BD_FINAL!$A:$H,2,FALSE)</f>
        <v>Luz Amanda</v>
      </c>
      <c r="D822" t="str">
        <f>VLOOKUP(B822,[1]BD_FINAL!$A:$H,3,FALSE)</f>
        <v>Medellin</v>
      </c>
      <c r="E822" t="str">
        <f>VLOOKUP(B822,[1]BD_FINAL!$A:$H,8,FALSE)</f>
        <v>Control</v>
      </c>
      <c r="F822" s="2">
        <f t="shared" si="36"/>
        <v>0</v>
      </c>
      <c r="G822">
        <f t="shared" si="37"/>
        <v>1</v>
      </c>
      <c r="H822" s="3" t="s">
        <v>4775</v>
      </c>
      <c r="I822" s="6" t="str">
        <f t="shared" si="38"/>
        <v>00010821</v>
      </c>
    </row>
    <row r="823" spans="1:9" x14ac:dyDescent="0.3">
      <c r="A823">
        <v>822</v>
      </c>
      <c r="B823" s="6">
        <v>43083979</v>
      </c>
      <c r="C823" t="str">
        <f>VLOOKUP(B823,[1]BD_FINAL!$A:$H,2,FALSE)</f>
        <v>María Rubiela</v>
      </c>
      <c r="D823" t="str">
        <f>VLOOKUP(B823,[1]BD_FINAL!$A:$H,3,FALSE)</f>
        <v>Medellin</v>
      </c>
      <c r="E823" t="str">
        <f>VLOOKUP(B823,[1]BD_FINAL!$A:$H,8,FALSE)</f>
        <v>Control</v>
      </c>
      <c r="F823" s="2">
        <f t="shared" si="36"/>
        <v>0</v>
      </c>
      <c r="G823">
        <f t="shared" si="37"/>
        <v>1</v>
      </c>
      <c r="H823" s="3" t="s">
        <v>4776</v>
      </c>
      <c r="I823" s="6" t="str">
        <f t="shared" si="38"/>
        <v>00010822</v>
      </c>
    </row>
    <row r="824" spans="1:9" x14ac:dyDescent="0.3">
      <c r="A824">
        <v>823</v>
      </c>
      <c r="B824" s="6">
        <v>43085567</v>
      </c>
      <c r="C824" t="str">
        <f>VLOOKUP(B824,[1]BD_FINAL!$A:$H,2,FALSE)</f>
        <v xml:space="preserve">Dora Elcy </v>
      </c>
      <c r="D824" t="str">
        <f>VLOOKUP(B824,[1]BD_FINAL!$A:$H,3,FALSE)</f>
        <v>Medellin</v>
      </c>
      <c r="E824" t="str">
        <f>VLOOKUP(B824,[1]BD_FINAL!$A:$H,8,FALSE)</f>
        <v>Control</v>
      </c>
      <c r="F824" s="2">
        <f t="shared" si="36"/>
        <v>0</v>
      </c>
      <c r="G824">
        <f t="shared" si="37"/>
        <v>1</v>
      </c>
      <c r="H824" s="3" t="s">
        <v>4777</v>
      </c>
      <c r="I824" s="6" t="str">
        <f t="shared" si="38"/>
        <v>00010823</v>
      </c>
    </row>
    <row r="825" spans="1:9" x14ac:dyDescent="0.3">
      <c r="A825">
        <v>824</v>
      </c>
      <c r="B825" s="6">
        <v>43085637</v>
      </c>
      <c r="C825" t="str">
        <f>VLOOKUP(B825,[1]BD_FINAL!$A:$H,2,FALSE)</f>
        <v>María Ninfa Higuita</v>
      </c>
      <c r="D825" t="str">
        <f>VLOOKUP(B825,[1]BD_FINAL!$A:$H,3,FALSE)</f>
        <v>Medellin</v>
      </c>
      <c r="E825" t="str">
        <f>VLOOKUP(B825,[1]BD_FINAL!$A:$H,8,FALSE)</f>
        <v>Tratamiento</v>
      </c>
      <c r="F825" s="2">
        <f t="shared" si="36"/>
        <v>1</v>
      </c>
      <c r="G825">
        <f t="shared" si="37"/>
        <v>1</v>
      </c>
      <c r="H825" s="3" t="s">
        <v>4778</v>
      </c>
      <c r="I825" s="6" t="str">
        <f t="shared" si="38"/>
        <v>01010824</v>
      </c>
    </row>
    <row r="826" spans="1:9" x14ac:dyDescent="0.3">
      <c r="A826">
        <v>825</v>
      </c>
      <c r="B826" s="6">
        <v>43097896</v>
      </c>
      <c r="C826" t="str">
        <f>VLOOKUP(B826,[1]BD_FINAL!$A:$H,2,FALSE)</f>
        <v>Rosalba de jesus</v>
      </c>
      <c r="D826" t="str">
        <f>VLOOKUP(B826,[1]BD_FINAL!$A:$H,3,FALSE)</f>
        <v>Medellin</v>
      </c>
      <c r="E826" t="str">
        <f>VLOOKUP(B826,[1]BD_FINAL!$A:$H,8,FALSE)</f>
        <v>Control</v>
      </c>
      <c r="F826" s="2">
        <f t="shared" si="36"/>
        <v>0</v>
      </c>
      <c r="G826">
        <f t="shared" si="37"/>
        <v>1</v>
      </c>
      <c r="H826" s="3" t="s">
        <v>4779</v>
      </c>
      <c r="I826" s="6" t="str">
        <f t="shared" si="38"/>
        <v>00010825</v>
      </c>
    </row>
    <row r="827" spans="1:9" x14ac:dyDescent="0.3">
      <c r="A827">
        <v>826</v>
      </c>
      <c r="B827" s="6">
        <v>43100548</v>
      </c>
      <c r="C827" t="str">
        <f>VLOOKUP(B827,[1]BD_FINAL!$A:$H,2,FALSE)</f>
        <v>Luz Amparo</v>
      </c>
      <c r="D827" t="str">
        <f>VLOOKUP(B827,[1]BD_FINAL!$A:$H,3,FALSE)</f>
        <v>Medellin</v>
      </c>
      <c r="E827" t="str">
        <f>VLOOKUP(B827,[1]BD_FINAL!$A:$H,8,FALSE)</f>
        <v>Control</v>
      </c>
      <c r="F827" s="2">
        <f t="shared" si="36"/>
        <v>0</v>
      </c>
      <c r="G827">
        <f t="shared" si="37"/>
        <v>1</v>
      </c>
      <c r="H827" s="3" t="s">
        <v>4780</v>
      </c>
      <c r="I827" s="6" t="str">
        <f t="shared" si="38"/>
        <v>00010826</v>
      </c>
    </row>
    <row r="828" spans="1:9" x14ac:dyDescent="0.3">
      <c r="A828">
        <v>827</v>
      </c>
      <c r="B828" s="6">
        <v>43100739</v>
      </c>
      <c r="C828" t="str">
        <f>VLOOKUP(B828,[1]BD_FINAL!$A:$H,2,FALSE)</f>
        <v>Dasney Maria</v>
      </c>
      <c r="D828" t="str">
        <f>VLOOKUP(B828,[1]BD_FINAL!$A:$H,3,FALSE)</f>
        <v>Medellin</v>
      </c>
      <c r="E828" t="str">
        <f>VLOOKUP(B828,[1]BD_FINAL!$A:$H,8,FALSE)</f>
        <v>Tratamiento</v>
      </c>
      <c r="F828" s="2">
        <f t="shared" si="36"/>
        <v>1</v>
      </c>
      <c r="G828">
        <f t="shared" si="37"/>
        <v>1</v>
      </c>
      <c r="H828" s="3" t="s">
        <v>4781</v>
      </c>
      <c r="I828" s="6" t="str">
        <f t="shared" si="38"/>
        <v>01010827</v>
      </c>
    </row>
    <row r="829" spans="1:9" x14ac:dyDescent="0.3">
      <c r="A829">
        <v>828</v>
      </c>
      <c r="B829" s="6">
        <v>43101586</v>
      </c>
      <c r="C829" t="str">
        <f>VLOOKUP(B829,[1]BD_FINAL!$A:$H,2,FALSE)</f>
        <v>Elizabeth del Socorro</v>
      </c>
      <c r="D829" t="str">
        <f>VLOOKUP(B829,[1]BD_FINAL!$A:$H,3,FALSE)</f>
        <v>Medellin</v>
      </c>
      <c r="E829" t="str">
        <f>VLOOKUP(B829,[1]BD_FINAL!$A:$H,8,FALSE)</f>
        <v>Tratamiento</v>
      </c>
      <c r="F829" s="2">
        <f t="shared" si="36"/>
        <v>1</v>
      </c>
      <c r="G829">
        <f t="shared" si="37"/>
        <v>1</v>
      </c>
      <c r="H829" s="3" t="s">
        <v>4782</v>
      </c>
      <c r="I829" s="6" t="str">
        <f t="shared" si="38"/>
        <v>01010828</v>
      </c>
    </row>
    <row r="830" spans="1:9" x14ac:dyDescent="0.3">
      <c r="A830">
        <v>829</v>
      </c>
      <c r="B830" s="6">
        <v>43117917</v>
      </c>
      <c r="C830" t="str">
        <f>VLOOKUP(B830,[1]BD_FINAL!$A:$H,2,FALSE)</f>
        <v>Yenifer Maritza</v>
      </c>
      <c r="D830" t="str">
        <f>VLOOKUP(B830,[1]BD_FINAL!$A:$H,3,FALSE)</f>
        <v>Medellin</v>
      </c>
      <c r="E830" t="str">
        <f>VLOOKUP(B830,[1]BD_FINAL!$A:$H,8,FALSE)</f>
        <v>Control</v>
      </c>
      <c r="F830" s="2">
        <f t="shared" si="36"/>
        <v>0</v>
      </c>
      <c r="G830">
        <f t="shared" si="37"/>
        <v>1</v>
      </c>
      <c r="H830" s="3" t="s">
        <v>4783</v>
      </c>
      <c r="I830" s="6" t="str">
        <f t="shared" si="38"/>
        <v>00010829</v>
      </c>
    </row>
    <row r="831" spans="1:9" x14ac:dyDescent="0.3">
      <c r="A831">
        <v>830</v>
      </c>
      <c r="B831" s="6">
        <v>43141643</v>
      </c>
      <c r="C831" t="str">
        <f>VLOOKUP(B831,[1]BD_FINAL!$A:$H,2,FALSE)</f>
        <v xml:space="preserve">Argel María </v>
      </c>
      <c r="D831" t="str">
        <f>VLOOKUP(B831,[1]BD_FINAL!$A:$H,3,FALSE)</f>
        <v>Medellin</v>
      </c>
      <c r="E831" t="str">
        <f>VLOOKUP(B831,[1]BD_FINAL!$A:$H,8,FALSE)</f>
        <v>Tratamiento</v>
      </c>
      <c r="F831" s="2">
        <f t="shared" si="36"/>
        <v>1</v>
      </c>
      <c r="G831">
        <f t="shared" si="37"/>
        <v>1</v>
      </c>
      <c r="H831" s="3" t="s">
        <v>4784</v>
      </c>
      <c r="I831" s="6" t="str">
        <f t="shared" si="38"/>
        <v>01010830</v>
      </c>
    </row>
    <row r="832" spans="1:9" x14ac:dyDescent="0.3">
      <c r="A832">
        <v>831</v>
      </c>
      <c r="B832" s="6">
        <v>43150064</v>
      </c>
      <c r="C832" t="str">
        <f>VLOOKUP(B832,[1]BD_FINAL!$A:$H,2,FALSE)</f>
        <v>Luz margod Montoya mesa</v>
      </c>
      <c r="D832" t="str">
        <f>VLOOKUP(B832,[1]BD_FINAL!$A:$H,3,FALSE)</f>
        <v>Medellin</v>
      </c>
      <c r="E832" t="str">
        <f>VLOOKUP(B832,[1]BD_FINAL!$A:$H,8,FALSE)</f>
        <v>Tratamiento</v>
      </c>
      <c r="F832" s="2">
        <f t="shared" si="36"/>
        <v>1</v>
      </c>
      <c r="G832">
        <f t="shared" si="37"/>
        <v>1</v>
      </c>
      <c r="H832" s="3" t="s">
        <v>4785</v>
      </c>
      <c r="I832" s="6" t="str">
        <f t="shared" si="38"/>
        <v>01010831</v>
      </c>
    </row>
    <row r="833" spans="1:9" x14ac:dyDescent="0.3">
      <c r="A833">
        <v>832</v>
      </c>
      <c r="B833" s="6">
        <v>43152836</v>
      </c>
      <c r="C833" t="str">
        <f>VLOOKUP(B833,[1]BD_FINAL!$A:$H,2,FALSE)</f>
        <v>Maria Dilbia</v>
      </c>
      <c r="D833" t="str">
        <f>VLOOKUP(B833,[1]BD_FINAL!$A:$H,3,FALSE)</f>
        <v>Medellin</v>
      </c>
      <c r="E833" t="str">
        <f>VLOOKUP(B833,[1]BD_FINAL!$A:$H,8,FALSE)</f>
        <v>Tratamiento</v>
      </c>
      <c r="F833" s="2">
        <f t="shared" si="36"/>
        <v>1</v>
      </c>
      <c r="G833">
        <f t="shared" si="37"/>
        <v>1</v>
      </c>
      <c r="H833" s="3" t="s">
        <v>4786</v>
      </c>
      <c r="I833" s="6" t="str">
        <f t="shared" si="38"/>
        <v>01010832</v>
      </c>
    </row>
    <row r="834" spans="1:9" x14ac:dyDescent="0.3">
      <c r="A834">
        <v>833</v>
      </c>
      <c r="B834" s="6">
        <v>43159959</v>
      </c>
      <c r="C834" t="str">
        <f>VLOOKUP(B834,[1]BD_FINAL!$A:$H,2,FALSE)</f>
        <v xml:space="preserve">Eglet Dayana </v>
      </c>
      <c r="D834" t="str">
        <f>VLOOKUP(B834,[1]BD_FINAL!$A:$H,3,FALSE)</f>
        <v>Medellin</v>
      </c>
      <c r="E834" t="str">
        <f>VLOOKUP(B834,[1]BD_FINAL!$A:$H,8,FALSE)</f>
        <v>Control</v>
      </c>
      <c r="F834" s="2">
        <f t="shared" si="36"/>
        <v>0</v>
      </c>
      <c r="G834">
        <f t="shared" si="37"/>
        <v>1</v>
      </c>
      <c r="H834" s="3" t="s">
        <v>4787</v>
      </c>
      <c r="I834" s="6" t="str">
        <f t="shared" si="38"/>
        <v>00010833</v>
      </c>
    </row>
    <row r="835" spans="1:9" x14ac:dyDescent="0.3">
      <c r="A835">
        <v>834</v>
      </c>
      <c r="B835" s="6">
        <v>43164479</v>
      </c>
      <c r="C835" t="str">
        <f>VLOOKUP(B835,[1]BD_FINAL!$A:$H,2,FALSE)</f>
        <v>Nancy Stella</v>
      </c>
      <c r="D835" t="str">
        <f>VLOOKUP(B835,[1]BD_FINAL!$A:$H,3,FALSE)</f>
        <v>Medellin</v>
      </c>
      <c r="E835" t="str">
        <f>VLOOKUP(B835,[1]BD_FINAL!$A:$H,8,FALSE)</f>
        <v>Control</v>
      </c>
      <c r="F835" s="2">
        <f t="shared" ref="F835:F898" si="39">IF(E835="CONTROL",0,1)</f>
        <v>0</v>
      </c>
      <c r="G835">
        <f t="shared" ref="G835:G898" si="40">IF(D835="Medellin",1,IF(D835="Cali",2,IF(D835="Baranquilla",3,0)))</f>
        <v>1</v>
      </c>
      <c r="H835" s="3" t="s">
        <v>4788</v>
      </c>
      <c r="I835" s="6" t="str">
        <f t="shared" ref="I835:I898" si="41">_xlfn.CONCAT(0,F835,0,G835,H835)</f>
        <v>00010834</v>
      </c>
    </row>
    <row r="836" spans="1:9" x14ac:dyDescent="0.3">
      <c r="A836">
        <v>835</v>
      </c>
      <c r="B836" s="6">
        <v>43203228</v>
      </c>
      <c r="C836" t="str">
        <f>VLOOKUP(B836,[1]BD_FINAL!$A:$H,2,FALSE)</f>
        <v>Victoria Eugenia</v>
      </c>
      <c r="D836" t="str">
        <f>VLOOKUP(B836,[1]BD_FINAL!$A:$H,3,FALSE)</f>
        <v>Medellin</v>
      </c>
      <c r="E836" t="str">
        <f>VLOOKUP(B836,[1]BD_FINAL!$A:$H,8,FALSE)</f>
        <v>Tratamiento</v>
      </c>
      <c r="F836" s="2">
        <f t="shared" si="39"/>
        <v>1</v>
      </c>
      <c r="G836">
        <f t="shared" si="40"/>
        <v>1</v>
      </c>
      <c r="H836" s="3" t="s">
        <v>4789</v>
      </c>
      <c r="I836" s="6" t="str">
        <f t="shared" si="41"/>
        <v>01010835</v>
      </c>
    </row>
    <row r="837" spans="1:9" x14ac:dyDescent="0.3">
      <c r="A837">
        <v>836</v>
      </c>
      <c r="B837" s="6">
        <v>43205365</v>
      </c>
      <c r="C837" t="str">
        <f>VLOOKUP(B837,[1]BD_FINAL!$A:$H,2,FALSE)</f>
        <v>Alba Luz</v>
      </c>
      <c r="D837" t="str">
        <f>VLOOKUP(B837,[1]BD_FINAL!$A:$H,3,FALSE)</f>
        <v>Medellin</v>
      </c>
      <c r="E837" t="str">
        <f>VLOOKUP(B837,[1]BD_FINAL!$A:$H,8,FALSE)</f>
        <v>Control</v>
      </c>
      <c r="F837" s="2">
        <f t="shared" si="39"/>
        <v>0</v>
      </c>
      <c r="G837">
        <f t="shared" si="40"/>
        <v>1</v>
      </c>
      <c r="H837" s="3" t="s">
        <v>4790</v>
      </c>
      <c r="I837" s="6" t="str">
        <f t="shared" si="41"/>
        <v>00010836</v>
      </c>
    </row>
    <row r="838" spans="1:9" x14ac:dyDescent="0.3">
      <c r="A838">
        <v>837</v>
      </c>
      <c r="B838" s="6">
        <v>43221546</v>
      </c>
      <c r="C838" t="str">
        <f>VLOOKUP(B838,[1]BD_FINAL!$A:$H,2,FALSE)</f>
        <v>Luz Yadira</v>
      </c>
      <c r="D838" t="str">
        <f>VLOOKUP(B838,[1]BD_FINAL!$A:$H,3,FALSE)</f>
        <v>Medellin</v>
      </c>
      <c r="E838" t="str">
        <f>VLOOKUP(B838,[1]BD_FINAL!$A:$H,8,FALSE)</f>
        <v>Control</v>
      </c>
      <c r="F838" s="2">
        <f t="shared" si="39"/>
        <v>0</v>
      </c>
      <c r="G838">
        <f t="shared" si="40"/>
        <v>1</v>
      </c>
      <c r="H838" s="3" t="s">
        <v>4791</v>
      </c>
      <c r="I838" s="6" t="str">
        <f t="shared" si="41"/>
        <v>00010837</v>
      </c>
    </row>
    <row r="839" spans="1:9" x14ac:dyDescent="0.3">
      <c r="A839">
        <v>838</v>
      </c>
      <c r="B839" s="6">
        <v>43251278</v>
      </c>
      <c r="C839" t="str">
        <f>VLOOKUP(B839,[1]BD_FINAL!$A:$H,2,FALSE)</f>
        <v>Rosa Delfa</v>
      </c>
      <c r="D839" t="str">
        <f>VLOOKUP(B839,[1]BD_FINAL!$A:$H,3,FALSE)</f>
        <v>Medellin</v>
      </c>
      <c r="E839" t="str">
        <f>VLOOKUP(B839,[1]BD_FINAL!$A:$H,8,FALSE)</f>
        <v>Tratamiento</v>
      </c>
      <c r="F839" s="2">
        <f t="shared" si="39"/>
        <v>1</v>
      </c>
      <c r="G839">
        <f t="shared" si="40"/>
        <v>1</v>
      </c>
      <c r="H839" s="3" t="s">
        <v>4792</v>
      </c>
      <c r="I839" s="6" t="str">
        <f t="shared" si="41"/>
        <v>01010838</v>
      </c>
    </row>
    <row r="840" spans="1:9" x14ac:dyDescent="0.3">
      <c r="A840">
        <v>839</v>
      </c>
      <c r="B840" s="6">
        <v>43259030</v>
      </c>
      <c r="C840" t="str">
        <f>VLOOKUP(B840,[1]BD_FINAL!$A:$H,2,FALSE)</f>
        <v>María Noelia</v>
      </c>
      <c r="D840" t="str">
        <f>VLOOKUP(B840,[1]BD_FINAL!$A:$H,3,FALSE)</f>
        <v>Medellin</v>
      </c>
      <c r="E840" t="str">
        <f>VLOOKUP(B840,[1]BD_FINAL!$A:$H,8,FALSE)</f>
        <v>Tratamiento</v>
      </c>
      <c r="F840" s="2">
        <f t="shared" si="39"/>
        <v>1</v>
      </c>
      <c r="G840">
        <f t="shared" si="40"/>
        <v>1</v>
      </c>
      <c r="H840" s="3" t="s">
        <v>4793</v>
      </c>
      <c r="I840" s="6" t="str">
        <f t="shared" si="41"/>
        <v>01010839</v>
      </c>
    </row>
    <row r="841" spans="1:9" x14ac:dyDescent="0.3">
      <c r="A841">
        <v>840</v>
      </c>
      <c r="B841" s="6">
        <v>43262338</v>
      </c>
      <c r="C841" t="str">
        <f>VLOOKUP(B841,[1]BD_FINAL!$A:$H,2,FALSE)</f>
        <v xml:space="preserve">Amparo </v>
      </c>
      <c r="D841" t="str">
        <f>VLOOKUP(B841,[1]BD_FINAL!$A:$H,3,FALSE)</f>
        <v>Medellin</v>
      </c>
      <c r="E841" t="str">
        <f>VLOOKUP(B841,[1]BD_FINAL!$A:$H,8,FALSE)</f>
        <v>Control</v>
      </c>
      <c r="F841" s="2">
        <f t="shared" si="39"/>
        <v>0</v>
      </c>
      <c r="G841">
        <f t="shared" si="40"/>
        <v>1</v>
      </c>
      <c r="H841" s="3" t="s">
        <v>4794</v>
      </c>
      <c r="I841" s="6" t="str">
        <f t="shared" si="41"/>
        <v>00010840</v>
      </c>
    </row>
    <row r="842" spans="1:9" x14ac:dyDescent="0.3">
      <c r="A842">
        <v>841</v>
      </c>
      <c r="B842" s="6">
        <v>43265078</v>
      </c>
      <c r="C842" t="str">
        <f>VLOOKUP(B842,[1]BD_FINAL!$A:$H,2,FALSE)</f>
        <v>Marta Yaneth</v>
      </c>
      <c r="D842" t="str">
        <f>VLOOKUP(B842,[1]BD_FINAL!$A:$H,3,FALSE)</f>
        <v>Medellin</v>
      </c>
      <c r="E842" t="str">
        <f>VLOOKUP(B842,[1]BD_FINAL!$A:$H,8,FALSE)</f>
        <v>Control</v>
      </c>
      <c r="F842" s="2">
        <f t="shared" si="39"/>
        <v>0</v>
      </c>
      <c r="G842">
        <f t="shared" si="40"/>
        <v>1</v>
      </c>
      <c r="H842" s="3" t="s">
        <v>4795</v>
      </c>
      <c r="I842" s="6" t="str">
        <f t="shared" si="41"/>
        <v>00010841</v>
      </c>
    </row>
    <row r="843" spans="1:9" x14ac:dyDescent="0.3">
      <c r="A843">
        <v>842</v>
      </c>
      <c r="B843" s="6">
        <v>43268570</v>
      </c>
      <c r="C843" t="str">
        <f>VLOOKUP(B843,[1]BD_FINAL!$A:$H,2,FALSE)</f>
        <v>Viviana Edith</v>
      </c>
      <c r="D843" t="str">
        <f>VLOOKUP(B843,[1]BD_FINAL!$A:$H,3,FALSE)</f>
        <v>Medellin</v>
      </c>
      <c r="E843" t="str">
        <f>VLOOKUP(B843,[1]BD_FINAL!$A:$H,8,FALSE)</f>
        <v>Tratamiento</v>
      </c>
      <c r="F843" s="2">
        <f t="shared" si="39"/>
        <v>1</v>
      </c>
      <c r="G843">
        <f t="shared" si="40"/>
        <v>1</v>
      </c>
      <c r="H843" s="3" t="s">
        <v>4796</v>
      </c>
      <c r="I843" s="6" t="str">
        <f t="shared" si="41"/>
        <v>01010842</v>
      </c>
    </row>
    <row r="844" spans="1:9" x14ac:dyDescent="0.3">
      <c r="A844">
        <v>843</v>
      </c>
      <c r="B844" s="6">
        <v>43269156</v>
      </c>
      <c r="C844" t="str">
        <f>VLOOKUP(B844,[1]BD_FINAL!$A:$H,2,FALSE)</f>
        <v>Isabel</v>
      </c>
      <c r="D844" t="str">
        <f>VLOOKUP(B844,[1]BD_FINAL!$A:$H,3,FALSE)</f>
        <v>Medellin</v>
      </c>
      <c r="E844" t="str">
        <f>VLOOKUP(B844,[1]BD_FINAL!$A:$H,8,FALSE)</f>
        <v>Tratamiento</v>
      </c>
      <c r="F844" s="2">
        <f t="shared" si="39"/>
        <v>1</v>
      </c>
      <c r="G844">
        <f t="shared" si="40"/>
        <v>1</v>
      </c>
      <c r="H844" s="3" t="s">
        <v>4797</v>
      </c>
      <c r="I844" s="6" t="str">
        <f t="shared" si="41"/>
        <v>01010843</v>
      </c>
    </row>
    <row r="845" spans="1:9" x14ac:dyDescent="0.3">
      <c r="A845">
        <v>844</v>
      </c>
      <c r="B845" s="6">
        <v>43275340</v>
      </c>
      <c r="C845" t="str">
        <f>VLOOKUP(B845,[1]BD_FINAL!$A:$H,2,FALSE)</f>
        <v>María Nelly</v>
      </c>
      <c r="D845" t="str">
        <f>VLOOKUP(B845,[1]BD_FINAL!$A:$H,3,FALSE)</f>
        <v>Medellin</v>
      </c>
      <c r="E845" t="str">
        <f>VLOOKUP(B845,[1]BD_FINAL!$A:$H,8,FALSE)</f>
        <v>Tratamiento</v>
      </c>
      <c r="F845" s="2">
        <f t="shared" si="39"/>
        <v>1</v>
      </c>
      <c r="G845">
        <f t="shared" si="40"/>
        <v>1</v>
      </c>
      <c r="H845" s="3" t="s">
        <v>4798</v>
      </c>
      <c r="I845" s="6" t="str">
        <f t="shared" si="41"/>
        <v>01010844</v>
      </c>
    </row>
    <row r="846" spans="1:9" x14ac:dyDescent="0.3">
      <c r="A846">
        <v>845</v>
      </c>
      <c r="B846" s="6">
        <v>43279706</v>
      </c>
      <c r="C846" t="str">
        <f>VLOOKUP(B846,[1]BD_FINAL!$A:$H,2,FALSE)</f>
        <v>Astrid elena vallejo</v>
      </c>
      <c r="D846" t="str">
        <f>VLOOKUP(B846,[1]BD_FINAL!$A:$H,3,FALSE)</f>
        <v>Medellin</v>
      </c>
      <c r="E846" t="str">
        <f>VLOOKUP(B846,[1]BD_FINAL!$A:$H,8,FALSE)</f>
        <v>Tratamiento</v>
      </c>
      <c r="F846" s="2">
        <f t="shared" si="39"/>
        <v>1</v>
      </c>
      <c r="G846">
        <f t="shared" si="40"/>
        <v>1</v>
      </c>
      <c r="H846" s="3" t="s">
        <v>4799</v>
      </c>
      <c r="I846" s="6" t="str">
        <f t="shared" si="41"/>
        <v>01010845</v>
      </c>
    </row>
    <row r="847" spans="1:9" x14ac:dyDescent="0.3">
      <c r="A847">
        <v>846</v>
      </c>
      <c r="B847" s="6">
        <v>43285019</v>
      </c>
      <c r="C847" t="str">
        <f>VLOOKUP(B847,[1]BD_FINAL!$A:$H,2,FALSE)</f>
        <v>María Rosalba</v>
      </c>
      <c r="D847" t="str">
        <f>VLOOKUP(B847,[1]BD_FINAL!$A:$H,3,FALSE)</f>
        <v>Cali</v>
      </c>
      <c r="E847" t="str">
        <f>VLOOKUP(B847,[1]BD_FINAL!$A:$H,8,FALSE)</f>
        <v>Control</v>
      </c>
      <c r="F847" s="2">
        <f t="shared" si="39"/>
        <v>0</v>
      </c>
      <c r="G847">
        <f t="shared" si="40"/>
        <v>2</v>
      </c>
      <c r="H847" s="3" t="s">
        <v>4800</v>
      </c>
      <c r="I847" s="6" t="str">
        <f t="shared" si="41"/>
        <v>00020846</v>
      </c>
    </row>
    <row r="848" spans="1:9" x14ac:dyDescent="0.3">
      <c r="A848">
        <v>847</v>
      </c>
      <c r="B848" s="6">
        <v>43286202</v>
      </c>
      <c r="C848" t="str">
        <f>VLOOKUP(B848,[1]BD_FINAL!$A:$H,2,FALSE)</f>
        <v xml:space="preserve">Luzeida del Socorro </v>
      </c>
      <c r="D848" t="str">
        <f>VLOOKUP(B848,[1]BD_FINAL!$A:$H,3,FALSE)</f>
        <v>Medellin</v>
      </c>
      <c r="E848" t="str">
        <f>VLOOKUP(B848,[1]BD_FINAL!$A:$H,8,FALSE)</f>
        <v>Tratamiento</v>
      </c>
      <c r="F848" s="2">
        <f t="shared" si="39"/>
        <v>1</v>
      </c>
      <c r="G848">
        <f t="shared" si="40"/>
        <v>1</v>
      </c>
      <c r="H848" s="3" t="s">
        <v>4801</v>
      </c>
      <c r="I848" s="6" t="str">
        <f t="shared" si="41"/>
        <v>01010847</v>
      </c>
    </row>
    <row r="849" spans="1:9" x14ac:dyDescent="0.3">
      <c r="A849">
        <v>848</v>
      </c>
      <c r="B849" s="6">
        <v>43347982</v>
      </c>
      <c r="C849" t="str">
        <f>VLOOKUP(B849,[1]BD_FINAL!$A:$H,2,FALSE)</f>
        <v>Luz Dary</v>
      </c>
      <c r="D849" t="str">
        <f>VLOOKUP(B849,[1]BD_FINAL!$A:$H,3,FALSE)</f>
        <v>Medellin</v>
      </c>
      <c r="E849" t="str">
        <f>VLOOKUP(B849,[1]BD_FINAL!$A:$H,8,FALSE)</f>
        <v>Control</v>
      </c>
      <c r="F849" s="2">
        <f t="shared" si="39"/>
        <v>0</v>
      </c>
      <c r="G849">
        <f t="shared" si="40"/>
        <v>1</v>
      </c>
      <c r="H849" s="3" t="s">
        <v>4802</v>
      </c>
      <c r="I849" s="6" t="str">
        <f t="shared" si="41"/>
        <v>00010848</v>
      </c>
    </row>
    <row r="850" spans="1:9" x14ac:dyDescent="0.3">
      <c r="A850">
        <v>849</v>
      </c>
      <c r="B850" s="6">
        <v>4335238</v>
      </c>
      <c r="C850" t="str">
        <f>VLOOKUP(B850,[1]BD_FINAL!$A:$H,2,FALSE)</f>
        <v>Fabio de jesus</v>
      </c>
      <c r="D850" t="str">
        <f>VLOOKUP(B850,[1]BD_FINAL!$A:$H,3,FALSE)</f>
        <v>Cali</v>
      </c>
      <c r="E850" t="str">
        <f>VLOOKUP(B850,[1]BD_FINAL!$A:$H,8,FALSE)</f>
        <v>Tratamiento</v>
      </c>
      <c r="F850" s="2">
        <f t="shared" si="39"/>
        <v>1</v>
      </c>
      <c r="G850">
        <f t="shared" si="40"/>
        <v>2</v>
      </c>
      <c r="H850" s="3" t="s">
        <v>4803</v>
      </c>
      <c r="I850" s="6" t="str">
        <f t="shared" si="41"/>
        <v>01020849</v>
      </c>
    </row>
    <row r="851" spans="1:9" x14ac:dyDescent="0.3">
      <c r="A851">
        <v>850</v>
      </c>
      <c r="B851" s="6">
        <v>43380042</v>
      </c>
      <c r="C851" t="str">
        <f>VLOOKUP(B851,[1]BD_FINAL!$A:$H,2,FALSE)</f>
        <v xml:space="preserve">Graciela </v>
      </c>
      <c r="D851" t="str">
        <f>VLOOKUP(B851,[1]BD_FINAL!$A:$H,3,FALSE)</f>
        <v>Medellin</v>
      </c>
      <c r="E851" t="str">
        <f>VLOOKUP(B851,[1]BD_FINAL!$A:$H,8,FALSE)</f>
        <v>Tratamiento</v>
      </c>
      <c r="F851" s="2">
        <f t="shared" si="39"/>
        <v>1</v>
      </c>
      <c r="G851">
        <f t="shared" si="40"/>
        <v>1</v>
      </c>
      <c r="H851" s="3" t="s">
        <v>4804</v>
      </c>
      <c r="I851" s="6" t="str">
        <f t="shared" si="41"/>
        <v>01010850</v>
      </c>
    </row>
    <row r="852" spans="1:9" x14ac:dyDescent="0.3">
      <c r="A852">
        <v>851</v>
      </c>
      <c r="B852" s="6">
        <v>43380718</v>
      </c>
      <c r="C852" t="str">
        <f>VLOOKUP(B852,[1]BD_FINAL!$A:$H,2,FALSE)</f>
        <v>Maria Rosalba</v>
      </c>
      <c r="D852" t="str">
        <f>VLOOKUP(B852,[1]BD_FINAL!$A:$H,3,FALSE)</f>
        <v>Medellin</v>
      </c>
      <c r="E852" t="str">
        <f>VLOOKUP(B852,[1]BD_FINAL!$A:$H,8,FALSE)</f>
        <v>Tratamiento</v>
      </c>
      <c r="F852" s="2">
        <f t="shared" si="39"/>
        <v>1</v>
      </c>
      <c r="G852">
        <f t="shared" si="40"/>
        <v>1</v>
      </c>
      <c r="H852" s="3" t="s">
        <v>4805</v>
      </c>
      <c r="I852" s="6" t="str">
        <f t="shared" si="41"/>
        <v>01010851</v>
      </c>
    </row>
    <row r="853" spans="1:9" x14ac:dyDescent="0.3">
      <c r="A853">
        <v>852</v>
      </c>
      <c r="B853" s="6">
        <v>43381458</v>
      </c>
      <c r="C853" t="str">
        <f>VLOOKUP(B853,[1]BD_FINAL!$A:$H,2,FALSE)</f>
        <v>Miriam</v>
      </c>
      <c r="D853" t="str">
        <f>VLOOKUP(B853,[1]BD_FINAL!$A:$H,3,FALSE)</f>
        <v>Medellin</v>
      </c>
      <c r="E853" t="str">
        <f>VLOOKUP(B853,[1]BD_FINAL!$A:$H,8,FALSE)</f>
        <v>Tratamiento</v>
      </c>
      <c r="F853" s="2">
        <f t="shared" si="39"/>
        <v>1</v>
      </c>
      <c r="G853">
        <f t="shared" si="40"/>
        <v>1</v>
      </c>
      <c r="H853" s="3" t="s">
        <v>4806</v>
      </c>
      <c r="I853" s="6" t="str">
        <f t="shared" si="41"/>
        <v>01010852</v>
      </c>
    </row>
    <row r="854" spans="1:9" x14ac:dyDescent="0.3">
      <c r="A854">
        <v>853</v>
      </c>
      <c r="B854" s="6">
        <v>43381830</v>
      </c>
      <c r="C854" t="str">
        <f>VLOOKUP(B854,[1]BD_FINAL!$A:$H,2,FALSE)</f>
        <v>Luz dari</v>
      </c>
      <c r="D854" t="str">
        <f>VLOOKUP(B854,[1]BD_FINAL!$A:$H,3,FALSE)</f>
        <v>Medellin</v>
      </c>
      <c r="E854" t="str">
        <f>VLOOKUP(B854,[1]BD_FINAL!$A:$H,8,FALSE)</f>
        <v>Tratamiento</v>
      </c>
      <c r="F854" s="2">
        <f t="shared" si="39"/>
        <v>1</v>
      </c>
      <c r="G854">
        <f t="shared" si="40"/>
        <v>1</v>
      </c>
      <c r="H854" s="3" t="s">
        <v>4807</v>
      </c>
      <c r="I854" s="6" t="str">
        <f t="shared" si="41"/>
        <v>01010853</v>
      </c>
    </row>
    <row r="855" spans="1:9" x14ac:dyDescent="0.3">
      <c r="A855">
        <v>854</v>
      </c>
      <c r="B855" s="6">
        <v>43382433</v>
      </c>
      <c r="C855" t="str">
        <f>VLOOKUP(B855,[1]BD_FINAL!$A:$H,2,FALSE)</f>
        <v>Rocio Orozco Munoz</v>
      </c>
      <c r="D855" t="str">
        <f>VLOOKUP(B855,[1]BD_FINAL!$A:$H,3,FALSE)</f>
        <v>Medellin</v>
      </c>
      <c r="E855" t="str">
        <f>VLOOKUP(B855,[1]BD_FINAL!$A:$H,8,FALSE)</f>
        <v>Tratamiento</v>
      </c>
      <c r="F855" s="2">
        <f t="shared" si="39"/>
        <v>1</v>
      </c>
      <c r="G855">
        <f t="shared" si="40"/>
        <v>1</v>
      </c>
      <c r="H855" s="3" t="s">
        <v>4808</v>
      </c>
      <c r="I855" s="6" t="str">
        <f t="shared" si="41"/>
        <v>01010854</v>
      </c>
    </row>
    <row r="856" spans="1:9" x14ac:dyDescent="0.3">
      <c r="A856">
        <v>855</v>
      </c>
      <c r="B856" s="6">
        <v>43436157</v>
      </c>
      <c r="C856" t="str">
        <f>VLOOKUP(B856,[1]BD_FINAL!$A:$H,2,FALSE)</f>
        <v xml:space="preserve">Doralba </v>
      </c>
      <c r="D856" t="str">
        <f>VLOOKUP(B856,[1]BD_FINAL!$A:$H,3,FALSE)</f>
        <v>Medellin</v>
      </c>
      <c r="E856" t="str">
        <f>VLOOKUP(B856,[1]BD_FINAL!$A:$H,8,FALSE)</f>
        <v>Control</v>
      </c>
      <c r="F856" s="2">
        <f t="shared" si="39"/>
        <v>0</v>
      </c>
      <c r="G856">
        <f t="shared" si="40"/>
        <v>1</v>
      </c>
      <c r="H856" s="3" t="s">
        <v>4809</v>
      </c>
      <c r="I856" s="6" t="str">
        <f t="shared" si="41"/>
        <v>00010855</v>
      </c>
    </row>
    <row r="857" spans="1:9" x14ac:dyDescent="0.3">
      <c r="A857">
        <v>856</v>
      </c>
      <c r="B857" s="6">
        <v>43441449</v>
      </c>
      <c r="C857" t="str">
        <f>VLOOKUP(B857,[1]BD_FINAL!$A:$H,2,FALSE)</f>
        <v>Luz Mirian Del Socorro Mesa Tamayo</v>
      </c>
      <c r="D857" t="str">
        <f>VLOOKUP(B857,[1]BD_FINAL!$A:$H,3,FALSE)</f>
        <v>Medellin</v>
      </c>
      <c r="E857" t="str">
        <f>VLOOKUP(B857,[1]BD_FINAL!$A:$H,8,FALSE)</f>
        <v>Tratamiento</v>
      </c>
      <c r="F857" s="2">
        <f t="shared" si="39"/>
        <v>1</v>
      </c>
      <c r="G857">
        <f t="shared" si="40"/>
        <v>1</v>
      </c>
      <c r="H857" s="3" t="s">
        <v>4810</v>
      </c>
      <c r="I857" s="6" t="str">
        <f t="shared" si="41"/>
        <v>01010856</v>
      </c>
    </row>
    <row r="858" spans="1:9" x14ac:dyDescent="0.3">
      <c r="A858">
        <v>857</v>
      </c>
      <c r="B858" s="6">
        <v>43447606</v>
      </c>
      <c r="C858" t="str">
        <f>VLOOKUP(B858,[1]BD_FINAL!$A:$H,2,FALSE)</f>
        <v>Miriam de Jesús</v>
      </c>
      <c r="D858" t="str">
        <f>VLOOKUP(B858,[1]BD_FINAL!$A:$H,3,FALSE)</f>
        <v>Medellin</v>
      </c>
      <c r="E858" t="str">
        <f>VLOOKUP(B858,[1]BD_FINAL!$A:$H,8,FALSE)</f>
        <v>Control</v>
      </c>
      <c r="F858" s="2">
        <f t="shared" si="39"/>
        <v>0</v>
      </c>
      <c r="G858">
        <f t="shared" si="40"/>
        <v>1</v>
      </c>
      <c r="H858" s="3" t="s">
        <v>4811</v>
      </c>
      <c r="I858" s="6" t="str">
        <f t="shared" si="41"/>
        <v>00010857</v>
      </c>
    </row>
    <row r="859" spans="1:9" x14ac:dyDescent="0.3">
      <c r="A859">
        <v>858</v>
      </c>
      <c r="B859" s="6">
        <v>43455918</v>
      </c>
      <c r="C859" t="str">
        <f>VLOOKUP(B859,[1]BD_FINAL!$A:$H,2,FALSE)</f>
        <v>Maria oneida</v>
      </c>
      <c r="D859" t="str">
        <f>VLOOKUP(B859,[1]BD_FINAL!$A:$H,3,FALSE)</f>
        <v>Medellin</v>
      </c>
      <c r="E859" t="str">
        <f>VLOOKUP(B859,[1]BD_FINAL!$A:$H,8,FALSE)</f>
        <v>Control</v>
      </c>
      <c r="F859" s="2">
        <f t="shared" si="39"/>
        <v>0</v>
      </c>
      <c r="G859">
        <f t="shared" si="40"/>
        <v>1</v>
      </c>
      <c r="H859" s="3" t="s">
        <v>4812</v>
      </c>
      <c r="I859" s="6" t="str">
        <f t="shared" si="41"/>
        <v>00010858</v>
      </c>
    </row>
    <row r="860" spans="1:9" x14ac:dyDescent="0.3">
      <c r="A860">
        <v>859</v>
      </c>
      <c r="B860" s="6">
        <v>43485410</v>
      </c>
      <c r="C860" t="str">
        <f>VLOOKUP(B860,[1]BD_FINAL!$A:$H,2,FALSE)</f>
        <v>Ester Marina</v>
      </c>
      <c r="D860" t="str">
        <f>VLOOKUP(B860,[1]BD_FINAL!$A:$H,3,FALSE)</f>
        <v>Medellin</v>
      </c>
      <c r="E860" t="str">
        <f>VLOOKUP(B860,[1]BD_FINAL!$A:$H,8,FALSE)</f>
        <v>Tratamiento</v>
      </c>
      <c r="F860" s="2">
        <f t="shared" si="39"/>
        <v>1</v>
      </c>
      <c r="G860">
        <f t="shared" si="40"/>
        <v>1</v>
      </c>
      <c r="H860" s="3" t="s">
        <v>4813</v>
      </c>
      <c r="I860" s="6" t="str">
        <f t="shared" si="41"/>
        <v>01010859</v>
      </c>
    </row>
    <row r="861" spans="1:9" x14ac:dyDescent="0.3">
      <c r="A861">
        <v>860</v>
      </c>
      <c r="B861" s="6">
        <v>43489779</v>
      </c>
      <c r="C861" t="str">
        <f>VLOOKUP(B861,[1]BD_FINAL!$A:$H,2,FALSE)</f>
        <v>Isabel</v>
      </c>
      <c r="D861" t="str">
        <f>VLOOKUP(B861,[1]BD_FINAL!$A:$H,3,FALSE)</f>
        <v>Medellin</v>
      </c>
      <c r="E861" t="str">
        <f>VLOOKUP(B861,[1]BD_FINAL!$A:$H,8,FALSE)</f>
        <v>Tratamiento</v>
      </c>
      <c r="F861" s="2">
        <f t="shared" si="39"/>
        <v>1</v>
      </c>
      <c r="G861">
        <f t="shared" si="40"/>
        <v>1</v>
      </c>
      <c r="H861" s="3" t="s">
        <v>4814</v>
      </c>
      <c r="I861" s="6" t="str">
        <f t="shared" si="41"/>
        <v>01010860</v>
      </c>
    </row>
    <row r="862" spans="1:9" x14ac:dyDescent="0.3">
      <c r="A862">
        <v>861</v>
      </c>
      <c r="B862" s="6">
        <v>43500072</v>
      </c>
      <c r="C862" t="str">
        <f>VLOOKUP(B862,[1]BD_FINAL!$A:$H,2,FALSE)</f>
        <v>Carmen Rosa</v>
      </c>
      <c r="D862" t="str">
        <f>VLOOKUP(B862,[1]BD_FINAL!$A:$H,3,FALSE)</f>
        <v>Medellin</v>
      </c>
      <c r="E862" t="str">
        <f>VLOOKUP(B862,[1]BD_FINAL!$A:$H,8,FALSE)</f>
        <v>Control</v>
      </c>
      <c r="F862" s="2">
        <f t="shared" si="39"/>
        <v>0</v>
      </c>
      <c r="G862">
        <f t="shared" si="40"/>
        <v>1</v>
      </c>
      <c r="H862" s="3" t="s">
        <v>4815</v>
      </c>
      <c r="I862" s="6" t="str">
        <f t="shared" si="41"/>
        <v>00010861</v>
      </c>
    </row>
    <row r="863" spans="1:9" x14ac:dyDescent="0.3">
      <c r="A863">
        <v>862</v>
      </c>
      <c r="B863" s="6">
        <v>43510710</v>
      </c>
      <c r="C863" t="str">
        <f>VLOOKUP(B863,[1]BD_FINAL!$A:$H,2,FALSE)</f>
        <v xml:space="preserve">Ligia Amparo </v>
      </c>
      <c r="D863" t="str">
        <f>VLOOKUP(B863,[1]BD_FINAL!$A:$H,3,FALSE)</f>
        <v>Medellin</v>
      </c>
      <c r="E863" t="str">
        <f>VLOOKUP(B863,[1]BD_FINAL!$A:$H,8,FALSE)</f>
        <v>Control</v>
      </c>
      <c r="F863" s="2">
        <f t="shared" si="39"/>
        <v>0</v>
      </c>
      <c r="G863">
        <f t="shared" si="40"/>
        <v>1</v>
      </c>
      <c r="H863" s="3" t="s">
        <v>4816</v>
      </c>
      <c r="I863" s="6" t="str">
        <f t="shared" si="41"/>
        <v>00010862</v>
      </c>
    </row>
    <row r="864" spans="1:9" x14ac:dyDescent="0.3">
      <c r="A864">
        <v>863</v>
      </c>
      <c r="B864" s="6">
        <v>43516112</v>
      </c>
      <c r="C864" t="str">
        <f>VLOOKUP(B864,[1]BD_FINAL!$A:$H,2,FALSE)</f>
        <v>María Rocio</v>
      </c>
      <c r="D864" t="str">
        <f>VLOOKUP(B864,[1]BD_FINAL!$A:$H,3,FALSE)</f>
        <v>Medellin</v>
      </c>
      <c r="E864" t="str">
        <f>VLOOKUP(B864,[1]BD_FINAL!$A:$H,8,FALSE)</f>
        <v>Control</v>
      </c>
      <c r="F864" s="2">
        <f t="shared" si="39"/>
        <v>0</v>
      </c>
      <c r="G864">
        <f t="shared" si="40"/>
        <v>1</v>
      </c>
      <c r="H864" s="3" t="s">
        <v>4817</v>
      </c>
      <c r="I864" s="6" t="str">
        <f t="shared" si="41"/>
        <v>00010863</v>
      </c>
    </row>
    <row r="865" spans="1:9" x14ac:dyDescent="0.3">
      <c r="A865">
        <v>864</v>
      </c>
      <c r="B865" s="6">
        <v>43524391</v>
      </c>
      <c r="C865" t="str">
        <f>VLOOKUP(B865,[1]BD_FINAL!$A:$H,2,FALSE)</f>
        <v xml:space="preserve">Aracela </v>
      </c>
      <c r="D865" t="str">
        <f>VLOOKUP(B865,[1]BD_FINAL!$A:$H,3,FALSE)</f>
        <v>Medellin</v>
      </c>
      <c r="E865" t="str">
        <f>VLOOKUP(B865,[1]BD_FINAL!$A:$H,8,FALSE)</f>
        <v>Control</v>
      </c>
      <c r="F865" s="2">
        <f t="shared" si="39"/>
        <v>0</v>
      </c>
      <c r="G865">
        <f t="shared" si="40"/>
        <v>1</v>
      </c>
      <c r="H865" s="3" t="s">
        <v>4818</v>
      </c>
      <c r="I865" s="6" t="str">
        <f t="shared" si="41"/>
        <v>00010864</v>
      </c>
    </row>
    <row r="866" spans="1:9" x14ac:dyDescent="0.3">
      <c r="A866">
        <v>865</v>
      </c>
      <c r="B866" s="6">
        <v>43533488</v>
      </c>
      <c r="C866" t="str">
        <f>VLOOKUP(B866,[1]BD_FINAL!$A:$H,2,FALSE)</f>
        <v>María nubia</v>
      </c>
      <c r="D866" t="str">
        <f>VLOOKUP(B866,[1]BD_FINAL!$A:$H,3,FALSE)</f>
        <v>Medellin</v>
      </c>
      <c r="E866" t="str">
        <f>VLOOKUP(B866,[1]BD_FINAL!$A:$H,8,FALSE)</f>
        <v>Tratamiento</v>
      </c>
      <c r="F866" s="2">
        <f t="shared" si="39"/>
        <v>1</v>
      </c>
      <c r="G866">
        <f t="shared" si="40"/>
        <v>1</v>
      </c>
      <c r="H866" s="3" t="s">
        <v>4819</v>
      </c>
      <c r="I866" s="6" t="str">
        <f t="shared" si="41"/>
        <v>01010865</v>
      </c>
    </row>
    <row r="867" spans="1:9" x14ac:dyDescent="0.3">
      <c r="A867">
        <v>866</v>
      </c>
      <c r="B867" s="6">
        <v>43533978</v>
      </c>
      <c r="C867" t="str">
        <f>VLOOKUP(B867,[1]BD_FINAL!$A:$H,2,FALSE)</f>
        <v xml:space="preserve">Luz Adiela </v>
      </c>
      <c r="D867" t="str">
        <f>VLOOKUP(B867,[1]BD_FINAL!$A:$H,3,FALSE)</f>
        <v>Medellin</v>
      </c>
      <c r="E867" t="str">
        <f>VLOOKUP(B867,[1]BD_FINAL!$A:$H,8,FALSE)</f>
        <v>Control</v>
      </c>
      <c r="F867" s="2">
        <f t="shared" si="39"/>
        <v>0</v>
      </c>
      <c r="G867">
        <f t="shared" si="40"/>
        <v>1</v>
      </c>
      <c r="H867" s="3" t="s">
        <v>4820</v>
      </c>
      <c r="I867" s="6" t="str">
        <f t="shared" si="41"/>
        <v>00010866</v>
      </c>
    </row>
    <row r="868" spans="1:9" x14ac:dyDescent="0.3">
      <c r="A868">
        <v>867</v>
      </c>
      <c r="B868" s="6">
        <v>43534027</v>
      </c>
      <c r="C868" t="str">
        <f>VLOOKUP(B868,[1]BD_FINAL!$A:$H,2,FALSE)</f>
        <v>María Sirley</v>
      </c>
      <c r="D868" t="str">
        <f>VLOOKUP(B868,[1]BD_FINAL!$A:$H,3,FALSE)</f>
        <v>Medellin</v>
      </c>
      <c r="E868" t="str">
        <f>VLOOKUP(B868,[1]BD_FINAL!$A:$H,8,FALSE)</f>
        <v>Control</v>
      </c>
      <c r="F868" s="2">
        <f t="shared" si="39"/>
        <v>0</v>
      </c>
      <c r="G868">
        <f t="shared" si="40"/>
        <v>1</v>
      </c>
      <c r="H868" s="3" t="s">
        <v>4821</v>
      </c>
      <c r="I868" s="6" t="str">
        <f t="shared" si="41"/>
        <v>00010867</v>
      </c>
    </row>
    <row r="869" spans="1:9" x14ac:dyDescent="0.3">
      <c r="A869">
        <v>868</v>
      </c>
      <c r="B869" s="6">
        <v>43534342</v>
      </c>
      <c r="C869" t="str">
        <f>VLOOKUP(B869,[1]BD_FINAL!$A:$H,2,FALSE)</f>
        <v>María Lucelly</v>
      </c>
      <c r="D869" t="str">
        <f>VLOOKUP(B869,[1]BD_FINAL!$A:$H,3,FALSE)</f>
        <v>Medellin</v>
      </c>
      <c r="E869" t="str">
        <f>VLOOKUP(B869,[1]BD_FINAL!$A:$H,8,FALSE)</f>
        <v>Control</v>
      </c>
      <c r="F869" s="2">
        <f t="shared" si="39"/>
        <v>0</v>
      </c>
      <c r="G869">
        <f t="shared" si="40"/>
        <v>1</v>
      </c>
      <c r="H869" s="3" t="s">
        <v>4822</v>
      </c>
      <c r="I869" s="6" t="str">
        <f t="shared" si="41"/>
        <v>00010868</v>
      </c>
    </row>
    <row r="870" spans="1:9" x14ac:dyDescent="0.3">
      <c r="A870">
        <v>869</v>
      </c>
      <c r="B870" s="6">
        <v>43535348</v>
      </c>
      <c r="C870" t="str">
        <f>VLOOKUP(B870,[1]BD_FINAL!$A:$H,2,FALSE)</f>
        <v>Monica María</v>
      </c>
      <c r="D870" t="str">
        <f>VLOOKUP(B870,[1]BD_FINAL!$A:$H,3,FALSE)</f>
        <v>Medellin</v>
      </c>
      <c r="E870" t="str">
        <f>VLOOKUP(B870,[1]BD_FINAL!$A:$H,8,FALSE)</f>
        <v>Tratamiento</v>
      </c>
      <c r="F870" s="2">
        <f t="shared" si="39"/>
        <v>1</v>
      </c>
      <c r="G870">
        <f t="shared" si="40"/>
        <v>1</v>
      </c>
      <c r="H870" s="3" t="s">
        <v>4823</v>
      </c>
      <c r="I870" s="6" t="str">
        <f t="shared" si="41"/>
        <v>01010869</v>
      </c>
    </row>
    <row r="871" spans="1:9" x14ac:dyDescent="0.3">
      <c r="A871">
        <v>870</v>
      </c>
      <c r="B871" s="6">
        <v>43536319</v>
      </c>
      <c r="C871" t="str">
        <f>VLOOKUP(B871,[1]BD_FINAL!$A:$H,2,FALSE)</f>
        <v>Jose Domingo</v>
      </c>
      <c r="D871" t="str">
        <f>VLOOKUP(B871,[1]BD_FINAL!$A:$H,3,FALSE)</f>
        <v>Medellin</v>
      </c>
      <c r="E871" t="str">
        <f>VLOOKUP(B871,[1]BD_FINAL!$A:$H,8,FALSE)</f>
        <v>Control</v>
      </c>
      <c r="F871" s="2">
        <f t="shared" si="39"/>
        <v>0</v>
      </c>
      <c r="G871">
        <f t="shared" si="40"/>
        <v>1</v>
      </c>
      <c r="H871" s="3" t="s">
        <v>4824</v>
      </c>
      <c r="I871" s="6" t="str">
        <f t="shared" si="41"/>
        <v>00010870</v>
      </c>
    </row>
    <row r="872" spans="1:9" x14ac:dyDescent="0.3">
      <c r="A872">
        <v>871</v>
      </c>
      <c r="B872" s="6">
        <v>43536648</v>
      </c>
      <c r="C872" t="str">
        <f>VLOOKUP(B872,[1]BD_FINAL!$A:$H,2,FALSE)</f>
        <v xml:space="preserve">Dora María </v>
      </c>
      <c r="D872" t="str">
        <f>VLOOKUP(B872,[1]BD_FINAL!$A:$H,3,FALSE)</f>
        <v>Medellin</v>
      </c>
      <c r="E872" t="str">
        <f>VLOOKUP(B872,[1]BD_FINAL!$A:$H,8,FALSE)</f>
        <v>Control</v>
      </c>
      <c r="F872" s="2">
        <f t="shared" si="39"/>
        <v>0</v>
      </c>
      <c r="G872">
        <f t="shared" si="40"/>
        <v>1</v>
      </c>
      <c r="H872" s="3" t="s">
        <v>4825</v>
      </c>
      <c r="I872" s="6" t="str">
        <f t="shared" si="41"/>
        <v>00010871</v>
      </c>
    </row>
    <row r="873" spans="1:9" x14ac:dyDescent="0.3">
      <c r="A873">
        <v>872</v>
      </c>
      <c r="B873" s="6">
        <v>43542284</v>
      </c>
      <c r="C873" t="str">
        <f>VLOOKUP(B873,[1]BD_FINAL!$A:$H,2,FALSE)</f>
        <v>Alba Inés</v>
      </c>
      <c r="D873" t="str">
        <f>VLOOKUP(B873,[1]BD_FINAL!$A:$H,3,FALSE)</f>
        <v>Medellin</v>
      </c>
      <c r="E873" t="str">
        <f>VLOOKUP(B873,[1]BD_FINAL!$A:$H,8,FALSE)</f>
        <v>Tratamiento</v>
      </c>
      <c r="F873" s="2">
        <f t="shared" si="39"/>
        <v>1</v>
      </c>
      <c r="G873">
        <f t="shared" si="40"/>
        <v>1</v>
      </c>
      <c r="H873" s="3" t="s">
        <v>4826</v>
      </c>
      <c r="I873" s="6" t="str">
        <f t="shared" si="41"/>
        <v>01010872</v>
      </c>
    </row>
    <row r="874" spans="1:9" x14ac:dyDescent="0.3">
      <c r="A874">
        <v>873</v>
      </c>
      <c r="B874" s="6">
        <v>43558865</v>
      </c>
      <c r="C874" t="str">
        <f>VLOOKUP(B874,[1]BD_FINAL!$A:$H,2,FALSE)</f>
        <v>Adriána maria</v>
      </c>
      <c r="D874" t="str">
        <f>VLOOKUP(B874,[1]BD_FINAL!$A:$H,3,FALSE)</f>
        <v>Medellin</v>
      </c>
      <c r="E874" t="str">
        <f>VLOOKUP(B874,[1]BD_FINAL!$A:$H,8,FALSE)</f>
        <v>Control</v>
      </c>
      <c r="F874" s="2">
        <f t="shared" si="39"/>
        <v>0</v>
      </c>
      <c r="G874">
        <f t="shared" si="40"/>
        <v>1</v>
      </c>
      <c r="H874" s="3" t="s">
        <v>4827</v>
      </c>
      <c r="I874" s="6" t="str">
        <f t="shared" si="41"/>
        <v>00010873</v>
      </c>
    </row>
    <row r="875" spans="1:9" x14ac:dyDescent="0.3">
      <c r="A875">
        <v>874</v>
      </c>
      <c r="B875" s="6">
        <v>43558878</v>
      </c>
      <c r="C875" t="str">
        <f>VLOOKUP(B875,[1]BD_FINAL!$A:$H,2,FALSE)</f>
        <v>María Dioselina</v>
      </c>
      <c r="D875" t="str">
        <f>VLOOKUP(B875,[1]BD_FINAL!$A:$H,3,FALSE)</f>
        <v>Medellin</v>
      </c>
      <c r="E875" t="str">
        <f>VLOOKUP(B875,[1]BD_FINAL!$A:$H,8,FALSE)</f>
        <v>Control</v>
      </c>
      <c r="F875" s="2">
        <f t="shared" si="39"/>
        <v>0</v>
      </c>
      <c r="G875">
        <f t="shared" si="40"/>
        <v>1</v>
      </c>
      <c r="H875" s="3" t="s">
        <v>4828</v>
      </c>
      <c r="I875" s="6" t="str">
        <f t="shared" si="41"/>
        <v>00010874</v>
      </c>
    </row>
    <row r="876" spans="1:9" x14ac:dyDescent="0.3">
      <c r="A876">
        <v>875</v>
      </c>
      <c r="B876" s="6">
        <v>43563684</v>
      </c>
      <c r="C876" t="str">
        <f>VLOOKUP(B876,[1]BD_FINAL!$A:$H,2,FALSE)</f>
        <v>Maria rosmira</v>
      </c>
      <c r="D876" t="str">
        <f>VLOOKUP(B876,[1]BD_FINAL!$A:$H,3,FALSE)</f>
        <v>Medellin</v>
      </c>
      <c r="E876" t="str">
        <f>VLOOKUP(B876,[1]BD_FINAL!$A:$H,8,FALSE)</f>
        <v>Control</v>
      </c>
      <c r="F876" s="2">
        <f t="shared" si="39"/>
        <v>0</v>
      </c>
      <c r="G876">
        <f t="shared" si="40"/>
        <v>1</v>
      </c>
      <c r="H876" s="3" t="s">
        <v>4829</v>
      </c>
      <c r="I876" s="6" t="str">
        <f t="shared" si="41"/>
        <v>00010875</v>
      </c>
    </row>
    <row r="877" spans="1:9" x14ac:dyDescent="0.3">
      <c r="A877">
        <v>876</v>
      </c>
      <c r="B877" s="6">
        <v>43565062</v>
      </c>
      <c r="C877" t="str">
        <f>VLOOKUP(B877,[1]BD_FINAL!$A:$H,2,FALSE)</f>
        <v>Ever de Jesús</v>
      </c>
      <c r="D877" t="str">
        <f>VLOOKUP(B877,[1]BD_FINAL!$A:$H,3,FALSE)</f>
        <v>Medellin</v>
      </c>
      <c r="E877" t="str">
        <f>VLOOKUP(B877,[1]BD_FINAL!$A:$H,8,FALSE)</f>
        <v>Control</v>
      </c>
      <c r="F877" s="2">
        <f t="shared" si="39"/>
        <v>0</v>
      </c>
      <c r="G877">
        <f t="shared" si="40"/>
        <v>1</v>
      </c>
      <c r="H877" s="3" t="s">
        <v>4830</v>
      </c>
      <c r="I877" s="6" t="str">
        <f t="shared" si="41"/>
        <v>00010876</v>
      </c>
    </row>
    <row r="878" spans="1:9" x14ac:dyDescent="0.3">
      <c r="A878">
        <v>877</v>
      </c>
      <c r="B878" s="6">
        <v>43565594</v>
      </c>
      <c r="C878" t="str">
        <f>VLOOKUP(B878,[1]BD_FINAL!$A:$H,2,FALSE)</f>
        <v>Claudia Patricia</v>
      </c>
      <c r="D878" t="str">
        <f>VLOOKUP(B878,[1]BD_FINAL!$A:$H,3,FALSE)</f>
        <v>Medellin</v>
      </c>
      <c r="E878" t="str">
        <f>VLOOKUP(B878,[1]BD_FINAL!$A:$H,8,FALSE)</f>
        <v>Control</v>
      </c>
      <c r="F878" s="2">
        <f t="shared" si="39"/>
        <v>0</v>
      </c>
      <c r="G878">
        <f t="shared" si="40"/>
        <v>1</v>
      </c>
      <c r="H878" s="3" t="s">
        <v>4831</v>
      </c>
      <c r="I878" s="6" t="str">
        <f t="shared" si="41"/>
        <v>00010877</v>
      </c>
    </row>
    <row r="879" spans="1:9" x14ac:dyDescent="0.3">
      <c r="A879">
        <v>878</v>
      </c>
      <c r="B879" s="6">
        <v>43566435</v>
      </c>
      <c r="C879" t="str">
        <f>VLOOKUP(B879,[1]BD_FINAL!$A:$H,2,FALSE)</f>
        <v xml:space="preserve">Gildardo Antonio </v>
      </c>
      <c r="D879" t="str">
        <f>VLOOKUP(B879,[1]BD_FINAL!$A:$H,3,FALSE)</f>
        <v>Medellin</v>
      </c>
      <c r="E879" t="str">
        <f>VLOOKUP(B879,[1]BD_FINAL!$A:$H,8,FALSE)</f>
        <v>Tratamiento</v>
      </c>
      <c r="F879" s="2">
        <f t="shared" si="39"/>
        <v>1</v>
      </c>
      <c r="G879">
        <f t="shared" si="40"/>
        <v>1</v>
      </c>
      <c r="H879" s="3" t="s">
        <v>4832</v>
      </c>
      <c r="I879" s="6" t="str">
        <f t="shared" si="41"/>
        <v>01010878</v>
      </c>
    </row>
    <row r="880" spans="1:9" x14ac:dyDescent="0.3">
      <c r="A880">
        <v>879</v>
      </c>
      <c r="B880" s="6">
        <v>43567075</v>
      </c>
      <c r="C880" t="str">
        <f>VLOOKUP(B880,[1]BD_FINAL!$A:$H,2,FALSE)</f>
        <v>Etergiria del Socorro</v>
      </c>
      <c r="D880" t="str">
        <f>VLOOKUP(B880,[1]BD_FINAL!$A:$H,3,FALSE)</f>
        <v>Medellin</v>
      </c>
      <c r="E880" t="str">
        <f>VLOOKUP(B880,[1]BD_FINAL!$A:$H,8,FALSE)</f>
        <v>Tratamiento</v>
      </c>
      <c r="F880" s="2">
        <f t="shared" si="39"/>
        <v>1</v>
      </c>
      <c r="G880">
        <f t="shared" si="40"/>
        <v>1</v>
      </c>
      <c r="H880" s="3" t="s">
        <v>4833</v>
      </c>
      <c r="I880" s="6" t="str">
        <f t="shared" si="41"/>
        <v>01010879</v>
      </c>
    </row>
    <row r="881" spans="1:9" x14ac:dyDescent="0.3">
      <c r="A881">
        <v>880</v>
      </c>
      <c r="B881" s="6">
        <v>43570005</v>
      </c>
      <c r="C881" t="str">
        <f>VLOOKUP(B881,[1]BD_FINAL!$A:$H,2,FALSE)</f>
        <v>María del rosario</v>
      </c>
      <c r="D881" t="str">
        <f>VLOOKUP(B881,[1]BD_FINAL!$A:$H,3,FALSE)</f>
        <v>Medellin</v>
      </c>
      <c r="E881" t="str">
        <f>VLOOKUP(B881,[1]BD_FINAL!$A:$H,8,FALSE)</f>
        <v>Tratamiento</v>
      </c>
      <c r="F881" s="2">
        <f t="shared" si="39"/>
        <v>1</v>
      </c>
      <c r="G881">
        <f t="shared" si="40"/>
        <v>1</v>
      </c>
      <c r="H881" s="3" t="s">
        <v>4834</v>
      </c>
      <c r="I881" s="6" t="str">
        <f t="shared" si="41"/>
        <v>01010880</v>
      </c>
    </row>
    <row r="882" spans="1:9" x14ac:dyDescent="0.3">
      <c r="A882">
        <v>881</v>
      </c>
      <c r="B882" s="6">
        <v>43582831</v>
      </c>
      <c r="C882" t="str">
        <f>VLOOKUP(B882,[1]BD_FINAL!$A:$H,2,FALSE)</f>
        <v>Luz ella</v>
      </c>
      <c r="D882" t="str">
        <f>VLOOKUP(B882,[1]BD_FINAL!$A:$H,3,FALSE)</f>
        <v>Medellin</v>
      </c>
      <c r="E882" t="str">
        <f>VLOOKUP(B882,[1]BD_FINAL!$A:$H,8,FALSE)</f>
        <v>Tratamiento</v>
      </c>
      <c r="F882" s="2">
        <f t="shared" si="39"/>
        <v>1</v>
      </c>
      <c r="G882">
        <f t="shared" si="40"/>
        <v>1</v>
      </c>
      <c r="H882" s="3" t="s">
        <v>4835</v>
      </c>
      <c r="I882" s="6" t="str">
        <f t="shared" si="41"/>
        <v>01010881</v>
      </c>
    </row>
    <row r="883" spans="1:9" x14ac:dyDescent="0.3">
      <c r="A883">
        <v>882</v>
      </c>
      <c r="B883" s="6">
        <v>43589509</v>
      </c>
      <c r="C883" t="str">
        <f>VLOOKUP(B883,[1]BD_FINAL!$A:$H,2,FALSE)</f>
        <v xml:space="preserve">Luz Emilse </v>
      </c>
      <c r="D883" t="str">
        <f>VLOOKUP(B883,[1]BD_FINAL!$A:$H,3,FALSE)</f>
        <v>Medellin</v>
      </c>
      <c r="E883" t="str">
        <f>VLOOKUP(B883,[1]BD_FINAL!$A:$H,8,FALSE)</f>
        <v>Control</v>
      </c>
      <c r="F883" s="2">
        <f t="shared" si="39"/>
        <v>0</v>
      </c>
      <c r="G883">
        <f t="shared" si="40"/>
        <v>1</v>
      </c>
      <c r="H883" s="3" t="s">
        <v>4836</v>
      </c>
      <c r="I883" s="6" t="str">
        <f t="shared" si="41"/>
        <v>00010882</v>
      </c>
    </row>
    <row r="884" spans="1:9" x14ac:dyDescent="0.3">
      <c r="A884">
        <v>883</v>
      </c>
      <c r="B884" s="6">
        <v>43590647</v>
      </c>
      <c r="C884" t="str">
        <f>VLOOKUP(B884,[1]BD_FINAL!$A:$H,2,FALSE)</f>
        <v>Juan ramon</v>
      </c>
      <c r="D884" t="str">
        <f>VLOOKUP(B884,[1]BD_FINAL!$A:$H,3,FALSE)</f>
        <v>Medellin</v>
      </c>
      <c r="E884" t="str">
        <f>VLOOKUP(B884,[1]BD_FINAL!$A:$H,8,FALSE)</f>
        <v>Control</v>
      </c>
      <c r="F884" s="2">
        <f t="shared" si="39"/>
        <v>0</v>
      </c>
      <c r="G884">
        <f t="shared" si="40"/>
        <v>1</v>
      </c>
      <c r="H884" s="3" t="s">
        <v>4837</v>
      </c>
      <c r="I884" s="6" t="str">
        <f t="shared" si="41"/>
        <v>00010883</v>
      </c>
    </row>
    <row r="885" spans="1:9" x14ac:dyDescent="0.3">
      <c r="A885">
        <v>884</v>
      </c>
      <c r="B885" s="6">
        <v>43594778</v>
      </c>
      <c r="C885" t="str">
        <f>VLOOKUP(B885,[1]BD_FINAL!$A:$H,2,FALSE)</f>
        <v>Luz Marina buitrago</v>
      </c>
      <c r="D885" t="str">
        <f>VLOOKUP(B885,[1]BD_FINAL!$A:$H,3,FALSE)</f>
        <v>Medellin</v>
      </c>
      <c r="E885" t="str">
        <f>VLOOKUP(B885,[1]BD_FINAL!$A:$H,8,FALSE)</f>
        <v>Tratamiento</v>
      </c>
      <c r="F885" s="2">
        <f t="shared" si="39"/>
        <v>1</v>
      </c>
      <c r="G885">
        <f t="shared" si="40"/>
        <v>1</v>
      </c>
      <c r="H885" s="3" t="s">
        <v>4838</v>
      </c>
      <c r="I885" s="6" t="str">
        <f t="shared" si="41"/>
        <v>01010884</v>
      </c>
    </row>
    <row r="886" spans="1:9" x14ac:dyDescent="0.3">
      <c r="A886">
        <v>885</v>
      </c>
      <c r="B886" s="6">
        <v>43595028</v>
      </c>
      <c r="C886" t="str">
        <f>VLOOKUP(B886,[1]BD_FINAL!$A:$H,2,FALSE)</f>
        <v>Francedid del socorro</v>
      </c>
      <c r="D886" t="str">
        <f>VLOOKUP(B886,[1]BD_FINAL!$A:$H,3,FALSE)</f>
        <v>Medellin</v>
      </c>
      <c r="E886" t="str">
        <f>VLOOKUP(B886,[1]BD_FINAL!$A:$H,8,FALSE)</f>
        <v>Control</v>
      </c>
      <c r="F886" s="2">
        <f t="shared" si="39"/>
        <v>0</v>
      </c>
      <c r="G886">
        <f t="shared" si="40"/>
        <v>1</v>
      </c>
      <c r="H886" s="3" t="s">
        <v>4839</v>
      </c>
      <c r="I886" s="6" t="str">
        <f t="shared" si="41"/>
        <v>00010885</v>
      </c>
    </row>
    <row r="887" spans="1:9" x14ac:dyDescent="0.3">
      <c r="A887">
        <v>886</v>
      </c>
      <c r="B887" s="6">
        <v>43597042</v>
      </c>
      <c r="C887" t="str">
        <f>VLOOKUP(B887,[1]BD_FINAL!$A:$H,2,FALSE)</f>
        <v>Claudia  Solena</v>
      </c>
      <c r="D887" t="str">
        <f>VLOOKUP(B887,[1]BD_FINAL!$A:$H,3,FALSE)</f>
        <v>Medellin</v>
      </c>
      <c r="E887" t="str">
        <f>VLOOKUP(B887,[1]BD_FINAL!$A:$H,8,FALSE)</f>
        <v>Tratamiento</v>
      </c>
      <c r="F887" s="2">
        <f t="shared" si="39"/>
        <v>1</v>
      </c>
      <c r="G887">
        <f t="shared" si="40"/>
        <v>1</v>
      </c>
      <c r="H887" s="3" t="s">
        <v>4840</v>
      </c>
      <c r="I887" s="6" t="str">
        <f t="shared" si="41"/>
        <v>01010886</v>
      </c>
    </row>
    <row r="888" spans="1:9" x14ac:dyDescent="0.3">
      <c r="A888">
        <v>887</v>
      </c>
      <c r="B888" s="6">
        <v>43598403</v>
      </c>
      <c r="C888" t="str">
        <f>VLOOKUP(B888,[1]BD_FINAL!$A:$H,2,FALSE)</f>
        <v>Nora elena</v>
      </c>
      <c r="D888" t="str">
        <f>VLOOKUP(B888,[1]BD_FINAL!$A:$H,3,FALSE)</f>
        <v>Medellin</v>
      </c>
      <c r="E888" t="str">
        <f>VLOOKUP(B888,[1]BD_FINAL!$A:$H,8,FALSE)</f>
        <v>Control</v>
      </c>
      <c r="F888" s="2">
        <f t="shared" si="39"/>
        <v>0</v>
      </c>
      <c r="G888">
        <f t="shared" si="40"/>
        <v>1</v>
      </c>
      <c r="H888" s="3" t="s">
        <v>4841</v>
      </c>
      <c r="I888" s="6" t="str">
        <f t="shared" si="41"/>
        <v>00010887</v>
      </c>
    </row>
    <row r="889" spans="1:9" x14ac:dyDescent="0.3">
      <c r="A889">
        <v>888</v>
      </c>
      <c r="B889" s="6">
        <v>43600211</v>
      </c>
      <c r="C889" t="str">
        <f>VLOOKUP(B889,[1]BD_FINAL!$A:$H,2,FALSE)</f>
        <v>Margo Borja Echavarria</v>
      </c>
      <c r="D889" t="str">
        <f>VLOOKUP(B889,[1]BD_FINAL!$A:$H,3,FALSE)</f>
        <v>Medellin</v>
      </c>
      <c r="E889" t="str">
        <f>VLOOKUP(B889,[1]BD_FINAL!$A:$H,8,FALSE)</f>
        <v>Tratamiento</v>
      </c>
      <c r="F889" s="2">
        <f t="shared" si="39"/>
        <v>1</v>
      </c>
      <c r="G889">
        <f t="shared" si="40"/>
        <v>1</v>
      </c>
      <c r="H889" s="3" t="s">
        <v>4842</v>
      </c>
      <c r="I889" s="6" t="str">
        <f t="shared" si="41"/>
        <v>01010888</v>
      </c>
    </row>
    <row r="890" spans="1:9" x14ac:dyDescent="0.3">
      <c r="A890">
        <v>889</v>
      </c>
      <c r="B890" s="6">
        <v>43600567</v>
      </c>
      <c r="C890" t="str">
        <f>VLOOKUP(B890,[1]BD_FINAL!$A:$H,2,FALSE)</f>
        <v xml:space="preserve">María Emilce </v>
      </c>
      <c r="D890" t="str">
        <f>VLOOKUP(B890,[1]BD_FINAL!$A:$H,3,FALSE)</f>
        <v>Medellin</v>
      </c>
      <c r="E890" t="str">
        <f>VLOOKUP(B890,[1]BD_FINAL!$A:$H,8,FALSE)</f>
        <v>Tratamiento</v>
      </c>
      <c r="F890" s="2">
        <f t="shared" si="39"/>
        <v>1</v>
      </c>
      <c r="G890">
        <f t="shared" si="40"/>
        <v>1</v>
      </c>
      <c r="H890" s="3" t="s">
        <v>4843</v>
      </c>
      <c r="I890" s="6" t="str">
        <f t="shared" si="41"/>
        <v>01010889</v>
      </c>
    </row>
    <row r="891" spans="1:9" x14ac:dyDescent="0.3">
      <c r="A891">
        <v>890</v>
      </c>
      <c r="B891" s="6">
        <v>43605902</v>
      </c>
      <c r="C891" t="str">
        <f>VLOOKUP(B891,[1]BD_FINAL!$A:$H,2,FALSE)</f>
        <v xml:space="preserve">Ana del Carmen </v>
      </c>
      <c r="D891" t="str">
        <f>VLOOKUP(B891,[1]BD_FINAL!$A:$H,3,FALSE)</f>
        <v>Medellin</v>
      </c>
      <c r="E891" t="str">
        <f>VLOOKUP(B891,[1]BD_FINAL!$A:$H,8,FALSE)</f>
        <v>Tratamiento</v>
      </c>
      <c r="F891" s="2">
        <f t="shared" si="39"/>
        <v>1</v>
      </c>
      <c r="G891">
        <f t="shared" si="40"/>
        <v>1</v>
      </c>
      <c r="H891" s="3" t="s">
        <v>4844</v>
      </c>
      <c r="I891" s="6" t="str">
        <f t="shared" si="41"/>
        <v>01010890</v>
      </c>
    </row>
    <row r="892" spans="1:9" x14ac:dyDescent="0.3">
      <c r="A892">
        <v>891</v>
      </c>
      <c r="B892" s="6">
        <v>43607068</v>
      </c>
      <c r="C892" t="str">
        <f>VLOOKUP(B892,[1]BD_FINAL!$A:$H,2,FALSE)</f>
        <v xml:space="preserve">Susana </v>
      </c>
      <c r="D892" t="str">
        <f>VLOOKUP(B892,[1]BD_FINAL!$A:$H,3,FALSE)</f>
        <v>Medellin</v>
      </c>
      <c r="E892" t="str">
        <f>VLOOKUP(B892,[1]BD_FINAL!$A:$H,8,FALSE)</f>
        <v>Tratamiento</v>
      </c>
      <c r="F892" s="2">
        <f t="shared" si="39"/>
        <v>1</v>
      </c>
      <c r="G892">
        <f t="shared" si="40"/>
        <v>1</v>
      </c>
      <c r="H892" s="3" t="s">
        <v>4845</v>
      </c>
      <c r="I892" s="6" t="str">
        <f t="shared" si="41"/>
        <v>01010891</v>
      </c>
    </row>
    <row r="893" spans="1:9" x14ac:dyDescent="0.3">
      <c r="A893">
        <v>892</v>
      </c>
      <c r="B893" s="6">
        <v>43610680</v>
      </c>
      <c r="C893" t="str">
        <f>VLOOKUP(B893,[1]BD_FINAL!$A:$H,2,FALSE)</f>
        <v>Adrianq</v>
      </c>
      <c r="D893" t="str">
        <f>VLOOKUP(B893,[1]BD_FINAL!$A:$H,3,FALSE)</f>
        <v>Medellin</v>
      </c>
      <c r="E893" t="str">
        <f>VLOOKUP(B893,[1]BD_FINAL!$A:$H,8,FALSE)</f>
        <v>Control</v>
      </c>
      <c r="F893" s="2">
        <f t="shared" si="39"/>
        <v>0</v>
      </c>
      <c r="G893">
        <f t="shared" si="40"/>
        <v>1</v>
      </c>
      <c r="H893" s="3" t="s">
        <v>4846</v>
      </c>
      <c r="I893" s="6" t="str">
        <f t="shared" si="41"/>
        <v>00010892</v>
      </c>
    </row>
    <row r="894" spans="1:9" x14ac:dyDescent="0.3">
      <c r="A894">
        <v>893</v>
      </c>
      <c r="B894" s="6">
        <v>43611767</v>
      </c>
      <c r="C894" t="str">
        <f>VLOOKUP(B894,[1]BD_FINAL!$A:$H,2,FALSE)</f>
        <v>Blanca nubia Muñoz Garcia</v>
      </c>
      <c r="D894" t="str">
        <f>VLOOKUP(B894,[1]BD_FINAL!$A:$H,3,FALSE)</f>
        <v>Medellin</v>
      </c>
      <c r="E894" t="str">
        <f>VLOOKUP(B894,[1]BD_FINAL!$A:$H,8,FALSE)</f>
        <v>Tratamiento</v>
      </c>
      <c r="F894" s="2">
        <f t="shared" si="39"/>
        <v>1</v>
      </c>
      <c r="G894">
        <f t="shared" si="40"/>
        <v>1</v>
      </c>
      <c r="H894" s="3" t="s">
        <v>4847</v>
      </c>
      <c r="I894" s="6" t="str">
        <f t="shared" si="41"/>
        <v>01010893</v>
      </c>
    </row>
    <row r="895" spans="1:9" x14ac:dyDescent="0.3">
      <c r="A895">
        <v>894</v>
      </c>
      <c r="B895" s="6">
        <v>43613777</v>
      </c>
      <c r="C895" t="str">
        <f>VLOOKUP(B895,[1]BD_FINAL!$A:$H,2,FALSE)</f>
        <v xml:space="preserve">Diana María </v>
      </c>
      <c r="D895" t="str">
        <f>VLOOKUP(B895,[1]BD_FINAL!$A:$H,3,FALSE)</f>
        <v>Medellin</v>
      </c>
      <c r="E895" t="str">
        <f>VLOOKUP(B895,[1]BD_FINAL!$A:$H,8,FALSE)</f>
        <v>Tratamiento</v>
      </c>
      <c r="F895" s="2">
        <f t="shared" si="39"/>
        <v>1</v>
      </c>
      <c r="G895">
        <f t="shared" si="40"/>
        <v>1</v>
      </c>
      <c r="H895" s="3" t="s">
        <v>4848</v>
      </c>
      <c r="I895" s="6" t="str">
        <f t="shared" si="41"/>
        <v>01010894</v>
      </c>
    </row>
    <row r="896" spans="1:9" x14ac:dyDescent="0.3">
      <c r="A896">
        <v>895</v>
      </c>
      <c r="B896" s="6">
        <v>43615569</v>
      </c>
      <c r="C896" t="str">
        <f>VLOOKUP(B896,[1]BD_FINAL!$A:$H,2,FALSE)</f>
        <v>Jorge enrrique corre zerna</v>
      </c>
      <c r="D896" t="str">
        <f>VLOOKUP(B896,[1]BD_FINAL!$A:$H,3,FALSE)</f>
        <v>Medellin</v>
      </c>
      <c r="E896" t="str">
        <f>VLOOKUP(B896,[1]BD_FINAL!$A:$H,8,FALSE)</f>
        <v>Tratamiento</v>
      </c>
      <c r="F896" s="2">
        <f t="shared" si="39"/>
        <v>1</v>
      </c>
      <c r="G896">
        <f t="shared" si="40"/>
        <v>1</v>
      </c>
      <c r="H896" s="3" t="s">
        <v>4849</v>
      </c>
      <c r="I896" s="6" t="str">
        <f t="shared" si="41"/>
        <v>01010895</v>
      </c>
    </row>
    <row r="897" spans="1:9" x14ac:dyDescent="0.3">
      <c r="A897">
        <v>896</v>
      </c>
      <c r="B897" s="6">
        <v>43632097</v>
      </c>
      <c r="C897" t="str">
        <f>VLOOKUP(B897,[1]BD_FINAL!$A:$H,2,FALSE)</f>
        <v>Maria Isabel</v>
      </c>
      <c r="D897" t="str">
        <f>VLOOKUP(B897,[1]BD_FINAL!$A:$H,3,FALSE)</f>
        <v>Medellin</v>
      </c>
      <c r="E897" t="str">
        <f>VLOOKUP(B897,[1]BD_FINAL!$A:$H,8,FALSE)</f>
        <v>Control</v>
      </c>
      <c r="F897" s="2">
        <f t="shared" si="39"/>
        <v>0</v>
      </c>
      <c r="G897">
        <f t="shared" si="40"/>
        <v>1</v>
      </c>
      <c r="H897" s="3" t="s">
        <v>4850</v>
      </c>
      <c r="I897" s="6" t="str">
        <f t="shared" si="41"/>
        <v>00010896</v>
      </c>
    </row>
    <row r="898" spans="1:9" x14ac:dyDescent="0.3">
      <c r="A898">
        <v>897</v>
      </c>
      <c r="B898" s="6">
        <v>43634284</v>
      </c>
      <c r="C898" t="str">
        <f>VLOOKUP(B898,[1]BD_FINAL!$A:$H,2,FALSE)</f>
        <v xml:space="preserve">Astrid Yuveine </v>
      </c>
      <c r="D898" t="str">
        <f>VLOOKUP(B898,[1]BD_FINAL!$A:$H,3,FALSE)</f>
        <v>Medellin</v>
      </c>
      <c r="E898" t="str">
        <f>VLOOKUP(B898,[1]BD_FINAL!$A:$H,8,FALSE)</f>
        <v>Tratamiento</v>
      </c>
      <c r="F898" s="2">
        <f t="shared" si="39"/>
        <v>1</v>
      </c>
      <c r="G898">
        <f t="shared" si="40"/>
        <v>1</v>
      </c>
      <c r="H898" s="3" t="s">
        <v>4851</v>
      </c>
      <c r="I898" s="6" t="str">
        <f t="shared" si="41"/>
        <v>01010897</v>
      </c>
    </row>
    <row r="899" spans="1:9" x14ac:dyDescent="0.3">
      <c r="A899">
        <v>898</v>
      </c>
      <c r="B899" s="6">
        <v>43635359</v>
      </c>
      <c r="C899" t="str">
        <f>VLOOKUP(B899,[1]BD_FINAL!$A:$H,2,FALSE)</f>
        <v>Jose arcangel</v>
      </c>
      <c r="D899" t="str">
        <f>VLOOKUP(B899,[1]BD_FINAL!$A:$H,3,FALSE)</f>
        <v>Medellin</v>
      </c>
      <c r="E899" t="str">
        <f>VLOOKUP(B899,[1]BD_FINAL!$A:$H,8,FALSE)</f>
        <v>Control</v>
      </c>
      <c r="F899" s="2">
        <f t="shared" ref="F899:F962" si="42">IF(E899="CONTROL",0,1)</f>
        <v>0</v>
      </c>
      <c r="G899">
        <f t="shared" ref="G899:G962" si="43">IF(D899="Medellin",1,IF(D899="Cali",2,IF(D899="Baranquilla",3,0)))</f>
        <v>1</v>
      </c>
      <c r="H899" s="3" t="s">
        <v>4852</v>
      </c>
      <c r="I899" s="6" t="str">
        <f t="shared" ref="I899:I962" si="44">_xlfn.CONCAT(0,F899,0,G899,H899)</f>
        <v>00010898</v>
      </c>
    </row>
    <row r="900" spans="1:9" x14ac:dyDescent="0.3">
      <c r="A900">
        <v>899</v>
      </c>
      <c r="B900" s="6">
        <v>43639779</v>
      </c>
      <c r="C900" t="str">
        <f>VLOOKUP(B900,[1]BD_FINAL!$A:$H,2,FALSE)</f>
        <v>Jhon Mario</v>
      </c>
      <c r="D900" t="str">
        <f>VLOOKUP(B900,[1]BD_FINAL!$A:$H,3,FALSE)</f>
        <v>Medellin</v>
      </c>
      <c r="E900" t="str">
        <f>VLOOKUP(B900,[1]BD_FINAL!$A:$H,8,FALSE)</f>
        <v>Tratamiento</v>
      </c>
      <c r="F900" s="2">
        <f t="shared" si="42"/>
        <v>1</v>
      </c>
      <c r="G900">
        <f t="shared" si="43"/>
        <v>1</v>
      </c>
      <c r="H900" s="3" t="s">
        <v>4853</v>
      </c>
      <c r="I900" s="6" t="str">
        <f t="shared" si="44"/>
        <v>01010899</v>
      </c>
    </row>
    <row r="901" spans="1:9" x14ac:dyDescent="0.3">
      <c r="A901">
        <v>900</v>
      </c>
      <c r="B901" s="6">
        <v>43640603</v>
      </c>
      <c r="C901" t="str">
        <f>VLOOKUP(B901,[1]BD_FINAL!$A:$H,2,FALSE)</f>
        <v>Lidis del carmen</v>
      </c>
      <c r="D901" t="str">
        <f>VLOOKUP(B901,[1]BD_FINAL!$A:$H,3,FALSE)</f>
        <v>Medellin</v>
      </c>
      <c r="E901" t="str">
        <f>VLOOKUP(B901,[1]BD_FINAL!$A:$H,8,FALSE)</f>
        <v>Tratamiento</v>
      </c>
      <c r="F901" s="2">
        <f t="shared" si="42"/>
        <v>1</v>
      </c>
      <c r="G901">
        <f t="shared" si="43"/>
        <v>1</v>
      </c>
      <c r="H901" s="3" t="s">
        <v>4854</v>
      </c>
      <c r="I901" s="6" t="str">
        <f t="shared" si="44"/>
        <v>01010900</v>
      </c>
    </row>
    <row r="902" spans="1:9" x14ac:dyDescent="0.3">
      <c r="A902">
        <v>901</v>
      </c>
      <c r="B902" s="6">
        <v>43643362</v>
      </c>
      <c r="C902" t="str">
        <f>VLOOKUP(B902,[1]BD_FINAL!$A:$H,2,FALSE)</f>
        <v>Albeiro</v>
      </c>
      <c r="D902" t="str">
        <f>VLOOKUP(B902,[1]BD_FINAL!$A:$H,3,FALSE)</f>
        <v>Medellin</v>
      </c>
      <c r="E902" t="str">
        <f>VLOOKUP(B902,[1]BD_FINAL!$A:$H,8,FALSE)</f>
        <v>Control</v>
      </c>
      <c r="F902" s="2">
        <f t="shared" si="42"/>
        <v>0</v>
      </c>
      <c r="G902">
        <f t="shared" si="43"/>
        <v>1</v>
      </c>
      <c r="H902" s="3" t="s">
        <v>4855</v>
      </c>
      <c r="I902" s="6" t="str">
        <f t="shared" si="44"/>
        <v>00010901</v>
      </c>
    </row>
    <row r="903" spans="1:9" x14ac:dyDescent="0.3">
      <c r="A903">
        <v>902</v>
      </c>
      <c r="B903" s="6">
        <v>43661822</v>
      </c>
      <c r="C903" t="str">
        <f>VLOOKUP(B903,[1]BD_FINAL!$A:$H,2,FALSE)</f>
        <v xml:space="preserve">Blanca del Socorro </v>
      </c>
      <c r="D903" t="str">
        <f>VLOOKUP(B903,[1]BD_FINAL!$A:$H,3,FALSE)</f>
        <v>Medellin</v>
      </c>
      <c r="E903" t="str">
        <f>VLOOKUP(B903,[1]BD_FINAL!$A:$H,8,FALSE)</f>
        <v>Control</v>
      </c>
      <c r="F903" s="2">
        <f t="shared" si="42"/>
        <v>0</v>
      </c>
      <c r="G903">
        <f t="shared" si="43"/>
        <v>1</v>
      </c>
      <c r="H903" s="3" t="s">
        <v>4856</v>
      </c>
      <c r="I903" s="6" t="str">
        <f t="shared" si="44"/>
        <v>00010902</v>
      </c>
    </row>
    <row r="904" spans="1:9" x14ac:dyDescent="0.3">
      <c r="A904">
        <v>903</v>
      </c>
      <c r="B904" s="6">
        <v>43662572</v>
      </c>
      <c r="C904" t="str">
        <f>VLOOKUP(B904,[1]BD_FINAL!$A:$H,2,FALSE)</f>
        <v>Julio</v>
      </c>
      <c r="D904" t="str">
        <f>VLOOKUP(B904,[1]BD_FINAL!$A:$H,3,FALSE)</f>
        <v>Medellin</v>
      </c>
      <c r="E904" t="str">
        <f>VLOOKUP(B904,[1]BD_FINAL!$A:$H,8,FALSE)</f>
        <v>Control</v>
      </c>
      <c r="F904" s="2">
        <f t="shared" si="42"/>
        <v>0</v>
      </c>
      <c r="G904">
        <f t="shared" si="43"/>
        <v>1</v>
      </c>
      <c r="H904" s="3" t="s">
        <v>4857</v>
      </c>
      <c r="I904" s="6" t="str">
        <f t="shared" si="44"/>
        <v>00010903</v>
      </c>
    </row>
    <row r="905" spans="1:9" x14ac:dyDescent="0.3">
      <c r="A905">
        <v>904</v>
      </c>
      <c r="B905" s="6">
        <v>43672851</v>
      </c>
      <c r="C905" t="str">
        <f>VLOOKUP(B905,[1]BD_FINAL!$A:$H,2,FALSE)</f>
        <v xml:space="preserve">Alba Lucía </v>
      </c>
      <c r="D905" t="str">
        <f>VLOOKUP(B905,[1]BD_FINAL!$A:$H,3,FALSE)</f>
        <v>Medellin</v>
      </c>
      <c r="E905" t="str">
        <f>VLOOKUP(B905,[1]BD_FINAL!$A:$H,8,FALSE)</f>
        <v>Control</v>
      </c>
      <c r="F905" s="2">
        <f t="shared" si="42"/>
        <v>0</v>
      </c>
      <c r="G905">
        <f t="shared" si="43"/>
        <v>1</v>
      </c>
      <c r="H905" s="3" t="s">
        <v>4858</v>
      </c>
      <c r="I905" s="6" t="str">
        <f t="shared" si="44"/>
        <v>00010904</v>
      </c>
    </row>
    <row r="906" spans="1:9" x14ac:dyDescent="0.3">
      <c r="A906">
        <v>905</v>
      </c>
      <c r="B906" s="6">
        <v>43681503</v>
      </c>
      <c r="C906" t="str">
        <f>VLOOKUP(B906,[1]BD_FINAL!$A:$H,2,FALSE)</f>
        <v>Maria Estrella del Socorro</v>
      </c>
      <c r="D906" t="str">
        <f>VLOOKUP(B906,[1]BD_FINAL!$A:$H,3,FALSE)</f>
        <v>Medellin</v>
      </c>
      <c r="E906" t="str">
        <f>VLOOKUP(B906,[1]BD_FINAL!$A:$H,8,FALSE)</f>
        <v>Tratamiento</v>
      </c>
      <c r="F906" s="2">
        <f t="shared" si="42"/>
        <v>1</v>
      </c>
      <c r="G906">
        <f t="shared" si="43"/>
        <v>1</v>
      </c>
      <c r="H906" s="3" t="s">
        <v>4859</v>
      </c>
      <c r="I906" s="6" t="str">
        <f t="shared" si="44"/>
        <v>01010905</v>
      </c>
    </row>
    <row r="907" spans="1:9" x14ac:dyDescent="0.3">
      <c r="A907">
        <v>906</v>
      </c>
      <c r="B907" s="6">
        <v>43700046</v>
      </c>
      <c r="C907" t="str">
        <f>VLOOKUP(B907,[1]BD_FINAL!$A:$H,2,FALSE)</f>
        <v>Gloria Lucia</v>
      </c>
      <c r="D907" t="str">
        <f>VLOOKUP(B907,[1]BD_FINAL!$A:$H,3,FALSE)</f>
        <v>Medellin</v>
      </c>
      <c r="E907" t="str">
        <f>VLOOKUP(B907,[1]BD_FINAL!$A:$H,8,FALSE)</f>
        <v>Control</v>
      </c>
      <c r="F907" s="2">
        <f t="shared" si="42"/>
        <v>0</v>
      </c>
      <c r="G907">
        <f t="shared" si="43"/>
        <v>1</v>
      </c>
      <c r="H907" s="3" t="s">
        <v>4860</v>
      </c>
      <c r="I907" s="6" t="str">
        <f t="shared" si="44"/>
        <v>00010906</v>
      </c>
    </row>
    <row r="908" spans="1:9" x14ac:dyDescent="0.3">
      <c r="A908">
        <v>907</v>
      </c>
      <c r="B908" s="6">
        <v>43733194</v>
      </c>
      <c r="C908" t="str">
        <f>VLOOKUP(B908,[1]BD_FINAL!$A:$H,2,FALSE)</f>
        <v>Deyanira</v>
      </c>
      <c r="D908" t="str">
        <f>VLOOKUP(B908,[1]BD_FINAL!$A:$H,3,FALSE)</f>
        <v>Medellin</v>
      </c>
      <c r="E908" t="str">
        <f>VLOOKUP(B908,[1]BD_FINAL!$A:$H,8,FALSE)</f>
        <v>Control</v>
      </c>
      <c r="F908" s="2">
        <f t="shared" si="42"/>
        <v>0</v>
      </c>
      <c r="G908">
        <f t="shared" si="43"/>
        <v>1</v>
      </c>
      <c r="H908" s="3" t="s">
        <v>4861</v>
      </c>
      <c r="I908" s="6" t="str">
        <f t="shared" si="44"/>
        <v>00010907</v>
      </c>
    </row>
    <row r="909" spans="1:9" x14ac:dyDescent="0.3">
      <c r="A909">
        <v>908</v>
      </c>
      <c r="B909" s="6">
        <v>43750015</v>
      </c>
      <c r="C909" t="str">
        <f>VLOOKUP(B909,[1]BD_FINAL!$A:$H,2,FALSE)</f>
        <v>Marleny de Jesús</v>
      </c>
      <c r="D909" t="str">
        <f>VLOOKUP(B909,[1]BD_FINAL!$A:$H,3,FALSE)</f>
        <v>Medellin</v>
      </c>
      <c r="E909" t="str">
        <f>VLOOKUP(B909,[1]BD_FINAL!$A:$H,8,FALSE)</f>
        <v>Tratamiento</v>
      </c>
      <c r="F909" s="2">
        <f t="shared" si="42"/>
        <v>1</v>
      </c>
      <c r="G909">
        <f t="shared" si="43"/>
        <v>1</v>
      </c>
      <c r="H909" s="3" t="s">
        <v>4862</v>
      </c>
      <c r="I909" s="6" t="str">
        <f t="shared" si="44"/>
        <v>01010908</v>
      </c>
    </row>
    <row r="910" spans="1:9" x14ac:dyDescent="0.3">
      <c r="A910">
        <v>909</v>
      </c>
      <c r="B910" s="6">
        <v>43752818</v>
      </c>
      <c r="C910" t="str">
        <f>VLOOKUP(B910,[1]BD_FINAL!$A:$H,2,FALSE)</f>
        <v>María Yolanda</v>
      </c>
      <c r="D910" t="str">
        <f>VLOOKUP(B910,[1]BD_FINAL!$A:$H,3,FALSE)</f>
        <v>Medellin</v>
      </c>
      <c r="E910" t="str">
        <f>VLOOKUP(B910,[1]BD_FINAL!$A:$H,8,FALSE)</f>
        <v>Tratamiento</v>
      </c>
      <c r="F910" s="2">
        <f t="shared" si="42"/>
        <v>1</v>
      </c>
      <c r="G910">
        <f t="shared" si="43"/>
        <v>1</v>
      </c>
      <c r="H910" s="3" t="s">
        <v>4863</v>
      </c>
      <c r="I910" s="6" t="str">
        <f t="shared" si="44"/>
        <v>01010909</v>
      </c>
    </row>
    <row r="911" spans="1:9" x14ac:dyDescent="0.3">
      <c r="A911">
        <v>910</v>
      </c>
      <c r="B911" s="6">
        <v>43754194</v>
      </c>
      <c r="C911" t="str">
        <f>VLOOKUP(B911,[1]BD_FINAL!$A:$H,2,FALSE)</f>
        <v xml:space="preserve">Faber Alonso </v>
      </c>
      <c r="D911" t="str">
        <f>VLOOKUP(B911,[1]BD_FINAL!$A:$H,3,FALSE)</f>
        <v>Medellin</v>
      </c>
      <c r="E911" t="str">
        <f>VLOOKUP(B911,[1]BD_FINAL!$A:$H,8,FALSE)</f>
        <v>Control</v>
      </c>
      <c r="F911" s="2">
        <f t="shared" si="42"/>
        <v>0</v>
      </c>
      <c r="G911">
        <f t="shared" si="43"/>
        <v>1</v>
      </c>
      <c r="H911" s="3" t="s">
        <v>4864</v>
      </c>
      <c r="I911" s="6" t="str">
        <f t="shared" si="44"/>
        <v>00010910</v>
      </c>
    </row>
    <row r="912" spans="1:9" x14ac:dyDescent="0.3">
      <c r="A912">
        <v>911</v>
      </c>
      <c r="B912" s="6">
        <v>43755833</v>
      </c>
      <c r="C912" t="str">
        <f>VLOOKUP(B912,[1]BD_FINAL!$A:$H,2,FALSE)</f>
        <v>Lidia María</v>
      </c>
      <c r="D912" t="str">
        <f>VLOOKUP(B912,[1]BD_FINAL!$A:$H,3,FALSE)</f>
        <v>Medellin</v>
      </c>
      <c r="E912" t="str">
        <f>VLOOKUP(B912,[1]BD_FINAL!$A:$H,8,FALSE)</f>
        <v>Tratamiento</v>
      </c>
      <c r="F912" s="2">
        <f t="shared" si="42"/>
        <v>1</v>
      </c>
      <c r="G912">
        <f t="shared" si="43"/>
        <v>1</v>
      </c>
      <c r="H912" s="3" t="s">
        <v>4865</v>
      </c>
      <c r="I912" s="6" t="str">
        <f t="shared" si="44"/>
        <v>01010911</v>
      </c>
    </row>
    <row r="913" spans="1:9" x14ac:dyDescent="0.3">
      <c r="A913">
        <v>912</v>
      </c>
      <c r="B913" s="6">
        <v>43810860</v>
      </c>
      <c r="C913" t="str">
        <f>VLOOKUP(B913,[1]BD_FINAL!$A:$H,2,FALSE)</f>
        <v>Angy yuleht</v>
      </c>
      <c r="D913" t="str">
        <f>VLOOKUP(B913,[1]BD_FINAL!$A:$H,3,FALSE)</f>
        <v>Medellin</v>
      </c>
      <c r="E913" t="str">
        <f>VLOOKUP(B913,[1]BD_FINAL!$A:$H,8,FALSE)</f>
        <v>Control</v>
      </c>
      <c r="F913" s="2">
        <f t="shared" si="42"/>
        <v>0</v>
      </c>
      <c r="G913">
        <f t="shared" si="43"/>
        <v>1</v>
      </c>
      <c r="H913" s="3" t="s">
        <v>4866</v>
      </c>
      <c r="I913" s="6" t="str">
        <f t="shared" si="44"/>
        <v>00010912</v>
      </c>
    </row>
    <row r="914" spans="1:9" x14ac:dyDescent="0.3">
      <c r="A914">
        <v>913</v>
      </c>
      <c r="B914" s="6">
        <v>43826103</v>
      </c>
      <c r="C914" t="str">
        <f>VLOOKUP(B914,[1]BD_FINAL!$A:$H,2,FALSE)</f>
        <v>Beatriz Elena</v>
      </c>
      <c r="D914" t="str">
        <f>VLOOKUP(B914,[1]BD_FINAL!$A:$H,3,FALSE)</f>
        <v>Medellin</v>
      </c>
      <c r="E914" t="str">
        <f>VLOOKUP(B914,[1]BD_FINAL!$A:$H,8,FALSE)</f>
        <v>Control</v>
      </c>
      <c r="F914" s="2">
        <f t="shared" si="42"/>
        <v>0</v>
      </c>
      <c r="G914">
        <f t="shared" si="43"/>
        <v>1</v>
      </c>
      <c r="H914" s="3" t="s">
        <v>4867</v>
      </c>
      <c r="I914" s="6" t="str">
        <f t="shared" si="44"/>
        <v>00010913</v>
      </c>
    </row>
    <row r="915" spans="1:9" x14ac:dyDescent="0.3">
      <c r="A915">
        <v>914</v>
      </c>
      <c r="B915" s="6">
        <v>43836211</v>
      </c>
      <c r="C915" t="str">
        <f>VLOOKUP(B915,[1]BD_FINAL!$A:$H,2,FALSE)</f>
        <v xml:space="preserve">Jovana Andrea </v>
      </c>
      <c r="D915" t="str">
        <f>VLOOKUP(B915,[1]BD_FINAL!$A:$H,3,FALSE)</f>
        <v>Medellin</v>
      </c>
      <c r="E915" t="str">
        <f>VLOOKUP(B915,[1]BD_FINAL!$A:$H,8,FALSE)</f>
        <v>Control</v>
      </c>
      <c r="F915" s="2">
        <f t="shared" si="42"/>
        <v>0</v>
      </c>
      <c r="G915">
        <f t="shared" si="43"/>
        <v>1</v>
      </c>
      <c r="H915" s="3" t="s">
        <v>4868</v>
      </c>
      <c r="I915" s="6" t="str">
        <f t="shared" si="44"/>
        <v>00010914</v>
      </c>
    </row>
    <row r="916" spans="1:9" x14ac:dyDescent="0.3">
      <c r="A916">
        <v>915</v>
      </c>
      <c r="B916" s="6">
        <v>43905793</v>
      </c>
      <c r="C916" t="str">
        <f>VLOOKUP(B916,[1]BD_FINAL!$A:$H,2,FALSE)</f>
        <v xml:space="preserve">Diana María </v>
      </c>
      <c r="D916" t="str">
        <f>VLOOKUP(B916,[1]BD_FINAL!$A:$H,3,FALSE)</f>
        <v>Medellin</v>
      </c>
      <c r="E916" t="str">
        <f>VLOOKUP(B916,[1]BD_FINAL!$A:$H,8,FALSE)</f>
        <v>Tratamiento</v>
      </c>
      <c r="F916" s="2">
        <f t="shared" si="42"/>
        <v>1</v>
      </c>
      <c r="G916">
        <f t="shared" si="43"/>
        <v>1</v>
      </c>
      <c r="H916" s="3" t="s">
        <v>4869</v>
      </c>
      <c r="I916" s="6" t="str">
        <f t="shared" si="44"/>
        <v>01010915</v>
      </c>
    </row>
    <row r="917" spans="1:9" x14ac:dyDescent="0.3">
      <c r="A917">
        <v>916</v>
      </c>
      <c r="B917" s="6">
        <v>43907166</v>
      </c>
      <c r="C917" t="str">
        <f>VLOOKUP(B917,[1]BD_FINAL!$A:$H,2,FALSE)</f>
        <v>Elkin ferney echavarria orrego</v>
      </c>
      <c r="D917" t="str">
        <f>VLOOKUP(B917,[1]BD_FINAL!$A:$H,3,FALSE)</f>
        <v>Medellin</v>
      </c>
      <c r="E917" t="str">
        <f>VLOOKUP(B917,[1]BD_FINAL!$A:$H,8,FALSE)</f>
        <v>Control</v>
      </c>
      <c r="F917" s="2">
        <f t="shared" si="42"/>
        <v>0</v>
      </c>
      <c r="G917">
        <f t="shared" si="43"/>
        <v>1</v>
      </c>
      <c r="H917" s="3" t="s">
        <v>4870</v>
      </c>
      <c r="I917" s="6" t="str">
        <f t="shared" si="44"/>
        <v>00010916</v>
      </c>
    </row>
    <row r="918" spans="1:9" x14ac:dyDescent="0.3">
      <c r="A918">
        <v>917</v>
      </c>
      <c r="B918" s="6">
        <v>43912061</v>
      </c>
      <c r="C918" t="str">
        <f>VLOOKUP(B918,[1]BD_FINAL!$A:$H,2,FALSE)</f>
        <v xml:space="preserve">Paula Andrea </v>
      </c>
      <c r="D918" t="str">
        <f>VLOOKUP(B918,[1]BD_FINAL!$A:$H,3,FALSE)</f>
        <v>Medellin</v>
      </c>
      <c r="E918" t="str">
        <f>VLOOKUP(B918,[1]BD_FINAL!$A:$H,8,FALSE)</f>
        <v>Control</v>
      </c>
      <c r="F918" s="2">
        <f t="shared" si="42"/>
        <v>0</v>
      </c>
      <c r="G918">
        <f t="shared" si="43"/>
        <v>1</v>
      </c>
      <c r="H918" s="3" t="s">
        <v>4871</v>
      </c>
      <c r="I918" s="6" t="str">
        <f t="shared" si="44"/>
        <v>00010917</v>
      </c>
    </row>
    <row r="919" spans="1:9" x14ac:dyDescent="0.3">
      <c r="A919">
        <v>918</v>
      </c>
      <c r="B919" s="6">
        <v>43913057</v>
      </c>
      <c r="C919" t="str">
        <f>VLOOKUP(B919,[1]BD_FINAL!$A:$H,2,FALSE)</f>
        <v>Deibis</v>
      </c>
      <c r="D919" t="str">
        <f>VLOOKUP(B919,[1]BD_FINAL!$A:$H,3,FALSE)</f>
        <v>Medellin</v>
      </c>
      <c r="E919" t="str">
        <f>VLOOKUP(B919,[1]BD_FINAL!$A:$H,8,FALSE)</f>
        <v>Control</v>
      </c>
      <c r="F919" s="2">
        <f t="shared" si="42"/>
        <v>0</v>
      </c>
      <c r="G919">
        <f t="shared" si="43"/>
        <v>1</v>
      </c>
      <c r="H919" s="3" t="s">
        <v>4872</v>
      </c>
      <c r="I919" s="6" t="str">
        <f t="shared" si="44"/>
        <v>00010918</v>
      </c>
    </row>
    <row r="920" spans="1:9" x14ac:dyDescent="0.3">
      <c r="A920">
        <v>919</v>
      </c>
      <c r="B920" s="6">
        <v>43915081</v>
      </c>
      <c r="C920" t="str">
        <f>VLOOKUP(B920,[1]BD_FINAL!$A:$H,2,FALSE)</f>
        <v>Aracelly</v>
      </c>
      <c r="D920" t="str">
        <f>VLOOKUP(B920,[1]BD_FINAL!$A:$H,3,FALSE)</f>
        <v>Medellin</v>
      </c>
      <c r="E920" t="str">
        <f>VLOOKUP(B920,[1]BD_FINAL!$A:$H,8,FALSE)</f>
        <v>Control</v>
      </c>
      <c r="F920" s="2">
        <f t="shared" si="42"/>
        <v>0</v>
      </c>
      <c r="G920">
        <f t="shared" si="43"/>
        <v>1</v>
      </c>
      <c r="H920" s="3" t="s">
        <v>4873</v>
      </c>
      <c r="I920" s="6" t="str">
        <f t="shared" si="44"/>
        <v>00010919</v>
      </c>
    </row>
    <row r="921" spans="1:9" x14ac:dyDescent="0.3">
      <c r="A921">
        <v>920</v>
      </c>
      <c r="B921" s="6">
        <v>43922866</v>
      </c>
      <c r="C921" t="str">
        <f>VLOOKUP(B921,[1]BD_FINAL!$A:$H,2,FALSE)</f>
        <v xml:space="preserve">Nini Johana </v>
      </c>
      <c r="D921" t="str">
        <f>VLOOKUP(B921,[1]BD_FINAL!$A:$H,3,FALSE)</f>
        <v>Medellin</v>
      </c>
      <c r="E921" t="str">
        <f>VLOOKUP(B921,[1]BD_FINAL!$A:$H,8,FALSE)</f>
        <v>Control</v>
      </c>
      <c r="F921" s="2">
        <f t="shared" si="42"/>
        <v>0</v>
      </c>
      <c r="G921">
        <f t="shared" si="43"/>
        <v>1</v>
      </c>
      <c r="H921" s="3" t="s">
        <v>4874</v>
      </c>
      <c r="I921" s="6" t="str">
        <f t="shared" si="44"/>
        <v>00010920</v>
      </c>
    </row>
    <row r="922" spans="1:9" x14ac:dyDescent="0.3">
      <c r="A922">
        <v>921</v>
      </c>
      <c r="B922" s="6">
        <v>43924916</v>
      </c>
      <c r="C922" t="str">
        <f>VLOOKUP(B922,[1]BD_FINAL!$A:$H,2,FALSE)</f>
        <v>Ana Cecilia</v>
      </c>
      <c r="D922" t="str">
        <f>VLOOKUP(B922,[1]BD_FINAL!$A:$H,3,FALSE)</f>
        <v>Medellin</v>
      </c>
      <c r="E922" t="str">
        <f>VLOOKUP(B922,[1]BD_FINAL!$A:$H,8,FALSE)</f>
        <v>Control</v>
      </c>
      <c r="F922" s="2">
        <f t="shared" si="42"/>
        <v>0</v>
      </c>
      <c r="G922">
        <f t="shared" si="43"/>
        <v>1</v>
      </c>
      <c r="H922" s="3" t="s">
        <v>4875</v>
      </c>
      <c r="I922" s="6" t="str">
        <f t="shared" si="44"/>
        <v>00010921</v>
      </c>
    </row>
    <row r="923" spans="1:9" x14ac:dyDescent="0.3">
      <c r="A923">
        <v>922</v>
      </c>
      <c r="B923" s="6">
        <v>43973029</v>
      </c>
      <c r="C923" t="str">
        <f>VLOOKUP(B923,[1]BD_FINAL!$A:$H,2,FALSE)</f>
        <v>Viviana maria</v>
      </c>
      <c r="D923" t="str">
        <f>VLOOKUP(B923,[1]BD_FINAL!$A:$H,3,FALSE)</f>
        <v>Medellin</v>
      </c>
      <c r="E923" t="str">
        <f>VLOOKUP(B923,[1]BD_FINAL!$A:$H,8,FALSE)</f>
        <v>Tratamiento</v>
      </c>
      <c r="F923" s="2">
        <f t="shared" si="42"/>
        <v>1</v>
      </c>
      <c r="G923">
        <f t="shared" si="43"/>
        <v>1</v>
      </c>
      <c r="H923" s="3" t="s">
        <v>4876</v>
      </c>
      <c r="I923" s="6" t="str">
        <f t="shared" si="44"/>
        <v>01010922</v>
      </c>
    </row>
    <row r="924" spans="1:9" x14ac:dyDescent="0.3">
      <c r="A924">
        <v>923</v>
      </c>
      <c r="B924" s="6">
        <v>43991863</v>
      </c>
      <c r="C924" t="str">
        <f>VLOOKUP(B924,[1]BD_FINAL!$A:$H,2,FALSE)</f>
        <v>Sandra Milena</v>
      </c>
      <c r="D924" t="str">
        <f>VLOOKUP(B924,[1]BD_FINAL!$A:$H,3,FALSE)</f>
        <v>Medellin</v>
      </c>
      <c r="E924" t="str">
        <f>VLOOKUP(B924,[1]BD_FINAL!$A:$H,8,FALSE)</f>
        <v>Control</v>
      </c>
      <c r="F924" s="2">
        <f t="shared" si="42"/>
        <v>0</v>
      </c>
      <c r="G924">
        <f t="shared" si="43"/>
        <v>1</v>
      </c>
      <c r="H924" s="3" t="s">
        <v>4877</v>
      </c>
      <c r="I924" s="6" t="str">
        <f t="shared" si="44"/>
        <v>00010923</v>
      </c>
    </row>
    <row r="925" spans="1:9" x14ac:dyDescent="0.3">
      <c r="A925">
        <v>924</v>
      </c>
      <c r="B925" s="6">
        <v>43997530</v>
      </c>
      <c r="C925" t="str">
        <f>VLOOKUP(B925,[1]BD_FINAL!$A:$H,2,FALSE)</f>
        <v>Yhon Fernando</v>
      </c>
      <c r="D925" t="str">
        <f>VLOOKUP(B925,[1]BD_FINAL!$A:$H,3,FALSE)</f>
        <v>Medellin</v>
      </c>
      <c r="E925" t="str">
        <f>VLOOKUP(B925,[1]BD_FINAL!$A:$H,8,FALSE)</f>
        <v>Control</v>
      </c>
      <c r="F925" s="2">
        <f t="shared" si="42"/>
        <v>0</v>
      </c>
      <c r="G925">
        <f t="shared" si="43"/>
        <v>1</v>
      </c>
      <c r="H925" s="3" t="s">
        <v>4878</v>
      </c>
      <c r="I925" s="6" t="str">
        <f t="shared" si="44"/>
        <v>00010924</v>
      </c>
    </row>
    <row r="926" spans="1:9" x14ac:dyDescent="0.3">
      <c r="A926">
        <v>925</v>
      </c>
      <c r="B926" s="6">
        <v>44002874</v>
      </c>
      <c r="C926" t="str">
        <f>VLOOKUP(B926,[1]BD_FINAL!$A:$H,2,FALSE)</f>
        <v>Flor Ángela</v>
      </c>
      <c r="D926" t="str">
        <f>VLOOKUP(B926,[1]BD_FINAL!$A:$H,3,FALSE)</f>
        <v>Medellin</v>
      </c>
      <c r="E926" t="str">
        <f>VLOOKUP(B926,[1]BD_FINAL!$A:$H,8,FALSE)</f>
        <v>Control</v>
      </c>
      <c r="F926" s="2">
        <f t="shared" si="42"/>
        <v>0</v>
      </c>
      <c r="G926">
        <f t="shared" si="43"/>
        <v>1</v>
      </c>
      <c r="H926" s="3" t="s">
        <v>4879</v>
      </c>
      <c r="I926" s="6" t="str">
        <f t="shared" si="44"/>
        <v>00010925</v>
      </c>
    </row>
    <row r="927" spans="1:9" x14ac:dyDescent="0.3">
      <c r="A927">
        <v>926</v>
      </c>
      <c r="B927" s="6">
        <v>44003061</v>
      </c>
      <c r="C927" t="str">
        <f>VLOOKUP(B927,[1]BD_FINAL!$A:$H,2,FALSE)</f>
        <v>Viviana del Carmen</v>
      </c>
      <c r="D927" t="str">
        <f>VLOOKUP(B927,[1]BD_FINAL!$A:$H,3,FALSE)</f>
        <v>Medellin</v>
      </c>
      <c r="E927" t="str">
        <f>VLOOKUP(B927,[1]BD_FINAL!$A:$H,8,FALSE)</f>
        <v>Tratamiento</v>
      </c>
      <c r="F927" s="2">
        <f t="shared" si="42"/>
        <v>1</v>
      </c>
      <c r="G927">
        <f t="shared" si="43"/>
        <v>1</v>
      </c>
      <c r="H927" s="3" t="s">
        <v>4880</v>
      </c>
      <c r="I927" s="6" t="str">
        <f t="shared" si="44"/>
        <v>01010926</v>
      </c>
    </row>
    <row r="928" spans="1:9" x14ac:dyDescent="0.3">
      <c r="A928">
        <v>927</v>
      </c>
      <c r="B928" s="6">
        <v>44008242</v>
      </c>
      <c r="C928" t="str">
        <f>VLOOKUP(B928,[1]BD_FINAL!$A:$H,2,FALSE)</f>
        <v xml:space="preserve">Leídy johanna </v>
      </c>
      <c r="D928" t="str">
        <f>VLOOKUP(B928,[1]BD_FINAL!$A:$H,3,FALSE)</f>
        <v>Medellin</v>
      </c>
      <c r="E928" t="str">
        <f>VLOOKUP(B928,[1]BD_FINAL!$A:$H,8,FALSE)</f>
        <v>Control</v>
      </c>
      <c r="F928" s="2">
        <f t="shared" si="42"/>
        <v>0</v>
      </c>
      <c r="G928">
        <f t="shared" si="43"/>
        <v>1</v>
      </c>
      <c r="H928" s="3" t="s">
        <v>4881</v>
      </c>
      <c r="I928" s="6" t="str">
        <f t="shared" si="44"/>
        <v>00010927</v>
      </c>
    </row>
    <row r="929" spans="1:9" x14ac:dyDescent="0.3">
      <c r="A929">
        <v>928</v>
      </c>
      <c r="B929" s="6">
        <v>44150186</v>
      </c>
      <c r="C929" t="str">
        <f>VLOOKUP(B929,[1]BD_FINAL!$A:$H,2,FALSE)</f>
        <v xml:space="preserve">Ebeth </v>
      </c>
      <c r="D929" t="str">
        <f>VLOOKUP(B929,[1]BD_FINAL!$A:$H,3,FALSE)</f>
        <v>Baranquilla</v>
      </c>
      <c r="E929" t="str">
        <f>VLOOKUP(B929,[1]BD_FINAL!$A:$H,8,FALSE)</f>
        <v>Control</v>
      </c>
      <c r="F929" s="2">
        <f t="shared" si="42"/>
        <v>0</v>
      </c>
      <c r="G929">
        <f t="shared" si="43"/>
        <v>3</v>
      </c>
      <c r="H929" s="3" t="s">
        <v>4882</v>
      </c>
      <c r="I929" s="6" t="str">
        <f t="shared" si="44"/>
        <v>00030928</v>
      </c>
    </row>
    <row r="930" spans="1:9" x14ac:dyDescent="0.3">
      <c r="A930">
        <v>929</v>
      </c>
      <c r="B930" s="6">
        <v>44158176</v>
      </c>
      <c r="C930" t="str">
        <f>VLOOKUP(B930,[1]BD_FINAL!$A:$H,2,FALSE)</f>
        <v xml:space="preserve">Joyce Enith </v>
      </c>
      <c r="D930" t="str">
        <f>VLOOKUP(B930,[1]BD_FINAL!$A:$H,3,FALSE)</f>
        <v>Baranquilla</v>
      </c>
      <c r="E930" t="str">
        <f>VLOOKUP(B930,[1]BD_FINAL!$A:$H,8,FALSE)</f>
        <v>Control</v>
      </c>
      <c r="F930" s="2">
        <f t="shared" si="42"/>
        <v>0</v>
      </c>
      <c r="G930">
        <f t="shared" si="43"/>
        <v>3</v>
      </c>
      <c r="H930" s="3" t="s">
        <v>4883</v>
      </c>
      <c r="I930" s="6" t="str">
        <f t="shared" si="44"/>
        <v>00030929</v>
      </c>
    </row>
    <row r="931" spans="1:9" x14ac:dyDescent="0.3">
      <c r="A931">
        <v>930</v>
      </c>
      <c r="B931" s="6">
        <v>45465247</v>
      </c>
      <c r="C931" t="str">
        <f>VLOOKUP(B931,[1]BD_FINAL!$A:$H,2,FALSE)</f>
        <v xml:space="preserve">Nelly </v>
      </c>
      <c r="D931" t="str">
        <f>VLOOKUP(B931,[1]BD_FINAL!$A:$H,3,FALSE)</f>
        <v>Baranquilla</v>
      </c>
      <c r="E931" t="str">
        <f>VLOOKUP(B931,[1]BD_FINAL!$A:$H,8,FALSE)</f>
        <v>Control</v>
      </c>
      <c r="F931" s="2">
        <f t="shared" si="42"/>
        <v>0</v>
      </c>
      <c r="G931">
        <f t="shared" si="43"/>
        <v>3</v>
      </c>
      <c r="H931" s="3" t="s">
        <v>4884</v>
      </c>
      <c r="I931" s="6" t="str">
        <f t="shared" si="44"/>
        <v>00030930</v>
      </c>
    </row>
    <row r="932" spans="1:9" x14ac:dyDescent="0.3">
      <c r="A932">
        <v>931</v>
      </c>
      <c r="B932" s="6">
        <v>45509337</v>
      </c>
      <c r="C932" t="str">
        <f>VLOOKUP(B932,[1]BD_FINAL!$A:$H,2,FALSE)</f>
        <v>Nelcy Yaneth</v>
      </c>
      <c r="D932" t="str">
        <f>VLOOKUP(B932,[1]BD_FINAL!$A:$H,3,FALSE)</f>
        <v>Medellin</v>
      </c>
      <c r="E932" t="str">
        <f>VLOOKUP(B932,[1]BD_FINAL!$A:$H,8,FALSE)</f>
        <v>Control</v>
      </c>
      <c r="F932" s="2">
        <f t="shared" si="42"/>
        <v>0</v>
      </c>
      <c r="G932">
        <f t="shared" si="43"/>
        <v>1</v>
      </c>
      <c r="H932" s="3" t="s">
        <v>4885</v>
      </c>
      <c r="I932" s="6" t="str">
        <f t="shared" si="44"/>
        <v>00010931</v>
      </c>
    </row>
    <row r="933" spans="1:9" x14ac:dyDescent="0.3">
      <c r="A933">
        <v>932</v>
      </c>
      <c r="B933" s="6">
        <v>45578869</v>
      </c>
      <c r="C933" t="str">
        <f>VLOOKUP(B933,[1]BD_FINAL!$A:$H,2,FALSE)</f>
        <v>Farine</v>
      </c>
      <c r="D933" t="str">
        <f>VLOOKUP(B933,[1]BD_FINAL!$A:$H,3,FALSE)</f>
        <v>Baranquilla</v>
      </c>
      <c r="E933" t="str">
        <f>VLOOKUP(B933,[1]BD_FINAL!$A:$H,8,FALSE)</f>
        <v>Tratamiento</v>
      </c>
      <c r="F933" s="2">
        <f t="shared" si="42"/>
        <v>1</v>
      </c>
      <c r="G933">
        <f t="shared" si="43"/>
        <v>3</v>
      </c>
      <c r="H933" s="3" t="s">
        <v>4886</v>
      </c>
      <c r="I933" s="6" t="str">
        <f t="shared" si="44"/>
        <v>01030932</v>
      </c>
    </row>
    <row r="934" spans="1:9" x14ac:dyDescent="0.3">
      <c r="A934">
        <v>933</v>
      </c>
      <c r="B934" s="6">
        <v>45584758</v>
      </c>
      <c r="C934" t="str">
        <f>VLOOKUP(B934,[1]BD_FINAL!$A:$H,2,FALSE)</f>
        <v>Danith</v>
      </c>
      <c r="D934" t="str">
        <f>VLOOKUP(B934,[1]BD_FINAL!$A:$H,3,FALSE)</f>
        <v>Baranquilla</v>
      </c>
      <c r="E934" t="str">
        <f>VLOOKUP(B934,[1]BD_FINAL!$A:$H,8,FALSE)</f>
        <v>Tratamiento</v>
      </c>
      <c r="F934" s="2">
        <f t="shared" si="42"/>
        <v>1</v>
      </c>
      <c r="G934">
        <f t="shared" si="43"/>
        <v>3</v>
      </c>
      <c r="H934" s="3" t="s">
        <v>4887</v>
      </c>
      <c r="I934" s="6" t="str">
        <f t="shared" si="44"/>
        <v>01030933</v>
      </c>
    </row>
    <row r="935" spans="1:9" x14ac:dyDescent="0.3">
      <c r="A935">
        <v>934</v>
      </c>
      <c r="B935" s="6">
        <v>4698774</v>
      </c>
      <c r="C935" t="str">
        <f>VLOOKUP(B935,[1]BD_FINAL!$A:$H,2,FALSE)</f>
        <v xml:space="preserve">Bolívar </v>
      </c>
      <c r="D935" t="str">
        <f>VLOOKUP(B935,[1]BD_FINAL!$A:$H,3,FALSE)</f>
        <v>Cali</v>
      </c>
      <c r="E935" t="str">
        <f>VLOOKUP(B935,[1]BD_FINAL!$A:$H,8,FALSE)</f>
        <v>Tratamiento</v>
      </c>
      <c r="F935" s="2">
        <f t="shared" si="42"/>
        <v>1</v>
      </c>
      <c r="G935">
        <f t="shared" si="43"/>
        <v>2</v>
      </c>
      <c r="H935" s="3" t="s">
        <v>4888</v>
      </c>
      <c r="I935" s="6" t="str">
        <f t="shared" si="44"/>
        <v>01020934</v>
      </c>
    </row>
    <row r="936" spans="1:9" x14ac:dyDescent="0.3">
      <c r="A936">
        <v>935</v>
      </c>
      <c r="B936" s="6">
        <v>4698828</v>
      </c>
      <c r="C936" t="str">
        <f>VLOOKUP(B936,[1]BD_FINAL!$A:$H,2,FALSE)</f>
        <v xml:space="preserve">WILSON MAMIAM </v>
      </c>
      <c r="D936" t="str">
        <f>VLOOKUP(B936,[1]BD_FINAL!$A:$H,3,FALSE)</f>
        <v>Cali</v>
      </c>
      <c r="E936" t="str">
        <f>VLOOKUP(B936,[1]BD_FINAL!$A:$H,8,FALSE)</f>
        <v>Control</v>
      </c>
      <c r="F936" s="2">
        <f t="shared" si="42"/>
        <v>0</v>
      </c>
      <c r="G936">
        <f t="shared" si="43"/>
        <v>2</v>
      </c>
      <c r="H936" s="3" t="s">
        <v>4889</v>
      </c>
      <c r="I936" s="6" t="str">
        <f t="shared" si="44"/>
        <v>00020935</v>
      </c>
    </row>
    <row r="937" spans="1:9" x14ac:dyDescent="0.3">
      <c r="A937">
        <v>936</v>
      </c>
      <c r="B937" s="6">
        <v>4721794</v>
      </c>
      <c r="C937" t="str">
        <f>VLOOKUP(B937,[1]BD_FINAL!$A:$H,2,FALSE)</f>
        <v>Basilio</v>
      </c>
      <c r="D937" t="str">
        <f>VLOOKUP(B937,[1]BD_FINAL!$A:$H,3,FALSE)</f>
        <v>Cali</v>
      </c>
      <c r="E937" t="str">
        <f>VLOOKUP(B937,[1]BD_FINAL!$A:$H,8,FALSE)</f>
        <v>Tratamiento</v>
      </c>
      <c r="F937" s="2">
        <f t="shared" si="42"/>
        <v>1</v>
      </c>
      <c r="G937">
        <f t="shared" si="43"/>
        <v>2</v>
      </c>
      <c r="H937" s="3" t="s">
        <v>4890</v>
      </c>
      <c r="I937" s="6" t="str">
        <f t="shared" si="44"/>
        <v>01020936</v>
      </c>
    </row>
    <row r="938" spans="1:9" x14ac:dyDescent="0.3">
      <c r="A938">
        <v>937</v>
      </c>
      <c r="B938" s="6">
        <v>4755752</v>
      </c>
      <c r="C938" t="str">
        <f>VLOOKUP(B938,[1]BD_FINAL!$A:$H,2,FALSE)</f>
        <v xml:space="preserve">Heriverto </v>
      </c>
      <c r="D938" t="str">
        <f>VLOOKUP(B938,[1]BD_FINAL!$A:$H,3,FALSE)</f>
        <v>Cali</v>
      </c>
      <c r="E938" t="str">
        <f>VLOOKUP(B938,[1]BD_FINAL!$A:$H,8,FALSE)</f>
        <v>Control</v>
      </c>
      <c r="F938" s="2">
        <f t="shared" si="42"/>
        <v>0</v>
      </c>
      <c r="G938">
        <f t="shared" si="43"/>
        <v>2</v>
      </c>
      <c r="H938" s="3" t="s">
        <v>4891</v>
      </c>
      <c r="I938" s="6" t="str">
        <f t="shared" si="44"/>
        <v>00020937</v>
      </c>
    </row>
    <row r="939" spans="1:9" x14ac:dyDescent="0.3">
      <c r="A939">
        <v>938</v>
      </c>
      <c r="B939" s="6">
        <v>48571448</v>
      </c>
      <c r="C939" t="str">
        <f>VLOOKUP(B939,[1]BD_FINAL!$A:$H,2,FALSE)</f>
        <v xml:space="preserve">MARIA HERLINDA </v>
      </c>
      <c r="D939" t="str">
        <f>VLOOKUP(B939,[1]BD_FINAL!$A:$H,3,FALSE)</f>
        <v>Cali</v>
      </c>
      <c r="E939" t="str">
        <f>VLOOKUP(B939,[1]BD_FINAL!$A:$H,8,FALSE)</f>
        <v>Control</v>
      </c>
      <c r="F939" s="2">
        <f t="shared" si="42"/>
        <v>0</v>
      </c>
      <c r="G939">
        <f t="shared" si="43"/>
        <v>2</v>
      </c>
      <c r="H939" s="3" t="s">
        <v>4892</v>
      </c>
      <c r="I939" s="6" t="str">
        <f t="shared" si="44"/>
        <v>00020938</v>
      </c>
    </row>
    <row r="940" spans="1:9" x14ac:dyDescent="0.3">
      <c r="A940">
        <v>939</v>
      </c>
      <c r="B940" s="6">
        <v>48612619</v>
      </c>
      <c r="C940" t="str">
        <f>VLOOKUP(B940,[1]BD_FINAL!$A:$H,2,FALSE)</f>
        <v>María oliva</v>
      </c>
      <c r="D940" t="str">
        <f>VLOOKUP(B940,[1]BD_FINAL!$A:$H,3,FALSE)</f>
        <v>Cali</v>
      </c>
      <c r="E940" t="str">
        <f>VLOOKUP(B940,[1]BD_FINAL!$A:$H,8,FALSE)</f>
        <v>Tratamiento</v>
      </c>
      <c r="F940" s="2">
        <f t="shared" si="42"/>
        <v>1</v>
      </c>
      <c r="G940">
        <f t="shared" si="43"/>
        <v>2</v>
      </c>
      <c r="H940" s="3" t="s">
        <v>4893</v>
      </c>
      <c r="I940" s="6" t="str">
        <f t="shared" si="44"/>
        <v>01020939</v>
      </c>
    </row>
    <row r="941" spans="1:9" x14ac:dyDescent="0.3">
      <c r="A941">
        <v>940</v>
      </c>
      <c r="B941" s="6">
        <v>48614162</v>
      </c>
      <c r="C941" t="str">
        <f>VLOOKUP(B941,[1]BD_FINAL!$A:$H,2,FALSE)</f>
        <v xml:space="preserve">Amelia </v>
      </c>
      <c r="D941" t="str">
        <f>VLOOKUP(B941,[1]BD_FINAL!$A:$H,3,FALSE)</f>
        <v>Cali</v>
      </c>
      <c r="E941" t="str">
        <f>VLOOKUP(B941,[1]BD_FINAL!$A:$H,8,FALSE)</f>
        <v>Tratamiento</v>
      </c>
      <c r="F941" s="2">
        <f t="shared" si="42"/>
        <v>1</v>
      </c>
      <c r="G941">
        <f t="shared" si="43"/>
        <v>2</v>
      </c>
      <c r="H941" s="3" t="s">
        <v>4894</v>
      </c>
      <c r="I941" s="6" t="str">
        <f t="shared" si="44"/>
        <v>01020940</v>
      </c>
    </row>
    <row r="942" spans="1:9" x14ac:dyDescent="0.3">
      <c r="A942">
        <v>941</v>
      </c>
      <c r="B942" s="6">
        <v>49670234</v>
      </c>
      <c r="C942" t="str">
        <f>VLOOKUP(B942,[1]BD_FINAL!$A:$H,2,FALSE)</f>
        <v xml:space="preserve">Ruth Bibiana </v>
      </c>
      <c r="D942" t="str">
        <f>VLOOKUP(B942,[1]BD_FINAL!$A:$H,3,FALSE)</f>
        <v>Medellin</v>
      </c>
      <c r="E942" t="str">
        <f>VLOOKUP(B942,[1]BD_FINAL!$A:$H,8,FALSE)</f>
        <v>Tratamiento</v>
      </c>
      <c r="F942" s="2">
        <f t="shared" si="42"/>
        <v>1</v>
      </c>
      <c r="G942">
        <f t="shared" si="43"/>
        <v>1</v>
      </c>
      <c r="H942" s="3" t="s">
        <v>4895</v>
      </c>
      <c r="I942" s="6" t="str">
        <f t="shared" si="44"/>
        <v>01010941</v>
      </c>
    </row>
    <row r="943" spans="1:9" x14ac:dyDescent="0.3">
      <c r="A943">
        <v>942</v>
      </c>
      <c r="B943" s="6">
        <v>49691954</v>
      </c>
      <c r="C943" t="str">
        <f>VLOOKUP(B943,[1]BD_FINAL!$A:$H,2,FALSE)</f>
        <v xml:space="preserve">Judy Mercedes </v>
      </c>
      <c r="D943" t="str">
        <f>VLOOKUP(B943,[1]BD_FINAL!$A:$H,3,FALSE)</f>
        <v>Medellin</v>
      </c>
      <c r="E943" t="str">
        <f>VLOOKUP(B943,[1]BD_FINAL!$A:$H,8,FALSE)</f>
        <v>Tratamiento</v>
      </c>
      <c r="F943" s="2">
        <f t="shared" si="42"/>
        <v>1</v>
      </c>
      <c r="G943">
        <f t="shared" si="43"/>
        <v>1</v>
      </c>
      <c r="H943" s="3" t="s">
        <v>4896</v>
      </c>
      <c r="I943" s="6" t="str">
        <f t="shared" si="44"/>
        <v>01010942</v>
      </c>
    </row>
    <row r="944" spans="1:9" x14ac:dyDescent="0.3">
      <c r="A944">
        <v>943</v>
      </c>
      <c r="B944" s="6">
        <v>4995718</v>
      </c>
      <c r="C944" t="str">
        <f>VLOOKUP(B944,[1]BD_FINAL!$A:$H,2,FALSE)</f>
        <v xml:space="preserve">José </v>
      </c>
      <c r="D944" t="str">
        <f>VLOOKUP(B944,[1]BD_FINAL!$A:$H,3,FALSE)</f>
        <v>Baranquilla</v>
      </c>
      <c r="E944" t="str">
        <f>VLOOKUP(B944,[1]BD_FINAL!$A:$H,8,FALSE)</f>
        <v>Control</v>
      </c>
      <c r="F944" s="2">
        <f t="shared" si="42"/>
        <v>0</v>
      </c>
      <c r="G944">
        <f t="shared" si="43"/>
        <v>3</v>
      </c>
      <c r="H944" s="3" t="s">
        <v>4897</v>
      </c>
      <c r="I944" s="6" t="str">
        <f t="shared" si="44"/>
        <v>00030943</v>
      </c>
    </row>
    <row r="945" spans="1:9" x14ac:dyDescent="0.3">
      <c r="A945">
        <v>944</v>
      </c>
      <c r="B945" s="6">
        <v>50947411</v>
      </c>
      <c r="C945" t="str">
        <f>VLOOKUP(B945,[1]BD_FINAL!$A:$H,2,FALSE)</f>
        <v>Armando Antonio</v>
      </c>
      <c r="D945" t="str">
        <f>VLOOKUP(B945,[1]BD_FINAL!$A:$H,3,FALSE)</f>
        <v>Medellin</v>
      </c>
      <c r="E945" t="str">
        <f>VLOOKUP(B945,[1]BD_FINAL!$A:$H,8,FALSE)</f>
        <v>Tratamiento</v>
      </c>
      <c r="F945" s="2">
        <f t="shared" si="42"/>
        <v>1</v>
      </c>
      <c r="G945">
        <f t="shared" si="43"/>
        <v>1</v>
      </c>
      <c r="H945" s="3" t="s">
        <v>4898</v>
      </c>
      <c r="I945" s="6" t="str">
        <f t="shared" si="44"/>
        <v>01010944</v>
      </c>
    </row>
    <row r="946" spans="1:9" x14ac:dyDescent="0.3">
      <c r="A946">
        <v>945</v>
      </c>
      <c r="B946" s="6">
        <v>5122512</v>
      </c>
      <c r="C946" t="str">
        <f>VLOOKUP(B946,[1]BD_FINAL!$A:$H,2,FALSE)</f>
        <v xml:space="preserve">Argemiro Manuel </v>
      </c>
      <c r="D946" t="str">
        <f>VLOOKUP(B946,[1]BD_FINAL!$A:$H,3,FALSE)</f>
        <v>Baranquilla</v>
      </c>
      <c r="E946" t="str">
        <f>VLOOKUP(B946,[1]BD_FINAL!$A:$H,8,FALSE)</f>
        <v>Tratamiento</v>
      </c>
      <c r="F946" s="2">
        <f t="shared" si="42"/>
        <v>1</v>
      </c>
      <c r="G946">
        <f t="shared" si="43"/>
        <v>3</v>
      </c>
      <c r="H946" s="3" t="s">
        <v>4899</v>
      </c>
      <c r="I946" s="6" t="str">
        <f t="shared" si="44"/>
        <v>01030945</v>
      </c>
    </row>
    <row r="947" spans="1:9" x14ac:dyDescent="0.3">
      <c r="A947">
        <v>946</v>
      </c>
      <c r="B947" s="6">
        <v>52136819</v>
      </c>
      <c r="C947" t="str">
        <f>VLOOKUP(B947,[1]BD_FINAL!$A:$H,2,FALSE)</f>
        <v xml:space="preserve">XIOMARA </v>
      </c>
      <c r="D947" t="str">
        <f>VLOOKUP(B947,[1]BD_FINAL!$A:$H,3,FALSE)</f>
        <v>Baranquilla</v>
      </c>
      <c r="E947" t="str">
        <f>VLOOKUP(B947,[1]BD_FINAL!$A:$H,8,FALSE)</f>
        <v>Tratamiento</v>
      </c>
      <c r="F947" s="2">
        <f t="shared" si="42"/>
        <v>1</v>
      </c>
      <c r="G947">
        <f t="shared" si="43"/>
        <v>3</v>
      </c>
      <c r="H947" s="3" t="s">
        <v>4900</v>
      </c>
      <c r="I947" s="6" t="str">
        <f t="shared" si="44"/>
        <v>01030946</v>
      </c>
    </row>
    <row r="948" spans="1:9" x14ac:dyDescent="0.3">
      <c r="A948">
        <v>947</v>
      </c>
      <c r="B948" s="6">
        <v>5217736</v>
      </c>
      <c r="C948" t="str">
        <f>VLOOKUP(B948,[1]BD_FINAL!$A:$H,2,FALSE)</f>
        <v>Bolivar</v>
      </c>
      <c r="D948" t="str">
        <f>VLOOKUP(B948,[1]BD_FINAL!$A:$H,3,FALSE)</f>
        <v>Cali</v>
      </c>
      <c r="E948" t="str">
        <f>VLOOKUP(B948,[1]BD_FINAL!$A:$H,8,FALSE)</f>
        <v>Tratamiento</v>
      </c>
      <c r="F948" s="2">
        <f t="shared" si="42"/>
        <v>1</v>
      </c>
      <c r="G948">
        <f t="shared" si="43"/>
        <v>2</v>
      </c>
      <c r="H948" s="3" t="s">
        <v>4901</v>
      </c>
      <c r="I948" s="6" t="str">
        <f t="shared" si="44"/>
        <v>01020947</v>
      </c>
    </row>
    <row r="949" spans="1:9" x14ac:dyDescent="0.3">
      <c r="A949">
        <v>948</v>
      </c>
      <c r="B949" s="6">
        <v>55221885</v>
      </c>
      <c r="C949" t="str">
        <f>VLOOKUP(B949,[1]BD_FINAL!$A:$H,2,FALSE)</f>
        <v>Claudia patricia</v>
      </c>
      <c r="D949" t="str">
        <f>VLOOKUP(B949,[1]BD_FINAL!$A:$H,3,FALSE)</f>
        <v>Baranquilla</v>
      </c>
      <c r="E949" t="str">
        <f>VLOOKUP(B949,[1]BD_FINAL!$A:$H,8,FALSE)</f>
        <v>Control</v>
      </c>
      <c r="F949" s="2">
        <f t="shared" si="42"/>
        <v>0</v>
      </c>
      <c r="G949">
        <f t="shared" si="43"/>
        <v>3</v>
      </c>
      <c r="H949" s="3" t="s">
        <v>4902</v>
      </c>
      <c r="I949" s="6" t="str">
        <f t="shared" si="44"/>
        <v>00030948</v>
      </c>
    </row>
    <row r="950" spans="1:9" x14ac:dyDescent="0.3">
      <c r="A950">
        <v>949</v>
      </c>
      <c r="B950" s="6">
        <v>55226186</v>
      </c>
      <c r="C950" t="str">
        <f>VLOOKUP(B950,[1]BD_FINAL!$A:$H,2,FALSE)</f>
        <v xml:space="preserve">Carmen </v>
      </c>
      <c r="D950" t="str">
        <f>VLOOKUP(B950,[1]BD_FINAL!$A:$H,3,FALSE)</f>
        <v>Baranquilla</v>
      </c>
      <c r="E950" t="str">
        <f>VLOOKUP(B950,[1]BD_FINAL!$A:$H,8,FALSE)</f>
        <v>Control</v>
      </c>
      <c r="F950" s="2">
        <f t="shared" si="42"/>
        <v>0</v>
      </c>
      <c r="G950">
        <f t="shared" si="43"/>
        <v>3</v>
      </c>
      <c r="H950" s="3" t="s">
        <v>4903</v>
      </c>
      <c r="I950" s="6" t="str">
        <f t="shared" si="44"/>
        <v>00030949</v>
      </c>
    </row>
    <row r="951" spans="1:9" x14ac:dyDescent="0.3">
      <c r="A951">
        <v>950</v>
      </c>
      <c r="B951" s="6">
        <v>55228378</v>
      </c>
      <c r="C951" t="str">
        <f>VLOOKUP(B951,[1]BD_FINAL!$A:$H,2,FALSE)</f>
        <v xml:space="preserve">Rosario </v>
      </c>
      <c r="D951" t="str">
        <f>VLOOKUP(B951,[1]BD_FINAL!$A:$H,3,FALSE)</f>
        <v>Baranquilla</v>
      </c>
      <c r="E951" t="str">
        <f>VLOOKUP(B951,[1]BD_FINAL!$A:$H,8,FALSE)</f>
        <v>Control</v>
      </c>
      <c r="F951" s="2">
        <f t="shared" si="42"/>
        <v>0</v>
      </c>
      <c r="G951">
        <f t="shared" si="43"/>
        <v>3</v>
      </c>
      <c r="H951" s="3" t="s">
        <v>4904</v>
      </c>
      <c r="I951" s="6" t="str">
        <f t="shared" si="44"/>
        <v>00030950</v>
      </c>
    </row>
    <row r="952" spans="1:9" x14ac:dyDescent="0.3">
      <c r="A952">
        <v>951</v>
      </c>
      <c r="B952" s="6">
        <v>55231073</v>
      </c>
      <c r="C952" t="str">
        <f>VLOOKUP(B952,[1]BD_FINAL!$A:$H,2,FALSE)</f>
        <v xml:space="preserve">Luz </v>
      </c>
      <c r="D952" t="str">
        <f>VLOOKUP(B952,[1]BD_FINAL!$A:$H,3,FALSE)</f>
        <v>Baranquilla</v>
      </c>
      <c r="E952" t="str">
        <f>VLOOKUP(B952,[1]BD_FINAL!$A:$H,8,FALSE)</f>
        <v>Tratamiento</v>
      </c>
      <c r="F952" s="2">
        <f t="shared" si="42"/>
        <v>1</v>
      </c>
      <c r="G952">
        <f t="shared" si="43"/>
        <v>3</v>
      </c>
      <c r="H952" s="3" t="s">
        <v>4905</v>
      </c>
      <c r="I952" s="6" t="str">
        <f t="shared" si="44"/>
        <v>01030951</v>
      </c>
    </row>
    <row r="953" spans="1:9" x14ac:dyDescent="0.3">
      <c r="A953">
        <v>952</v>
      </c>
      <c r="B953" s="6">
        <v>55232194</v>
      </c>
      <c r="C953" t="str">
        <f>VLOOKUP(B953,[1]BD_FINAL!$A:$H,2,FALSE)</f>
        <v>Omaira isabel</v>
      </c>
      <c r="D953" t="str">
        <f>VLOOKUP(B953,[1]BD_FINAL!$A:$H,3,FALSE)</f>
        <v>Baranquilla</v>
      </c>
      <c r="E953" t="str">
        <f>VLOOKUP(B953,[1]BD_FINAL!$A:$H,8,FALSE)</f>
        <v>Control</v>
      </c>
      <c r="F953" s="2">
        <f t="shared" si="42"/>
        <v>0</v>
      </c>
      <c r="G953">
        <f t="shared" si="43"/>
        <v>3</v>
      </c>
      <c r="H953" s="3" t="s">
        <v>4906</v>
      </c>
      <c r="I953" s="6" t="str">
        <f t="shared" si="44"/>
        <v>00030952</v>
      </c>
    </row>
    <row r="954" spans="1:9" x14ac:dyDescent="0.3">
      <c r="A954">
        <v>953</v>
      </c>
      <c r="B954" s="6">
        <v>55232316</v>
      </c>
      <c r="C954" t="str">
        <f>VLOOKUP(B954,[1]BD_FINAL!$A:$H,2,FALSE)</f>
        <v xml:space="preserve">Zoila </v>
      </c>
      <c r="D954" t="str">
        <f>VLOOKUP(B954,[1]BD_FINAL!$A:$H,3,FALSE)</f>
        <v>Baranquilla</v>
      </c>
      <c r="E954" t="str">
        <f>VLOOKUP(B954,[1]BD_FINAL!$A:$H,8,FALSE)</f>
        <v>Tratamiento</v>
      </c>
      <c r="F954" s="2">
        <f t="shared" si="42"/>
        <v>1</v>
      </c>
      <c r="G954">
        <f t="shared" si="43"/>
        <v>3</v>
      </c>
      <c r="H954" s="3" t="s">
        <v>4907</v>
      </c>
      <c r="I954" s="6" t="str">
        <f t="shared" si="44"/>
        <v>01030953</v>
      </c>
    </row>
    <row r="955" spans="1:9" x14ac:dyDescent="0.3">
      <c r="A955">
        <v>954</v>
      </c>
      <c r="B955" s="6">
        <v>55240557</v>
      </c>
      <c r="C955" t="str">
        <f>VLOOKUP(B955,[1]BD_FINAL!$A:$H,2,FALSE)</f>
        <v xml:space="preserve">Bertha </v>
      </c>
      <c r="D955" t="str">
        <f>VLOOKUP(B955,[1]BD_FINAL!$A:$H,3,FALSE)</f>
        <v>Baranquilla</v>
      </c>
      <c r="E955" t="str">
        <f>VLOOKUP(B955,[1]BD_FINAL!$A:$H,8,FALSE)</f>
        <v>Control</v>
      </c>
      <c r="F955" s="2">
        <f t="shared" si="42"/>
        <v>0</v>
      </c>
      <c r="G955">
        <f t="shared" si="43"/>
        <v>3</v>
      </c>
      <c r="H955" s="3" t="s">
        <v>4908</v>
      </c>
      <c r="I955" s="6" t="str">
        <f t="shared" si="44"/>
        <v>00030954</v>
      </c>
    </row>
    <row r="956" spans="1:9" x14ac:dyDescent="0.3">
      <c r="A956">
        <v>955</v>
      </c>
      <c r="B956" s="6">
        <v>55300439</v>
      </c>
      <c r="C956" t="str">
        <f>VLOOKUP(B956,[1]BD_FINAL!$A:$H,2,FALSE)</f>
        <v>Nubia</v>
      </c>
      <c r="D956" t="str">
        <f>VLOOKUP(B956,[1]BD_FINAL!$A:$H,3,FALSE)</f>
        <v>Baranquilla</v>
      </c>
      <c r="E956" t="str">
        <f>VLOOKUP(B956,[1]BD_FINAL!$A:$H,8,FALSE)</f>
        <v>Control</v>
      </c>
      <c r="F956" s="2">
        <f t="shared" si="42"/>
        <v>0</v>
      </c>
      <c r="G956">
        <f t="shared" si="43"/>
        <v>3</v>
      </c>
      <c r="H956" s="3" t="s">
        <v>4909</v>
      </c>
      <c r="I956" s="6" t="str">
        <f t="shared" si="44"/>
        <v>00030955</v>
      </c>
    </row>
    <row r="957" spans="1:9" x14ac:dyDescent="0.3">
      <c r="A957">
        <v>956</v>
      </c>
      <c r="B957" s="6">
        <v>57304740</v>
      </c>
      <c r="C957" t="str">
        <f>VLOOKUP(B957,[1]BD_FINAL!$A:$H,2,FALSE)</f>
        <v xml:space="preserve">CLAUDIA </v>
      </c>
      <c r="D957" t="str">
        <f>VLOOKUP(B957,[1]BD_FINAL!$A:$H,3,FALSE)</f>
        <v>Baranquilla</v>
      </c>
      <c r="E957" t="str">
        <f>VLOOKUP(B957,[1]BD_FINAL!$A:$H,8,FALSE)</f>
        <v>Tratamiento</v>
      </c>
      <c r="F957" s="2">
        <f t="shared" si="42"/>
        <v>1</v>
      </c>
      <c r="G957">
        <f t="shared" si="43"/>
        <v>3</v>
      </c>
      <c r="H957" s="3" t="s">
        <v>4910</v>
      </c>
      <c r="I957" s="6" t="str">
        <f t="shared" si="44"/>
        <v>01030956</v>
      </c>
    </row>
    <row r="958" spans="1:9" x14ac:dyDescent="0.3">
      <c r="A958">
        <v>957</v>
      </c>
      <c r="B958" s="6">
        <v>6307220</v>
      </c>
      <c r="C958" t="str">
        <f>VLOOKUP(B958,[1]BD_FINAL!$A:$H,2,FALSE)</f>
        <v>Gerardo</v>
      </c>
      <c r="D958" t="str">
        <f>VLOOKUP(B958,[1]BD_FINAL!$A:$H,3,FALSE)</f>
        <v>Cali</v>
      </c>
      <c r="E958" t="str">
        <f>VLOOKUP(B958,[1]BD_FINAL!$A:$H,8,FALSE)</f>
        <v>Tratamiento</v>
      </c>
      <c r="F958" s="2">
        <f t="shared" si="42"/>
        <v>1</v>
      </c>
      <c r="G958">
        <f t="shared" si="43"/>
        <v>2</v>
      </c>
      <c r="H958" s="3" t="s">
        <v>4911</v>
      </c>
      <c r="I958" s="6" t="str">
        <f t="shared" si="44"/>
        <v>01020957</v>
      </c>
    </row>
    <row r="959" spans="1:9" x14ac:dyDescent="0.3">
      <c r="A959">
        <v>958</v>
      </c>
      <c r="B959" s="6">
        <v>64479725</v>
      </c>
      <c r="C959" t="str">
        <f>VLOOKUP(B959,[1]BD_FINAL!$A:$H,2,FALSE)</f>
        <v xml:space="preserve">Sandra Patricia </v>
      </c>
      <c r="D959" t="str">
        <f>VLOOKUP(B959,[1]BD_FINAL!$A:$H,3,FALSE)</f>
        <v>Baranquilla</v>
      </c>
      <c r="E959" t="str">
        <f>VLOOKUP(B959,[1]BD_FINAL!$A:$H,8,FALSE)</f>
        <v>Control</v>
      </c>
      <c r="F959" s="2">
        <f t="shared" si="42"/>
        <v>0</v>
      </c>
      <c r="G959">
        <f t="shared" si="43"/>
        <v>3</v>
      </c>
      <c r="H959" s="3" t="s">
        <v>4912</v>
      </c>
      <c r="I959" s="6" t="str">
        <f t="shared" si="44"/>
        <v>00030958</v>
      </c>
    </row>
    <row r="960" spans="1:9" x14ac:dyDescent="0.3">
      <c r="A960">
        <v>959</v>
      </c>
      <c r="B960" s="6">
        <v>64558825</v>
      </c>
      <c r="C960" t="str">
        <f>VLOOKUP(B960,[1]BD_FINAL!$A:$H,2,FALSE)</f>
        <v>Rosalba</v>
      </c>
      <c r="D960" t="str">
        <f>VLOOKUP(B960,[1]BD_FINAL!$A:$H,3,FALSE)</f>
        <v>Baranquilla</v>
      </c>
      <c r="E960" t="str">
        <f>VLOOKUP(B960,[1]BD_FINAL!$A:$H,8,FALSE)</f>
        <v>Tratamiento</v>
      </c>
      <c r="F960" s="2">
        <f t="shared" si="42"/>
        <v>1</v>
      </c>
      <c r="G960">
        <f t="shared" si="43"/>
        <v>3</v>
      </c>
      <c r="H960" s="3" t="s">
        <v>4913</v>
      </c>
      <c r="I960" s="6" t="str">
        <f t="shared" si="44"/>
        <v>01030959</v>
      </c>
    </row>
    <row r="961" spans="1:9" x14ac:dyDescent="0.3">
      <c r="A961">
        <v>960</v>
      </c>
      <c r="B961" s="6">
        <v>64865431</v>
      </c>
      <c r="C961" t="str">
        <f>VLOOKUP(B961,[1]BD_FINAL!$A:$H,2,FALSE)</f>
        <v>Damaris lucia</v>
      </c>
      <c r="D961" t="str">
        <f>VLOOKUP(B961,[1]BD_FINAL!$A:$H,3,FALSE)</f>
        <v>Baranquilla</v>
      </c>
      <c r="E961" t="str">
        <f>VLOOKUP(B961,[1]BD_FINAL!$A:$H,8,FALSE)</f>
        <v>Control</v>
      </c>
      <c r="F961" s="2">
        <f t="shared" si="42"/>
        <v>0</v>
      </c>
      <c r="G961">
        <f t="shared" si="43"/>
        <v>3</v>
      </c>
      <c r="H961" s="3" t="s">
        <v>4914</v>
      </c>
      <c r="I961" s="6" t="str">
        <f t="shared" si="44"/>
        <v>00030960</v>
      </c>
    </row>
    <row r="962" spans="1:9" x14ac:dyDescent="0.3">
      <c r="A962">
        <v>961</v>
      </c>
      <c r="B962" s="6">
        <v>65747539</v>
      </c>
      <c r="C962" t="str">
        <f>VLOOKUP(B962,[1]BD_FINAL!$A:$H,2,FALSE)</f>
        <v xml:space="preserve">María Eugenia </v>
      </c>
      <c r="D962" t="str">
        <f>VLOOKUP(B962,[1]BD_FINAL!$A:$H,3,FALSE)</f>
        <v>Baranquilla</v>
      </c>
      <c r="E962" t="str">
        <f>VLOOKUP(B962,[1]BD_FINAL!$A:$H,8,FALSE)</f>
        <v>Control</v>
      </c>
      <c r="F962" s="2">
        <f t="shared" si="42"/>
        <v>0</v>
      </c>
      <c r="G962">
        <f t="shared" si="43"/>
        <v>3</v>
      </c>
      <c r="H962" s="3" t="s">
        <v>4915</v>
      </c>
      <c r="I962" s="6" t="str">
        <f t="shared" si="44"/>
        <v>00030961</v>
      </c>
    </row>
    <row r="963" spans="1:9" x14ac:dyDescent="0.3">
      <c r="A963">
        <v>962</v>
      </c>
      <c r="B963" s="6">
        <v>65815427</v>
      </c>
      <c r="C963" t="str">
        <f>VLOOKUP(B963,[1]BD_FINAL!$A:$H,2,FALSE)</f>
        <v xml:space="preserve">BERNARDITA </v>
      </c>
      <c r="D963" t="str">
        <f>VLOOKUP(B963,[1]BD_FINAL!$A:$H,3,FALSE)</f>
        <v>Cali</v>
      </c>
      <c r="E963" t="str">
        <f>VLOOKUP(B963,[1]BD_FINAL!$A:$H,8,FALSE)</f>
        <v>Tratamiento</v>
      </c>
      <c r="F963" s="2">
        <f t="shared" ref="F963:F1026" si="45">IF(E963="CONTROL",0,1)</f>
        <v>1</v>
      </c>
      <c r="G963">
        <f t="shared" ref="G963:G1026" si="46">IF(D963="Medellin",1,IF(D963="Cali",2,IF(D963="Baranquilla",3,0)))</f>
        <v>2</v>
      </c>
      <c r="H963" s="3" t="s">
        <v>4916</v>
      </c>
      <c r="I963" s="6" t="str">
        <f t="shared" ref="I963:I1026" si="47">_xlfn.CONCAT(0,F963,0,G963,H963)</f>
        <v>01020962</v>
      </c>
    </row>
    <row r="964" spans="1:9" x14ac:dyDescent="0.3">
      <c r="A964">
        <v>963</v>
      </c>
      <c r="B964" s="6">
        <v>66814958</v>
      </c>
      <c r="C964" t="str">
        <f>VLOOKUP(B964,[1]BD_FINAL!$A:$H,2,FALSE)</f>
        <v>María etelbina</v>
      </c>
      <c r="D964" t="str">
        <f>VLOOKUP(B964,[1]BD_FINAL!$A:$H,3,FALSE)</f>
        <v>Cali</v>
      </c>
      <c r="E964" t="str">
        <f>VLOOKUP(B964,[1]BD_FINAL!$A:$H,8,FALSE)</f>
        <v>Control</v>
      </c>
      <c r="F964" s="2">
        <f t="shared" si="45"/>
        <v>0</v>
      </c>
      <c r="G964">
        <f t="shared" si="46"/>
        <v>2</v>
      </c>
      <c r="H964" s="3" t="s">
        <v>4917</v>
      </c>
      <c r="I964" s="6" t="str">
        <f t="shared" si="47"/>
        <v>00020963</v>
      </c>
    </row>
    <row r="965" spans="1:9" x14ac:dyDescent="0.3">
      <c r="A965">
        <v>964</v>
      </c>
      <c r="B965" s="6">
        <v>66815424</v>
      </c>
      <c r="C965" t="str">
        <f>VLOOKUP(B965,[1]BD_FINAL!$A:$H,2,FALSE)</f>
        <v xml:space="preserve">Luz Elena </v>
      </c>
      <c r="D965" t="str">
        <f>VLOOKUP(B965,[1]BD_FINAL!$A:$H,3,FALSE)</f>
        <v>Cali</v>
      </c>
      <c r="E965" t="str">
        <f>VLOOKUP(B965,[1]BD_FINAL!$A:$H,8,FALSE)</f>
        <v>Control</v>
      </c>
      <c r="F965" s="2">
        <f t="shared" si="45"/>
        <v>0</v>
      </c>
      <c r="G965">
        <f t="shared" si="46"/>
        <v>2</v>
      </c>
      <c r="H965" s="3" t="s">
        <v>4918</v>
      </c>
      <c r="I965" s="6" t="str">
        <f t="shared" si="47"/>
        <v>00020964</v>
      </c>
    </row>
    <row r="966" spans="1:9" x14ac:dyDescent="0.3">
      <c r="A966">
        <v>965</v>
      </c>
      <c r="B966" s="6">
        <v>66819007</v>
      </c>
      <c r="C966" t="str">
        <f>VLOOKUP(B966,[1]BD_FINAL!$A:$H,2,FALSE)</f>
        <v xml:space="preserve">PASTORA </v>
      </c>
      <c r="D966" t="str">
        <f>VLOOKUP(B966,[1]BD_FINAL!$A:$H,3,FALSE)</f>
        <v>Cali</v>
      </c>
      <c r="E966" t="str">
        <f>VLOOKUP(B966,[1]BD_FINAL!$A:$H,8,FALSE)</f>
        <v>Tratamiento</v>
      </c>
      <c r="F966" s="2">
        <f t="shared" si="45"/>
        <v>1</v>
      </c>
      <c r="G966">
        <f t="shared" si="46"/>
        <v>2</v>
      </c>
      <c r="H966" s="3" t="s">
        <v>4919</v>
      </c>
      <c r="I966" s="6" t="str">
        <f t="shared" si="47"/>
        <v>01020965</v>
      </c>
    </row>
    <row r="967" spans="1:9" x14ac:dyDescent="0.3">
      <c r="A967">
        <v>966</v>
      </c>
      <c r="B967" s="6">
        <v>66826171</v>
      </c>
      <c r="C967" t="str">
        <f>VLOOKUP(B967,[1]BD_FINAL!$A:$H,2,FALSE)</f>
        <v>María rosario</v>
      </c>
      <c r="D967" t="str">
        <f>VLOOKUP(B967,[1]BD_FINAL!$A:$H,3,FALSE)</f>
        <v>Cali</v>
      </c>
      <c r="E967" t="str">
        <f>VLOOKUP(B967,[1]BD_FINAL!$A:$H,8,FALSE)</f>
        <v>Tratamiento</v>
      </c>
      <c r="F967" s="2">
        <f t="shared" si="45"/>
        <v>1</v>
      </c>
      <c r="G967">
        <f t="shared" si="46"/>
        <v>2</v>
      </c>
      <c r="H967" s="3" t="s">
        <v>4920</v>
      </c>
      <c r="I967" s="6" t="str">
        <f t="shared" si="47"/>
        <v>01020966</v>
      </c>
    </row>
    <row r="968" spans="1:9" x14ac:dyDescent="0.3">
      <c r="A968">
        <v>967</v>
      </c>
      <c r="B968" s="6">
        <v>66829892</v>
      </c>
      <c r="C968" t="str">
        <f>VLOOKUP(B968,[1]BD_FINAL!$A:$H,2,FALSE)</f>
        <v xml:space="preserve">NOEMI </v>
      </c>
      <c r="D968" t="str">
        <f>VLOOKUP(B968,[1]BD_FINAL!$A:$H,3,FALSE)</f>
        <v>Cali</v>
      </c>
      <c r="E968" t="str">
        <f>VLOOKUP(B968,[1]BD_FINAL!$A:$H,8,FALSE)</f>
        <v>Control</v>
      </c>
      <c r="F968" s="2">
        <f t="shared" si="45"/>
        <v>0</v>
      </c>
      <c r="G968">
        <f t="shared" si="46"/>
        <v>2</v>
      </c>
      <c r="H968" s="3" t="s">
        <v>4921</v>
      </c>
      <c r="I968" s="6" t="str">
        <f t="shared" si="47"/>
        <v>00020967</v>
      </c>
    </row>
    <row r="969" spans="1:9" x14ac:dyDescent="0.3">
      <c r="A969">
        <v>968</v>
      </c>
      <c r="B969" s="6">
        <v>66831349</v>
      </c>
      <c r="C969" t="str">
        <f>VLOOKUP(B969,[1]BD_FINAL!$A:$H,2,FALSE)</f>
        <v>Rufina</v>
      </c>
      <c r="D969" t="str">
        <f>VLOOKUP(B969,[1]BD_FINAL!$A:$H,3,FALSE)</f>
        <v>Cali</v>
      </c>
      <c r="E969" t="str">
        <f>VLOOKUP(B969,[1]BD_FINAL!$A:$H,8,FALSE)</f>
        <v>Control</v>
      </c>
      <c r="F969" s="2">
        <f t="shared" si="45"/>
        <v>0</v>
      </c>
      <c r="G969">
        <f t="shared" si="46"/>
        <v>2</v>
      </c>
      <c r="H969" s="3" t="s">
        <v>4922</v>
      </c>
      <c r="I969" s="6" t="str">
        <f t="shared" si="47"/>
        <v>00020968</v>
      </c>
    </row>
    <row r="970" spans="1:9" x14ac:dyDescent="0.3">
      <c r="A970">
        <v>969</v>
      </c>
      <c r="B970" s="6">
        <v>66834663</v>
      </c>
      <c r="C970" t="str">
        <f>VLOOKUP(B970,[1]BD_FINAL!$A:$H,2,FALSE)</f>
        <v xml:space="preserve">JENNY </v>
      </c>
      <c r="D970" t="str">
        <f>VLOOKUP(B970,[1]BD_FINAL!$A:$H,3,FALSE)</f>
        <v>Cali</v>
      </c>
      <c r="E970" t="str">
        <f>VLOOKUP(B970,[1]BD_FINAL!$A:$H,8,FALSE)</f>
        <v>Control</v>
      </c>
      <c r="F970" s="2">
        <f t="shared" si="45"/>
        <v>0</v>
      </c>
      <c r="G970">
        <f t="shared" si="46"/>
        <v>2</v>
      </c>
      <c r="H970" s="3" t="s">
        <v>4923</v>
      </c>
      <c r="I970" s="6" t="str">
        <f t="shared" si="47"/>
        <v>00020969</v>
      </c>
    </row>
    <row r="971" spans="1:9" x14ac:dyDescent="0.3">
      <c r="A971">
        <v>970</v>
      </c>
      <c r="B971" s="6">
        <v>66850119</v>
      </c>
      <c r="C971" t="str">
        <f>VLOOKUP(B971,[1]BD_FINAL!$A:$H,2,FALSE)</f>
        <v>Cecilia yasmin</v>
      </c>
      <c r="D971" t="str">
        <f>VLOOKUP(B971,[1]BD_FINAL!$A:$H,3,FALSE)</f>
        <v>Cali</v>
      </c>
      <c r="E971" t="str">
        <f>VLOOKUP(B971,[1]BD_FINAL!$A:$H,8,FALSE)</f>
        <v>Tratamiento</v>
      </c>
      <c r="F971" s="2">
        <f t="shared" si="45"/>
        <v>1</v>
      </c>
      <c r="G971">
        <f t="shared" si="46"/>
        <v>2</v>
      </c>
      <c r="H971" s="3" t="s">
        <v>4924</v>
      </c>
      <c r="I971" s="6" t="str">
        <f t="shared" si="47"/>
        <v>01020970</v>
      </c>
    </row>
    <row r="972" spans="1:9" x14ac:dyDescent="0.3">
      <c r="A972">
        <v>971</v>
      </c>
      <c r="B972" s="6">
        <v>66851995</v>
      </c>
      <c r="C972" t="str">
        <f>VLOOKUP(B972,[1]BD_FINAL!$A:$H,2,FALSE)</f>
        <v xml:space="preserve">Patricia </v>
      </c>
      <c r="D972" t="str">
        <f>VLOOKUP(B972,[1]BD_FINAL!$A:$H,3,FALSE)</f>
        <v>Cali</v>
      </c>
      <c r="E972" t="str">
        <f>VLOOKUP(B972,[1]BD_FINAL!$A:$H,8,FALSE)</f>
        <v>Control</v>
      </c>
      <c r="F972" s="2">
        <f t="shared" si="45"/>
        <v>0</v>
      </c>
      <c r="G972">
        <f t="shared" si="46"/>
        <v>2</v>
      </c>
      <c r="H972" s="3" t="s">
        <v>4925</v>
      </c>
      <c r="I972" s="6" t="str">
        <f t="shared" si="47"/>
        <v>00020971</v>
      </c>
    </row>
    <row r="973" spans="1:9" x14ac:dyDescent="0.3">
      <c r="A973">
        <v>972</v>
      </c>
      <c r="B973" s="6">
        <v>66852181</v>
      </c>
      <c r="C973" t="str">
        <f>VLOOKUP(B973,[1]BD_FINAL!$A:$H,2,FALSE)</f>
        <v>NOEMI</v>
      </c>
      <c r="D973" t="str">
        <f>VLOOKUP(B973,[1]BD_FINAL!$A:$H,3,FALSE)</f>
        <v>Cali</v>
      </c>
      <c r="E973" t="str">
        <f>VLOOKUP(B973,[1]BD_FINAL!$A:$H,8,FALSE)</f>
        <v>Control</v>
      </c>
      <c r="F973" s="2">
        <f t="shared" si="45"/>
        <v>0</v>
      </c>
      <c r="G973">
        <f t="shared" si="46"/>
        <v>2</v>
      </c>
      <c r="H973" s="3" t="s">
        <v>4926</v>
      </c>
      <c r="I973" s="6" t="str">
        <f t="shared" si="47"/>
        <v>00020972</v>
      </c>
    </row>
    <row r="974" spans="1:9" x14ac:dyDescent="0.3">
      <c r="A974">
        <v>973</v>
      </c>
      <c r="B974" s="6">
        <v>66865510</v>
      </c>
      <c r="C974" t="str">
        <f>VLOOKUP(B974,[1]BD_FINAL!$A:$H,2,FALSE)</f>
        <v xml:space="preserve">Argenis </v>
      </c>
      <c r="D974" t="str">
        <f>VLOOKUP(B974,[1]BD_FINAL!$A:$H,3,FALSE)</f>
        <v>Cali</v>
      </c>
      <c r="E974" t="str">
        <f>VLOOKUP(B974,[1]BD_FINAL!$A:$H,8,FALSE)</f>
        <v>Tratamiento</v>
      </c>
      <c r="F974" s="2">
        <f t="shared" si="45"/>
        <v>1</v>
      </c>
      <c r="G974">
        <f t="shared" si="46"/>
        <v>2</v>
      </c>
      <c r="H974" s="3" t="s">
        <v>4927</v>
      </c>
      <c r="I974" s="6" t="str">
        <f t="shared" si="47"/>
        <v>01020973</v>
      </c>
    </row>
    <row r="975" spans="1:9" x14ac:dyDescent="0.3">
      <c r="A975">
        <v>974</v>
      </c>
      <c r="B975" s="6">
        <v>66865714</v>
      </c>
      <c r="C975" t="str">
        <f>VLOOKUP(B975,[1]BD_FINAL!$A:$H,2,FALSE)</f>
        <v>Martha Ines</v>
      </c>
      <c r="D975" t="str">
        <f>VLOOKUP(B975,[1]BD_FINAL!$A:$H,3,FALSE)</f>
        <v>Cali</v>
      </c>
      <c r="E975" t="str">
        <f>VLOOKUP(B975,[1]BD_FINAL!$A:$H,8,FALSE)</f>
        <v>Tratamiento</v>
      </c>
      <c r="F975" s="2">
        <f t="shared" si="45"/>
        <v>1</v>
      </c>
      <c r="G975">
        <f t="shared" si="46"/>
        <v>2</v>
      </c>
      <c r="H975" s="3" t="s">
        <v>4928</v>
      </c>
      <c r="I975" s="6" t="str">
        <f t="shared" si="47"/>
        <v>01020974</v>
      </c>
    </row>
    <row r="976" spans="1:9" x14ac:dyDescent="0.3">
      <c r="A976">
        <v>975</v>
      </c>
      <c r="B976" s="6">
        <v>66866128</v>
      </c>
      <c r="C976" t="str">
        <f>VLOOKUP(B976,[1]BD_FINAL!$A:$H,2,FALSE)</f>
        <v>MARIA EUGENIA</v>
      </c>
      <c r="D976" t="str">
        <f>VLOOKUP(B976,[1]BD_FINAL!$A:$H,3,FALSE)</f>
        <v>Cali</v>
      </c>
      <c r="E976" t="str">
        <f>VLOOKUP(B976,[1]BD_FINAL!$A:$H,8,FALSE)</f>
        <v>Control</v>
      </c>
      <c r="F976" s="2">
        <f t="shared" si="45"/>
        <v>0</v>
      </c>
      <c r="G976">
        <f t="shared" si="46"/>
        <v>2</v>
      </c>
      <c r="H976" s="3" t="s">
        <v>4929</v>
      </c>
      <c r="I976" s="6" t="str">
        <f t="shared" si="47"/>
        <v>00020975</v>
      </c>
    </row>
    <row r="977" spans="1:9" x14ac:dyDescent="0.3">
      <c r="A977">
        <v>976</v>
      </c>
      <c r="B977" s="6">
        <v>66900125</v>
      </c>
      <c r="C977" t="str">
        <f>VLOOKUP(B977,[1]BD_FINAL!$A:$H,2,FALSE)</f>
        <v>Ferney</v>
      </c>
      <c r="D977" t="str">
        <f>VLOOKUP(B977,[1]BD_FINAL!$A:$H,3,FALSE)</f>
        <v>Cali</v>
      </c>
      <c r="E977" t="str">
        <f>VLOOKUP(B977,[1]BD_FINAL!$A:$H,8,FALSE)</f>
        <v>Tratamiento</v>
      </c>
      <c r="F977" s="2">
        <f t="shared" si="45"/>
        <v>1</v>
      </c>
      <c r="G977">
        <f t="shared" si="46"/>
        <v>2</v>
      </c>
      <c r="H977" s="3" t="s">
        <v>4930</v>
      </c>
      <c r="I977" s="6" t="str">
        <f t="shared" si="47"/>
        <v>01020976</v>
      </c>
    </row>
    <row r="978" spans="1:9" x14ac:dyDescent="0.3">
      <c r="A978">
        <v>977</v>
      </c>
      <c r="B978" s="6">
        <v>66903981</v>
      </c>
      <c r="C978" t="str">
        <f>VLOOKUP(B978,[1]BD_FINAL!$A:$H,2,FALSE)</f>
        <v xml:space="preserve">Deysy </v>
      </c>
      <c r="D978" t="str">
        <f>VLOOKUP(B978,[1]BD_FINAL!$A:$H,3,FALSE)</f>
        <v>Cali</v>
      </c>
      <c r="E978" t="str">
        <f>VLOOKUP(B978,[1]BD_FINAL!$A:$H,8,FALSE)</f>
        <v>Control</v>
      </c>
      <c r="F978" s="2">
        <f t="shared" si="45"/>
        <v>0</v>
      </c>
      <c r="G978">
        <f t="shared" si="46"/>
        <v>2</v>
      </c>
      <c r="H978" s="3" t="s">
        <v>4931</v>
      </c>
      <c r="I978" s="6" t="str">
        <f t="shared" si="47"/>
        <v>00020977</v>
      </c>
    </row>
    <row r="979" spans="1:9" x14ac:dyDescent="0.3">
      <c r="A979">
        <v>978</v>
      </c>
      <c r="B979" s="6">
        <v>66908388</v>
      </c>
      <c r="C979" t="str">
        <f>VLOOKUP(B979,[1]BD_FINAL!$A:$H,2,FALSE)</f>
        <v>Omar Alberto</v>
      </c>
      <c r="D979" t="str">
        <f>VLOOKUP(B979,[1]BD_FINAL!$A:$H,3,FALSE)</f>
        <v>Cali</v>
      </c>
      <c r="E979" t="str">
        <f>VLOOKUP(B979,[1]BD_FINAL!$A:$H,8,FALSE)</f>
        <v>Tratamiento</v>
      </c>
      <c r="F979" s="2">
        <f t="shared" si="45"/>
        <v>1</v>
      </c>
      <c r="G979">
        <f t="shared" si="46"/>
        <v>2</v>
      </c>
      <c r="H979" s="3" t="s">
        <v>4932</v>
      </c>
      <c r="I979" s="6" t="str">
        <f t="shared" si="47"/>
        <v>01020978</v>
      </c>
    </row>
    <row r="980" spans="1:9" x14ac:dyDescent="0.3">
      <c r="A980">
        <v>979</v>
      </c>
      <c r="B980" s="6">
        <v>66908980</v>
      </c>
      <c r="C980" t="str">
        <f>VLOOKUP(B980,[1]BD_FINAL!$A:$H,2,FALSE)</f>
        <v>Mariela</v>
      </c>
      <c r="D980" t="str">
        <f>VLOOKUP(B980,[1]BD_FINAL!$A:$H,3,FALSE)</f>
        <v>Cali</v>
      </c>
      <c r="E980" t="str">
        <f>VLOOKUP(B980,[1]BD_FINAL!$A:$H,8,FALSE)</f>
        <v>Tratamiento</v>
      </c>
      <c r="F980" s="2">
        <f t="shared" si="45"/>
        <v>1</v>
      </c>
      <c r="G980">
        <f t="shared" si="46"/>
        <v>2</v>
      </c>
      <c r="H980" s="3" t="s">
        <v>4933</v>
      </c>
      <c r="I980" s="6" t="str">
        <f t="shared" si="47"/>
        <v>01020979</v>
      </c>
    </row>
    <row r="981" spans="1:9" x14ac:dyDescent="0.3">
      <c r="A981">
        <v>980</v>
      </c>
      <c r="B981" s="6">
        <v>66914158</v>
      </c>
      <c r="C981" t="str">
        <f>VLOOKUP(B981,[1]BD_FINAL!$A:$H,2,FALSE)</f>
        <v xml:space="preserve">Dilía Franky </v>
      </c>
      <c r="D981" t="str">
        <f>VLOOKUP(B981,[1]BD_FINAL!$A:$H,3,FALSE)</f>
        <v>Cali</v>
      </c>
      <c r="E981" t="str">
        <f>VLOOKUP(B981,[1]BD_FINAL!$A:$H,8,FALSE)</f>
        <v>Tratamiento</v>
      </c>
      <c r="F981" s="2">
        <f t="shared" si="45"/>
        <v>1</v>
      </c>
      <c r="G981">
        <f t="shared" si="46"/>
        <v>2</v>
      </c>
      <c r="H981" s="3" t="s">
        <v>4934</v>
      </c>
      <c r="I981" s="6" t="str">
        <f t="shared" si="47"/>
        <v>01020980</v>
      </c>
    </row>
    <row r="982" spans="1:9" x14ac:dyDescent="0.3">
      <c r="A982">
        <v>981</v>
      </c>
      <c r="B982" s="6">
        <v>66914781</v>
      </c>
      <c r="C982" t="str">
        <f>VLOOKUP(B982,[1]BD_FINAL!$A:$H,2,FALSE)</f>
        <v>GLORIA OLAYA DE JESUS</v>
      </c>
      <c r="D982" t="str">
        <f>VLOOKUP(B982,[1]BD_FINAL!$A:$H,3,FALSE)</f>
        <v>Cali</v>
      </c>
      <c r="E982" t="str">
        <f>VLOOKUP(B982,[1]BD_FINAL!$A:$H,8,FALSE)</f>
        <v>Tratamiento</v>
      </c>
      <c r="F982" s="2">
        <f t="shared" si="45"/>
        <v>1</v>
      </c>
      <c r="G982">
        <f t="shared" si="46"/>
        <v>2</v>
      </c>
      <c r="H982" s="3" t="s">
        <v>4935</v>
      </c>
      <c r="I982" s="6" t="str">
        <f t="shared" si="47"/>
        <v>01020981</v>
      </c>
    </row>
    <row r="983" spans="1:9" x14ac:dyDescent="0.3">
      <c r="A983">
        <v>982</v>
      </c>
      <c r="B983" s="6">
        <v>66922979</v>
      </c>
      <c r="C983" t="str">
        <f>VLOOKUP(B983,[1]BD_FINAL!$A:$H,2,FALSE)</f>
        <v>Martha cecilia</v>
      </c>
      <c r="D983" t="str">
        <f>VLOOKUP(B983,[1]BD_FINAL!$A:$H,3,FALSE)</f>
        <v>Cali</v>
      </c>
      <c r="E983" t="str">
        <f>VLOOKUP(B983,[1]BD_FINAL!$A:$H,8,FALSE)</f>
        <v>Tratamiento</v>
      </c>
      <c r="F983" s="2">
        <f t="shared" si="45"/>
        <v>1</v>
      </c>
      <c r="G983">
        <f t="shared" si="46"/>
        <v>2</v>
      </c>
      <c r="H983" s="3" t="s">
        <v>4936</v>
      </c>
      <c r="I983" s="6" t="str">
        <f t="shared" si="47"/>
        <v>01020982</v>
      </c>
    </row>
    <row r="984" spans="1:9" x14ac:dyDescent="0.3">
      <c r="A984">
        <v>983</v>
      </c>
      <c r="B984" s="6">
        <v>66924354</v>
      </c>
      <c r="C984" t="str">
        <f>VLOOKUP(B984,[1]BD_FINAL!$A:$H,2,FALSE)</f>
        <v xml:space="preserve">JACQUELINE </v>
      </c>
      <c r="D984" t="str">
        <f>VLOOKUP(B984,[1]BD_FINAL!$A:$H,3,FALSE)</f>
        <v>Cali</v>
      </c>
      <c r="E984" t="str">
        <f>VLOOKUP(B984,[1]BD_FINAL!$A:$H,8,FALSE)</f>
        <v>Control</v>
      </c>
      <c r="F984" s="2">
        <f t="shared" si="45"/>
        <v>0</v>
      </c>
      <c r="G984">
        <f t="shared" si="46"/>
        <v>2</v>
      </c>
      <c r="H984" s="3" t="s">
        <v>4937</v>
      </c>
      <c r="I984" s="6" t="str">
        <f t="shared" si="47"/>
        <v>00020983</v>
      </c>
    </row>
    <row r="985" spans="1:9" x14ac:dyDescent="0.3">
      <c r="A985">
        <v>984</v>
      </c>
      <c r="B985" s="6">
        <v>66946161</v>
      </c>
      <c r="C985" t="str">
        <f>VLOOKUP(B985,[1]BD_FINAL!$A:$H,2,FALSE)</f>
        <v xml:space="preserve">Elcira </v>
      </c>
      <c r="D985" t="str">
        <f>VLOOKUP(B985,[1]BD_FINAL!$A:$H,3,FALSE)</f>
        <v>Cali</v>
      </c>
      <c r="E985" t="str">
        <f>VLOOKUP(B985,[1]BD_FINAL!$A:$H,8,FALSE)</f>
        <v>Control</v>
      </c>
      <c r="F985" s="2">
        <f t="shared" si="45"/>
        <v>0</v>
      </c>
      <c r="G985">
        <f t="shared" si="46"/>
        <v>2</v>
      </c>
      <c r="H985" s="3" t="s">
        <v>4938</v>
      </c>
      <c r="I985" s="6" t="str">
        <f t="shared" si="47"/>
        <v>00020984</v>
      </c>
    </row>
    <row r="986" spans="1:9" x14ac:dyDescent="0.3">
      <c r="A986">
        <v>985</v>
      </c>
      <c r="B986" s="6">
        <v>66949232</v>
      </c>
      <c r="C986" t="str">
        <f>VLOOKUP(B986,[1]BD_FINAL!$A:$H,2,FALSE)</f>
        <v>Lu Marina</v>
      </c>
      <c r="D986" t="str">
        <f>VLOOKUP(B986,[1]BD_FINAL!$A:$H,3,FALSE)</f>
        <v>Cali</v>
      </c>
      <c r="E986" t="str">
        <f>VLOOKUP(B986,[1]BD_FINAL!$A:$H,8,FALSE)</f>
        <v>Control</v>
      </c>
      <c r="F986" s="2">
        <f t="shared" si="45"/>
        <v>0</v>
      </c>
      <c r="G986">
        <f t="shared" si="46"/>
        <v>2</v>
      </c>
      <c r="H986" s="3" t="s">
        <v>4939</v>
      </c>
      <c r="I986" s="6" t="str">
        <f t="shared" si="47"/>
        <v>00020985</v>
      </c>
    </row>
    <row r="987" spans="1:9" x14ac:dyDescent="0.3">
      <c r="A987">
        <v>986</v>
      </c>
      <c r="B987" s="6">
        <v>66953260</v>
      </c>
      <c r="C987" t="str">
        <f>VLOOKUP(B987,[1]BD_FINAL!$A:$H,2,FALSE)</f>
        <v xml:space="preserve">MARÍA DEL CARMEN </v>
      </c>
      <c r="D987" t="str">
        <f>VLOOKUP(B987,[1]BD_FINAL!$A:$H,3,FALSE)</f>
        <v>Cali</v>
      </c>
      <c r="E987" t="str">
        <f>VLOOKUP(B987,[1]BD_FINAL!$A:$H,8,FALSE)</f>
        <v>Control</v>
      </c>
      <c r="F987" s="2">
        <f t="shared" si="45"/>
        <v>0</v>
      </c>
      <c r="G987">
        <f t="shared" si="46"/>
        <v>2</v>
      </c>
      <c r="H987" s="3" t="s">
        <v>4940</v>
      </c>
      <c r="I987" s="6" t="str">
        <f t="shared" si="47"/>
        <v>00020986</v>
      </c>
    </row>
    <row r="988" spans="1:9" x14ac:dyDescent="0.3">
      <c r="A988">
        <v>987</v>
      </c>
      <c r="B988" s="6">
        <v>66956904</v>
      </c>
      <c r="C988" t="str">
        <f>VLOOKUP(B988,[1]BD_FINAL!$A:$H,2,FALSE)</f>
        <v>ANA MILENA</v>
      </c>
      <c r="D988" t="str">
        <f>VLOOKUP(B988,[1]BD_FINAL!$A:$H,3,FALSE)</f>
        <v>Cali</v>
      </c>
      <c r="E988" t="str">
        <f>VLOOKUP(B988,[1]BD_FINAL!$A:$H,8,FALSE)</f>
        <v>Control</v>
      </c>
      <c r="F988" s="2">
        <f t="shared" si="45"/>
        <v>0</v>
      </c>
      <c r="G988">
        <f t="shared" si="46"/>
        <v>2</v>
      </c>
      <c r="H988" s="3" t="s">
        <v>4941</v>
      </c>
      <c r="I988" s="6" t="str">
        <f t="shared" si="47"/>
        <v>00020987</v>
      </c>
    </row>
    <row r="989" spans="1:9" x14ac:dyDescent="0.3">
      <c r="A989">
        <v>988</v>
      </c>
      <c r="B989" s="6">
        <v>66972092</v>
      </c>
      <c r="C989" t="str">
        <f>VLOOKUP(B989,[1]BD_FINAL!$A:$H,2,FALSE)</f>
        <v xml:space="preserve">Esperanza </v>
      </c>
      <c r="D989" t="str">
        <f>VLOOKUP(B989,[1]BD_FINAL!$A:$H,3,FALSE)</f>
        <v>Cali</v>
      </c>
      <c r="E989" t="str">
        <f>VLOOKUP(B989,[1]BD_FINAL!$A:$H,8,FALSE)</f>
        <v>Control</v>
      </c>
      <c r="F989" s="2">
        <f t="shared" si="45"/>
        <v>0</v>
      </c>
      <c r="G989">
        <f t="shared" si="46"/>
        <v>2</v>
      </c>
      <c r="H989" s="3" t="s">
        <v>4942</v>
      </c>
      <c r="I989" s="6" t="str">
        <f t="shared" si="47"/>
        <v>00020988</v>
      </c>
    </row>
    <row r="990" spans="1:9" x14ac:dyDescent="0.3">
      <c r="A990">
        <v>989</v>
      </c>
      <c r="B990" s="6">
        <v>66973335</v>
      </c>
      <c r="C990" t="str">
        <f>VLOOKUP(B990,[1]BD_FINAL!$A:$H,2,FALSE)</f>
        <v>BLANCA ESTELA</v>
      </c>
      <c r="D990" t="str">
        <f>VLOOKUP(B990,[1]BD_FINAL!$A:$H,3,FALSE)</f>
        <v>Cali</v>
      </c>
      <c r="E990" t="str">
        <f>VLOOKUP(B990,[1]BD_FINAL!$A:$H,8,FALSE)</f>
        <v>Control</v>
      </c>
      <c r="F990" s="2">
        <f t="shared" si="45"/>
        <v>0</v>
      </c>
      <c r="G990">
        <f t="shared" si="46"/>
        <v>2</v>
      </c>
      <c r="H990" s="3" t="s">
        <v>4943</v>
      </c>
      <c r="I990" s="6" t="str">
        <f t="shared" si="47"/>
        <v>00020989</v>
      </c>
    </row>
    <row r="991" spans="1:9" x14ac:dyDescent="0.3">
      <c r="A991">
        <v>990</v>
      </c>
      <c r="B991" s="6">
        <v>66979672</v>
      </c>
      <c r="C991" t="str">
        <f>VLOOKUP(B991,[1]BD_FINAL!$A:$H,2,FALSE)</f>
        <v xml:space="preserve">GLORIA ISABEL </v>
      </c>
      <c r="D991" t="str">
        <f>VLOOKUP(B991,[1]BD_FINAL!$A:$H,3,FALSE)</f>
        <v>Cali</v>
      </c>
      <c r="E991" t="str">
        <f>VLOOKUP(B991,[1]BD_FINAL!$A:$H,8,FALSE)</f>
        <v>Control</v>
      </c>
      <c r="F991" s="2">
        <f t="shared" si="45"/>
        <v>0</v>
      </c>
      <c r="G991">
        <f t="shared" si="46"/>
        <v>2</v>
      </c>
      <c r="H991" s="3" t="s">
        <v>4944</v>
      </c>
      <c r="I991" s="6" t="str">
        <f t="shared" si="47"/>
        <v>00020990</v>
      </c>
    </row>
    <row r="992" spans="1:9" x14ac:dyDescent="0.3">
      <c r="A992">
        <v>991</v>
      </c>
      <c r="B992" s="6">
        <v>66981241</v>
      </c>
      <c r="C992" t="str">
        <f>VLOOKUP(B992,[1]BD_FINAL!$A:$H,2,FALSE)</f>
        <v xml:space="preserve">CENEIDA </v>
      </c>
      <c r="D992" t="str">
        <f>VLOOKUP(B992,[1]BD_FINAL!$A:$H,3,FALSE)</f>
        <v>Cali</v>
      </c>
      <c r="E992" t="str">
        <f>VLOOKUP(B992,[1]BD_FINAL!$A:$H,8,FALSE)</f>
        <v>Control</v>
      </c>
      <c r="F992" s="2">
        <f t="shared" si="45"/>
        <v>0</v>
      </c>
      <c r="G992">
        <f t="shared" si="46"/>
        <v>2</v>
      </c>
      <c r="H992" s="3" t="s">
        <v>4945</v>
      </c>
      <c r="I992" s="6" t="str">
        <f t="shared" si="47"/>
        <v>00020991</v>
      </c>
    </row>
    <row r="993" spans="1:9" x14ac:dyDescent="0.3">
      <c r="A993">
        <v>992</v>
      </c>
      <c r="B993" s="6">
        <v>66981593</v>
      </c>
      <c r="C993" t="str">
        <f>VLOOKUP(B993,[1]BD_FINAL!$A:$H,2,FALSE)</f>
        <v>Fabiola</v>
      </c>
      <c r="D993" t="str">
        <f>VLOOKUP(B993,[1]BD_FINAL!$A:$H,3,FALSE)</f>
        <v>Cali</v>
      </c>
      <c r="E993" t="str">
        <f>VLOOKUP(B993,[1]BD_FINAL!$A:$H,8,FALSE)</f>
        <v>Control</v>
      </c>
      <c r="F993" s="2">
        <f t="shared" si="45"/>
        <v>0</v>
      </c>
      <c r="G993">
        <f t="shared" si="46"/>
        <v>2</v>
      </c>
      <c r="H993" s="3" t="s">
        <v>4946</v>
      </c>
      <c r="I993" s="6" t="str">
        <f t="shared" si="47"/>
        <v>00020992</v>
      </c>
    </row>
    <row r="994" spans="1:9" x14ac:dyDescent="0.3">
      <c r="A994">
        <v>993</v>
      </c>
      <c r="B994" s="6">
        <v>66983263</v>
      </c>
      <c r="C994" t="str">
        <f>VLOOKUP(B994,[1]BD_FINAL!$A:$H,2,FALSE)</f>
        <v xml:space="preserve">CARMEN ALICIA </v>
      </c>
      <c r="D994" t="str">
        <f>VLOOKUP(B994,[1]BD_FINAL!$A:$H,3,FALSE)</f>
        <v>Cali</v>
      </c>
      <c r="E994" t="str">
        <f>VLOOKUP(B994,[1]BD_FINAL!$A:$H,8,FALSE)</f>
        <v>Tratamiento</v>
      </c>
      <c r="F994" s="2">
        <f t="shared" si="45"/>
        <v>1</v>
      </c>
      <c r="G994">
        <f t="shared" si="46"/>
        <v>2</v>
      </c>
      <c r="H994" s="3" t="s">
        <v>4947</v>
      </c>
      <c r="I994" s="6" t="str">
        <f t="shared" si="47"/>
        <v>01020993</v>
      </c>
    </row>
    <row r="995" spans="1:9" x14ac:dyDescent="0.3">
      <c r="A995">
        <v>994</v>
      </c>
      <c r="B995" s="6">
        <v>66989106</v>
      </c>
      <c r="C995" t="str">
        <f>VLOOKUP(B995,[1]BD_FINAL!$A:$H,2,FALSE)</f>
        <v>ANA MILENA</v>
      </c>
      <c r="D995" t="str">
        <f>VLOOKUP(B995,[1]BD_FINAL!$A:$H,3,FALSE)</f>
        <v>Cali</v>
      </c>
      <c r="E995" t="str">
        <f>VLOOKUP(B995,[1]BD_FINAL!$A:$H,8,FALSE)</f>
        <v>Control</v>
      </c>
      <c r="F995" s="2">
        <f t="shared" si="45"/>
        <v>0</v>
      </c>
      <c r="G995">
        <f t="shared" si="46"/>
        <v>2</v>
      </c>
      <c r="H995" s="3" t="s">
        <v>4948</v>
      </c>
      <c r="I995" s="6" t="str">
        <f t="shared" si="47"/>
        <v>00020994</v>
      </c>
    </row>
    <row r="996" spans="1:9" x14ac:dyDescent="0.3">
      <c r="A996">
        <v>995</v>
      </c>
      <c r="B996" s="6">
        <v>66993102</v>
      </c>
      <c r="C996" t="str">
        <f>VLOOKUP(B996,[1]BD_FINAL!$A:$H,2,FALSE)</f>
        <v xml:space="preserve">María del Carmen </v>
      </c>
      <c r="D996" t="str">
        <f>VLOOKUP(B996,[1]BD_FINAL!$A:$H,3,FALSE)</f>
        <v>Cali</v>
      </c>
      <c r="E996" t="str">
        <f>VLOOKUP(B996,[1]BD_FINAL!$A:$H,8,FALSE)</f>
        <v>Control</v>
      </c>
      <c r="F996" s="2">
        <f t="shared" si="45"/>
        <v>0</v>
      </c>
      <c r="G996">
        <f t="shared" si="46"/>
        <v>2</v>
      </c>
      <c r="H996" s="3" t="s">
        <v>4949</v>
      </c>
      <c r="I996" s="6" t="str">
        <f t="shared" si="47"/>
        <v>00020995</v>
      </c>
    </row>
    <row r="997" spans="1:9" x14ac:dyDescent="0.3">
      <c r="A997">
        <v>996</v>
      </c>
      <c r="B997" s="6">
        <v>66993543</v>
      </c>
      <c r="C997" t="str">
        <f>VLOOKUP(B997,[1]BD_FINAL!$A:$H,2,FALSE)</f>
        <v>ERMILA</v>
      </c>
      <c r="D997" t="str">
        <f>VLOOKUP(B997,[1]BD_FINAL!$A:$H,3,FALSE)</f>
        <v>Cali</v>
      </c>
      <c r="E997" t="str">
        <f>VLOOKUP(B997,[1]BD_FINAL!$A:$H,8,FALSE)</f>
        <v>Tratamiento</v>
      </c>
      <c r="F997" s="2">
        <f t="shared" si="45"/>
        <v>1</v>
      </c>
      <c r="G997">
        <f t="shared" si="46"/>
        <v>2</v>
      </c>
      <c r="H997" s="3" t="s">
        <v>4950</v>
      </c>
      <c r="I997" s="6" t="str">
        <f t="shared" si="47"/>
        <v>01020996</v>
      </c>
    </row>
    <row r="998" spans="1:9" x14ac:dyDescent="0.3">
      <c r="A998">
        <v>997</v>
      </c>
      <c r="B998" s="6">
        <v>66996132</v>
      </c>
      <c r="C998" t="str">
        <f>VLOOKUP(B998,[1]BD_FINAL!$A:$H,2,FALSE)</f>
        <v xml:space="preserve">AURA ELENA </v>
      </c>
      <c r="D998" t="str">
        <f>VLOOKUP(B998,[1]BD_FINAL!$A:$H,3,FALSE)</f>
        <v>Cali</v>
      </c>
      <c r="E998" t="str">
        <f>VLOOKUP(B998,[1]BD_FINAL!$A:$H,8,FALSE)</f>
        <v>Tratamiento</v>
      </c>
      <c r="F998" s="2">
        <f t="shared" si="45"/>
        <v>1</v>
      </c>
      <c r="G998">
        <f t="shared" si="46"/>
        <v>2</v>
      </c>
      <c r="H998" s="3" t="s">
        <v>4951</v>
      </c>
      <c r="I998" s="6" t="str">
        <f t="shared" si="47"/>
        <v>01020997</v>
      </c>
    </row>
    <row r="999" spans="1:9" x14ac:dyDescent="0.3">
      <c r="A999">
        <v>998</v>
      </c>
      <c r="B999" s="6">
        <v>67007953</v>
      </c>
      <c r="C999" t="str">
        <f>VLOOKUP(B999,[1]BD_FINAL!$A:$H,2,FALSE)</f>
        <v>Sandra patricia</v>
      </c>
      <c r="D999" t="str">
        <f>VLOOKUP(B999,[1]BD_FINAL!$A:$H,3,FALSE)</f>
        <v>Cali</v>
      </c>
      <c r="E999" t="str">
        <f>VLOOKUP(B999,[1]BD_FINAL!$A:$H,8,FALSE)</f>
        <v>Control</v>
      </c>
      <c r="F999" s="2">
        <f t="shared" si="45"/>
        <v>0</v>
      </c>
      <c r="G999">
        <f t="shared" si="46"/>
        <v>2</v>
      </c>
      <c r="H999" s="3" t="s">
        <v>4952</v>
      </c>
      <c r="I999" s="6" t="str">
        <f t="shared" si="47"/>
        <v>00020998</v>
      </c>
    </row>
    <row r="1000" spans="1:9" x14ac:dyDescent="0.3">
      <c r="A1000">
        <v>999</v>
      </c>
      <c r="B1000" s="6">
        <v>67009210</v>
      </c>
      <c r="C1000" t="str">
        <f>VLOOKUP(B1000,[1]BD_FINAL!$A:$H,2,FALSE)</f>
        <v xml:space="preserve">Angie Marcela </v>
      </c>
      <c r="D1000" t="str">
        <f>VLOOKUP(B1000,[1]BD_FINAL!$A:$H,3,FALSE)</f>
        <v>Cali</v>
      </c>
      <c r="E1000" t="str">
        <f>VLOOKUP(B1000,[1]BD_FINAL!$A:$H,8,FALSE)</f>
        <v>Control</v>
      </c>
      <c r="F1000" s="2">
        <f t="shared" si="45"/>
        <v>0</v>
      </c>
      <c r="G1000">
        <f t="shared" si="46"/>
        <v>2</v>
      </c>
      <c r="H1000" s="3" t="s">
        <v>4953</v>
      </c>
      <c r="I1000" s="6" t="str">
        <f t="shared" si="47"/>
        <v>00020999</v>
      </c>
    </row>
    <row r="1001" spans="1:9" x14ac:dyDescent="0.3">
      <c r="A1001">
        <v>1000</v>
      </c>
      <c r="B1001" s="6">
        <v>67014248</v>
      </c>
      <c r="C1001" t="str">
        <f>VLOOKUP(B1001,[1]BD_FINAL!$A:$H,2,FALSE)</f>
        <v xml:space="preserve">Herninda </v>
      </c>
      <c r="D1001" t="str">
        <f>VLOOKUP(B1001,[1]BD_FINAL!$A:$H,3,FALSE)</f>
        <v>Cali</v>
      </c>
      <c r="E1001" t="str">
        <f>VLOOKUP(B1001,[1]BD_FINAL!$A:$H,8,FALSE)</f>
        <v>Control</v>
      </c>
      <c r="F1001" s="2">
        <f t="shared" si="45"/>
        <v>0</v>
      </c>
      <c r="G1001">
        <f t="shared" si="46"/>
        <v>2</v>
      </c>
      <c r="H1001" s="3" t="s">
        <v>4954</v>
      </c>
      <c r="I1001" s="6" t="str">
        <f t="shared" si="47"/>
        <v>00021000</v>
      </c>
    </row>
    <row r="1002" spans="1:9" x14ac:dyDescent="0.3">
      <c r="A1002">
        <v>1001</v>
      </c>
      <c r="B1002" s="6">
        <v>67014284</v>
      </c>
      <c r="C1002" t="str">
        <f>VLOOKUP(B1002,[1]BD_FINAL!$A:$H,2,FALSE)</f>
        <v>María mercedes</v>
      </c>
      <c r="D1002" t="str">
        <f>VLOOKUP(B1002,[1]BD_FINAL!$A:$H,3,FALSE)</f>
        <v>Cali</v>
      </c>
      <c r="E1002" t="str">
        <f>VLOOKUP(B1002,[1]BD_FINAL!$A:$H,8,FALSE)</f>
        <v>Tratamiento</v>
      </c>
      <c r="F1002" s="2">
        <f t="shared" si="45"/>
        <v>1</v>
      </c>
      <c r="G1002">
        <f t="shared" si="46"/>
        <v>2</v>
      </c>
      <c r="H1002" s="3" t="s">
        <v>4955</v>
      </c>
      <c r="I1002" s="6" t="str">
        <f t="shared" si="47"/>
        <v>01021001</v>
      </c>
    </row>
    <row r="1003" spans="1:9" x14ac:dyDescent="0.3">
      <c r="A1003">
        <v>1002</v>
      </c>
      <c r="B1003" s="6">
        <v>67016691</v>
      </c>
      <c r="C1003" t="str">
        <f>VLOOKUP(B1003,[1]BD_FINAL!$A:$H,2,FALSE)</f>
        <v>Jhon Freddy</v>
      </c>
      <c r="D1003" t="str">
        <f>VLOOKUP(B1003,[1]BD_FINAL!$A:$H,3,FALSE)</f>
        <v>Cali</v>
      </c>
      <c r="E1003" t="str">
        <f>VLOOKUP(B1003,[1]BD_FINAL!$A:$H,8,FALSE)</f>
        <v>Control</v>
      </c>
      <c r="F1003" s="2">
        <f t="shared" si="45"/>
        <v>0</v>
      </c>
      <c r="G1003">
        <f t="shared" si="46"/>
        <v>2</v>
      </c>
      <c r="H1003" s="3" t="s">
        <v>4956</v>
      </c>
      <c r="I1003" s="6" t="str">
        <f t="shared" si="47"/>
        <v>00021002</v>
      </c>
    </row>
    <row r="1004" spans="1:9" x14ac:dyDescent="0.3">
      <c r="A1004">
        <v>1003</v>
      </c>
      <c r="B1004" s="6">
        <v>67019790</v>
      </c>
      <c r="C1004" t="str">
        <f>VLOOKUP(B1004,[1]BD_FINAL!$A:$H,2,FALSE)</f>
        <v xml:space="preserve">Marleny </v>
      </c>
      <c r="D1004" t="str">
        <f>VLOOKUP(B1004,[1]BD_FINAL!$A:$H,3,FALSE)</f>
        <v>Cali</v>
      </c>
      <c r="E1004" t="str">
        <f>VLOOKUP(B1004,[1]BD_FINAL!$A:$H,8,FALSE)</f>
        <v>Control</v>
      </c>
      <c r="F1004" s="2">
        <f t="shared" si="45"/>
        <v>0</v>
      </c>
      <c r="G1004">
        <f t="shared" si="46"/>
        <v>2</v>
      </c>
      <c r="H1004" s="3" t="s">
        <v>4957</v>
      </c>
      <c r="I1004" s="6" t="str">
        <f t="shared" si="47"/>
        <v>00021003</v>
      </c>
    </row>
    <row r="1005" spans="1:9" x14ac:dyDescent="0.3">
      <c r="A1005">
        <v>1004</v>
      </c>
      <c r="B1005" s="6">
        <v>67021030</v>
      </c>
      <c r="C1005" t="str">
        <f>VLOOKUP(B1005,[1]BD_FINAL!$A:$H,2,FALSE)</f>
        <v>María luz dalia</v>
      </c>
      <c r="D1005" t="str">
        <f>VLOOKUP(B1005,[1]BD_FINAL!$A:$H,3,FALSE)</f>
        <v>Cali</v>
      </c>
      <c r="E1005" t="str">
        <f>VLOOKUP(B1005,[1]BD_FINAL!$A:$H,8,FALSE)</f>
        <v>Tratamiento</v>
      </c>
      <c r="F1005" s="2">
        <f t="shared" si="45"/>
        <v>1</v>
      </c>
      <c r="G1005">
        <f t="shared" si="46"/>
        <v>2</v>
      </c>
      <c r="H1005" s="3" t="s">
        <v>4958</v>
      </c>
      <c r="I1005" s="6" t="str">
        <f t="shared" si="47"/>
        <v>01021004</v>
      </c>
    </row>
    <row r="1006" spans="1:9" x14ac:dyDescent="0.3">
      <c r="A1006">
        <v>1005</v>
      </c>
      <c r="B1006" s="6">
        <v>670254</v>
      </c>
      <c r="C1006" t="str">
        <f>VLOOKUP(B1006,[1]BD_FINAL!$A:$H,2,FALSE)</f>
        <v xml:space="preserve">Francisco Eliseo </v>
      </c>
      <c r="D1006" t="str">
        <f>VLOOKUP(B1006,[1]BD_FINAL!$A:$H,3,FALSE)</f>
        <v>Medellin</v>
      </c>
      <c r="E1006" t="str">
        <f>VLOOKUP(B1006,[1]BD_FINAL!$A:$H,8,FALSE)</f>
        <v>Tratamiento</v>
      </c>
      <c r="F1006" s="2">
        <f t="shared" si="45"/>
        <v>1</v>
      </c>
      <c r="G1006">
        <f t="shared" si="46"/>
        <v>1</v>
      </c>
      <c r="H1006" s="3" t="s">
        <v>4959</v>
      </c>
      <c r="I1006" s="6" t="str">
        <f t="shared" si="47"/>
        <v>01011005</v>
      </c>
    </row>
    <row r="1007" spans="1:9" x14ac:dyDescent="0.3">
      <c r="A1007">
        <v>1006</v>
      </c>
      <c r="B1007" s="6">
        <v>67028018</v>
      </c>
      <c r="C1007" t="str">
        <f>VLOOKUP(B1007,[1]BD_FINAL!$A:$H,2,FALSE)</f>
        <v>Viviana</v>
      </c>
      <c r="D1007" t="str">
        <f>VLOOKUP(B1007,[1]BD_FINAL!$A:$H,3,FALSE)</f>
        <v>Cali</v>
      </c>
      <c r="E1007" t="str">
        <f>VLOOKUP(B1007,[1]BD_FINAL!$A:$H,8,FALSE)</f>
        <v>Control</v>
      </c>
      <c r="F1007" s="2">
        <f t="shared" si="45"/>
        <v>0</v>
      </c>
      <c r="G1007">
        <f t="shared" si="46"/>
        <v>2</v>
      </c>
      <c r="H1007" s="3" t="s">
        <v>4960</v>
      </c>
      <c r="I1007" s="6" t="str">
        <f t="shared" si="47"/>
        <v>00021006</v>
      </c>
    </row>
    <row r="1008" spans="1:9" x14ac:dyDescent="0.3">
      <c r="A1008">
        <v>1007</v>
      </c>
      <c r="B1008" s="6">
        <v>67033667</v>
      </c>
      <c r="C1008" t="str">
        <f>VLOOKUP(B1008,[1]BD_FINAL!$A:$H,2,FALSE)</f>
        <v>Sandra Marlem</v>
      </c>
      <c r="D1008" t="str">
        <f>VLOOKUP(B1008,[1]BD_FINAL!$A:$H,3,FALSE)</f>
        <v>Cali</v>
      </c>
      <c r="E1008" t="str">
        <f>VLOOKUP(B1008,[1]BD_FINAL!$A:$H,8,FALSE)</f>
        <v>Tratamiento</v>
      </c>
      <c r="F1008" s="2">
        <f t="shared" si="45"/>
        <v>1</v>
      </c>
      <c r="G1008">
        <f t="shared" si="46"/>
        <v>2</v>
      </c>
      <c r="H1008" s="3" t="s">
        <v>4961</v>
      </c>
      <c r="I1008" s="6" t="str">
        <f t="shared" si="47"/>
        <v>01021007</v>
      </c>
    </row>
    <row r="1009" spans="1:9" x14ac:dyDescent="0.3">
      <c r="A1009">
        <v>1008</v>
      </c>
      <c r="B1009" s="6">
        <v>70049056</v>
      </c>
      <c r="C1009" t="str">
        <f>VLOOKUP(B1009,[1]BD_FINAL!$A:$H,2,FALSE)</f>
        <v xml:space="preserve">Jaime Enrique </v>
      </c>
      <c r="D1009" t="str">
        <f>VLOOKUP(B1009,[1]BD_FINAL!$A:$H,3,FALSE)</f>
        <v>Medellin</v>
      </c>
      <c r="E1009" t="str">
        <f>VLOOKUP(B1009,[1]BD_FINAL!$A:$H,8,FALSE)</f>
        <v>Control</v>
      </c>
      <c r="F1009" s="2">
        <f t="shared" si="45"/>
        <v>0</v>
      </c>
      <c r="G1009">
        <f t="shared" si="46"/>
        <v>1</v>
      </c>
      <c r="H1009" s="3" t="s">
        <v>4962</v>
      </c>
      <c r="I1009" s="6" t="str">
        <f t="shared" si="47"/>
        <v>00011008</v>
      </c>
    </row>
    <row r="1010" spans="1:9" x14ac:dyDescent="0.3">
      <c r="A1010">
        <v>1009</v>
      </c>
      <c r="B1010" s="6">
        <v>70073044</v>
      </c>
      <c r="C1010" t="str">
        <f>VLOOKUP(B1010,[1]BD_FINAL!$A:$H,2,FALSE)</f>
        <v>Diego Armando</v>
      </c>
      <c r="D1010" t="str">
        <f>VLOOKUP(B1010,[1]BD_FINAL!$A:$H,3,FALSE)</f>
        <v>Medellin</v>
      </c>
      <c r="E1010" t="str">
        <f>VLOOKUP(B1010,[1]BD_FINAL!$A:$H,8,FALSE)</f>
        <v>Control</v>
      </c>
      <c r="F1010" s="2">
        <f t="shared" si="45"/>
        <v>0</v>
      </c>
      <c r="G1010">
        <f t="shared" si="46"/>
        <v>1</v>
      </c>
      <c r="H1010" s="3" t="s">
        <v>4963</v>
      </c>
      <c r="I1010" s="6" t="str">
        <f t="shared" si="47"/>
        <v>00011009</v>
      </c>
    </row>
    <row r="1011" spans="1:9" x14ac:dyDescent="0.3">
      <c r="A1011">
        <v>1010</v>
      </c>
      <c r="B1011" s="6">
        <v>70108470</v>
      </c>
      <c r="C1011" t="str">
        <f>VLOOKUP(B1011,[1]BD_FINAL!$A:$H,2,FALSE)</f>
        <v>Ramiro de Jesús</v>
      </c>
      <c r="D1011" t="str">
        <f>VLOOKUP(B1011,[1]BD_FINAL!$A:$H,3,FALSE)</f>
        <v>Medellin</v>
      </c>
      <c r="E1011" t="str">
        <f>VLOOKUP(B1011,[1]BD_FINAL!$A:$H,8,FALSE)</f>
        <v>Control</v>
      </c>
      <c r="F1011" s="2">
        <f t="shared" si="45"/>
        <v>0</v>
      </c>
      <c r="G1011">
        <f t="shared" si="46"/>
        <v>1</v>
      </c>
      <c r="H1011" s="3" t="s">
        <v>4964</v>
      </c>
      <c r="I1011" s="6" t="str">
        <f t="shared" si="47"/>
        <v>00011010</v>
      </c>
    </row>
    <row r="1012" spans="1:9" x14ac:dyDescent="0.3">
      <c r="A1012">
        <v>1011</v>
      </c>
      <c r="B1012" s="6">
        <v>70127199</v>
      </c>
      <c r="C1012" t="str">
        <f>VLOOKUP(B1012,[1]BD_FINAL!$A:$H,2,FALSE)</f>
        <v xml:space="preserve">Julio César </v>
      </c>
      <c r="D1012" t="str">
        <f>VLOOKUP(B1012,[1]BD_FINAL!$A:$H,3,FALSE)</f>
        <v>Medellin</v>
      </c>
      <c r="E1012" t="str">
        <f>VLOOKUP(B1012,[1]BD_FINAL!$A:$H,8,FALSE)</f>
        <v>Control</v>
      </c>
      <c r="F1012" s="2">
        <f t="shared" si="45"/>
        <v>0</v>
      </c>
      <c r="G1012">
        <f t="shared" si="46"/>
        <v>1</v>
      </c>
      <c r="H1012" s="3" t="s">
        <v>4965</v>
      </c>
      <c r="I1012" s="6" t="str">
        <f t="shared" si="47"/>
        <v>00011011</v>
      </c>
    </row>
    <row r="1013" spans="1:9" x14ac:dyDescent="0.3">
      <c r="A1013">
        <v>1012</v>
      </c>
      <c r="B1013" s="6">
        <v>70432281</v>
      </c>
      <c r="C1013" t="str">
        <f>VLOOKUP(B1013,[1]BD_FINAL!$A:$H,2,FALSE)</f>
        <v xml:space="preserve">Walter Antonio </v>
      </c>
      <c r="D1013" t="str">
        <f>VLOOKUP(B1013,[1]BD_FINAL!$A:$H,3,FALSE)</f>
        <v>Medellin</v>
      </c>
      <c r="E1013" t="str">
        <f>VLOOKUP(B1013,[1]BD_FINAL!$A:$H,8,FALSE)</f>
        <v>Tratamiento</v>
      </c>
      <c r="F1013" s="2">
        <f t="shared" si="45"/>
        <v>1</v>
      </c>
      <c r="G1013">
        <f t="shared" si="46"/>
        <v>1</v>
      </c>
      <c r="H1013" s="3" t="s">
        <v>4966</v>
      </c>
      <c r="I1013" s="6" t="str">
        <f t="shared" si="47"/>
        <v>01011012</v>
      </c>
    </row>
    <row r="1014" spans="1:9" x14ac:dyDescent="0.3">
      <c r="A1014">
        <v>1013</v>
      </c>
      <c r="B1014" s="6">
        <v>70540124</v>
      </c>
      <c r="C1014" t="str">
        <f>VLOOKUP(B1014,[1]BD_FINAL!$A:$H,2,FALSE)</f>
        <v xml:space="preserve">Lucas </v>
      </c>
      <c r="D1014" t="str">
        <f>VLOOKUP(B1014,[1]BD_FINAL!$A:$H,3,FALSE)</f>
        <v>Medellin</v>
      </c>
      <c r="E1014" t="str">
        <f>VLOOKUP(B1014,[1]BD_FINAL!$A:$H,8,FALSE)</f>
        <v>Tratamiento</v>
      </c>
      <c r="F1014" s="2">
        <f t="shared" si="45"/>
        <v>1</v>
      </c>
      <c r="G1014">
        <f t="shared" si="46"/>
        <v>1</v>
      </c>
      <c r="H1014" s="3" t="s">
        <v>4967</v>
      </c>
      <c r="I1014" s="6" t="str">
        <f t="shared" si="47"/>
        <v>01011013</v>
      </c>
    </row>
    <row r="1015" spans="1:9" x14ac:dyDescent="0.3">
      <c r="A1015">
        <v>1014</v>
      </c>
      <c r="B1015" s="6">
        <v>70663173</v>
      </c>
      <c r="C1015" t="str">
        <f>VLOOKUP(B1015,[1]BD_FINAL!$A:$H,2,FALSE)</f>
        <v xml:space="preserve">Rodrigo Andrés </v>
      </c>
      <c r="D1015" t="str">
        <f>VLOOKUP(B1015,[1]BD_FINAL!$A:$H,3,FALSE)</f>
        <v>Medellin</v>
      </c>
      <c r="E1015" t="str">
        <f>VLOOKUP(B1015,[1]BD_FINAL!$A:$H,8,FALSE)</f>
        <v>Tratamiento</v>
      </c>
      <c r="F1015" s="2">
        <f t="shared" si="45"/>
        <v>1</v>
      </c>
      <c r="G1015">
        <f t="shared" si="46"/>
        <v>1</v>
      </c>
      <c r="H1015" s="3" t="s">
        <v>4968</v>
      </c>
      <c r="I1015" s="6" t="str">
        <f t="shared" si="47"/>
        <v>01011014</v>
      </c>
    </row>
    <row r="1016" spans="1:9" x14ac:dyDescent="0.3">
      <c r="A1016">
        <v>1015</v>
      </c>
      <c r="B1016" s="6">
        <v>70721342</v>
      </c>
      <c r="C1016" t="str">
        <f>VLOOKUP(B1016,[1]BD_FINAL!$A:$H,2,FALSE)</f>
        <v>Juan de Jesus</v>
      </c>
      <c r="D1016" t="str">
        <f>VLOOKUP(B1016,[1]BD_FINAL!$A:$H,3,FALSE)</f>
        <v>Medellin</v>
      </c>
      <c r="E1016" t="str">
        <f>VLOOKUP(B1016,[1]BD_FINAL!$A:$H,8,FALSE)</f>
        <v>Tratamiento</v>
      </c>
      <c r="F1016" s="2">
        <f t="shared" si="45"/>
        <v>1</v>
      </c>
      <c r="G1016">
        <f t="shared" si="46"/>
        <v>1</v>
      </c>
      <c r="H1016" s="3" t="s">
        <v>4969</v>
      </c>
      <c r="I1016" s="6" t="str">
        <f t="shared" si="47"/>
        <v>01011015</v>
      </c>
    </row>
    <row r="1017" spans="1:9" x14ac:dyDescent="0.3">
      <c r="A1017">
        <v>1016</v>
      </c>
      <c r="B1017" s="6">
        <v>71216514</v>
      </c>
      <c r="C1017" t="str">
        <f>VLOOKUP(B1017,[1]BD_FINAL!$A:$H,2,FALSE)</f>
        <v xml:space="preserve">Dorian Alexander </v>
      </c>
      <c r="D1017" t="str">
        <f>VLOOKUP(B1017,[1]BD_FINAL!$A:$H,3,FALSE)</f>
        <v>Medellin</v>
      </c>
      <c r="E1017" t="str">
        <f>VLOOKUP(B1017,[1]BD_FINAL!$A:$H,8,FALSE)</f>
        <v>Control</v>
      </c>
      <c r="F1017" s="2">
        <f t="shared" si="45"/>
        <v>0</v>
      </c>
      <c r="G1017">
        <f t="shared" si="46"/>
        <v>1</v>
      </c>
      <c r="H1017" s="3" t="s">
        <v>4970</v>
      </c>
      <c r="I1017" s="6" t="str">
        <f t="shared" si="47"/>
        <v>00011016</v>
      </c>
    </row>
    <row r="1018" spans="1:9" x14ac:dyDescent="0.3">
      <c r="A1018">
        <v>1017</v>
      </c>
      <c r="B1018" s="6">
        <v>71218215</v>
      </c>
      <c r="C1018" t="str">
        <f>VLOOKUP(B1018,[1]BD_FINAL!$A:$H,2,FALSE)</f>
        <v>Gloria Ines</v>
      </c>
      <c r="D1018" t="str">
        <f>VLOOKUP(B1018,[1]BD_FINAL!$A:$H,3,FALSE)</f>
        <v>Medellin</v>
      </c>
      <c r="E1018" t="str">
        <f>VLOOKUP(B1018,[1]BD_FINAL!$A:$H,8,FALSE)</f>
        <v>Control</v>
      </c>
      <c r="F1018" s="2">
        <f t="shared" si="45"/>
        <v>0</v>
      </c>
      <c r="G1018">
        <f t="shared" si="46"/>
        <v>1</v>
      </c>
      <c r="H1018" s="3" t="s">
        <v>4971</v>
      </c>
      <c r="I1018" s="6" t="str">
        <f t="shared" si="47"/>
        <v>00011017</v>
      </c>
    </row>
    <row r="1019" spans="1:9" x14ac:dyDescent="0.3">
      <c r="A1019">
        <v>1018</v>
      </c>
      <c r="B1019" s="6">
        <v>71260467</v>
      </c>
      <c r="C1019" t="str">
        <f>VLOOKUP(B1019,[1]BD_FINAL!$A:$H,2,FALSE)</f>
        <v>Wilmar.Alonso</v>
      </c>
      <c r="D1019" t="str">
        <f>VLOOKUP(B1019,[1]BD_FINAL!$A:$H,3,FALSE)</f>
        <v>Medellin</v>
      </c>
      <c r="E1019" t="str">
        <f>VLOOKUP(B1019,[1]BD_FINAL!$A:$H,8,FALSE)</f>
        <v>Control</v>
      </c>
      <c r="F1019" s="2">
        <f t="shared" si="45"/>
        <v>0</v>
      </c>
      <c r="G1019">
        <f t="shared" si="46"/>
        <v>1</v>
      </c>
      <c r="H1019" s="3" t="s">
        <v>4972</v>
      </c>
      <c r="I1019" s="6" t="str">
        <f t="shared" si="47"/>
        <v>00011018</v>
      </c>
    </row>
    <row r="1020" spans="1:9" x14ac:dyDescent="0.3">
      <c r="A1020">
        <v>1019</v>
      </c>
      <c r="B1020" s="6">
        <v>71276975</v>
      </c>
      <c r="C1020" t="str">
        <f>VLOOKUP(B1020,[1]BD_FINAL!$A:$H,2,FALSE)</f>
        <v>Andrés Mauricio Vasquez</v>
      </c>
      <c r="D1020" t="str">
        <f>VLOOKUP(B1020,[1]BD_FINAL!$A:$H,3,FALSE)</f>
        <v>Medellin</v>
      </c>
      <c r="E1020" t="str">
        <f>VLOOKUP(B1020,[1]BD_FINAL!$A:$H,8,FALSE)</f>
        <v>Tratamiento</v>
      </c>
      <c r="F1020" s="2">
        <f t="shared" si="45"/>
        <v>1</v>
      </c>
      <c r="G1020">
        <f t="shared" si="46"/>
        <v>1</v>
      </c>
      <c r="H1020" s="3" t="s">
        <v>4973</v>
      </c>
      <c r="I1020" s="6" t="str">
        <f t="shared" si="47"/>
        <v>01011019</v>
      </c>
    </row>
    <row r="1021" spans="1:9" x14ac:dyDescent="0.3">
      <c r="A1021">
        <v>1020</v>
      </c>
      <c r="B1021" s="6">
        <v>71314870</v>
      </c>
      <c r="C1021" t="str">
        <f>VLOOKUP(B1021,[1]BD_FINAL!$A:$H,2,FALSE)</f>
        <v xml:space="preserve">Carlos Fernando </v>
      </c>
      <c r="D1021" t="str">
        <f>VLOOKUP(B1021,[1]BD_FINAL!$A:$H,3,FALSE)</f>
        <v>Medellin</v>
      </c>
      <c r="E1021" t="str">
        <f>VLOOKUP(B1021,[1]BD_FINAL!$A:$H,8,FALSE)</f>
        <v>Tratamiento</v>
      </c>
      <c r="F1021" s="2">
        <f t="shared" si="45"/>
        <v>1</v>
      </c>
      <c r="G1021">
        <f t="shared" si="46"/>
        <v>1</v>
      </c>
      <c r="H1021" s="3" t="s">
        <v>4974</v>
      </c>
      <c r="I1021" s="6" t="str">
        <f t="shared" si="47"/>
        <v>01011020</v>
      </c>
    </row>
    <row r="1022" spans="1:9" x14ac:dyDescent="0.3">
      <c r="A1022">
        <v>1021</v>
      </c>
      <c r="B1022" s="6">
        <v>71365608</v>
      </c>
      <c r="C1022" t="str">
        <f>VLOOKUP(B1022,[1]BD_FINAL!$A:$H,2,FALSE)</f>
        <v>Adrian</v>
      </c>
      <c r="D1022" t="str">
        <f>VLOOKUP(B1022,[1]BD_FINAL!$A:$H,3,FALSE)</f>
        <v>Medellin</v>
      </c>
      <c r="E1022" t="str">
        <f>VLOOKUP(B1022,[1]BD_FINAL!$A:$H,8,FALSE)</f>
        <v>Control</v>
      </c>
      <c r="F1022" s="2">
        <f t="shared" si="45"/>
        <v>0</v>
      </c>
      <c r="G1022">
        <f t="shared" si="46"/>
        <v>1</v>
      </c>
      <c r="H1022" s="3" t="s">
        <v>4975</v>
      </c>
      <c r="I1022" s="6" t="str">
        <f t="shared" si="47"/>
        <v>00011021</v>
      </c>
    </row>
    <row r="1023" spans="1:9" x14ac:dyDescent="0.3">
      <c r="A1023">
        <v>1022</v>
      </c>
      <c r="B1023" s="6">
        <v>71376919</v>
      </c>
      <c r="C1023" t="str">
        <f>VLOOKUP(B1023,[1]BD_FINAL!$A:$H,2,FALSE)</f>
        <v xml:space="preserve">Eduard </v>
      </c>
      <c r="D1023" t="str">
        <f>VLOOKUP(B1023,[1]BD_FINAL!$A:$H,3,FALSE)</f>
        <v>Medellin</v>
      </c>
      <c r="E1023" t="str">
        <f>VLOOKUP(B1023,[1]BD_FINAL!$A:$H,8,FALSE)</f>
        <v>Tratamiento</v>
      </c>
      <c r="F1023" s="2">
        <f t="shared" si="45"/>
        <v>1</v>
      </c>
      <c r="G1023">
        <f t="shared" si="46"/>
        <v>1</v>
      </c>
      <c r="H1023" s="3" t="s">
        <v>4976</v>
      </c>
      <c r="I1023" s="6" t="str">
        <f t="shared" si="47"/>
        <v>01011022</v>
      </c>
    </row>
    <row r="1024" spans="1:9" x14ac:dyDescent="0.3">
      <c r="A1024">
        <v>1023</v>
      </c>
      <c r="B1024" s="6">
        <v>71387728</v>
      </c>
      <c r="C1024" t="str">
        <f>VLOOKUP(B1024,[1]BD_FINAL!$A:$H,2,FALSE)</f>
        <v xml:space="preserve">David Andrés </v>
      </c>
      <c r="D1024" t="str">
        <f>VLOOKUP(B1024,[1]BD_FINAL!$A:$H,3,FALSE)</f>
        <v>Medellin</v>
      </c>
      <c r="E1024" t="str">
        <f>VLOOKUP(B1024,[1]BD_FINAL!$A:$H,8,FALSE)</f>
        <v>Control</v>
      </c>
      <c r="F1024" s="2">
        <f t="shared" si="45"/>
        <v>0</v>
      </c>
      <c r="G1024">
        <f t="shared" si="46"/>
        <v>1</v>
      </c>
      <c r="H1024" s="3" t="s">
        <v>4977</v>
      </c>
      <c r="I1024" s="6" t="str">
        <f t="shared" si="47"/>
        <v>00011023</v>
      </c>
    </row>
    <row r="1025" spans="1:9" x14ac:dyDescent="0.3">
      <c r="A1025">
        <v>1024</v>
      </c>
      <c r="B1025" s="6">
        <v>71579896</v>
      </c>
      <c r="C1025" t="str">
        <f>VLOOKUP(B1025,[1]BD_FINAL!$A:$H,2,FALSE)</f>
        <v>Jesús Evenson</v>
      </c>
      <c r="D1025" t="str">
        <f>VLOOKUP(B1025,[1]BD_FINAL!$A:$H,3,FALSE)</f>
        <v>Medellin</v>
      </c>
      <c r="E1025" t="str">
        <f>VLOOKUP(B1025,[1]BD_FINAL!$A:$H,8,FALSE)</f>
        <v>Control</v>
      </c>
      <c r="F1025" s="2">
        <f t="shared" si="45"/>
        <v>0</v>
      </c>
      <c r="G1025">
        <f t="shared" si="46"/>
        <v>1</v>
      </c>
      <c r="H1025" s="3" t="s">
        <v>4978</v>
      </c>
      <c r="I1025" s="6" t="str">
        <f t="shared" si="47"/>
        <v>00011024</v>
      </c>
    </row>
    <row r="1026" spans="1:9" x14ac:dyDescent="0.3">
      <c r="A1026">
        <v>1025</v>
      </c>
      <c r="B1026" s="6">
        <v>71591169</v>
      </c>
      <c r="C1026" t="str">
        <f>VLOOKUP(B1026,[1]BD_FINAL!$A:$H,2,FALSE)</f>
        <v>Carlos adolfo</v>
      </c>
      <c r="D1026" t="str">
        <f>VLOOKUP(B1026,[1]BD_FINAL!$A:$H,3,FALSE)</f>
        <v>Medellin</v>
      </c>
      <c r="E1026" t="str">
        <f>VLOOKUP(B1026,[1]BD_FINAL!$A:$H,8,FALSE)</f>
        <v>Control</v>
      </c>
      <c r="F1026" s="2">
        <f t="shared" si="45"/>
        <v>0</v>
      </c>
      <c r="G1026">
        <f t="shared" si="46"/>
        <v>1</v>
      </c>
      <c r="H1026" s="3" t="s">
        <v>4979</v>
      </c>
      <c r="I1026" s="6" t="str">
        <f t="shared" si="47"/>
        <v>00011025</v>
      </c>
    </row>
    <row r="1027" spans="1:9" x14ac:dyDescent="0.3">
      <c r="A1027">
        <v>1026</v>
      </c>
      <c r="B1027" s="6">
        <v>71603638</v>
      </c>
      <c r="C1027" t="str">
        <f>VLOOKUP(B1027,[1]BD_FINAL!$A:$H,2,FALSE)</f>
        <v xml:space="preserve">Francisco Javier </v>
      </c>
      <c r="D1027" t="str">
        <f>VLOOKUP(B1027,[1]BD_FINAL!$A:$H,3,FALSE)</f>
        <v>Medellin</v>
      </c>
      <c r="E1027" t="str">
        <f>VLOOKUP(B1027,[1]BD_FINAL!$A:$H,8,FALSE)</f>
        <v>Control</v>
      </c>
      <c r="F1027" s="2">
        <f t="shared" ref="F1027:F1090" si="48">IF(E1027="CONTROL",0,1)</f>
        <v>0</v>
      </c>
      <c r="G1027">
        <f t="shared" ref="G1027:G1090" si="49">IF(D1027="Medellin",1,IF(D1027="Cali",2,IF(D1027="Baranquilla",3,0)))</f>
        <v>1</v>
      </c>
      <c r="H1027" s="3" t="s">
        <v>4980</v>
      </c>
      <c r="I1027" s="6" t="str">
        <f t="shared" ref="I1027:I1090" si="50">_xlfn.CONCAT(0,F1027,0,G1027,H1027)</f>
        <v>00011026</v>
      </c>
    </row>
    <row r="1028" spans="1:9" x14ac:dyDescent="0.3">
      <c r="A1028">
        <v>1027</v>
      </c>
      <c r="B1028" s="6">
        <v>71645240</v>
      </c>
      <c r="C1028" t="str">
        <f>VLOOKUP(B1028,[1]BD_FINAL!$A:$H,2,FALSE)</f>
        <v>Jorge Nelson</v>
      </c>
      <c r="D1028" t="str">
        <f>VLOOKUP(B1028,[1]BD_FINAL!$A:$H,3,FALSE)</f>
        <v>Medellin</v>
      </c>
      <c r="E1028" t="str">
        <f>VLOOKUP(B1028,[1]BD_FINAL!$A:$H,8,FALSE)</f>
        <v>Tratamiento</v>
      </c>
      <c r="F1028" s="2">
        <f t="shared" si="48"/>
        <v>1</v>
      </c>
      <c r="G1028">
        <f t="shared" si="49"/>
        <v>1</v>
      </c>
      <c r="H1028" s="3" t="s">
        <v>4981</v>
      </c>
      <c r="I1028" s="6" t="str">
        <f t="shared" si="50"/>
        <v>01011027</v>
      </c>
    </row>
    <row r="1029" spans="1:9" x14ac:dyDescent="0.3">
      <c r="A1029">
        <v>1028</v>
      </c>
      <c r="B1029" s="6">
        <v>71646374</v>
      </c>
      <c r="C1029" t="str">
        <f>VLOOKUP(B1029,[1]BD_FINAL!$A:$H,2,FALSE)</f>
        <v>Omar Enrique</v>
      </c>
      <c r="D1029" t="str">
        <f>VLOOKUP(B1029,[1]BD_FINAL!$A:$H,3,FALSE)</f>
        <v>Medellin</v>
      </c>
      <c r="E1029" t="str">
        <f>VLOOKUP(B1029,[1]BD_FINAL!$A:$H,8,FALSE)</f>
        <v>Control</v>
      </c>
      <c r="F1029" s="2">
        <f t="shared" si="48"/>
        <v>0</v>
      </c>
      <c r="G1029">
        <f t="shared" si="49"/>
        <v>1</v>
      </c>
      <c r="H1029" s="3" t="s">
        <v>4982</v>
      </c>
      <c r="I1029" s="6" t="str">
        <f t="shared" si="50"/>
        <v>00011028</v>
      </c>
    </row>
    <row r="1030" spans="1:9" x14ac:dyDescent="0.3">
      <c r="A1030">
        <v>1029</v>
      </c>
      <c r="B1030" s="6">
        <v>71653892</v>
      </c>
      <c r="C1030" t="str">
        <f>VLOOKUP(B1030,[1]BD_FINAL!$A:$H,2,FALSE)</f>
        <v xml:space="preserve">Franklin Alberto </v>
      </c>
      <c r="D1030" t="str">
        <f>VLOOKUP(B1030,[1]BD_FINAL!$A:$H,3,FALSE)</f>
        <v>Medellin</v>
      </c>
      <c r="E1030" t="str">
        <f>VLOOKUP(B1030,[1]BD_FINAL!$A:$H,8,FALSE)</f>
        <v>Control</v>
      </c>
      <c r="F1030" s="2">
        <f t="shared" si="48"/>
        <v>0</v>
      </c>
      <c r="G1030">
        <f t="shared" si="49"/>
        <v>1</v>
      </c>
      <c r="H1030" s="3" t="s">
        <v>4983</v>
      </c>
      <c r="I1030" s="6" t="str">
        <f t="shared" si="50"/>
        <v>00011029</v>
      </c>
    </row>
    <row r="1031" spans="1:9" x14ac:dyDescent="0.3">
      <c r="A1031">
        <v>1030</v>
      </c>
      <c r="B1031" s="6">
        <v>71663203</v>
      </c>
      <c r="C1031" t="str">
        <f>VLOOKUP(B1031,[1]BD_FINAL!$A:$H,2,FALSE)</f>
        <v xml:space="preserve">Jovanni de Jesús </v>
      </c>
      <c r="D1031" t="str">
        <f>VLOOKUP(B1031,[1]BD_FINAL!$A:$H,3,FALSE)</f>
        <v>Medellin</v>
      </c>
      <c r="E1031" t="str">
        <f>VLOOKUP(B1031,[1]BD_FINAL!$A:$H,8,FALSE)</f>
        <v>Control</v>
      </c>
      <c r="F1031" s="2">
        <f t="shared" si="48"/>
        <v>0</v>
      </c>
      <c r="G1031">
        <f t="shared" si="49"/>
        <v>1</v>
      </c>
      <c r="H1031" s="3" t="s">
        <v>4984</v>
      </c>
      <c r="I1031" s="6" t="str">
        <f t="shared" si="50"/>
        <v>00011030</v>
      </c>
    </row>
    <row r="1032" spans="1:9" x14ac:dyDescent="0.3">
      <c r="A1032">
        <v>1031</v>
      </c>
      <c r="B1032" s="6">
        <v>71664592</v>
      </c>
      <c r="C1032" t="str">
        <f>VLOOKUP(B1032,[1]BD_FINAL!$A:$H,2,FALSE)</f>
        <v>María eloisa</v>
      </c>
      <c r="D1032" t="str">
        <f>VLOOKUP(B1032,[1]BD_FINAL!$A:$H,3,FALSE)</f>
        <v>Medellin</v>
      </c>
      <c r="E1032" t="str">
        <f>VLOOKUP(B1032,[1]BD_FINAL!$A:$H,8,FALSE)</f>
        <v>Control</v>
      </c>
      <c r="F1032" s="2">
        <f t="shared" si="48"/>
        <v>0</v>
      </c>
      <c r="G1032">
        <f t="shared" si="49"/>
        <v>1</v>
      </c>
      <c r="H1032" s="3" t="s">
        <v>4985</v>
      </c>
      <c r="I1032" s="6" t="str">
        <f t="shared" si="50"/>
        <v>00011031</v>
      </c>
    </row>
    <row r="1033" spans="1:9" x14ac:dyDescent="0.3">
      <c r="A1033">
        <v>1032</v>
      </c>
      <c r="B1033" s="6">
        <v>71671195</v>
      </c>
      <c r="C1033" t="str">
        <f>VLOOKUP(B1033,[1]BD_FINAL!$A:$H,2,FALSE)</f>
        <v>Omar de Jesús</v>
      </c>
      <c r="D1033" t="str">
        <f>VLOOKUP(B1033,[1]BD_FINAL!$A:$H,3,FALSE)</f>
        <v>Medellin</v>
      </c>
      <c r="E1033" t="str">
        <f>VLOOKUP(B1033,[1]BD_FINAL!$A:$H,8,FALSE)</f>
        <v>Control</v>
      </c>
      <c r="F1033" s="2">
        <f t="shared" si="48"/>
        <v>0</v>
      </c>
      <c r="G1033">
        <f t="shared" si="49"/>
        <v>1</v>
      </c>
      <c r="H1033" s="3" t="s">
        <v>4986</v>
      </c>
      <c r="I1033" s="6" t="str">
        <f t="shared" si="50"/>
        <v>00011032</v>
      </c>
    </row>
    <row r="1034" spans="1:9" x14ac:dyDescent="0.3">
      <c r="A1034">
        <v>1033</v>
      </c>
      <c r="B1034" s="6">
        <v>71681839</v>
      </c>
      <c r="C1034" t="str">
        <f>VLOOKUP(B1034,[1]BD_FINAL!$A:$H,2,FALSE)</f>
        <v>León Dario</v>
      </c>
      <c r="D1034" t="str">
        <f>VLOOKUP(B1034,[1]BD_FINAL!$A:$H,3,FALSE)</f>
        <v>Medellin</v>
      </c>
      <c r="E1034" t="str">
        <f>VLOOKUP(B1034,[1]BD_FINAL!$A:$H,8,FALSE)</f>
        <v>Tratamiento</v>
      </c>
      <c r="F1034" s="2">
        <f t="shared" si="48"/>
        <v>1</v>
      </c>
      <c r="G1034">
        <f t="shared" si="49"/>
        <v>1</v>
      </c>
      <c r="H1034" s="3" t="s">
        <v>4987</v>
      </c>
      <c r="I1034" s="6" t="str">
        <f t="shared" si="50"/>
        <v>01011033</v>
      </c>
    </row>
    <row r="1035" spans="1:9" x14ac:dyDescent="0.3">
      <c r="A1035">
        <v>1034</v>
      </c>
      <c r="B1035" s="6">
        <v>71686558</v>
      </c>
      <c r="C1035" t="str">
        <f>VLOOKUP(B1035,[1]BD_FINAL!$A:$H,2,FALSE)</f>
        <v>Dairo</v>
      </c>
      <c r="D1035" t="str">
        <f>VLOOKUP(B1035,[1]BD_FINAL!$A:$H,3,FALSE)</f>
        <v>Medellin</v>
      </c>
      <c r="E1035" t="str">
        <f>VLOOKUP(B1035,[1]BD_FINAL!$A:$H,8,FALSE)</f>
        <v>Control</v>
      </c>
      <c r="F1035" s="2">
        <f t="shared" si="48"/>
        <v>0</v>
      </c>
      <c r="G1035">
        <f t="shared" si="49"/>
        <v>1</v>
      </c>
      <c r="H1035" s="3" t="s">
        <v>4988</v>
      </c>
      <c r="I1035" s="6" t="str">
        <f t="shared" si="50"/>
        <v>00011034</v>
      </c>
    </row>
    <row r="1036" spans="1:9" x14ac:dyDescent="0.3">
      <c r="A1036">
        <v>1035</v>
      </c>
      <c r="B1036" s="6">
        <v>71697945</v>
      </c>
      <c r="C1036" t="str">
        <f>VLOOKUP(B1036,[1]BD_FINAL!$A:$H,2,FALSE)</f>
        <v xml:space="preserve">Edgar Antonio </v>
      </c>
      <c r="D1036" t="str">
        <f>VLOOKUP(B1036,[1]BD_FINAL!$A:$H,3,FALSE)</f>
        <v>Medellin</v>
      </c>
      <c r="E1036" t="str">
        <f>VLOOKUP(B1036,[1]BD_FINAL!$A:$H,8,FALSE)</f>
        <v>Control</v>
      </c>
      <c r="F1036" s="2">
        <f t="shared" si="48"/>
        <v>0</v>
      </c>
      <c r="G1036">
        <f t="shared" si="49"/>
        <v>1</v>
      </c>
      <c r="H1036" s="3" t="s">
        <v>4989</v>
      </c>
      <c r="I1036" s="6" t="str">
        <f t="shared" si="50"/>
        <v>00011035</v>
      </c>
    </row>
    <row r="1037" spans="1:9" x14ac:dyDescent="0.3">
      <c r="A1037">
        <v>1036</v>
      </c>
      <c r="B1037" s="6">
        <v>71717122</v>
      </c>
      <c r="C1037" t="str">
        <f>VLOOKUP(B1037,[1]BD_FINAL!$A:$H,2,FALSE)</f>
        <v xml:space="preserve">John Albeiro </v>
      </c>
      <c r="D1037" t="str">
        <f>VLOOKUP(B1037,[1]BD_FINAL!$A:$H,3,FALSE)</f>
        <v>Medellin</v>
      </c>
      <c r="E1037" t="str">
        <f>VLOOKUP(B1037,[1]BD_FINAL!$A:$H,8,FALSE)</f>
        <v>Control</v>
      </c>
      <c r="F1037" s="2">
        <f t="shared" si="48"/>
        <v>0</v>
      </c>
      <c r="G1037">
        <f t="shared" si="49"/>
        <v>1</v>
      </c>
      <c r="H1037" s="3" t="s">
        <v>4990</v>
      </c>
      <c r="I1037" s="6" t="str">
        <f t="shared" si="50"/>
        <v>00011036</v>
      </c>
    </row>
    <row r="1038" spans="1:9" x14ac:dyDescent="0.3">
      <c r="A1038">
        <v>1037</v>
      </c>
      <c r="B1038" s="6">
        <v>71728862</v>
      </c>
      <c r="C1038" t="str">
        <f>VLOOKUP(B1038,[1]BD_FINAL!$A:$H,2,FALSE)</f>
        <v>Javier Alonso Perez</v>
      </c>
      <c r="D1038" t="str">
        <f>VLOOKUP(B1038,[1]BD_FINAL!$A:$H,3,FALSE)</f>
        <v>Medellin</v>
      </c>
      <c r="E1038" t="str">
        <f>VLOOKUP(B1038,[1]BD_FINAL!$A:$H,8,FALSE)</f>
        <v>Tratamiento</v>
      </c>
      <c r="F1038" s="2">
        <f t="shared" si="48"/>
        <v>1</v>
      </c>
      <c r="G1038">
        <f t="shared" si="49"/>
        <v>1</v>
      </c>
      <c r="H1038" s="3" t="s">
        <v>4991</v>
      </c>
      <c r="I1038" s="6" t="str">
        <f t="shared" si="50"/>
        <v>01011037</v>
      </c>
    </row>
    <row r="1039" spans="1:9" x14ac:dyDescent="0.3">
      <c r="A1039">
        <v>1038</v>
      </c>
      <c r="B1039" s="6">
        <v>71744033</v>
      </c>
      <c r="C1039" t="str">
        <f>VLOOKUP(B1039,[1]BD_FINAL!$A:$H,2,FALSE)</f>
        <v>Juan Carlos</v>
      </c>
      <c r="D1039" t="str">
        <f>VLOOKUP(B1039,[1]BD_FINAL!$A:$H,3,FALSE)</f>
        <v>Medellin</v>
      </c>
      <c r="E1039" t="str">
        <f>VLOOKUP(B1039,[1]BD_FINAL!$A:$H,8,FALSE)</f>
        <v>Control</v>
      </c>
      <c r="F1039" s="2">
        <f t="shared" si="48"/>
        <v>0</v>
      </c>
      <c r="G1039">
        <f t="shared" si="49"/>
        <v>1</v>
      </c>
      <c r="H1039" s="3" t="s">
        <v>4992</v>
      </c>
      <c r="I1039" s="6" t="str">
        <f t="shared" si="50"/>
        <v>00011038</v>
      </c>
    </row>
    <row r="1040" spans="1:9" x14ac:dyDescent="0.3">
      <c r="A1040">
        <v>1039</v>
      </c>
      <c r="B1040" s="6">
        <v>71763215</v>
      </c>
      <c r="C1040" t="str">
        <f>VLOOKUP(B1040,[1]BD_FINAL!$A:$H,2,FALSE)</f>
        <v>Rubén Dario</v>
      </c>
      <c r="D1040" t="str">
        <f>VLOOKUP(B1040,[1]BD_FINAL!$A:$H,3,FALSE)</f>
        <v>Medellin</v>
      </c>
      <c r="E1040" t="str">
        <f>VLOOKUP(B1040,[1]BD_FINAL!$A:$H,8,FALSE)</f>
        <v>Tratamiento</v>
      </c>
      <c r="F1040" s="2">
        <f t="shared" si="48"/>
        <v>1</v>
      </c>
      <c r="G1040">
        <f t="shared" si="49"/>
        <v>1</v>
      </c>
      <c r="H1040" s="3" t="s">
        <v>4993</v>
      </c>
      <c r="I1040" s="6" t="str">
        <f t="shared" si="50"/>
        <v>01011039</v>
      </c>
    </row>
    <row r="1041" spans="1:9" x14ac:dyDescent="0.3">
      <c r="A1041">
        <v>1040</v>
      </c>
      <c r="B1041" s="6">
        <v>71769872</v>
      </c>
      <c r="C1041" t="str">
        <f>VLOOKUP(B1041,[1]BD_FINAL!$A:$H,2,FALSE)</f>
        <v xml:space="preserve">Carlos Mario </v>
      </c>
      <c r="D1041" t="str">
        <f>VLOOKUP(B1041,[1]BD_FINAL!$A:$H,3,FALSE)</f>
        <v>Medellin</v>
      </c>
      <c r="E1041" t="str">
        <f>VLOOKUP(B1041,[1]BD_FINAL!$A:$H,8,FALSE)</f>
        <v>Control</v>
      </c>
      <c r="F1041" s="2">
        <f t="shared" si="48"/>
        <v>0</v>
      </c>
      <c r="G1041">
        <f t="shared" si="49"/>
        <v>1</v>
      </c>
      <c r="H1041" s="3" t="s">
        <v>4994</v>
      </c>
      <c r="I1041" s="6" t="str">
        <f t="shared" si="50"/>
        <v>00011040</v>
      </c>
    </row>
    <row r="1042" spans="1:9" x14ac:dyDescent="0.3">
      <c r="A1042">
        <v>1041</v>
      </c>
      <c r="B1042" s="6">
        <v>71796175</v>
      </c>
      <c r="C1042" t="str">
        <f>VLOOKUP(B1042,[1]BD_FINAL!$A:$H,2,FALSE)</f>
        <v>Mauricio</v>
      </c>
      <c r="D1042" t="str">
        <f>VLOOKUP(B1042,[1]BD_FINAL!$A:$H,3,FALSE)</f>
        <v>Medellin</v>
      </c>
      <c r="E1042" t="str">
        <f>VLOOKUP(B1042,[1]BD_FINAL!$A:$H,8,FALSE)</f>
        <v>Control</v>
      </c>
      <c r="F1042" s="2">
        <f t="shared" si="48"/>
        <v>0</v>
      </c>
      <c r="G1042">
        <f t="shared" si="49"/>
        <v>1</v>
      </c>
      <c r="H1042" s="3" t="s">
        <v>4995</v>
      </c>
      <c r="I1042" s="6" t="str">
        <f t="shared" si="50"/>
        <v>00011041</v>
      </c>
    </row>
    <row r="1043" spans="1:9" x14ac:dyDescent="0.3">
      <c r="A1043">
        <v>1042</v>
      </c>
      <c r="B1043" s="6">
        <v>71799939</v>
      </c>
      <c r="C1043" t="str">
        <f>VLOOKUP(B1043,[1]BD_FINAL!$A:$H,2,FALSE)</f>
        <v xml:space="preserve">Gonzalo de Jesús </v>
      </c>
      <c r="D1043" t="str">
        <f>VLOOKUP(B1043,[1]BD_FINAL!$A:$H,3,FALSE)</f>
        <v>Medellin</v>
      </c>
      <c r="E1043" t="str">
        <f>VLOOKUP(B1043,[1]BD_FINAL!$A:$H,8,FALSE)</f>
        <v>Control</v>
      </c>
      <c r="F1043" s="2">
        <f t="shared" si="48"/>
        <v>0</v>
      </c>
      <c r="G1043">
        <f t="shared" si="49"/>
        <v>1</v>
      </c>
      <c r="H1043" s="3" t="s">
        <v>4996</v>
      </c>
      <c r="I1043" s="6" t="str">
        <f t="shared" si="50"/>
        <v>00011042</v>
      </c>
    </row>
    <row r="1044" spans="1:9" x14ac:dyDescent="0.3">
      <c r="A1044">
        <v>1043</v>
      </c>
      <c r="B1044" s="6">
        <v>72042663</v>
      </c>
      <c r="C1044" t="str">
        <f>VLOOKUP(B1044,[1]BD_FINAL!$A:$H,2,FALSE)</f>
        <v xml:space="preserve">Julio </v>
      </c>
      <c r="D1044" t="str">
        <f>VLOOKUP(B1044,[1]BD_FINAL!$A:$H,3,FALSE)</f>
        <v>Baranquilla</v>
      </c>
      <c r="E1044" t="str">
        <f>VLOOKUP(B1044,[1]BD_FINAL!$A:$H,8,FALSE)</f>
        <v>Tratamiento</v>
      </c>
      <c r="F1044" s="2">
        <f t="shared" si="48"/>
        <v>1</v>
      </c>
      <c r="G1044">
        <f t="shared" si="49"/>
        <v>3</v>
      </c>
      <c r="H1044" s="3" t="s">
        <v>4997</v>
      </c>
      <c r="I1044" s="6" t="str">
        <f t="shared" si="50"/>
        <v>01031043</v>
      </c>
    </row>
    <row r="1045" spans="1:9" x14ac:dyDescent="0.3">
      <c r="A1045">
        <v>1044</v>
      </c>
      <c r="B1045" s="6">
        <v>72127034</v>
      </c>
      <c r="C1045" t="str">
        <f>VLOOKUP(B1045,[1]BD_FINAL!$A:$H,2,FALSE)</f>
        <v xml:space="preserve">Edgardo </v>
      </c>
      <c r="D1045" t="str">
        <f>VLOOKUP(B1045,[1]BD_FINAL!$A:$H,3,FALSE)</f>
        <v>Baranquilla</v>
      </c>
      <c r="E1045" t="str">
        <f>VLOOKUP(B1045,[1]BD_FINAL!$A:$H,8,FALSE)</f>
        <v>Control</v>
      </c>
      <c r="F1045" s="2">
        <f t="shared" si="48"/>
        <v>0</v>
      </c>
      <c r="G1045">
        <f t="shared" si="49"/>
        <v>3</v>
      </c>
      <c r="H1045" s="3" t="s">
        <v>4998</v>
      </c>
      <c r="I1045" s="6" t="str">
        <f t="shared" si="50"/>
        <v>00031044</v>
      </c>
    </row>
    <row r="1046" spans="1:9" x14ac:dyDescent="0.3">
      <c r="A1046">
        <v>1045</v>
      </c>
      <c r="B1046" s="6">
        <v>72129785</v>
      </c>
      <c r="C1046" t="str">
        <f>VLOOKUP(B1046,[1]BD_FINAL!$A:$H,2,FALSE)</f>
        <v>Jose</v>
      </c>
      <c r="D1046" t="str">
        <f>VLOOKUP(B1046,[1]BD_FINAL!$A:$H,3,FALSE)</f>
        <v>Baranquilla</v>
      </c>
      <c r="E1046" t="str">
        <f>VLOOKUP(B1046,[1]BD_FINAL!$A:$H,8,FALSE)</f>
        <v>Tratamiento</v>
      </c>
      <c r="F1046" s="2">
        <f t="shared" si="48"/>
        <v>1</v>
      </c>
      <c r="G1046">
        <f t="shared" si="49"/>
        <v>3</v>
      </c>
      <c r="H1046" s="3" t="s">
        <v>4999</v>
      </c>
      <c r="I1046" s="6" t="str">
        <f t="shared" si="50"/>
        <v>01031045</v>
      </c>
    </row>
    <row r="1047" spans="1:9" x14ac:dyDescent="0.3">
      <c r="A1047">
        <v>1046</v>
      </c>
      <c r="B1047" s="6">
        <v>72131105</v>
      </c>
      <c r="C1047" t="str">
        <f>VLOOKUP(B1047,[1]BD_FINAL!$A:$H,2,FALSE)</f>
        <v xml:space="preserve">Julio enrique </v>
      </c>
      <c r="D1047" t="str">
        <f>VLOOKUP(B1047,[1]BD_FINAL!$A:$H,3,FALSE)</f>
        <v>Baranquilla</v>
      </c>
      <c r="E1047" t="str">
        <f>VLOOKUP(B1047,[1]BD_FINAL!$A:$H,8,FALSE)</f>
        <v>Control</v>
      </c>
      <c r="F1047" s="2">
        <f t="shared" si="48"/>
        <v>0</v>
      </c>
      <c r="G1047">
        <f t="shared" si="49"/>
        <v>3</v>
      </c>
      <c r="H1047" s="3" t="s">
        <v>5000</v>
      </c>
      <c r="I1047" s="6" t="str">
        <f t="shared" si="50"/>
        <v>00031046</v>
      </c>
    </row>
    <row r="1048" spans="1:9" x14ac:dyDescent="0.3">
      <c r="A1048">
        <v>1047</v>
      </c>
      <c r="B1048" s="6">
        <v>72132483</v>
      </c>
      <c r="C1048" t="str">
        <f>VLOOKUP(B1048,[1]BD_FINAL!$A:$H,2,FALSE)</f>
        <v xml:space="preserve">Francisco </v>
      </c>
      <c r="D1048" t="str">
        <f>VLOOKUP(B1048,[1]BD_FINAL!$A:$H,3,FALSE)</f>
        <v>Baranquilla</v>
      </c>
      <c r="E1048" t="str">
        <f>VLOOKUP(B1048,[1]BD_FINAL!$A:$H,8,FALSE)</f>
        <v>Tratamiento</v>
      </c>
      <c r="F1048" s="2">
        <f t="shared" si="48"/>
        <v>1</v>
      </c>
      <c r="G1048">
        <f t="shared" si="49"/>
        <v>3</v>
      </c>
      <c r="H1048" s="3" t="s">
        <v>5001</v>
      </c>
      <c r="I1048" s="6" t="str">
        <f t="shared" si="50"/>
        <v>01031047</v>
      </c>
    </row>
    <row r="1049" spans="1:9" x14ac:dyDescent="0.3">
      <c r="A1049">
        <v>1048</v>
      </c>
      <c r="B1049" s="6">
        <v>72144157</v>
      </c>
      <c r="C1049" t="str">
        <f>VLOOKUP(B1049,[1]BD_FINAL!$A:$H,2,FALSE)</f>
        <v xml:space="preserve">Erlen </v>
      </c>
      <c r="D1049" t="str">
        <f>VLOOKUP(B1049,[1]BD_FINAL!$A:$H,3,FALSE)</f>
        <v>Baranquilla</v>
      </c>
      <c r="E1049" t="str">
        <f>VLOOKUP(B1049,[1]BD_FINAL!$A:$H,8,FALSE)</f>
        <v>Tratamiento</v>
      </c>
      <c r="F1049" s="2">
        <f t="shared" si="48"/>
        <v>1</v>
      </c>
      <c r="G1049">
        <f t="shared" si="49"/>
        <v>3</v>
      </c>
      <c r="H1049" s="3" t="s">
        <v>5002</v>
      </c>
      <c r="I1049" s="6" t="str">
        <f t="shared" si="50"/>
        <v>01031048</v>
      </c>
    </row>
    <row r="1050" spans="1:9" x14ac:dyDescent="0.3">
      <c r="A1050">
        <v>1049</v>
      </c>
      <c r="B1050" s="6">
        <v>72145817</v>
      </c>
      <c r="C1050" t="str">
        <f>VLOOKUP(B1050,[1]BD_FINAL!$A:$H,2,FALSE)</f>
        <v xml:space="preserve">Javier </v>
      </c>
      <c r="D1050" t="str">
        <f>VLOOKUP(B1050,[1]BD_FINAL!$A:$H,3,FALSE)</f>
        <v>Baranquilla</v>
      </c>
      <c r="E1050" t="str">
        <f>VLOOKUP(B1050,[1]BD_FINAL!$A:$H,8,FALSE)</f>
        <v>Tratamiento</v>
      </c>
      <c r="F1050" s="2">
        <f t="shared" si="48"/>
        <v>1</v>
      </c>
      <c r="G1050">
        <f t="shared" si="49"/>
        <v>3</v>
      </c>
      <c r="H1050" s="3" t="s">
        <v>5003</v>
      </c>
      <c r="I1050" s="6" t="str">
        <f t="shared" si="50"/>
        <v>01031049</v>
      </c>
    </row>
    <row r="1051" spans="1:9" x14ac:dyDescent="0.3">
      <c r="A1051">
        <v>1050</v>
      </c>
      <c r="B1051" s="6">
        <v>72146165</v>
      </c>
      <c r="C1051" t="str">
        <f>VLOOKUP(B1051,[1]BD_FINAL!$A:$H,2,FALSE)</f>
        <v xml:space="preserve">Robinson Manuel </v>
      </c>
      <c r="D1051" t="str">
        <f>VLOOKUP(B1051,[1]BD_FINAL!$A:$H,3,FALSE)</f>
        <v>Baranquilla</v>
      </c>
      <c r="E1051" t="str">
        <f>VLOOKUP(B1051,[1]BD_FINAL!$A:$H,8,FALSE)</f>
        <v>Control</v>
      </c>
      <c r="F1051" s="2">
        <f t="shared" si="48"/>
        <v>0</v>
      </c>
      <c r="G1051">
        <f t="shared" si="49"/>
        <v>3</v>
      </c>
      <c r="H1051" s="3" t="s">
        <v>5004</v>
      </c>
      <c r="I1051" s="6" t="str">
        <f t="shared" si="50"/>
        <v>00031050</v>
      </c>
    </row>
    <row r="1052" spans="1:9" x14ac:dyDescent="0.3">
      <c r="A1052">
        <v>1051</v>
      </c>
      <c r="B1052" s="6">
        <v>72146737</v>
      </c>
      <c r="C1052" t="str">
        <f>VLOOKUP(B1052,[1]BD_FINAL!$A:$H,2,FALSE)</f>
        <v>Marcelino de jesus</v>
      </c>
      <c r="D1052" t="str">
        <f>VLOOKUP(B1052,[1]BD_FINAL!$A:$H,3,FALSE)</f>
        <v>Baranquilla</v>
      </c>
      <c r="E1052" t="str">
        <f>VLOOKUP(B1052,[1]BD_FINAL!$A:$H,8,FALSE)</f>
        <v>Tratamiento</v>
      </c>
      <c r="F1052" s="2">
        <f t="shared" si="48"/>
        <v>1</v>
      </c>
      <c r="G1052">
        <f t="shared" si="49"/>
        <v>3</v>
      </c>
      <c r="H1052" s="3" t="s">
        <v>5005</v>
      </c>
      <c r="I1052" s="6" t="str">
        <f t="shared" si="50"/>
        <v>01031051</v>
      </c>
    </row>
    <row r="1053" spans="1:9" x14ac:dyDescent="0.3">
      <c r="A1053">
        <v>1052</v>
      </c>
      <c r="B1053" s="6">
        <v>72149109</v>
      </c>
      <c r="C1053" t="str">
        <f>VLOOKUP(B1053,[1]BD_FINAL!$A:$H,2,FALSE)</f>
        <v xml:space="preserve">Jhon </v>
      </c>
      <c r="D1053" t="str">
        <f>VLOOKUP(B1053,[1]BD_FINAL!$A:$H,3,FALSE)</f>
        <v>Baranquilla</v>
      </c>
      <c r="E1053" t="str">
        <f>VLOOKUP(B1053,[1]BD_FINAL!$A:$H,8,FALSE)</f>
        <v>Control</v>
      </c>
      <c r="F1053" s="2">
        <f t="shared" si="48"/>
        <v>0</v>
      </c>
      <c r="G1053">
        <f t="shared" si="49"/>
        <v>3</v>
      </c>
      <c r="H1053" s="3" t="s">
        <v>5006</v>
      </c>
      <c r="I1053" s="6" t="str">
        <f t="shared" si="50"/>
        <v>00031052</v>
      </c>
    </row>
    <row r="1054" spans="1:9" x14ac:dyDescent="0.3">
      <c r="A1054">
        <v>1053</v>
      </c>
      <c r="B1054" s="6">
        <v>72167042</v>
      </c>
      <c r="C1054" t="str">
        <f>VLOOKUP(B1054,[1]BD_FINAL!$A:$H,2,FALSE)</f>
        <v xml:space="preserve">Gusto Germán </v>
      </c>
      <c r="D1054" t="str">
        <f>VLOOKUP(B1054,[1]BD_FINAL!$A:$H,3,FALSE)</f>
        <v>Baranquilla</v>
      </c>
      <c r="E1054" t="str">
        <f>VLOOKUP(B1054,[1]BD_FINAL!$A:$H,8,FALSE)</f>
        <v>Control</v>
      </c>
      <c r="F1054" s="2">
        <f t="shared" si="48"/>
        <v>0</v>
      </c>
      <c r="G1054">
        <f t="shared" si="49"/>
        <v>3</v>
      </c>
      <c r="H1054" s="3" t="s">
        <v>5007</v>
      </c>
      <c r="I1054" s="6" t="str">
        <f t="shared" si="50"/>
        <v>00031053</v>
      </c>
    </row>
    <row r="1055" spans="1:9" x14ac:dyDescent="0.3">
      <c r="A1055">
        <v>1054</v>
      </c>
      <c r="B1055" s="6">
        <v>72170241</v>
      </c>
      <c r="C1055" t="str">
        <f>VLOOKUP(B1055,[1]BD_FINAL!$A:$H,2,FALSE)</f>
        <v xml:space="preserve">Wilfrido Rafael </v>
      </c>
      <c r="D1055" t="str">
        <f>VLOOKUP(B1055,[1]BD_FINAL!$A:$H,3,FALSE)</f>
        <v>Baranquilla</v>
      </c>
      <c r="E1055" t="str">
        <f>VLOOKUP(B1055,[1]BD_FINAL!$A:$H,8,FALSE)</f>
        <v>Control</v>
      </c>
      <c r="F1055" s="2">
        <f t="shared" si="48"/>
        <v>0</v>
      </c>
      <c r="G1055">
        <f t="shared" si="49"/>
        <v>3</v>
      </c>
      <c r="H1055" s="3" t="s">
        <v>5008</v>
      </c>
      <c r="I1055" s="6" t="str">
        <f t="shared" si="50"/>
        <v>00031054</v>
      </c>
    </row>
    <row r="1056" spans="1:9" x14ac:dyDescent="0.3">
      <c r="A1056">
        <v>1055</v>
      </c>
      <c r="B1056" s="6">
        <v>72175816</v>
      </c>
      <c r="C1056" t="str">
        <f>VLOOKUP(B1056,[1]BD_FINAL!$A:$H,2,FALSE)</f>
        <v>Giavanni jhon</v>
      </c>
      <c r="D1056" t="str">
        <f>VLOOKUP(B1056,[1]BD_FINAL!$A:$H,3,FALSE)</f>
        <v>Baranquilla</v>
      </c>
      <c r="E1056" t="str">
        <f>VLOOKUP(B1056,[1]BD_FINAL!$A:$H,8,FALSE)</f>
        <v>Control</v>
      </c>
      <c r="F1056" s="2">
        <f t="shared" si="48"/>
        <v>0</v>
      </c>
      <c r="G1056">
        <f t="shared" si="49"/>
        <v>3</v>
      </c>
      <c r="H1056" s="3" t="s">
        <v>5009</v>
      </c>
      <c r="I1056" s="6" t="str">
        <f t="shared" si="50"/>
        <v>00031055</v>
      </c>
    </row>
    <row r="1057" spans="1:9" x14ac:dyDescent="0.3">
      <c r="A1057">
        <v>1056</v>
      </c>
      <c r="B1057" s="6">
        <v>72178853</v>
      </c>
      <c r="C1057" t="str">
        <f>VLOOKUP(B1057,[1]BD_FINAL!$A:$H,2,FALSE)</f>
        <v xml:space="preserve">YOFAY LUIS </v>
      </c>
      <c r="D1057" t="str">
        <f>VLOOKUP(B1057,[1]BD_FINAL!$A:$H,3,FALSE)</f>
        <v>Baranquilla</v>
      </c>
      <c r="E1057" t="str">
        <f>VLOOKUP(B1057,[1]BD_FINAL!$A:$H,8,FALSE)</f>
        <v>Tratamiento</v>
      </c>
      <c r="F1057" s="2">
        <f t="shared" si="48"/>
        <v>1</v>
      </c>
      <c r="G1057">
        <f t="shared" si="49"/>
        <v>3</v>
      </c>
      <c r="H1057" s="3" t="s">
        <v>5010</v>
      </c>
      <c r="I1057" s="6" t="str">
        <f t="shared" si="50"/>
        <v>01031056</v>
      </c>
    </row>
    <row r="1058" spans="1:9" x14ac:dyDescent="0.3">
      <c r="A1058">
        <v>1057</v>
      </c>
      <c r="B1058" s="6">
        <v>72180833</v>
      </c>
      <c r="C1058" t="str">
        <f>VLOOKUP(B1058,[1]BD_FINAL!$A:$H,2,FALSE)</f>
        <v>Rafael</v>
      </c>
      <c r="D1058" t="str">
        <f>VLOOKUP(B1058,[1]BD_FINAL!$A:$H,3,FALSE)</f>
        <v>Baranquilla</v>
      </c>
      <c r="E1058" t="str">
        <f>VLOOKUP(B1058,[1]BD_FINAL!$A:$H,8,FALSE)</f>
        <v>Tratamiento</v>
      </c>
      <c r="F1058" s="2">
        <f t="shared" si="48"/>
        <v>1</v>
      </c>
      <c r="G1058">
        <f t="shared" si="49"/>
        <v>3</v>
      </c>
      <c r="H1058" s="3" t="s">
        <v>5011</v>
      </c>
      <c r="I1058" s="6" t="str">
        <f t="shared" si="50"/>
        <v>01031057</v>
      </c>
    </row>
    <row r="1059" spans="1:9" x14ac:dyDescent="0.3">
      <c r="A1059">
        <v>1058</v>
      </c>
      <c r="B1059" s="6">
        <v>72182204</v>
      </c>
      <c r="C1059" t="str">
        <f>VLOOKUP(B1059,[1]BD_FINAL!$A:$H,2,FALSE)</f>
        <v xml:space="preserve">Adolfo </v>
      </c>
      <c r="D1059" t="str">
        <f>VLOOKUP(B1059,[1]BD_FINAL!$A:$H,3,FALSE)</f>
        <v>Baranquilla</v>
      </c>
      <c r="E1059" t="str">
        <f>VLOOKUP(B1059,[1]BD_FINAL!$A:$H,8,FALSE)</f>
        <v>Tratamiento</v>
      </c>
      <c r="F1059" s="2">
        <f t="shared" si="48"/>
        <v>1</v>
      </c>
      <c r="G1059">
        <f t="shared" si="49"/>
        <v>3</v>
      </c>
      <c r="H1059" s="3" t="s">
        <v>5012</v>
      </c>
      <c r="I1059" s="6" t="str">
        <f t="shared" si="50"/>
        <v>01031058</v>
      </c>
    </row>
    <row r="1060" spans="1:9" x14ac:dyDescent="0.3">
      <c r="A1060">
        <v>1059</v>
      </c>
      <c r="B1060" s="6">
        <v>72183434</v>
      </c>
      <c r="C1060" t="str">
        <f>VLOOKUP(B1060,[1]BD_FINAL!$A:$H,2,FALSE)</f>
        <v xml:space="preserve">Jose Antonio </v>
      </c>
      <c r="D1060" t="str">
        <f>VLOOKUP(B1060,[1]BD_FINAL!$A:$H,3,FALSE)</f>
        <v>Baranquilla</v>
      </c>
      <c r="E1060" t="str">
        <f>VLOOKUP(B1060,[1]BD_FINAL!$A:$H,8,FALSE)</f>
        <v>Control</v>
      </c>
      <c r="F1060" s="2">
        <f t="shared" si="48"/>
        <v>0</v>
      </c>
      <c r="G1060">
        <f t="shared" si="49"/>
        <v>3</v>
      </c>
      <c r="H1060" s="3" t="s">
        <v>5013</v>
      </c>
      <c r="I1060" s="6" t="str">
        <f t="shared" si="50"/>
        <v>00031059</v>
      </c>
    </row>
    <row r="1061" spans="1:9" x14ac:dyDescent="0.3">
      <c r="A1061">
        <v>1060</v>
      </c>
      <c r="B1061" s="6">
        <v>72184735</v>
      </c>
      <c r="C1061" t="str">
        <f>VLOOKUP(B1061,[1]BD_FINAL!$A:$H,2,FALSE)</f>
        <v>Luis alberto</v>
      </c>
      <c r="D1061" t="str">
        <f>VLOOKUP(B1061,[1]BD_FINAL!$A:$H,3,FALSE)</f>
        <v>Baranquilla</v>
      </c>
      <c r="E1061" t="str">
        <f>VLOOKUP(B1061,[1]BD_FINAL!$A:$H,8,FALSE)</f>
        <v>Control</v>
      </c>
      <c r="F1061" s="2">
        <f t="shared" si="48"/>
        <v>0</v>
      </c>
      <c r="G1061">
        <f t="shared" si="49"/>
        <v>3</v>
      </c>
      <c r="H1061" s="3" t="s">
        <v>5014</v>
      </c>
      <c r="I1061" s="6" t="str">
        <f t="shared" si="50"/>
        <v>00031060</v>
      </c>
    </row>
    <row r="1062" spans="1:9" x14ac:dyDescent="0.3">
      <c r="A1062">
        <v>1061</v>
      </c>
      <c r="B1062" s="6">
        <v>72200209</v>
      </c>
      <c r="C1062" t="str">
        <f>VLOOKUP(B1062,[1]BD_FINAL!$A:$H,2,FALSE)</f>
        <v xml:space="preserve">Wilmer José </v>
      </c>
      <c r="D1062" t="str">
        <f>VLOOKUP(B1062,[1]BD_FINAL!$A:$H,3,FALSE)</f>
        <v>Baranquilla</v>
      </c>
      <c r="E1062" t="str">
        <f>VLOOKUP(B1062,[1]BD_FINAL!$A:$H,8,FALSE)</f>
        <v>Tratamiento</v>
      </c>
      <c r="F1062" s="2">
        <f t="shared" si="48"/>
        <v>1</v>
      </c>
      <c r="G1062">
        <f t="shared" si="49"/>
        <v>3</v>
      </c>
      <c r="H1062" s="3" t="s">
        <v>5015</v>
      </c>
      <c r="I1062" s="6" t="str">
        <f t="shared" si="50"/>
        <v>01031061</v>
      </c>
    </row>
    <row r="1063" spans="1:9" x14ac:dyDescent="0.3">
      <c r="A1063">
        <v>1062</v>
      </c>
      <c r="B1063" s="6">
        <v>72210592</v>
      </c>
      <c r="C1063" t="str">
        <f>VLOOKUP(B1063,[1]BD_FINAL!$A:$H,2,FALSE)</f>
        <v xml:space="preserve">TONY ANIBAL </v>
      </c>
      <c r="D1063" t="str">
        <f>VLOOKUP(B1063,[1]BD_FINAL!$A:$H,3,FALSE)</f>
        <v>Baranquilla</v>
      </c>
      <c r="E1063" t="str">
        <f>VLOOKUP(B1063,[1]BD_FINAL!$A:$H,8,FALSE)</f>
        <v>Tratamiento</v>
      </c>
      <c r="F1063" s="2">
        <f t="shared" si="48"/>
        <v>1</v>
      </c>
      <c r="G1063">
        <f t="shared" si="49"/>
        <v>3</v>
      </c>
      <c r="H1063" s="3" t="s">
        <v>5016</v>
      </c>
      <c r="I1063" s="6" t="str">
        <f t="shared" si="50"/>
        <v>01031062</v>
      </c>
    </row>
    <row r="1064" spans="1:9" x14ac:dyDescent="0.3">
      <c r="A1064">
        <v>1063</v>
      </c>
      <c r="B1064" s="6">
        <v>72212320</v>
      </c>
      <c r="C1064" t="str">
        <f>VLOOKUP(B1064,[1]BD_FINAL!$A:$H,2,FALSE)</f>
        <v xml:space="preserve">César </v>
      </c>
      <c r="D1064" t="str">
        <f>VLOOKUP(B1064,[1]BD_FINAL!$A:$H,3,FALSE)</f>
        <v>Baranquilla</v>
      </c>
      <c r="E1064" t="str">
        <f>VLOOKUP(B1064,[1]BD_FINAL!$A:$H,8,FALSE)</f>
        <v>Tratamiento</v>
      </c>
      <c r="F1064" s="2">
        <f t="shared" si="48"/>
        <v>1</v>
      </c>
      <c r="G1064">
        <f t="shared" si="49"/>
        <v>3</v>
      </c>
      <c r="H1064" s="3" t="s">
        <v>5017</v>
      </c>
      <c r="I1064" s="6" t="str">
        <f t="shared" si="50"/>
        <v>01031063</v>
      </c>
    </row>
    <row r="1065" spans="1:9" x14ac:dyDescent="0.3">
      <c r="A1065">
        <v>1064</v>
      </c>
      <c r="B1065" s="6">
        <v>72213150</v>
      </c>
      <c r="C1065" t="str">
        <f>VLOOKUP(B1065,[1]BD_FINAL!$A:$H,2,FALSE)</f>
        <v xml:space="preserve">Juan Carlos </v>
      </c>
      <c r="D1065" t="str">
        <f>VLOOKUP(B1065,[1]BD_FINAL!$A:$H,3,FALSE)</f>
        <v>Baranquilla</v>
      </c>
      <c r="E1065" t="str">
        <f>VLOOKUP(B1065,[1]BD_FINAL!$A:$H,8,FALSE)</f>
        <v>Control</v>
      </c>
      <c r="F1065" s="2">
        <f t="shared" si="48"/>
        <v>0</v>
      </c>
      <c r="G1065">
        <f t="shared" si="49"/>
        <v>3</v>
      </c>
      <c r="H1065" s="3" t="s">
        <v>5018</v>
      </c>
      <c r="I1065" s="6" t="str">
        <f t="shared" si="50"/>
        <v>00031064</v>
      </c>
    </row>
    <row r="1066" spans="1:9" x14ac:dyDescent="0.3">
      <c r="A1066">
        <v>1065</v>
      </c>
      <c r="B1066" s="6">
        <v>72214776</v>
      </c>
      <c r="C1066" t="str">
        <f>VLOOKUP(B1066,[1]BD_FINAL!$A:$H,2,FALSE)</f>
        <v xml:space="preserve"> Luis Daniel </v>
      </c>
      <c r="D1066" t="str">
        <f>VLOOKUP(B1066,[1]BD_FINAL!$A:$H,3,FALSE)</f>
        <v>Baranquilla</v>
      </c>
      <c r="E1066" t="str">
        <f>VLOOKUP(B1066,[1]BD_FINAL!$A:$H,8,FALSE)</f>
        <v>Tratamiento</v>
      </c>
      <c r="F1066" s="2">
        <f t="shared" si="48"/>
        <v>1</v>
      </c>
      <c r="G1066">
        <f t="shared" si="49"/>
        <v>3</v>
      </c>
      <c r="H1066" s="3" t="s">
        <v>5019</v>
      </c>
      <c r="I1066" s="6" t="str">
        <f t="shared" si="50"/>
        <v>01031065</v>
      </c>
    </row>
    <row r="1067" spans="1:9" x14ac:dyDescent="0.3">
      <c r="A1067">
        <v>1066</v>
      </c>
      <c r="B1067" s="6">
        <v>72217502</v>
      </c>
      <c r="C1067" t="str">
        <f>VLOOKUP(B1067,[1]BD_FINAL!$A:$H,2,FALSE)</f>
        <v>Moises</v>
      </c>
      <c r="D1067" t="str">
        <f>VLOOKUP(B1067,[1]BD_FINAL!$A:$H,3,FALSE)</f>
        <v>Baranquilla</v>
      </c>
      <c r="E1067" t="str">
        <f>VLOOKUP(B1067,[1]BD_FINAL!$A:$H,8,FALSE)</f>
        <v>Control</v>
      </c>
      <c r="F1067" s="2">
        <f t="shared" si="48"/>
        <v>0</v>
      </c>
      <c r="G1067">
        <f t="shared" si="49"/>
        <v>3</v>
      </c>
      <c r="H1067" s="3" t="s">
        <v>5020</v>
      </c>
      <c r="I1067" s="6" t="str">
        <f t="shared" si="50"/>
        <v>00031066</v>
      </c>
    </row>
    <row r="1068" spans="1:9" x14ac:dyDescent="0.3">
      <c r="A1068">
        <v>1067</v>
      </c>
      <c r="B1068" s="6">
        <v>72227073</v>
      </c>
      <c r="C1068" t="str">
        <f>VLOOKUP(B1068,[1]BD_FINAL!$A:$H,2,FALSE)</f>
        <v>Jesus rafael</v>
      </c>
      <c r="D1068" t="str">
        <f>VLOOKUP(B1068,[1]BD_FINAL!$A:$H,3,FALSE)</f>
        <v>Baranquilla</v>
      </c>
      <c r="E1068" t="str">
        <f>VLOOKUP(B1068,[1]BD_FINAL!$A:$H,8,FALSE)</f>
        <v>Tratamiento</v>
      </c>
      <c r="F1068" s="2">
        <f t="shared" si="48"/>
        <v>1</v>
      </c>
      <c r="G1068">
        <f t="shared" si="49"/>
        <v>3</v>
      </c>
      <c r="H1068" s="3" t="s">
        <v>5021</v>
      </c>
      <c r="I1068" s="6" t="str">
        <f t="shared" si="50"/>
        <v>01031067</v>
      </c>
    </row>
    <row r="1069" spans="1:9" x14ac:dyDescent="0.3">
      <c r="A1069">
        <v>1068</v>
      </c>
      <c r="B1069" s="6">
        <v>72227387</v>
      </c>
      <c r="C1069" t="str">
        <f>VLOOKUP(B1069,[1]BD_FINAL!$A:$H,2,FALSE)</f>
        <v xml:space="preserve">Rodolfo </v>
      </c>
      <c r="D1069" t="str">
        <f>VLOOKUP(B1069,[1]BD_FINAL!$A:$H,3,FALSE)</f>
        <v>Baranquilla</v>
      </c>
      <c r="E1069" t="str">
        <f>VLOOKUP(B1069,[1]BD_FINAL!$A:$H,8,FALSE)</f>
        <v>Tratamiento</v>
      </c>
      <c r="F1069" s="2">
        <f t="shared" si="48"/>
        <v>1</v>
      </c>
      <c r="G1069">
        <f t="shared" si="49"/>
        <v>3</v>
      </c>
      <c r="H1069" s="3" t="s">
        <v>5022</v>
      </c>
      <c r="I1069" s="6" t="str">
        <f t="shared" si="50"/>
        <v>01031068</v>
      </c>
    </row>
    <row r="1070" spans="1:9" x14ac:dyDescent="0.3">
      <c r="A1070">
        <v>1069</v>
      </c>
      <c r="B1070" s="6">
        <v>72234487</v>
      </c>
      <c r="C1070" t="str">
        <f>VLOOKUP(B1070,[1]BD_FINAL!$A:$H,2,FALSE)</f>
        <v>Nicolas antonio</v>
      </c>
      <c r="D1070" t="str">
        <f>VLOOKUP(B1070,[1]BD_FINAL!$A:$H,3,FALSE)</f>
        <v>Baranquilla</v>
      </c>
      <c r="E1070" t="str">
        <f>VLOOKUP(B1070,[1]BD_FINAL!$A:$H,8,FALSE)</f>
        <v>Control</v>
      </c>
      <c r="F1070" s="2">
        <f t="shared" si="48"/>
        <v>0</v>
      </c>
      <c r="G1070">
        <f t="shared" si="49"/>
        <v>3</v>
      </c>
      <c r="H1070" s="3" t="s">
        <v>5023</v>
      </c>
      <c r="I1070" s="6" t="str">
        <f t="shared" si="50"/>
        <v>00031069</v>
      </c>
    </row>
    <row r="1071" spans="1:9" x14ac:dyDescent="0.3">
      <c r="A1071">
        <v>1070</v>
      </c>
      <c r="B1071" s="6">
        <v>72239153</v>
      </c>
      <c r="C1071" t="str">
        <f>VLOOKUP(B1071,[1]BD_FINAL!$A:$H,2,FALSE)</f>
        <v xml:space="preserve">Fabio Antonio </v>
      </c>
      <c r="D1071" t="str">
        <f>VLOOKUP(B1071,[1]BD_FINAL!$A:$H,3,FALSE)</f>
        <v>Baranquilla</v>
      </c>
      <c r="E1071" t="str">
        <f>VLOOKUP(B1071,[1]BD_FINAL!$A:$H,8,FALSE)</f>
        <v>Control</v>
      </c>
      <c r="F1071" s="2">
        <f t="shared" si="48"/>
        <v>0</v>
      </c>
      <c r="G1071">
        <f t="shared" si="49"/>
        <v>3</v>
      </c>
      <c r="H1071" s="3" t="s">
        <v>5024</v>
      </c>
      <c r="I1071" s="6" t="str">
        <f t="shared" si="50"/>
        <v>00031070</v>
      </c>
    </row>
    <row r="1072" spans="1:9" x14ac:dyDescent="0.3">
      <c r="A1072">
        <v>1071</v>
      </c>
      <c r="B1072" s="6">
        <v>72239164</v>
      </c>
      <c r="C1072" t="str">
        <f>VLOOKUP(B1072,[1]BD_FINAL!$A:$H,2,FALSE)</f>
        <v xml:space="preserve">Cesar Cristóbal </v>
      </c>
      <c r="D1072" t="str">
        <f>VLOOKUP(B1072,[1]BD_FINAL!$A:$H,3,FALSE)</f>
        <v>Baranquilla</v>
      </c>
      <c r="E1072" t="str">
        <f>VLOOKUP(B1072,[1]BD_FINAL!$A:$H,8,FALSE)</f>
        <v>Tratamiento</v>
      </c>
      <c r="F1072" s="2">
        <f t="shared" si="48"/>
        <v>1</v>
      </c>
      <c r="G1072">
        <f t="shared" si="49"/>
        <v>3</v>
      </c>
      <c r="H1072" s="3" t="s">
        <v>5025</v>
      </c>
      <c r="I1072" s="6" t="str">
        <f t="shared" si="50"/>
        <v>01031071</v>
      </c>
    </row>
    <row r="1073" spans="1:9" x14ac:dyDescent="0.3">
      <c r="A1073">
        <v>1072</v>
      </c>
      <c r="B1073" s="6">
        <v>72256249</v>
      </c>
      <c r="C1073" t="str">
        <f>VLOOKUP(B1073,[1]BD_FINAL!$A:$H,2,FALSE)</f>
        <v xml:space="preserve">Ignacio </v>
      </c>
      <c r="D1073" t="str">
        <f>VLOOKUP(B1073,[1]BD_FINAL!$A:$H,3,FALSE)</f>
        <v>Baranquilla</v>
      </c>
      <c r="E1073" t="str">
        <f>VLOOKUP(B1073,[1]BD_FINAL!$A:$H,8,FALSE)</f>
        <v>Control</v>
      </c>
      <c r="F1073" s="2">
        <f t="shared" si="48"/>
        <v>0</v>
      </c>
      <c r="G1073">
        <f t="shared" si="49"/>
        <v>3</v>
      </c>
      <c r="H1073" s="3" t="s">
        <v>5026</v>
      </c>
      <c r="I1073" s="6" t="str">
        <f t="shared" si="50"/>
        <v>00031072</v>
      </c>
    </row>
    <row r="1074" spans="1:9" x14ac:dyDescent="0.3">
      <c r="A1074">
        <v>1073</v>
      </c>
      <c r="B1074" s="6">
        <v>72259355</v>
      </c>
      <c r="C1074" t="str">
        <f>VLOOKUP(B1074,[1]BD_FINAL!$A:$H,2,FALSE)</f>
        <v xml:space="preserve">Juan José </v>
      </c>
      <c r="D1074" t="str">
        <f>VLOOKUP(B1074,[1]BD_FINAL!$A:$H,3,FALSE)</f>
        <v>Baranquilla</v>
      </c>
      <c r="E1074" t="str">
        <f>VLOOKUP(B1074,[1]BD_FINAL!$A:$H,8,FALSE)</f>
        <v>Control</v>
      </c>
      <c r="F1074" s="2">
        <f t="shared" si="48"/>
        <v>0</v>
      </c>
      <c r="G1074">
        <f t="shared" si="49"/>
        <v>3</v>
      </c>
      <c r="H1074" s="3" t="s">
        <v>5027</v>
      </c>
      <c r="I1074" s="6" t="str">
        <f t="shared" si="50"/>
        <v>00031073</v>
      </c>
    </row>
    <row r="1075" spans="1:9" x14ac:dyDescent="0.3">
      <c r="A1075">
        <v>1074</v>
      </c>
      <c r="B1075" s="6">
        <v>72261103</v>
      </c>
      <c r="C1075" t="str">
        <f>VLOOKUP(B1075,[1]BD_FINAL!$A:$H,2,FALSE)</f>
        <v xml:space="preserve">Adanies Alberto </v>
      </c>
      <c r="D1075" t="str">
        <f>VLOOKUP(B1075,[1]BD_FINAL!$A:$H,3,FALSE)</f>
        <v>Baranquilla</v>
      </c>
      <c r="E1075" t="str">
        <f>VLOOKUP(B1075,[1]BD_FINAL!$A:$H,8,FALSE)</f>
        <v>Control</v>
      </c>
      <c r="F1075" s="2">
        <f t="shared" si="48"/>
        <v>0</v>
      </c>
      <c r="G1075">
        <f t="shared" si="49"/>
        <v>3</v>
      </c>
      <c r="H1075" s="3" t="s">
        <v>5028</v>
      </c>
      <c r="I1075" s="6" t="str">
        <f t="shared" si="50"/>
        <v>00031074</v>
      </c>
    </row>
    <row r="1076" spans="1:9" x14ac:dyDescent="0.3">
      <c r="A1076">
        <v>1075</v>
      </c>
      <c r="B1076" s="6">
        <v>72264710</v>
      </c>
      <c r="C1076" t="str">
        <f>VLOOKUP(B1076,[1]BD_FINAL!$A:$H,2,FALSE)</f>
        <v xml:space="preserve">Iván Guillermo </v>
      </c>
      <c r="D1076" t="str">
        <f>VLOOKUP(B1076,[1]BD_FINAL!$A:$H,3,FALSE)</f>
        <v>Baranquilla</v>
      </c>
      <c r="E1076" t="str">
        <f>VLOOKUP(B1076,[1]BD_FINAL!$A:$H,8,FALSE)</f>
        <v>Control</v>
      </c>
      <c r="F1076" s="2">
        <f t="shared" si="48"/>
        <v>0</v>
      </c>
      <c r="G1076">
        <f t="shared" si="49"/>
        <v>3</v>
      </c>
      <c r="H1076" s="3" t="s">
        <v>5029</v>
      </c>
      <c r="I1076" s="6" t="str">
        <f t="shared" si="50"/>
        <v>00031075</v>
      </c>
    </row>
    <row r="1077" spans="1:9" x14ac:dyDescent="0.3">
      <c r="A1077">
        <v>1076</v>
      </c>
      <c r="B1077" s="6">
        <v>72265227</v>
      </c>
      <c r="C1077" t="str">
        <f>VLOOKUP(B1077,[1]BD_FINAL!$A:$H,2,FALSE)</f>
        <v xml:space="preserve">Yimi jaime </v>
      </c>
      <c r="D1077" t="str">
        <f>VLOOKUP(B1077,[1]BD_FINAL!$A:$H,3,FALSE)</f>
        <v>Baranquilla</v>
      </c>
      <c r="E1077" t="str">
        <f>VLOOKUP(B1077,[1]BD_FINAL!$A:$H,8,FALSE)</f>
        <v>Control</v>
      </c>
      <c r="F1077" s="2">
        <f t="shared" si="48"/>
        <v>0</v>
      </c>
      <c r="G1077">
        <f t="shared" si="49"/>
        <v>3</v>
      </c>
      <c r="H1077" s="3" t="s">
        <v>5030</v>
      </c>
      <c r="I1077" s="6" t="str">
        <f t="shared" si="50"/>
        <v>00031076</v>
      </c>
    </row>
    <row r="1078" spans="1:9" x14ac:dyDescent="0.3">
      <c r="A1078">
        <v>1077</v>
      </c>
      <c r="B1078" s="6">
        <v>72298484</v>
      </c>
      <c r="C1078" t="str">
        <f>VLOOKUP(B1078,[1]BD_FINAL!$A:$H,2,FALSE)</f>
        <v>Ostaciano</v>
      </c>
      <c r="D1078" t="str">
        <f>VLOOKUP(B1078,[1]BD_FINAL!$A:$H,3,FALSE)</f>
        <v>Baranquilla</v>
      </c>
      <c r="E1078" t="str">
        <f>VLOOKUP(B1078,[1]BD_FINAL!$A:$H,8,FALSE)</f>
        <v>Tratamiento</v>
      </c>
      <c r="F1078" s="2">
        <f t="shared" si="48"/>
        <v>1</v>
      </c>
      <c r="G1078">
        <f t="shared" si="49"/>
        <v>3</v>
      </c>
      <c r="H1078" s="3" t="s">
        <v>5031</v>
      </c>
      <c r="I1078" s="6" t="str">
        <f t="shared" si="50"/>
        <v>01031077</v>
      </c>
    </row>
    <row r="1079" spans="1:9" x14ac:dyDescent="0.3">
      <c r="A1079">
        <v>1078</v>
      </c>
      <c r="B1079" s="6">
        <v>72428031</v>
      </c>
      <c r="C1079" t="str">
        <f>VLOOKUP(B1079,[1]BD_FINAL!$A:$H,2,FALSE)</f>
        <v xml:space="preserve">David </v>
      </c>
      <c r="D1079" t="str">
        <f>VLOOKUP(B1079,[1]BD_FINAL!$A:$H,3,FALSE)</f>
        <v>Baranquilla</v>
      </c>
      <c r="E1079" t="str">
        <f>VLOOKUP(B1079,[1]BD_FINAL!$A:$H,8,FALSE)</f>
        <v>Control</v>
      </c>
      <c r="F1079" s="2">
        <f t="shared" si="48"/>
        <v>0</v>
      </c>
      <c r="G1079">
        <f t="shared" si="49"/>
        <v>3</v>
      </c>
      <c r="H1079" s="3" t="s">
        <v>5032</v>
      </c>
      <c r="I1079" s="6" t="str">
        <f t="shared" si="50"/>
        <v>00031078</v>
      </c>
    </row>
    <row r="1080" spans="1:9" x14ac:dyDescent="0.3">
      <c r="A1080">
        <v>1079</v>
      </c>
      <c r="B1080" s="6">
        <v>73153652</v>
      </c>
      <c r="C1080" t="str">
        <f>VLOOKUP(B1080,[1]BD_FINAL!$A:$H,2,FALSE)</f>
        <v xml:space="preserve">Santiago Rafael </v>
      </c>
      <c r="D1080" t="str">
        <f>VLOOKUP(B1080,[1]BD_FINAL!$A:$H,3,FALSE)</f>
        <v>Baranquilla</v>
      </c>
      <c r="E1080" t="str">
        <f>VLOOKUP(B1080,[1]BD_FINAL!$A:$H,8,FALSE)</f>
        <v>Control</v>
      </c>
      <c r="F1080" s="2">
        <f t="shared" si="48"/>
        <v>0</v>
      </c>
      <c r="G1080">
        <f t="shared" si="49"/>
        <v>3</v>
      </c>
      <c r="H1080" s="3" t="s">
        <v>5033</v>
      </c>
      <c r="I1080" s="6" t="str">
        <f t="shared" si="50"/>
        <v>00031079</v>
      </c>
    </row>
    <row r="1081" spans="1:9" x14ac:dyDescent="0.3">
      <c r="A1081">
        <v>1080</v>
      </c>
      <c r="B1081" s="6">
        <v>73226383</v>
      </c>
      <c r="C1081" t="str">
        <f>VLOOKUP(B1081,[1]BD_FINAL!$A:$H,2,FALSE)</f>
        <v xml:space="preserve">Juan José </v>
      </c>
      <c r="D1081" t="str">
        <f>VLOOKUP(B1081,[1]BD_FINAL!$A:$H,3,FALSE)</f>
        <v>Baranquilla</v>
      </c>
      <c r="E1081" t="str">
        <f>VLOOKUP(B1081,[1]BD_FINAL!$A:$H,8,FALSE)</f>
        <v>Tratamiento</v>
      </c>
      <c r="F1081" s="2">
        <f t="shared" si="48"/>
        <v>1</v>
      </c>
      <c r="G1081">
        <f t="shared" si="49"/>
        <v>3</v>
      </c>
      <c r="H1081" s="3" t="s">
        <v>5034</v>
      </c>
      <c r="I1081" s="6" t="str">
        <f t="shared" si="50"/>
        <v>01031080</v>
      </c>
    </row>
    <row r="1082" spans="1:9" x14ac:dyDescent="0.3">
      <c r="A1082">
        <v>1081</v>
      </c>
      <c r="B1082" s="6">
        <v>7411480</v>
      </c>
      <c r="C1082" t="str">
        <f>VLOOKUP(B1082,[1]BD_FINAL!$A:$H,2,FALSE)</f>
        <v xml:space="preserve">Alberto Enrique </v>
      </c>
      <c r="D1082" t="str">
        <f>VLOOKUP(B1082,[1]BD_FINAL!$A:$H,3,FALSE)</f>
        <v>Baranquilla</v>
      </c>
      <c r="E1082" t="str">
        <f>VLOOKUP(B1082,[1]BD_FINAL!$A:$H,8,FALSE)</f>
        <v>Control</v>
      </c>
      <c r="F1082" s="2">
        <f t="shared" si="48"/>
        <v>0</v>
      </c>
      <c r="G1082">
        <f t="shared" si="49"/>
        <v>3</v>
      </c>
      <c r="H1082" s="3" t="s">
        <v>5035</v>
      </c>
      <c r="I1082" s="6" t="str">
        <f t="shared" si="50"/>
        <v>00031081</v>
      </c>
    </row>
    <row r="1083" spans="1:9" x14ac:dyDescent="0.3">
      <c r="A1083">
        <v>1082</v>
      </c>
      <c r="B1083" s="6">
        <v>7420358</v>
      </c>
      <c r="C1083" t="str">
        <f>VLOOKUP(B1083,[1]BD_FINAL!$A:$H,2,FALSE)</f>
        <v xml:space="preserve">Oscar </v>
      </c>
      <c r="D1083" t="str">
        <f>VLOOKUP(B1083,[1]BD_FINAL!$A:$H,3,FALSE)</f>
        <v>Baranquilla</v>
      </c>
      <c r="E1083" t="str">
        <f>VLOOKUP(B1083,[1]BD_FINAL!$A:$H,8,FALSE)</f>
        <v>Control</v>
      </c>
      <c r="F1083" s="2">
        <f t="shared" si="48"/>
        <v>0</v>
      </c>
      <c r="G1083">
        <f t="shared" si="49"/>
        <v>3</v>
      </c>
      <c r="H1083" s="3" t="s">
        <v>5036</v>
      </c>
      <c r="I1083" s="6" t="str">
        <f t="shared" si="50"/>
        <v>00031082</v>
      </c>
    </row>
    <row r="1084" spans="1:9" x14ac:dyDescent="0.3">
      <c r="A1084">
        <v>1083</v>
      </c>
      <c r="B1084" s="6">
        <v>7435553</v>
      </c>
      <c r="C1084" t="str">
        <f>VLOOKUP(B1084,[1]BD_FINAL!$A:$H,2,FALSE)</f>
        <v>Pablo electo</v>
      </c>
      <c r="D1084" t="str">
        <f>VLOOKUP(B1084,[1]BD_FINAL!$A:$H,3,FALSE)</f>
        <v>Baranquilla</v>
      </c>
      <c r="E1084" t="str">
        <f>VLOOKUP(B1084,[1]BD_FINAL!$A:$H,8,FALSE)</f>
        <v>Control</v>
      </c>
      <c r="F1084" s="2">
        <f t="shared" si="48"/>
        <v>0</v>
      </c>
      <c r="G1084">
        <f t="shared" si="49"/>
        <v>3</v>
      </c>
      <c r="H1084" s="3" t="s">
        <v>5037</v>
      </c>
      <c r="I1084" s="6" t="str">
        <f t="shared" si="50"/>
        <v>00031083</v>
      </c>
    </row>
    <row r="1085" spans="1:9" x14ac:dyDescent="0.3">
      <c r="A1085">
        <v>1084</v>
      </c>
      <c r="B1085" s="6">
        <v>7438297</v>
      </c>
      <c r="C1085" t="str">
        <f>VLOOKUP(B1085,[1]BD_FINAL!$A:$H,2,FALSE)</f>
        <v xml:space="preserve">Robinson Ariel </v>
      </c>
      <c r="D1085" t="str">
        <f>VLOOKUP(B1085,[1]BD_FINAL!$A:$H,3,FALSE)</f>
        <v>Baranquilla</v>
      </c>
      <c r="E1085" t="str">
        <f>VLOOKUP(B1085,[1]BD_FINAL!$A:$H,8,FALSE)</f>
        <v>Control</v>
      </c>
      <c r="F1085" s="2">
        <f t="shared" si="48"/>
        <v>0</v>
      </c>
      <c r="G1085">
        <f t="shared" si="49"/>
        <v>3</v>
      </c>
      <c r="H1085" s="3" t="s">
        <v>5038</v>
      </c>
      <c r="I1085" s="6" t="str">
        <f t="shared" si="50"/>
        <v>00031084</v>
      </c>
    </row>
    <row r="1086" spans="1:9" x14ac:dyDescent="0.3">
      <c r="A1086">
        <v>1085</v>
      </c>
      <c r="B1086" s="6">
        <v>7444585</v>
      </c>
      <c r="C1086" t="str">
        <f>VLOOKUP(B1086,[1]BD_FINAL!$A:$H,2,FALSE)</f>
        <v xml:space="preserve">Victor José </v>
      </c>
      <c r="D1086" t="str">
        <f>VLOOKUP(B1086,[1]BD_FINAL!$A:$H,3,FALSE)</f>
        <v>Baranquilla</v>
      </c>
      <c r="E1086" t="str">
        <f>VLOOKUP(B1086,[1]BD_FINAL!$A:$H,8,FALSE)</f>
        <v>Tratamiento</v>
      </c>
      <c r="F1086" s="2">
        <f t="shared" si="48"/>
        <v>1</v>
      </c>
      <c r="G1086">
        <f t="shared" si="49"/>
        <v>3</v>
      </c>
      <c r="H1086" s="3" t="s">
        <v>5039</v>
      </c>
      <c r="I1086" s="6" t="str">
        <f t="shared" si="50"/>
        <v>01031085</v>
      </c>
    </row>
    <row r="1087" spans="1:9" x14ac:dyDescent="0.3">
      <c r="A1087">
        <v>1086</v>
      </c>
      <c r="B1087" s="6">
        <v>7447628</v>
      </c>
      <c r="C1087" t="str">
        <f>VLOOKUP(B1087,[1]BD_FINAL!$A:$H,2,FALSE)</f>
        <v xml:space="preserve">Juan Valentín </v>
      </c>
      <c r="D1087" t="str">
        <f>VLOOKUP(B1087,[1]BD_FINAL!$A:$H,3,FALSE)</f>
        <v>Baranquilla</v>
      </c>
      <c r="E1087" t="str">
        <f>VLOOKUP(B1087,[1]BD_FINAL!$A:$H,8,FALSE)</f>
        <v>Control</v>
      </c>
      <c r="F1087" s="2">
        <f t="shared" si="48"/>
        <v>0</v>
      </c>
      <c r="G1087">
        <f t="shared" si="49"/>
        <v>3</v>
      </c>
      <c r="H1087" s="3" t="s">
        <v>5040</v>
      </c>
      <c r="I1087" s="6" t="str">
        <f t="shared" si="50"/>
        <v>00031086</v>
      </c>
    </row>
    <row r="1088" spans="1:9" x14ac:dyDescent="0.3">
      <c r="A1088">
        <v>1087</v>
      </c>
      <c r="B1088" s="6">
        <v>7454371</v>
      </c>
      <c r="C1088" t="str">
        <f>VLOOKUP(B1088,[1]BD_FINAL!$A:$H,2,FALSE)</f>
        <v>Hugo alfredo</v>
      </c>
      <c r="D1088" t="str">
        <f>VLOOKUP(B1088,[1]BD_FINAL!$A:$H,3,FALSE)</f>
        <v>Baranquilla</v>
      </c>
      <c r="E1088" t="str">
        <f>VLOOKUP(B1088,[1]BD_FINAL!$A:$H,8,FALSE)</f>
        <v>Tratamiento</v>
      </c>
      <c r="F1088" s="2">
        <f t="shared" si="48"/>
        <v>1</v>
      </c>
      <c r="G1088">
        <f t="shared" si="49"/>
        <v>3</v>
      </c>
      <c r="H1088" s="3" t="s">
        <v>5041</v>
      </c>
      <c r="I1088" s="6" t="str">
        <f t="shared" si="50"/>
        <v>01031087</v>
      </c>
    </row>
    <row r="1089" spans="1:9" x14ac:dyDescent="0.3">
      <c r="A1089">
        <v>1088</v>
      </c>
      <c r="B1089" s="6">
        <v>7459447</v>
      </c>
      <c r="C1089" t="str">
        <f>VLOOKUP(B1089,[1]BD_FINAL!$A:$H,2,FALSE)</f>
        <v xml:space="preserve">Jairo jose </v>
      </c>
      <c r="D1089" t="str">
        <f>VLOOKUP(B1089,[1]BD_FINAL!$A:$H,3,FALSE)</f>
        <v>Baranquilla</v>
      </c>
      <c r="E1089" t="str">
        <f>VLOOKUP(B1089,[1]BD_FINAL!$A:$H,8,FALSE)</f>
        <v>Control</v>
      </c>
      <c r="F1089" s="2">
        <f t="shared" si="48"/>
        <v>0</v>
      </c>
      <c r="G1089">
        <f t="shared" si="49"/>
        <v>3</v>
      </c>
      <c r="H1089" s="3" t="s">
        <v>5042</v>
      </c>
      <c r="I1089" s="6" t="str">
        <f t="shared" si="50"/>
        <v>00031088</v>
      </c>
    </row>
    <row r="1090" spans="1:9" x14ac:dyDescent="0.3">
      <c r="A1090">
        <v>1089</v>
      </c>
      <c r="B1090" s="6">
        <v>7460942</v>
      </c>
      <c r="C1090" t="str">
        <f>VLOOKUP(B1090,[1]BD_FINAL!$A:$H,2,FALSE)</f>
        <v>Jaime enrique</v>
      </c>
      <c r="D1090" t="str">
        <f>VLOOKUP(B1090,[1]BD_FINAL!$A:$H,3,FALSE)</f>
        <v>Baranquilla</v>
      </c>
      <c r="E1090" t="str">
        <f>VLOOKUP(B1090,[1]BD_FINAL!$A:$H,8,FALSE)</f>
        <v>Control</v>
      </c>
      <c r="F1090" s="2">
        <f t="shared" si="48"/>
        <v>0</v>
      </c>
      <c r="G1090">
        <f t="shared" si="49"/>
        <v>3</v>
      </c>
      <c r="H1090" s="3" t="s">
        <v>5043</v>
      </c>
      <c r="I1090" s="6" t="str">
        <f t="shared" si="50"/>
        <v>00031089</v>
      </c>
    </row>
    <row r="1091" spans="1:9" x14ac:dyDescent="0.3">
      <c r="A1091">
        <v>1090</v>
      </c>
      <c r="B1091" s="6">
        <v>7471998</v>
      </c>
      <c r="C1091" t="str">
        <f>VLOOKUP(B1091,[1]BD_FINAL!$A:$H,2,FALSE)</f>
        <v xml:space="preserve">Carlos julio </v>
      </c>
      <c r="D1091" t="str">
        <f>VLOOKUP(B1091,[1]BD_FINAL!$A:$H,3,FALSE)</f>
        <v>Baranquilla</v>
      </c>
      <c r="E1091" t="str">
        <f>VLOOKUP(B1091,[1]BD_FINAL!$A:$H,8,FALSE)</f>
        <v>Control</v>
      </c>
      <c r="F1091" s="2">
        <f t="shared" ref="F1091:F1154" si="51">IF(E1091="CONTROL",0,1)</f>
        <v>0</v>
      </c>
      <c r="G1091">
        <f t="shared" ref="G1091:G1154" si="52">IF(D1091="Medellin",1,IF(D1091="Cali",2,IF(D1091="Baranquilla",3,0)))</f>
        <v>3</v>
      </c>
      <c r="H1091" s="3" t="s">
        <v>5044</v>
      </c>
      <c r="I1091" s="6" t="str">
        <f t="shared" ref="I1091:I1154" si="53">_xlfn.CONCAT(0,F1091,0,G1091,H1091)</f>
        <v>00031090</v>
      </c>
    </row>
    <row r="1092" spans="1:9" x14ac:dyDescent="0.3">
      <c r="A1092">
        <v>1091</v>
      </c>
      <c r="B1092" s="6">
        <v>7473926</v>
      </c>
      <c r="C1092" t="str">
        <f>VLOOKUP(B1092,[1]BD_FINAL!$A:$H,2,FALSE)</f>
        <v>David</v>
      </c>
      <c r="D1092" t="str">
        <f>VLOOKUP(B1092,[1]BD_FINAL!$A:$H,3,FALSE)</f>
        <v>Baranquilla</v>
      </c>
      <c r="E1092" t="str">
        <f>VLOOKUP(B1092,[1]BD_FINAL!$A:$H,8,FALSE)</f>
        <v>Control</v>
      </c>
      <c r="F1092" s="2">
        <f t="shared" si="51"/>
        <v>0</v>
      </c>
      <c r="G1092">
        <f t="shared" si="52"/>
        <v>3</v>
      </c>
      <c r="H1092" s="3" t="s">
        <v>5045</v>
      </c>
      <c r="I1092" s="6" t="str">
        <f t="shared" si="53"/>
        <v>00031091</v>
      </c>
    </row>
    <row r="1093" spans="1:9" x14ac:dyDescent="0.3">
      <c r="A1093">
        <v>1092</v>
      </c>
      <c r="B1093" s="6">
        <v>7474428</v>
      </c>
      <c r="C1093" t="str">
        <f>VLOOKUP(B1093,[1]BD_FINAL!$A:$H,2,FALSE)</f>
        <v>Cristobal maria</v>
      </c>
      <c r="D1093" t="str">
        <f>VLOOKUP(B1093,[1]BD_FINAL!$A:$H,3,FALSE)</f>
        <v>Baranquilla</v>
      </c>
      <c r="E1093" t="str">
        <f>VLOOKUP(B1093,[1]BD_FINAL!$A:$H,8,FALSE)</f>
        <v>Tratamiento</v>
      </c>
      <c r="F1093" s="2">
        <f t="shared" si="51"/>
        <v>1</v>
      </c>
      <c r="G1093">
        <f t="shared" si="52"/>
        <v>3</v>
      </c>
      <c r="H1093" s="3" t="s">
        <v>5046</v>
      </c>
      <c r="I1093" s="6" t="str">
        <f t="shared" si="53"/>
        <v>01031092</v>
      </c>
    </row>
    <row r="1094" spans="1:9" x14ac:dyDescent="0.3">
      <c r="A1094">
        <v>1093</v>
      </c>
      <c r="B1094" s="6">
        <v>7476537</v>
      </c>
      <c r="C1094" t="str">
        <f>VLOOKUP(B1094,[1]BD_FINAL!$A:$H,2,FALSE)</f>
        <v xml:space="preserve">LACIDES </v>
      </c>
      <c r="D1094" t="str">
        <f>VLOOKUP(B1094,[1]BD_FINAL!$A:$H,3,FALSE)</f>
        <v>Baranquilla</v>
      </c>
      <c r="E1094" t="str">
        <f>VLOOKUP(B1094,[1]BD_FINAL!$A:$H,8,FALSE)</f>
        <v>Tratamiento</v>
      </c>
      <c r="F1094" s="2">
        <f t="shared" si="51"/>
        <v>1</v>
      </c>
      <c r="G1094">
        <f t="shared" si="52"/>
        <v>3</v>
      </c>
      <c r="H1094" s="3" t="s">
        <v>5047</v>
      </c>
      <c r="I1094" s="6" t="str">
        <f t="shared" si="53"/>
        <v>01031093</v>
      </c>
    </row>
    <row r="1095" spans="1:9" x14ac:dyDescent="0.3">
      <c r="A1095">
        <v>1094</v>
      </c>
      <c r="B1095" s="6">
        <v>7476784</v>
      </c>
      <c r="C1095" t="str">
        <f>VLOOKUP(B1095,[1]BD_FINAL!$A:$H,2,FALSE)</f>
        <v>Alvaro</v>
      </c>
      <c r="D1095" t="str">
        <f>VLOOKUP(B1095,[1]BD_FINAL!$A:$H,3,FALSE)</f>
        <v>Baranquilla</v>
      </c>
      <c r="E1095" t="str">
        <f>VLOOKUP(B1095,[1]BD_FINAL!$A:$H,8,FALSE)</f>
        <v>Tratamiento</v>
      </c>
      <c r="F1095" s="2">
        <f t="shared" si="51"/>
        <v>1</v>
      </c>
      <c r="G1095">
        <f t="shared" si="52"/>
        <v>3</v>
      </c>
      <c r="H1095" s="3" t="s">
        <v>5048</v>
      </c>
      <c r="I1095" s="6" t="str">
        <f t="shared" si="53"/>
        <v>01031094</v>
      </c>
    </row>
    <row r="1096" spans="1:9" x14ac:dyDescent="0.3">
      <c r="A1096">
        <v>1095</v>
      </c>
      <c r="B1096" s="6">
        <v>76047511</v>
      </c>
      <c r="C1096" t="str">
        <f>VLOOKUP(B1096,[1]BD_FINAL!$A:$H,2,FALSE)</f>
        <v xml:space="preserve">Mauricio </v>
      </c>
      <c r="D1096" t="str">
        <f>VLOOKUP(B1096,[1]BD_FINAL!$A:$H,3,FALSE)</f>
        <v>Cali</v>
      </c>
      <c r="E1096" t="str">
        <f>VLOOKUP(B1096,[1]BD_FINAL!$A:$H,8,FALSE)</f>
        <v>Tratamiento</v>
      </c>
      <c r="F1096" s="2">
        <f t="shared" si="51"/>
        <v>1</v>
      </c>
      <c r="G1096">
        <f t="shared" si="52"/>
        <v>2</v>
      </c>
      <c r="H1096" s="3" t="s">
        <v>5049</v>
      </c>
      <c r="I1096" s="6" t="str">
        <f t="shared" si="53"/>
        <v>01021095</v>
      </c>
    </row>
    <row r="1097" spans="1:9" x14ac:dyDescent="0.3">
      <c r="A1097">
        <v>1096</v>
      </c>
      <c r="B1097" s="6">
        <v>761321</v>
      </c>
      <c r="C1097" t="str">
        <f>VLOOKUP(B1097,[1]BD_FINAL!$A:$H,2,FALSE)</f>
        <v>Jesús Antonio</v>
      </c>
      <c r="D1097" t="str">
        <f>VLOOKUP(B1097,[1]BD_FINAL!$A:$H,3,FALSE)</f>
        <v>Medellin</v>
      </c>
      <c r="E1097" t="str">
        <f>VLOOKUP(B1097,[1]BD_FINAL!$A:$H,8,FALSE)</f>
        <v>Tratamiento</v>
      </c>
      <c r="F1097" s="2">
        <f t="shared" si="51"/>
        <v>1</v>
      </c>
      <c r="G1097">
        <f t="shared" si="52"/>
        <v>1</v>
      </c>
      <c r="H1097" s="3" t="s">
        <v>5050</v>
      </c>
      <c r="I1097" s="6" t="str">
        <f t="shared" si="53"/>
        <v>01011096</v>
      </c>
    </row>
    <row r="1098" spans="1:9" x14ac:dyDescent="0.3">
      <c r="A1098">
        <v>1097</v>
      </c>
      <c r="B1098" s="6">
        <v>76268499</v>
      </c>
      <c r="C1098" t="str">
        <f>VLOOKUP(B1098,[1]BD_FINAL!$A:$H,2,FALSE)</f>
        <v xml:space="preserve">Jairo Antonio </v>
      </c>
      <c r="D1098" t="str">
        <f>VLOOKUP(B1098,[1]BD_FINAL!$A:$H,3,FALSE)</f>
        <v>Cali</v>
      </c>
      <c r="E1098" t="str">
        <f>VLOOKUP(B1098,[1]BD_FINAL!$A:$H,8,FALSE)</f>
        <v>Control</v>
      </c>
      <c r="F1098" s="2">
        <f t="shared" si="51"/>
        <v>0</v>
      </c>
      <c r="G1098">
        <f t="shared" si="52"/>
        <v>2</v>
      </c>
      <c r="H1098" s="3" t="s">
        <v>5051</v>
      </c>
      <c r="I1098" s="6" t="str">
        <f t="shared" si="53"/>
        <v>00021097</v>
      </c>
    </row>
    <row r="1099" spans="1:9" x14ac:dyDescent="0.3">
      <c r="A1099">
        <v>1098</v>
      </c>
      <c r="B1099" s="6">
        <v>76290401</v>
      </c>
      <c r="C1099" t="str">
        <f>VLOOKUP(B1099,[1]BD_FINAL!$A:$H,2,FALSE)</f>
        <v xml:space="preserve">Javier </v>
      </c>
      <c r="D1099" t="str">
        <f>VLOOKUP(B1099,[1]BD_FINAL!$A:$H,3,FALSE)</f>
        <v>Cali</v>
      </c>
      <c r="E1099" t="str">
        <f>VLOOKUP(B1099,[1]BD_FINAL!$A:$H,8,FALSE)</f>
        <v>Control</v>
      </c>
      <c r="F1099" s="2">
        <f t="shared" si="51"/>
        <v>0</v>
      </c>
      <c r="G1099">
        <f t="shared" si="52"/>
        <v>2</v>
      </c>
      <c r="H1099" s="3" t="s">
        <v>5052</v>
      </c>
      <c r="I1099" s="6" t="str">
        <f t="shared" si="53"/>
        <v>00021098</v>
      </c>
    </row>
    <row r="1100" spans="1:9" x14ac:dyDescent="0.3">
      <c r="A1100">
        <v>1099</v>
      </c>
      <c r="B1100" s="6">
        <v>76324402</v>
      </c>
      <c r="C1100" t="str">
        <f>VLOOKUP(B1100,[1]BD_FINAL!$A:$H,2,FALSE)</f>
        <v xml:space="preserve">JESÚS FRANCO </v>
      </c>
      <c r="D1100" t="str">
        <f>VLOOKUP(B1100,[1]BD_FINAL!$A:$H,3,FALSE)</f>
        <v>Cali</v>
      </c>
      <c r="E1100" t="str">
        <f>VLOOKUP(B1100,[1]BD_FINAL!$A:$H,8,FALSE)</f>
        <v>Tratamiento</v>
      </c>
      <c r="F1100" s="2">
        <f t="shared" si="51"/>
        <v>1</v>
      </c>
      <c r="G1100">
        <f t="shared" si="52"/>
        <v>2</v>
      </c>
      <c r="H1100" s="3" t="s">
        <v>5053</v>
      </c>
      <c r="I1100" s="6" t="str">
        <f t="shared" si="53"/>
        <v>01021099</v>
      </c>
    </row>
    <row r="1101" spans="1:9" x14ac:dyDescent="0.3">
      <c r="A1101">
        <v>1100</v>
      </c>
      <c r="B1101" s="6">
        <v>76336138</v>
      </c>
      <c r="C1101" t="str">
        <f>VLOOKUP(B1101,[1]BD_FINAL!$A:$H,2,FALSE)</f>
        <v xml:space="preserve">Laurido  Hernán </v>
      </c>
      <c r="D1101" t="str">
        <f>VLOOKUP(B1101,[1]BD_FINAL!$A:$H,3,FALSE)</f>
        <v>Cali</v>
      </c>
      <c r="E1101" t="str">
        <f>VLOOKUP(B1101,[1]BD_FINAL!$A:$H,8,FALSE)</f>
        <v>Tratamiento</v>
      </c>
      <c r="F1101" s="2">
        <f t="shared" si="51"/>
        <v>1</v>
      </c>
      <c r="G1101">
        <f t="shared" si="52"/>
        <v>2</v>
      </c>
      <c r="H1101" s="3" t="s">
        <v>5054</v>
      </c>
      <c r="I1101" s="6" t="str">
        <f t="shared" si="53"/>
        <v>01021100</v>
      </c>
    </row>
    <row r="1102" spans="1:9" x14ac:dyDescent="0.3">
      <c r="A1102">
        <v>1101</v>
      </c>
      <c r="B1102" s="6">
        <v>76337278</v>
      </c>
      <c r="C1102" t="str">
        <f>VLOOKUP(B1102,[1]BD_FINAL!$A:$H,2,FALSE)</f>
        <v xml:space="preserve">EDISON </v>
      </c>
      <c r="D1102" t="str">
        <f>VLOOKUP(B1102,[1]BD_FINAL!$A:$H,3,FALSE)</f>
        <v>Cali</v>
      </c>
      <c r="E1102" t="str">
        <f>VLOOKUP(B1102,[1]BD_FINAL!$A:$H,8,FALSE)</f>
        <v>Control</v>
      </c>
      <c r="F1102" s="2">
        <f t="shared" si="51"/>
        <v>0</v>
      </c>
      <c r="G1102">
        <f t="shared" si="52"/>
        <v>2</v>
      </c>
      <c r="H1102" s="3" t="s">
        <v>5055</v>
      </c>
      <c r="I1102" s="6" t="str">
        <f t="shared" si="53"/>
        <v>00021101</v>
      </c>
    </row>
    <row r="1103" spans="1:9" x14ac:dyDescent="0.3">
      <c r="A1103">
        <v>1102</v>
      </c>
      <c r="B1103" s="6">
        <v>77020562</v>
      </c>
      <c r="C1103" t="str">
        <f>VLOOKUP(B1103,[1]BD_FINAL!$A:$H,2,FALSE)</f>
        <v xml:space="preserve">José Gabriel </v>
      </c>
      <c r="D1103" t="str">
        <f>VLOOKUP(B1103,[1]BD_FINAL!$A:$H,3,FALSE)</f>
        <v>Baranquilla</v>
      </c>
      <c r="E1103" t="str">
        <f>VLOOKUP(B1103,[1]BD_FINAL!$A:$H,8,FALSE)</f>
        <v>Control</v>
      </c>
      <c r="F1103" s="2">
        <f t="shared" si="51"/>
        <v>0</v>
      </c>
      <c r="G1103">
        <f t="shared" si="52"/>
        <v>3</v>
      </c>
      <c r="H1103" s="3" t="s">
        <v>5056</v>
      </c>
      <c r="I1103" s="6" t="str">
        <f t="shared" si="53"/>
        <v>00031102</v>
      </c>
    </row>
    <row r="1104" spans="1:9" x14ac:dyDescent="0.3">
      <c r="A1104">
        <v>1103</v>
      </c>
      <c r="B1104" s="6">
        <v>7884262</v>
      </c>
      <c r="C1104" t="str">
        <f>VLOOKUP(B1104,[1]BD_FINAL!$A:$H,2,FALSE)</f>
        <v>Lacide</v>
      </c>
      <c r="D1104" t="str">
        <f>VLOOKUP(B1104,[1]BD_FINAL!$A:$H,3,FALSE)</f>
        <v>Medellin</v>
      </c>
      <c r="E1104" t="str">
        <f>VLOOKUP(B1104,[1]BD_FINAL!$A:$H,8,FALSE)</f>
        <v>Control</v>
      </c>
      <c r="F1104" s="2">
        <f t="shared" si="51"/>
        <v>0</v>
      </c>
      <c r="G1104">
        <f t="shared" si="52"/>
        <v>1</v>
      </c>
      <c r="H1104" s="3" t="s">
        <v>5057</v>
      </c>
      <c r="I1104" s="6" t="str">
        <f t="shared" si="53"/>
        <v>00011103</v>
      </c>
    </row>
    <row r="1105" spans="1:9" x14ac:dyDescent="0.3">
      <c r="A1105">
        <v>1104</v>
      </c>
      <c r="B1105" s="6">
        <v>8279530</v>
      </c>
      <c r="C1105" t="str">
        <f>VLOOKUP(B1105,[1]BD_FINAL!$A:$H,2,FALSE)</f>
        <v xml:space="preserve">Omar </v>
      </c>
      <c r="D1105" t="str">
        <f>VLOOKUP(B1105,[1]BD_FINAL!$A:$H,3,FALSE)</f>
        <v>Medellin</v>
      </c>
      <c r="E1105" t="str">
        <f>VLOOKUP(B1105,[1]BD_FINAL!$A:$H,8,FALSE)</f>
        <v>Control</v>
      </c>
      <c r="F1105" s="2">
        <f t="shared" si="51"/>
        <v>0</v>
      </c>
      <c r="G1105">
        <f t="shared" si="52"/>
        <v>1</v>
      </c>
      <c r="H1105" s="3" t="s">
        <v>5058</v>
      </c>
      <c r="I1105" s="6" t="str">
        <f t="shared" si="53"/>
        <v>00011104</v>
      </c>
    </row>
    <row r="1106" spans="1:9" x14ac:dyDescent="0.3">
      <c r="A1106">
        <v>1105</v>
      </c>
      <c r="B1106" s="6">
        <v>8299054</v>
      </c>
      <c r="C1106" t="str">
        <f>VLOOKUP(B1106,[1]BD_FINAL!$A:$H,2,FALSE)</f>
        <v xml:space="preserve">Oscar de Jesús </v>
      </c>
      <c r="D1106" t="str">
        <f>VLOOKUP(B1106,[1]BD_FINAL!$A:$H,3,FALSE)</f>
        <v>Medellin</v>
      </c>
      <c r="E1106" t="str">
        <f>VLOOKUP(B1106,[1]BD_FINAL!$A:$H,8,FALSE)</f>
        <v>Control</v>
      </c>
      <c r="F1106" s="2">
        <f t="shared" si="51"/>
        <v>0</v>
      </c>
      <c r="G1106">
        <f t="shared" si="52"/>
        <v>1</v>
      </c>
      <c r="H1106" s="3" t="s">
        <v>5059</v>
      </c>
      <c r="I1106" s="6" t="str">
        <f t="shared" si="53"/>
        <v>00011105</v>
      </c>
    </row>
    <row r="1107" spans="1:9" x14ac:dyDescent="0.3">
      <c r="A1107">
        <v>1106</v>
      </c>
      <c r="B1107" s="6">
        <v>8306303</v>
      </c>
      <c r="C1107" t="str">
        <f>VLOOKUP(B1107,[1]BD_FINAL!$A:$H,2,FALSE)</f>
        <v>Jesús Enrique</v>
      </c>
      <c r="D1107" t="str">
        <f>VLOOKUP(B1107,[1]BD_FINAL!$A:$H,3,FALSE)</f>
        <v>Medellin</v>
      </c>
      <c r="E1107" t="str">
        <f>VLOOKUP(B1107,[1]BD_FINAL!$A:$H,8,FALSE)</f>
        <v>Control</v>
      </c>
      <c r="F1107" s="2">
        <f t="shared" si="51"/>
        <v>0</v>
      </c>
      <c r="G1107">
        <f t="shared" si="52"/>
        <v>1</v>
      </c>
      <c r="H1107" s="3" t="s">
        <v>5060</v>
      </c>
      <c r="I1107" s="6" t="str">
        <f t="shared" si="53"/>
        <v>00011106</v>
      </c>
    </row>
    <row r="1108" spans="1:9" x14ac:dyDescent="0.3">
      <c r="A1108">
        <v>1107</v>
      </c>
      <c r="B1108" s="6">
        <v>8316734</v>
      </c>
      <c r="C1108" t="str">
        <f>VLOOKUP(B1108,[1]BD_FINAL!$A:$H,2,FALSE)</f>
        <v>Dora Alba Ines</v>
      </c>
      <c r="D1108" t="str">
        <f>VLOOKUP(B1108,[1]BD_FINAL!$A:$H,3,FALSE)</f>
        <v>Medellin</v>
      </c>
      <c r="E1108" t="str">
        <f>VLOOKUP(B1108,[1]BD_FINAL!$A:$H,8,FALSE)</f>
        <v>Control</v>
      </c>
      <c r="F1108" s="2">
        <f t="shared" si="51"/>
        <v>0</v>
      </c>
      <c r="G1108">
        <f t="shared" si="52"/>
        <v>1</v>
      </c>
      <c r="H1108" s="3" t="s">
        <v>5061</v>
      </c>
      <c r="I1108" s="6" t="str">
        <f t="shared" si="53"/>
        <v>00011107</v>
      </c>
    </row>
    <row r="1109" spans="1:9" x14ac:dyDescent="0.3">
      <c r="A1109">
        <v>1108</v>
      </c>
      <c r="B1109" s="6">
        <v>832608</v>
      </c>
      <c r="C1109" t="str">
        <f>VLOOKUP(B1109,[1]BD_FINAL!$A:$H,2,FALSE)</f>
        <v xml:space="preserve">Luis </v>
      </c>
      <c r="D1109" t="str">
        <f>VLOOKUP(B1109,[1]BD_FINAL!$A:$H,3,FALSE)</f>
        <v>Baranquilla</v>
      </c>
      <c r="E1109" t="str">
        <f>VLOOKUP(B1109,[1]BD_FINAL!$A:$H,8,FALSE)</f>
        <v>Tratamiento</v>
      </c>
      <c r="F1109" s="2">
        <f t="shared" si="51"/>
        <v>1</v>
      </c>
      <c r="G1109">
        <f t="shared" si="52"/>
        <v>3</v>
      </c>
      <c r="H1109" s="3" t="s">
        <v>5062</v>
      </c>
      <c r="I1109" s="6" t="str">
        <f t="shared" si="53"/>
        <v>01031108</v>
      </c>
    </row>
    <row r="1110" spans="1:9" x14ac:dyDescent="0.3">
      <c r="A1110">
        <v>1109</v>
      </c>
      <c r="B1110" s="6">
        <v>8371433</v>
      </c>
      <c r="C1110" t="str">
        <f>VLOOKUP(B1110,[1]BD_FINAL!$A:$H,2,FALSE)</f>
        <v>Wilfrido de Jesus</v>
      </c>
      <c r="D1110" t="str">
        <f>VLOOKUP(B1110,[1]BD_FINAL!$A:$H,3,FALSE)</f>
        <v>Medellin</v>
      </c>
      <c r="E1110" t="str">
        <f>VLOOKUP(B1110,[1]BD_FINAL!$A:$H,8,FALSE)</f>
        <v>Control</v>
      </c>
      <c r="F1110" s="2">
        <f t="shared" si="51"/>
        <v>0</v>
      </c>
      <c r="G1110">
        <f t="shared" si="52"/>
        <v>1</v>
      </c>
      <c r="H1110" s="3" t="s">
        <v>5063</v>
      </c>
      <c r="I1110" s="6" t="str">
        <f t="shared" si="53"/>
        <v>00011109</v>
      </c>
    </row>
    <row r="1111" spans="1:9" x14ac:dyDescent="0.3">
      <c r="A1111">
        <v>1110</v>
      </c>
      <c r="B1111" s="6">
        <v>8538228</v>
      </c>
      <c r="C1111" t="str">
        <f>VLOOKUP(B1111,[1]BD_FINAL!$A:$H,2,FALSE)</f>
        <v xml:space="preserve">José </v>
      </c>
      <c r="D1111" t="str">
        <f>VLOOKUP(B1111,[1]BD_FINAL!$A:$H,3,FALSE)</f>
        <v>Baranquilla</v>
      </c>
      <c r="E1111" t="str">
        <f>VLOOKUP(B1111,[1]BD_FINAL!$A:$H,8,FALSE)</f>
        <v>Control</v>
      </c>
      <c r="F1111" s="2">
        <f t="shared" si="51"/>
        <v>0</v>
      </c>
      <c r="G1111">
        <f t="shared" si="52"/>
        <v>3</v>
      </c>
      <c r="H1111" s="3" t="s">
        <v>5064</v>
      </c>
      <c r="I1111" s="6" t="str">
        <f t="shared" si="53"/>
        <v>00031110</v>
      </c>
    </row>
    <row r="1112" spans="1:9" x14ac:dyDescent="0.3">
      <c r="A1112">
        <v>1111</v>
      </c>
      <c r="B1112" s="6">
        <v>8661897</v>
      </c>
      <c r="C1112" t="str">
        <f>VLOOKUP(B1112,[1]BD_FINAL!$A:$H,2,FALSE)</f>
        <v xml:space="preserve">Roberto </v>
      </c>
      <c r="D1112" t="str">
        <f>VLOOKUP(B1112,[1]BD_FINAL!$A:$H,3,FALSE)</f>
        <v>Baranquilla</v>
      </c>
      <c r="E1112" t="str">
        <f>VLOOKUP(B1112,[1]BD_FINAL!$A:$H,8,FALSE)</f>
        <v>Control</v>
      </c>
      <c r="F1112" s="2">
        <f t="shared" si="51"/>
        <v>0</v>
      </c>
      <c r="G1112">
        <f t="shared" si="52"/>
        <v>3</v>
      </c>
      <c r="H1112" s="3" t="s">
        <v>5065</v>
      </c>
      <c r="I1112" s="6" t="str">
        <f t="shared" si="53"/>
        <v>00031111</v>
      </c>
    </row>
    <row r="1113" spans="1:9" x14ac:dyDescent="0.3">
      <c r="A1113">
        <v>1112</v>
      </c>
      <c r="B1113" s="6">
        <v>8663792</v>
      </c>
      <c r="C1113" t="str">
        <f>VLOOKUP(B1113,[1]BD_FINAL!$A:$H,2,FALSE)</f>
        <v>Rafael jeronimo</v>
      </c>
      <c r="D1113" t="str">
        <f>VLOOKUP(B1113,[1]BD_FINAL!$A:$H,3,FALSE)</f>
        <v>Baranquilla</v>
      </c>
      <c r="E1113" t="str">
        <f>VLOOKUP(B1113,[1]BD_FINAL!$A:$H,8,FALSE)</f>
        <v>Control</v>
      </c>
      <c r="F1113" s="2">
        <f t="shared" si="51"/>
        <v>0</v>
      </c>
      <c r="G1113">
        <f t="shared" si="52"/>
        <v>3</v>
      </c>
      <c r="H1113" s="3" t="s">
        <v>5066</v>
      </c>
      <c r="I1113" s="6" t="str">
        <f t="shared" si="53"/>
        <v>00031112</v>
      </c>
    </row>
    <row r="1114" spans="1:9" x14ac:dyDescent="0.3">
      <c r="A1114">
        <v>1113</v>
      </c>
      <c r="B1114" s="6">
        <v>8664032</v>
      </c>
      <c r="C1114" t="str">
        <f>VLOOKUP(B1114,[1]BD_FINAL!$A:$H,2,FALSE)</f>
        <v xml:space="preserve">Sergio </v>
      </c>
      <c r="D1114" t="str">
        <f>VLOOKUP(B1114,[1]BD_FINAL!$A:$H,3,FALSE)</f>
        <v>Baranquilla</v>
      </c>
      <c r="E1114" t="str">
        <f>VLOOKUP(B1114,[1]BD_FINAL!$A:$H,8,FALSE)</f>
        <v>Tratamiento</v>
      </c>
      <c r="F1114" s="2">
        <f t="shared" si="51"/>
        <v>1</v>
      </c>
      <c r="G1114">
        <f t="shared" si="52"/>
        <v>3</v>
      </c>
      <c r="H1114" s="3" t="s">
        <v>5067</v>
      </c>
      <c r="I1114" s="6" t="str">
        <f t="shared" si="53"/>
        <v>01031113</v>
      </c>
    </row>
    <row r="1115" spans="1:9" x14ac:dyDescent="0.3">
      <c r="A1115">
        <v>1114</v>
      </c>
      <c r="B1115" s="6">
        <v>8668925</v>
      </c>
      <c r="C1115" t="str">
        <f>VLOOKUP(B1115,[1]BD_FINAL!$A:$H,2,FALSE)</f>
        <v xml:space="preserve">Orlando </v>
      </c>
      <c r="D1115" t="str">
        <f>VLOOKUP(B1115,[1]BD_FINAL!$A:$H,3,FALSE)</f>
        <v>Baranquilla</v>
      </c>
      <c r="E1115" t="str">
        <f>VLOOKUP(B1115,[1]BD_FINAL!$A:$H,8,FALSE)</f>
        <v>Control</v>
      </c>
      <c r="F1115" s="2">
        <f t="shared" si="51"/>
        <v>0</v>
      </c>
      <c r="G1115">
        <f t="shared" si="52"/>
        <v>3</v>
      </c>
      <c r="H1115" s="3" t="s">
        <v>5068</v>
      </c>
      <c r="I1115" s="6" t="str">
        <f t="shared" si="53"/>
        <v>00031114</v>
      </c>
    </row>
    <row r="1116" spans="1:9" x14ac:dyDescent="0.3">
      <c r="A1116">
        <v>1115</v>
      </c>
      <c r="B1116" s="6">
        <v>8672765</v>
      </c>
      <c r="C1116" t="str">
        <f>VLOOKUP(B1116,[1]BD_FINAL!$A:$H,2,FALSE)</f>
        <v xml:space="preserve">Abimael </v>
      </c>
      <c r="D1116" t="str">
        <f>VLOOKUP(B1116,[1]BD_FINAL!$A:$H,3,FALSE)</f>
        <v>Baranquilla</v>
      </c>
      <c r="E1116" t="str">
        <f>VLOOKUP(B1116,[1]BD_FINAL!$A:$H,8,FALSE)</f>
        <v>Tratamiento</v>
      </c>
      <c r="F1116" s="2">
        <f t="shared" si="51"/>
        <v>1</v>
      </c>
      <c r="G1116">
        <f t="shared" si="52"/>
        <v>3</v>
      </c>
      <c r="H1116" s="3" t="s">
        <v>5069</v>
      </c>
      <c r="I1116" s="6" t="str">
        <f t="shared" si="53"/>
        <v>01031115</v>
      </c>
    </row>
    <row r="1117" spans="1:9" x14ac:dyDescent="0.3">
      <c r="A1117">
        <v>1116</v>
      </c>
      <c r="B1117" s="6">
        <v>8675682</v>
      </c>
      <c r="C1117" t="str">
        <f>VLOOKUP(B1117,[1]BD_FINAL!$A:$H,2,FALSE)</f>
        <v xml:space="preserve">Héctor Emilio </v>
      </c>
      <c r="D1117" t="str">
        <f>VLOOKUP(B1117,[1]BD_FINAL!$A:$H,3,FALSE)</f>
        <v>Baranquilla</v>
      </c>
      <c r="E1117" t="str">
        <f>VLOOKUP(B1117,[1]BD_FINAL!$A:$H,8,FALSE)</f>
        <v>Control</v>
      </c>
      <c r="F1117" s="2">
        <f t="shared" si="51"/>
        <v>0</v>
      </c>
      <c r="G1117">
        <f t="shared" si="52"/>
        <v>3</v>
      </c>
      <c r="H1117" s="3" t="s">
        <v>5070</v>
      </c>
      <c r="I1117" s="6" t="str">
        <f t="shared" si="53"/>
        <v>00031116</v>
      </c>
    </row>
    <row r="1118" spans="1:9" x14ac:dyDescent="0.3">
      <c r="A1118">
        <v>1117</v>
      </c>
      <c r="B1118" s="6">
        <v>8681506</v>
      </c>
      <c r="C1118" t="str">
        <f>VLOOKUP(B1118,[1]BD_FINAL!$A:$H,2,FALSE)</f>
        <v xml:space="preserve">IVÁN ENRIQUE </v>
      </c>
      <c r="D1118" t="str">
        <f>VLOOKUP(B1118,[1]BD_FINAL!$A:$H,3,FALSE)</f>
        <v>Baranquilla</v>
      </c>
      <c r="E1118" t="str">
        <f>VLOOKUP(B1118,[1]BD_FINAL!$A:$H,8,FALSE)</f>
        <v>Tratamiento</v>
      </c>
      <c r="F1118" s="2">
        <f t="shared" si="51"/>
        <v>1</v>
      </c>
      <c r="G1118">
        <f t="shared" si="52"/>
        <v>3</v>
      </c>
      <c r="H1118" s="3" t="s">
        <v>5071</v>
      </c>
      <c r="I1118" s="6" t="str">
        <f t="shared" si="53"/>
        <v>01031117</v>
      </c>
    </row>
    <row r="1119" spans="1:9" x14ac:dyDescent="0.3">
      <c r="A1119">
        <v>1118</v>
      </c>
      <c r="B1119" s="6">
        <v>8686374</v>
      </c>
      <c r="C1119" t="str">
        <f>VLOOKUP(B1119,[1]BD_FINAL!$A:$H,2,FALSE)</f>
        <v xml:space="preserve">Agustin alselmo </v>
      </c>
      <c r="D1119" t="str">
        <f>VLOOKUP(B1119,[1]BD_FINAL!$A:$H,3,FALSE)</f>
        <v>Baranquilla</v>
      </c>
      <c r="E1119" t="str">
        <f>VLOOKUP(B1119,[1]BD_FINAL!$A:$H,8,FALSE)</f>
        <v>Tratamiento</v>
      </c>
      <c r="F1119" s="2">
        <f t="shared" si="51"/>
        <v>1</v>
      </c>
      <c r="G1119">
        <f t="shared" si="52"/>
        <v>3</v>
      </c>
      <c r="H1119" s="3" t="s">
        <v>5072</v>
      </c>
      <c r="I1119" s="6" t="str">
        <f t="shared" si="53"/>
        <v>01031118</v>
      </c>
    </row>
    <row r="1120" spans="1:9" x14ac:dyDescent="0.3">
      <c r="A1120">
        <v>1119</v>
      </c>
      <c r="B1120" s="6">
        <v>8686397</v>
      </c>
      <c r="C1120" t="str">
        <f>VLOOKUP(B1120,[1]BD_FINAL!$A:$H,2,FALSE)</f>
        <v xml:space="preserve">Fredy </v>
      </c>
      <c r="D1120" t="str">
        <f>VLOOKUP(B1120,[1]BD_FINAL!$A:$H,3,FALSE)</f>
        <v>Baranquilla</v>
      </c>
      <c r="E1120" t="str">
        <f>VLOOKUP(B1120,[1]BD_FINAL!$A:$H,8,FALSE)</f>
        <v>Control</v>
      </c>
      <c r="F1120" s="2">
        <f t="shared" si="51"/>
        <v>0</v>
      </c>
      <c r="G1120">
        <f t="shared" si="52"/>
        <v>3</v>
      </c>
      <c r="H1120" s="3" t="s">
        <v>5073</v>
      </c>
      <c r="I1120" s="6" t="str">
        <f t="shared" si="53"/>
        <v>00031119</v>
      </c>
    </row>
    <row r="1121" spans="1:9" x14ac:dyDescent="0.3">
      <c r="A1121">
        <v>1120</v>
      </c>
      <c r="B1121" s="6">
        <v>8688105</v>
      </c>
      <c r="C1121" t="str">
        <f>VLOOKUP(B1121,[1]BD_FINAL!$A:$H,2,FALSE)</f>
        <v xml:space="preserve">Gabriel Guillermo </v>
      </c>
      <c r="D1121" t="str">
        <f>VLOOKUP(B1121,[1]BD_FINAL!$A:$H,3,FALSE)</f>
        <v>Baranquilla</v>
      </c>
      <c r="E1121" t="str">
        <f>VLOOKUP(B1121,[1]BD_FINAL!$A:$H,8,FALSE)</f>
        <v>Control</v>
      </c>
      <c r="F1121" s="2">
        <f t="shared" si="51"/>
        <v>0</v>
      </c>
      <c r="G1121">
        <f t="shared" si="52"/>
        <v>3</v>
      </c>
      <c r="H1121" s="3" t="s">
        <v>5074</v>
      </c>
      <c r="I1121" s="6" t="str">
        <f t="shared" si="53"/>
        <v>00031120</v>
      </c>
    </row>
    <row r="1122" spans="1:9" x14ac:dyDescent="0.3">
      <c r="A1122">
        <v>1121</v>
      </c>
      <c r="B1122" s="6">
        <v>8695283</v>
      </c>
      <c r="C1122" t="str">
        <f>VLOOKUP(B1122,[1]BD_FINAL!$A:$H,2,FALSE)</f>
        <v>Rodolfo</v>
      </c>
      <c r="D1122" t="str">
        <f>VLOOKUP(B1122,[1]BD_FINAL!$A:$H,3,FALSE)</f>
        <v>Baranquilla</v>
      </c>
      <c r="E1122" t="str">
        <f>VLOOKUP(B1122,[1]BD_FINAL!$A:$H,8,FALSE)</f>
        <v>Control</v>
      </c>
      <c r="F1122" s="2">
        <f t="shared" si="51"/>
        <v>0</v>
      </c>
      <c r="G1122">
        <f t="shared" si="52"/>
        <v>3</v>
      </c>
      <c r="H1122" s="3" t="s">
        <v>5075</v>
      </c>
      <c r="I1122" s="6" t="str">
        <f t="shared" si="53"/>
        <v>00031121</v>
      </c>
    </row>
    <row r="1123" spans="1:9" x14ac:dyDescent="0.3">
      <c r="A1123">
        <v>1122</v>
      </c>
      <c r="B1123" s="6">
        <v>8696703</v>
      </c>
      <c r="C1123" t="str">
        <f>VLOOKUP(B1123,[1]BD_FINAL!$A:$H,2,FALSE)</f>
        <v xml:space="preserve">Victor Manuel </v>
      </c>
      <c r="D1123" t="str">
        <f>VLOOKUP(B1123,[1]BD_FINAL!$A:$H,3,FALSE)</f>
        <v>Baranquilla</v>
      </c>
      <c r="E1123" t="str">
        <f>VLOOKUP(B1123,[1]BD_FINAL!$A:$H,8,FALSE)</f>
        <v>Control</v>
      </c>
      <c r="F1123" s="2">
        <f t="shared" si="51"/>
        <v>0</v>
      </c>
      <c r="G1123">
        <f t="shared" si="52"/>
        <v>3</v>
      </c>
      <c r="H1123" s="3" t="s">
        <v>5076</v>
      </c>
      <c r="I1123" s="6" t="str">
        <f t="shared" si="53"/>
        <v>00031122</v>
      </c>
    </row>
    <row r="1124" spans="1:9" x14ac:dyDescent="0.3">
      <c r="A1124">
        <v>1123</v>
      </c>
      <c r="B1124" s="6">
        <v>8704553</v>
      </c>
      <c r="C1124" t="str">
        <f>VLOOKUP(B1124,[1]BD_FINAL!$A:$H,2,FALSE)</f>
        <v xml:space="preserve">Misael </v>
      </c>
      <c r="D1124" t="str">
        <f>VLOOKUP(B1124,[1]BD_FINAL!$A:$H,3,FALSE)</f>
        <v>Baranquilla</v>
      </c>
      <c r="E1124" t="str">
        <f>VLOOKUP(B1124,[1]BD_FINAL!$A:$H,8,FALSE)</f>
        <v>Control</v>
      </c>
      <c r="F1124" s="2">
        <f t="shared" si="51"/>
        <v>0</v>
      </c>
      <c r="G1124">
        <f t="shared" si="52"/>
        <v>3</v>
      </c>
      <c r="H1124" s="3" t="s">
        <v>5077</v>
      </c>
      <c r="I1124" s="6" t="str">
        <f t="shared" si="53"/>
        <v>00031123</v>
      </c>
    </row>
    <row r="1125" spans="1:9" x14ac:dyDescent="0.3">
      <c r="A1125">
        <v>1124</v>
      </c>
      <c r="B1125" s="6">
        <v>8706854</v>
      </c>
      <c r="C1125" t="str">
        <f>VLOOKUP(B1125,[1]BD_FINAL!$A:$H,2,FALSE)</f>
        <v xml:space="preserve">Jorge Alberto </v>
      </c>
      <c r="D1125" t="str">
        <f>VLOOKUP(B1125,[1]BD_FINAL!$A:$H,3,FALSE)</f>
        <v>Baranquilla</v>
      </c>
      <c r="E1125" t="str">
        <f>VLOOKUP(B1125,[1]BD_FINAL!$A:$H,8,FALSE)</f>
        <v>Control</v>
      </c>
      <c r="F1125" s="2">
        <f t="shared" si="51"/>
        <v>0</v>
      </c>
      <c r="G1125">
        <f t="shared" si="52"/>
        <v>3</v>
      </c>
      <c r="H1125" s="3" t="s">
        <v>5078</v>
      </c>
      <c r="I1125" s="6" t="str">
        <f t="shared" si="53"/>
        <v>00031124</v>
      </c>
    </row>
    <row r="1126" spans="1:9" x14ac:dyDescent="0.3">
      <c r="A1126">
        <v>1125</v>
      </c>
      <c r="B1126" s="6">
        <v>87085002</v>
      </c>
      <c r="C1126" t="str">
        <f>VLOOKUP(B1126,[1]BD_FINAL!$A:$H,2,FALSE)</f>
        <v xml:space="preserve">Luis Alberto </v>
      </c>
      <c r="D1126" t="str">
        <f>VLOOKUP(B1126,[1]BD_FINAL!$A:$H,3,FALSE)</f>
        <v>Cali</v>
      </c>
      <c r="E1126" t="str">
        <f>VLOOKUP(B1126,[1]BD_FINAL!$A:$H,8,FALSE)</f>
        <v>Control</v>
      </c>
      <c r="F1126" s="2">
        <f t="shared" si="51"/>
        <v>0</v>
      </c>
      <c r="G1126">
        <f t="shared" si="52"/>
        <v>2</v>
      </c>
      <c r="H1126" s="3" t="s">
        <v>5079</v>
      </c>
      <c r="I1126" s="6" t="str">
        <f t="shared" si="53"/>
        <v>00021125</v>
      </c>
    </row>
    <row r="1127" spans="1:9" x14ac:dyDescent="0.3">
      <c r="A1127">
        <v>1126</v>
      </c>
      <c r="B1127" s="6">
        <v>8719594</v>
      </c>
      <c r="C1127" t="str">
        <f>VLOOKUP(B1127,[1]BD_FINAL!$A:$H,2,FALSE)</f>
        <v>Juan</v>
      </c>
      <c r="D1127" t="str">
        <f>VLOOKUP(B1127,[1]BD_FINAL!$A:$H,3,FALSE)</f>
        <v>Baranquilla</v>
      </c>
      <c r="E1127" t="str">
        <f>VLOOKUP(B1127,[1]BD_FINAL!$A:$H,8,FALSE)</f>
        <v>Tratamiento</v>
      </c>
      <c r="F1127" s="2">
        <f t="shared" si="51"/>
        <v>1</v>
      </c>
      <c r="G1127">
        <f t="shared" si="52"/>
        <v>3</v>
      </c>
      <c r="H1127" s="3" t="s">
        <v>5080</v>
      </c>
      <c r="I1127" s="6" t="str">
        <f t="shared" si="53"/>
        <v>01031126</v>
      </c>
    </row>
    <row r="1128" spans="1:9" x14ac:dyDescent="0.3">
      <c r="A1128">
        <v>1127</v>
      </c>
      <c r="B1128" s="6">
        <v>8722562</v>
      </c>
      <c r="C1128" t="str">
        <f>VLOOKUP(B1128,[1]BD_FINAL!$A:$H,2,FALSE)</f>
        <v xml:space="preserve">José Agustín </v>
      </c>
      <c r="D1128" t="str">
        <f>VLOOKUP(B1128,[1]BD_FINAL!$A:$H,3,FALSE)</f>
        <v>Baranquilla</v>
      </c>
      <c r="E1128" t="str">
        <f>VLOOKUP(B1128,[1]BD_FINAL!$A:$H,8,FALSE)</f>
        <v>Control</v>
      </c>
      <c r="F1128" s="2">
        <f t="shared" si="51"/>
        <v>0</v>
      </c>
      <c r="G1128">
        <f t="shared" si="52"/>
        <v>3</v>
      </c>
      <c r="H1128" s="3" t="s">
        <v>5081</v>
      </c>
      <c r="I1128" s="6" t="str">
        <f t="shared" si="53"/>
        <v>00031127</v>
      </c>
    </row>
    <row r="1129" spans="1:9" x14ac:dyDescent="0.3">
      <c r="A1129">
        <v>1128</v>
      </c>
      <c r="B1129" s="6">
        <v>8724214</v>
      </c>
      <c r="C1129" t="str">
        <f>VLOOKUP(B1129,[1]BD_FINAL!$A:$H,2,FALSE)</f>
        <v>Celso</v>
      </c>
      <c r="D1129" t="str">
        <f>VLOOKUP(B1129,[1]BD_FINAL!$A:$H,3,FALSE)</f>
        <v>Baranquilla</v>
      </c>
      <c r="E1129" t="str">
        <f>VLOOKUP(B1129,[1]BD_FINAL!$A:$H,8,FALSE)</f>
        <v>Tratamiento</v>
      </c>
      <c r="F1129" s="2">
        <f t="shared" si="51"/>
        <v>1</v>
      </c>
      <c r="G1129">
        <f t="shared" si="52"/>
        <v>3</v>
      </c>
      <c r="H1129" s="3" t="s">
        <v>5082</v>
      </c>
      <c r="I1129" s="6" t="str">
        <f t="shared" si="53"/>
        <v>01031128</v>
      </c>
    </row>
    <row r="1130" spans="1:9" x14ac:dyDescent="0.3">
      <c r="A1130">
        <v>1129</v>
      </c>
      <c r="B1130" s="6">
        <v>8732595</v>
      </c>
      <c r="C1130" t="str">
        <f>VLOOKUP(B1130,[1]BD_FINAL!$A:$H,2,FALSE)</f>
        <v xml:space="preserve">Roberto enrique </v>
      </c>
      <c r="D1130" t="str">
        <f>VLOOKUP(B1130,[1]BD_FINAL!$A:$H,3,FALSE)</f>
        <v>Baranquilla</v>
      </c>
      <c r="E1130" t="str">
        <f>VLOOKUP(B1130,[1]BD_FINAL!$A:$H,8,FALSE)</f>
        <v>Control</v>
      </c>
      <c r="F1130" s="2">
        <f t="shared" si="51"/>
        <v>0</v>
      </c>
      <c r="G1130">
        <f t="shared" si="52"/>
        <v>3</v>
      </c>
      <c r="H1130" s="3" t="s">
        <v>5083</v>
      </c>
      <c r="I1130" s="6" t="str">
        <f t="shared" si="53"/>
        <v>00031129</v>
      </c>
    </row>
    <row r="1131" spans="1:9" x14ac:dyDescent="0.3">
      <c r="A1131">
        <v>1130</v>
      </c>
      <c r="B1131" s="6">
        <v>8734568</v>
      </c>
      <c r="C1131" t="str">
        <f>VLOOKUP(B1131,[1]BD_FINAL!$A:$H,2,FALSE)</f>
        <v>Ricardo Alfredo</v>
      </c>
      <c r="D1131" t="str">
        <f>VLOOKUP(B1131,[1]BD_FINAL!$A:$H,3,FALSE)</f>
        <v>Baranquilla</v>
      </c>
      <c r="E1131" t="str">
        <f>VLOOKUP(B1131,[1]BD_FINAL!$A:$H,8,FALSE)</f>
        <v>Tratamiento</v>
      </c>
      <c r="F1131" s="2">
        <f t="shared" si="51"/>
        <v>1</v>
      </c>
      <c r="G1131">
        <f t="shared" si="52"/>
        <v>3</v>
      </c>
      <c r="H1131" s="3" t="s">
        <v>5084</v>
      </c>
      <c r="I1131" s="6" t="str">
        <f t="shared" si="53"/>
        <v>01031130</v>
      </c>
    </row>
    <row r="1132" spans="1:9" x14ac:dyDescent="0.3">
      <c r="A1132">
        <v>1131</v>
      </c>
      <c r="B1132" s="6">
        <v>8737489</v>
      </c>
      <c r="C1132" t="str">
        <f>VLOOKUP(B1132,[1]BD_FINAL!$A:$H,2,FALSE)</f>
        <v>Pedro de jesus</v>
      </c>
      <c r="D1132" t="str">
        <f>VLOOKUP(B1132,[1]BD_FINAL!$A:$H,3,FALSE)</f>
        <v>Baranquilla</v>
      </c>
      <c r="E1132" t="str">
        <f>VLOOKUP(B1132,[1]BD_FINAL!$A:$H,8,FALSE)</f>
        <v>Tratamiento</v>
      </c>
      <c r="F1132" s="2">
        <f t="shared" si="51"/>
        <v>1</v>
      </c>
      <c r="G1132">
        <f t="shared" si="52"/>
        <v>3</v>
      </c>
      <c r="H1132" s="3" t="s">
        <v>5085</v>
      </c>
      <c r="I1132" s="6" t="str">
        <f t="shared" si="53"/>
        <v>01031131</v>
      </c>
    </row>
    <row r="1133" spans="1:9" x14ac:dyDescent="0.3">
      <c r="A1133">
        <v>1132</v>
      </c>
      <c r="B1133" s="6">
        <v>8739487</v>
      </c>
      <c r="C1133" t="str">
        <f>VLOOKUP(B1133,[1]BD_FINAL!$A:$H,2,FALSE)</f>
        <v xml:space="preserve">Esteban </v>
      </c>
      <c r="D1133" t="str">
        <f>VLOOKUP(B1133,[1]BD_FINAL!$A:$H,3,FALSE)</f>
        <v>Baranquilla</v>
      </c>
      <c r="E1133" t="str">
        <f>VLOOKUP(B1133,[1]BD_FINAL!$A:$H,8,FALSE)</f>
        <v>Control</v>
      </c>
      <c r="F1133" s="2">
        <f t="shared" si="51"/>
        <v>0</v>
      </c>
      <c r="G1133">
        <f t="shared" si="52"/>
        <v>3</v>
      </c>
      <c r="H1133" s="3" t="s">
        <v>5086</v>
      </c>
      <c r="I1133" s="6" t="str">
        <f t="shared" si="53"/>
        <v>00031132</v>
      </c>
    </row>
    <row r="1134" spans="1:9" x14ac:dyDescent="0.3">
      <c r="A1134">
        <v>1133</v>
      </c>
      <c r="B1134" s="6">
        <v>87430106</v>
      </c>
      <c r="C1134" t="str">
        <f>VLOOKUP(B1134,[1]BD_FINAL!$A:$H,2,FALSE)</f>
        <v xml:space="preserve">Gerardo </v>
      </c>
      <c r="D1134" t="str">
        <f>VLOOKUP(B1134,[1]BD_FINAL!$A:$H,3,FALSE)</f>
        <v>Cali</v>
      </c>
      <c r="E1134" t="str">
        <f>VLOOKUP(B1134,[1]BD_FINAL!$A:$H,8,FALSE)</f>
        <v>Tratamiento</v>
      </c>
      <c r="F1134" s="2">
        <f t="shared" si="51"/>
        <v>1</v>
      </c>
      <c r="G1134">
        <f t="shared" si="52"/>
        <v>2</v>
      </c>
      <c r="H1134" s="3" t="s">
        <v>5087</v>
      </c>
      <c r="I1134" s="6" t="str">
        <f t="shared" si="53"/>
        <v>01021133</v>
      </c>
    </row>
    <row r="1135" spans="1:9" x14ac:dyDescent="0.3">
      <c r="A1135">
        <v>1134</v>
      </c>
      <c r="B1135" s="6">
        <v>8754897</v>
      </c>
      <c r="C1135" t="str">
        <f>VLOOKUP(B1135,[1]BD_FINAL!$A:$H,2,FALSE)</f>
        <v xml:space="preserve">Apolinar </v>
      </c>
      <c r="D1135" t="str">
        <f>VLOOKUP(B1135,[1]BD_FINAL!$A:$H,3,FALSE)</f>
        <v>Baranquilla</v>
      </c>
      <c r="E1135" t="str">
        <f>VLOOKUP(B1135,[1]BD_FINAL!$A:$H,8,FALSE)</f>
        <v>Tratamiento</v>
      </c>
      <c r="F1135" s="2">
        <f t="shared" si="51"/>
        <v>1</v>
      </c>
      <c r="G1135">
        <f t="shared" si="52"/>
        <v>3</v>
      </c>
      <c r="H1135" s="3" t="s">
        <v>5088</v>
      </c>
      <c r="I1135" s="6" t="str">
        <f t="shared" si="53"/>
        <v>01031134</v>
      </c>
    </row>
    <row r="1136" spans="1:9" x14ac:dyDescent="0.3">
      <c r="A1136">
        <v>1135</v>
      </c>
      <c r="B1136" s="6">
        <v>87571430</v>
      </c>
      <c r="C1136" t="str">
        <f>VLOOKUP(B1136,[1]BD_FINAL!$A:$H,2,FALSE)</f>
        <v xml:space="preserve">Juan Héctor </v>
      </c>
      <c r="D1136" t="str">
        <f>VLOOKUP(B1136,[1]BD_FINAL!$A:$H,3,FALSE)</f>
        <v>Cali</v>
      </c>
      <c r="E1136" t="str">
        <f>VLOOKUP(B1136,[1]BD_FINAL!$A:$H,8,FALSE)</f>
        <v>Control</v>
      </c>
      <c r="F1136" s="2">
        <f t="shared" si="51"/>
        <v>0</v>
      </c>
      <c r="G1136">
        <f t="shared" si="52"/>
        <v>2</v>
      </c>
      <c r="H1136" s="3" t="s">
        <v>5089</v>
      </c>
      <c r="I1136" s="6" t="str">
        <f t="shared" si="53"/>
        <v>00021135</v>
      </c>
    </row>
    <row r="1137" spans="1:9" x14ac:dyDescent="0.3">
      <c r="A1137">
        <v>1136</v>
      </c>
      <c r="B1137" s="6">
        <v>8758157</v>
      </c>
      <c r="C1137" t="str">
        <f>VLOOKUP(B1137,[1]BD_FINAL!$A:$H,2,FALSE)</f>
        <v xml:space="preserve">WILFRIDO RAFAEL </v>
      </c>
      <c r="D1137" t="str">
        <f>VLOOKUP(B1137,[1]BD_FINAL!$A:$H,3,FALSE)</f>
        <v>Baranquilla</v>
      </c>
      <c r="E1137" t="str">
        <f>VLOOKUP(B1137,[1]BD_FINAL!$A:$H,8,FALSE)</f>
        <v>Tratamiento</v>
      </c>
      <c r="F1137" s="2">
        <f t="shared" si="51"/>
        <v>1</v>
      </c>
      <c r="G1137">
        <f t="shared" si="52"/>
        <v>3</v>
      </c>
      <c r="H1137" s="3" t="s">
        <v>5090</v>
      </c>
      <c r="I1137" s="6" t="str">
        <f t="shared" si="53"/>
        <v>01031136</v>
      </c>
    </row>
    <row r="1138" spans="1:9" x14ac:dyDescent="0.3">
      <c r="A1138">
        <v>1137</v>
      </c>
      <c r="B1138" s="6">
        <v>8775124</v>
      </c>
      <c r="C1138" t="str">
        <f>VLOOKUP(B1138,[1]BD_FINAL!$A:$H,2,FALSE)</f>
        <v xml:space="preserve">Wilmer </v>
      </c>
      <c r="D1138" t="str">
        <f>VLOOKUP(B1138,[1]BD_FINAL!$A:$H,3,FALSE)</f>
        <v>Baranquilla</v>
      </c>
      <c r="E1138" t="str">
        <f>VLOOKUP(B1138,[1]BD_FINAL!$A:$H,8,FALSE)</f>
        <v>Control</v>
      </c>
      <c r="F1138" s="2">
        <f t="shared" si="51"/>
        <v>0</v>
      </c>
      <c r="G1138">
        <f t="shared" si="52"/>
        <v>3</v>
      </c>
      <c r="H1138" s="3" t="s">
        <v>5091</v>
      </c>
      <c r="I1138" s="6" t="str">
        <f t="shared" si="53"/>
        <v>00031137</v>
      </c>
    </row>
    <row r="1139" spans="1:9" x14ac:dyDescent="0.3">
      <c r="A1139">
        <v>1138</v>
      </c>
      <c r="B1139" s="6">
        <v>8779085</v>
      </c>
      <c r="C1139" t="str">
        <f>VLOOKUP(B1139,[1]BD_FINAL!$A:$H,2,FALSE)</f>
        <v>Rafael</v>
      </c>
      <c r="D1139" t="str">
        <f>VLOOKUP(B1139,[1]BD_FINAL!$A:$H,3,FALSE)</f>
        <v>Baranquilla</v>
      </c>
      <c r="E1139" t="str">
        <f>VLOOKUP(B1139,[1]BD_FINAL!$A:$H,8,FALSE)</f>
        <v>Tratamiento</v>
      </c>
      <c r="F1139" s="2">
        <f t="shared" si="51"/>
        <v>1</v>
      </c>
      <c r="G1139">
        <f t="shared" si="52"/>
        <v>3</v>
      </c>
      <c r="H1139" s="3" t="s">
        <v>5092</v>
      </c>
      <c r="I1139" s="6" t="str">
        <f t="shared" si="53"/>
        <v>01031138</v>
      </c>
    </row>
    <row r="1140" spans="1:9" x14ac:dyDescent="0.3">
      <c r="A1140">
        <v>1139</v>
      </c>
      <c r="B1140" s="6">
        <v>8793580</v>
      </c>
      <c r="C1140" t="str">
        <f>VLOOKUP(B1140,[1]BD_FINAL!$A:$H,2,FALSE)</f>
        <v xml:space="preserve">Edilberto </v>
      </c>
      <c r="D1140" t="str">
        <f>VLOOKUP(B1140,[1]BD_FINAL!$A:$H,3,FALSE)</f>
        <v>Baranquilla</v>
      </c>
      <c r="E1140" t="str">
        <f>VLOOKUP(B1140,[1]BD_FINAL!$A:$H,8,FALSE)</f>
        <v>Control</v>
      </c>
      <c r="F1140" s="2">
        <f t="shared" si="51"/>
        <v>0</v>
      </c>
      <c r="G1140">
        <f t="shared" si="52"/>
        <v>3</v>
      </c>
      <c r="H1140" s="3" t="s">
        <v>5093</v>
      </c>
      <c r="I1140" s="6" t="str">
        <f t="shared" si="53"/>
        <v>00031139</v>
      </c>
    </row>
    <row r="1141" spans="1:9" x14ac:dyDescent="0.3">
      <c r="A1141">
        <v>1140</v>
      </c>
      <c r="B1141" s="6">
        <v>8799243</v>
      </c>
      <c r="C1141" t="str">
        <f>VLOOKUP(B1141,[1]BD_FINAL!$A:$H,2,FALSE)</f>
        <v xml:space="preserve">José Luis </v>
      </c>
      <c r="D1141" t="str">
        <f>VLOOKUP(B1141,[1]BD_FINAL!$A:$H,3,FALSE)</f>
        <v>Baranquilla</v>
      </c>
      <c r="E1141" t="str">
        <f>VLOOKUP(B1141,[1]BD_FINAL!$A:$H,8,FALSE)</f>
        <v>Tratamiento</v>
      </c>
      <c r="F1141" s="2">
        <f t="shared" si="51"/>
        <v>1</v>
      </c>
      <c r="G1141">
        <f t="shared" si="52"/>
        <v>3</v>
      </c>
      <c r="H1141" s="3" t="s">
        <v>5094</v>
      </c>
      <c r="I1141" s="6" t="str">
        <f t="shared" si="53"/>
        <v>01031140</v>
      </c>
    </row>
    <row r="1142" spans="1:9" x14ac:dyDescent="0.3">
      <c r="A1142">
        <v>1141</v>
      </c>
      <c r="B1142" s="6">
        <v>9110860</v>
      </c>
      <c r="C1142" t="str">
        <f>VLOOKUP(B1142,[1]BD_FINAL!$A:$H,2,FALSE)</f>
        <v>Diego de jesus</v>
      </c>
      <c r="D1142" t="str">
        <f>VLOOKUP(B1142,[1]BD_FINAL!$A:$H,3,FALSE)</f>
        <v>Medellin</v>
      </c>
      <c r="E1142" t="str">
        <f>VLOOKUP(B1142,[1]BD_FINAL!$A:$H,8,FALSE)</f>
        <v>Control</v>
      </c>
      <c r="F1142" s="2">
        <f t="shared" si="51"/>
        <v>0</v>
      </c>
      <c r="G1142">
        <f t="shared" si="52"/>
        <v>1</v>
      </c>
      <c r="H1142" s="3" t="s">
        <v>5095</v>
      </c>
      <c r="I1142" s="6" t="str">
        <f t="shared" si="53"/>
        <v>00011141</v>
      </c>
    </row>
    <row r="1143" spans="1:9" x14ac:dyDescent="0.3">
      <c r="A1143">
        <v>1142</v>
      </c>
      <c r="B1143" s="6">
        <v>9142652</v>
      </c>
      <c r="C1143" t="str">
        <f>VLOOKUP(B1143,[1]BD_FINAL!$A:$H,2,FALSE)</f>
        <v>Luis Alberto</v>
      </c>
      <c r="D1143" t="str">
        <f>VLOOKUP(B1143,[1]BD_FINAL!$A:$H,3,FALSE)</f>
        <v>Medellin</v>
      </c>
      <c r="E1143" t="str">
        <f>VLOOKUP(B1143,[1]BD_FINAL!$A:$H,8,FALSE)</f>
        <v>Control</v>
      </c>
      <c r="F1143" s="2">
        <f t="shared" si="51"/>
        <v>0</v>
      </c>
      <c r="G1143">
        <f t="shared" si="52"/>
        <v>1</v>
      </c>
      <c r="H1143" s="3" t="s">
        <v>5096</v>
      </c>
      <c r="I1143" s="6" t="str">
        <f t="shared" si="53"/>
        <v>00011142</v>
      </c>
    </row>
    <row r="1144" spans="1:9" x14ac:dyDescent="0.3">
      <c r="A1144">
        <v>1143</v>
      </c>
      <c r="B1144" s="6">
        <v>94061999</v>
      </c>
      <c r="C1144" t="str">
        <f>VLOOKUP(B1144,[1]BD_FINAL!$A:$H,2,FALSE)</f>
        <v xml:space="preserve">JHON FREDDY </v>
      </c>
      <c r="D1144" t="str">
        <f>VLOOKUP(B1144,[1]BD_FINAL!$A:$H,3,FALSE)</f>
        <v>Cali</v>
      </c>
      <c r="E1144" t="str">
        <f>VLOOKUP(B1144,[1]BD_FINAL!$A:$H,8,FALSE)</f>
        <v>Control</v>
      </c>
      <c r="F1144" s="2">
        <f t="shared" si="51"/>
        <v>0</v>
      </c>
      <c r="G1144">
        <f t="shared" si="52"/>
        <v>2</v>
      </c>
      <c r="H1144" s="3" t="s">
        <v>5097</v>
      </c>
      <c r="I1144" s="6" t="str">
        <f t="shared" si="53"/>
        <v>00021143</v>
      </c>
    </row>
    <row r="1145" spans="1:9" x14ac:dyDescent="0.3">
      <c r="A1145">
        <v>1144</v>
      </c>
      <c r="B1145" s="6">
        <v>94063123</v>
      </c>
      <c r="C1145" t="str">
        <f>VLOOKUP(B1145,[1]BD_FINAL!$A:$H,2,FALSE)</f>
        <v xml:space="preserve">William </v>
      </c>
      <c r="D1145" t="str">
        <f>VLOOKUP(B1145,[1]BD_FINAL!$A:$H,3,FALSE)</f>
        <v>Cali</v>
      </c>
      <c r="E1145" t="str">
        <f>VLOOKUP(B1145,[1]BD_FINAL!$A:$H,8,FALSE)</f>
        <v>Control</v>
      </c>
      <c r="F1145" s="2">
        <f t="shared" si="51"/>
        <v>0</v>
      </c>
      <c r="G1145">
        <f t="shared" si="52"/>
        <v>2</v>
      </c>
      <c r="H1145" s="3" t="s">
        <v>5098</v>
      </c>
      <c r="I1145" s="6" t="str">
        <f t="shared" si="53"/>
        <v>00021144</v>
      </c>
    </row>
    <row r="1146" spans="1:9" x14ac:dyDescent="0.3">
      <c r="A1146">
        <v>1145</v>
      </c>
      <c r="B1146" s="6">
        <v>94191300</v>
      </c>
      <c r="C1146" t="str">
        <f>VLOOKUP(B1146,[1]BD_FINAL!$A:$H,2,FALSE)</f>
        <v>Jesús Maria</v>
      </c>
      <c r="D1146" t="str">
        <f>VLOOKUP(B1146,[1]BD_FINAL!$A:$H,3,FALSE)</f>
        <v>Cali</v>
      </c>
      <c r="E1146" t="str">
        <f>VLOOKUP(B1146,[1]BD_FINAL!$A:$H,8,FALSE)</f>
        <v>Control</v>
      </c>
      <c r="F1146" s="2">
        <f t="shared" si="51"/>
        <v>0</v>
      </c>
      <c r="G1146">
        <f t="shared" si="52"/>
        <v>2</v>
      </c>
      <c r="H1146" s="3" t="s">
        <v>5099</v>
      </c>
      <c r="I1146" s="6" t="str">
        <f t="shared" si="53"/>
        <v>00021145</v>
      </c>
    </row>
    <row r="1147" spans="1:9" x14ac:dyDescent="0.3">
      <c r="A1147">
        <v>1146</v>
      </c>
      <c r="B1147" s="6">
        <v>94225090</v>
      </c>
      <c r="C1147" t="str">
        <f>VLOOKUP(B1147,[1]BD_FINAL!$A:$H,2,FALSE)</f>
        <v>Medardo</v>
      </c>
      <c r="D1147" t="str">
        <f>VLOOKUP(B1147,[1]BD_FINAL!$A:$H,3,FALSE)</f>
        <v>Cali</v>
      </c>
      <c r="E1147" t="str">
        <f>VLOOKUP(B1147,[1]BD_FINAL!$A:$H,8,FALSE)</f>
        <v>Tratamiento</v>
      </c>
      <c r="F1147" s="2">
        <f t="shared" si="51"/>
        <v>1</v>
      </c>
      <c r="G1147">
        <f t="shared" si="52"/>
        <v>2</v>
      </c>
      <c r="H1147" s="3" t="s">
        <v>5100</v>
      </c>
      <c r="I1147" s="6" t="str">
        <f t="shared" si="53"/>
        <v>01021146</v>
      </c>
    </row>
    <row r="1148" spans="1:9" x14ac:dyDescent="0.3">
      <c r="A1148">
        <v>1147</v>
      </c>
      <c r="B1148" s="6">
        <v>94374533</v>
      </c>
      <c r="C1148" t="str">
        <f>VLOOKUP(B1148,[1]BD_FINAL!$A:$H,2,FALSE)</f>
        <v xml:space="preserve">Pedro </v>
      </c>
      <c r="D1148" t="str">
        <f>VLOOKUP(B1148,[1]BD_FINAL!$A:$H,3,FALSE)</f>
        <v>Cali</v>
      </c>
      <c r="E1148" t="str">
        <f>VLOOKUP(B1148,[1]BD_FINAL!$A:$H,8,FALSE)</f>
        <v>Control</v>
      </c>
      <c r="F1148" s="2">
        <f t="shared" si="51"/>
        <v>0</v>
      </c>
      <c r="G1148">
        <f t="shared" si="52"/>
        <v>2</v>
      </c>
      <c r="H1148" s="3" t="s">
        <v>5101</v>
      </c>
      <c r="I1148" s="6" t="str">
        <f t="shared" si="53"/>
        <v>00021147</v>
      </c>
    </row>
    <row r="1149" spans="1:9" x14ac:dyDescent="0.3">
      <c r="A1149">
        <v>1148</v>
      </c>
      <c r="B1149" s="6">
        <v>94402421</v>
      </c>
      <c r="C1149" t="str">
        <f>VLOOKUP(B1149,[1]BD_FINAL!$A:$H,2,FALSE)</f>
        <v xml:space="preserve">William Alfredo </v>
      </c>
      <c r="D1149" t="str">
        <f>VLOOKUP(B1149,[1]BD_FINAL!$A:$H,3,FALSE)</f>
        <v>Cali</v>
      </c>
      <c r="E1149" t="str">
        <f>VLOOKUP(B1149,[1]BD_FINAL!$A:$H,8,FALSE)</f>
        <v>Control</v>
      </c>
      <c r="F1149" s="2">
        <f t="shared" si="51"/>
        <v>0</v>
      </c>
      <c r="G1149">
        <f t="shared" si="52"/>
        <v>2</v>
      </c>
      <c r="H1149" s="3" t="s">
        <v>5102</v>
      </c>
      <c r="I1149" s="6" t="str">
        <f t="shared" si="53"/>
        <v>00021148</v>
      </c>
    </row>
    <row r="1150" spans="1:9" x14ac:dyDescent="0.3">
      <c r="A1150">
        <v>1149</v>
      </c>
      <c r="B1150" s="6">
        <v>94403143</v>
      </c>
      <c r="C1150" t="str">
        <f>VLOOKUP(B1150,[1]BD_FINAL!$A:$H,2,FALSE)</f>
        <v>OCTAVIANO</v>
      </c>
      <c r="D1150" t="str">
        <f>VLOOKUP(B1150,[1]BD_FINAL!$A:$H,3,FALSE)</f>
        <v>Cali</v>
      </c>
      <c r="E1150" t="str">
        <f>VLOOKUP(B1150,[1]BD_FINAL!$A:$H,8,FALSE)</f>
        <v>Control</v>
      </c>
      <c r="F1150" s="2">
        <f t="shared" si="51"/>
        <v>0</v>
      </c>
      <c r="G1150">
        <f t="shared" si="52"/>
        <v>2</v>
      </c>
      <c r="H1150" s="3" t="s">
        <v>5103</v>
      </c>
      <c r="I1150" s="6" t="str">
        <f t="shared" si="53"/>
        <v>00021149</v>
      </c>
    </row>
    <row r="1151" spans="1:9" x14ac:dyDescent="0.3">
      <c r="A1151">
        <v>1150</v>
      </c>
      <c r="B1151" s="6">
        <v>94427227</v>
      </c>
      <c r="C1151" t="str">
        <f>VLOOKUP(B1151,[1]BD_FINAL!$A:$H,2,FALSE)</f>
        <v>Luis sandro</v>
      </c>
      <c r="D1151" t="str">
        <f>VLOOKUP(B1151,[1]BD_FINAL!$A:$H,3,FALSE)</f>
        <v>Cali</v>
      </c>
      <c r="E1151" t="str">
        <f>VLOOKUP(B1151,[1]BD_FINAL!$A:$H,8,FALSE)</f>
        <v>Control</v>
      </c>
      <c r="F1151" s="2">
        <f t="shared" si="51"/>
        <v>0</v>
      </c>
      <c r="G1151">
        <f t="shared" si="52"/>
        <v>2</v>
      </c>
      <c r="H1151" s="3" t="s">
        <v>5104</v>
      </c>
      <c r="I1151" s="6" t="str">
        <f t="shared" si="53"/>
        <v>00021150</v>
      </c>
    </row>
    <row r="1152" spans="1:9" x14ac:dyDescent="0.3">
      <c r="A1152">
        <v>1151</v>
      </c>
      <c r="B1152" s="6">
        <v>94459917</v>
      </c>
      <c r="C1152" t="str">
        <f>VLOOKUP(B1152,[1]BD_FINAL!$A:$H,2,FALSE)</f>
        <v>Leonardo</v>
      </c>
      <c r="D1152" t="str">
        <f>VLOOKUP(B1152,[1]BD_FINAL!$A:$H,3,FALSE)</f>
        <v>Cali</v>
      </c>
      <c r="E1152" t="str">
        <f>VLOOKUP(B1152,[1]BD_FINAL!$A:$H,8,FALSE)</f>
        <v>Tratamiento</v>
      </c>
      <c r="F1152" s="2">
        <f t="shared" si="51"/>
        <v>1</v>
      </c>
      <c r="G1152">
        <f t="shared" si="52"/>
        <v>2</v>
      </c>
      <c r="H1152" s="3" t="s">
        <v>5105</v>
      </c>
      <c r="I1152" s="6" t="str">
        <f t="shared" si="53"/>
        <v>01021151</v>
      </c>
    </row>
    <row r="1153" spans="1:9" x14ac:dyDescent="0.3">
      <c r="A1153">
        <v>1152</v>
      </c>
      <c r="B1153" s="6">
        <v>94494784</v>
      </c>
      <c r="C1153" t="str">
        <f>VLOOKUP(B1153,[1]BD_FINAL!$A:$H,2,FALSE)</f>
        <v>Didier</v>
      </c>
      <c r="D1153" t="str">
        <f>VLOOKUP(B1153,[1]BD_FINAL!$A:$H,3,FALSE)</f>
        <v>Cali</v>
      </c>
      <c r="E1153" t="str">
        <f>VLOOKUP(B1153,[1]BD_FINAL!$A:$H,8,FALSE)</f>
        <v>Tratamiento</v>
      </c>
      <c r="F1153" s="2">
        <f t="shared" si="51"/>
        <v>1</v>
      </c>
      <c r="G1153">
        <f t="shared" si="52"/>
        <v>2</v>
      </c>
      <c r="H1153" s="3" t="s">
        <v>5106</v>
      </c>
      <c r="I1153" s="6" t="str">
        <f t="shared" si="53"/>
        <v>01021152</v>
      </c>
    </row>
    <row r="1154" spans="1:9" x14ac:dyDescent="0.3">
      <c r="A1154">
        <v>1153</v>
      </c>
      <c r="B1154" s="6">
        <v>94501681</v>
      </c>
      <c r="C1154" t="str">
        <f>VLOOKUP(B1154,[1]BD_FINAL!$A:$H,2,FALSE)</f>
        <v xml:space="preserve">José Hoover </v>
      </c>
      <c r="D1154" t="str">
        <f>VLOOKUP(B1154,[1]BD_FINAL!$A:$H,3,FALSE)</f>
        <v>Cali</v>
      </c>
      <c r="E1154" t="str">
        <f>VLOOKUP(B1154,[1]BD_FINAL!$A:$H,8,FALSE)</f>
        <v>Control</v>
      </c>
      <c r="F1154" s="2">
        <f t="shared" si="51"/>
        <v>0</v>
      </c>
      <c r="G1154">
        <f t="shared" si="52"/>
        <v>2</v>
      </c>
      <c r="H1154" s="3" t="s">
        <v>5107</v>
      </c>
      <c r="I1154" s="6" t="str">
        <f t="shared" si="53"/>
        <v>00021153</v>
      </c>
    </row>
    <row r="1155" spans="1:9" x14ac:dyDescent="0.3">
      <c r="A1155">
        <v>1154</v>
      </c>
      <c r="B1155" s="6">
        <v>94503264</v>
      </c>
      <c r="C1155" t="str">
        <f>VLOOKUP(B1155,[1]BD_FINAL!$A:$H,2,FALSE)</f>
        <v>Wilmer</v>
      </c>
      <c r="D1155" t="str">
        <f>VLOOKUP(B1155,[1]BD_FINAL!$A:$H,3,FALSE)</f>
        <v>Cali</v>
      </c>
      <c r="E1155" t="str">
        <f>VLOOKUP(B1155,[1]BD_FINAL!$A:$H,8,FALSE)</f>
        <v>Control</v>
      </c>
      <c r="F1155" s="2">
        <f t="shared" ref="F1155:F1164" si="54">IF(E1155="CONTROL",0,1)</f>
        <v>0</v>
      </c>
      <c r="G1155">
        <f t="shared" ref="G1155:G1164" si="55">IF(D1155="Medellin",1,IF(D1155="Cali",2,IF(D1155="Baranquilla",3,0)))</f>
        <v>2</v>
      </c>
      <c r="H1155" s="3" t="s">
        <v>5108</v>
      </c>
      <c r="I1155" s="6" t="str">
        <f t="shared" ref="I1155:I1164" si="56">_xlfn.CONCAT(0,F1155,0,G1155,H1155)</f>
        <v>00021154</v>
      </c>
    </row>
    <row r="1156" spans="1:9" x14ac:dyDescent="0.3">
      <c r="A1156">
        <v>1155</v>
      </c>
      <c r="B1156" s="6">
        <v>94513261</v>
      </c>
      <c r="C1156" t="str">
        <f>VLOOKUP(B1156,[1]BD_FINAL!$A:$H,2,FALSE)</f>
        <v xml:space="preserve">CESAR AUGUSTO </v>
      </c>
      <c r="D1156" t="str">
        <f>VLOOKUP(B1156,[1]BD_FINAL!$A:$H,3,FALSE)</f>
        <v>Cali</v>
      </c>
      <c r="E1156" t="str">
        <f>VLOOKUP(B1156,[1]BD_FINAL!$A:$H,8,FALSE)</f>
        <v>Tratamiento</v>
      </c>
      <c r="F1156" s="2">
        <f t="shared" si="54"/>
        <v>1</v>
      </c>
      <c r="G1156">
        <f t="shared" si="55"/>
        <v>2</v>
      </c>
      <c r="H1156" s="3" t="s">
        <v>5109</v>
      </c>
      <c r="I1156" s="6" t="str">
        <f t="shared" si="56"/>
        <v>01021155</v>
      </c>
    </row>
    <row r="1157" spans="1:9" x14ac:dyDescent="0.3">
      <c r="A1157">
        <v>1156</v>
      </c>
      <c r="B1157" s="6">
        <v>94528503</v>
      </c>
      <c r="C1157" t="str">
        <f>VLOOKUP(B1157,[1]BD_FINAL!$A:$H,2,FALSE)</f>
        <v>Abio</v>
      </c>
      <c r="D1157" t="str">
        <f>VLOOKUP(B1157,[1]BD_FINAL!$A:$H,3,FALSE)</f>
        <v>Cali</v>
      </c>
      <c r="E1157" t="str">
        <f>VLOOKUP(B1157,[1]BD_FINAL!$A:$H,8,FALSE)</f>
        <v>Control</v>
      </c>
      <c r="F1157" s="2">
        <f t="shared" si="54"/>
        <v>0</v>
      </c>
      <c r="G1157">
        <f t="shared" si="55"/>
        <v>2</v>
      </c>
      <c r="H1157" s="3" t="s">
        <v>5110</v>
      </c>
      <c r="I1157" s="6" t="str">
        <f t="shared" si="56"/>
        <v>00021156</v>
      </c>
    </row>
    <row r="1158" spans="1:9" x14ac:dyDescent="0.3">
      <c r="A1158">
        <v>1157</v>
      </c>
      <c r="B1158" s="6">
        <v>94534343</v>
      </c>
      <c r="C1158" t="str">
        <f>VLOOKUP(B1158,[1]BD_FINAL!$A:$H,2,FALSE)</f>
        <v>Jhon alfonzo</v>
      </c>
      <c r="D1158" t="str">
        <f>VLOOKUP(B1158,[1]BD_FINAL!$A:$H,3,FALSE)</f>
        <v>Cali</v>
      </c>
      <c r="E1158" t="str">
        <f>VLOOKUP(B1158,[1]BD_FINAL!$A:$H,8,FALSE)</f>
        <v>Control</v>
      </c>
      <c r="F1158" s="2">
        <f t="shared" si="54"/>
        <v>0</v>
      </c>
      <c r="G1158">
        <f t="shared" si="55"/>
        <v>2</v>
      </c>
      <c r="H1158" s="3" t="s">
        <v>5111</v>
      </c>
      <c r="I1158" s="6" t="str">
        <f t="shared" si="56"/>
        <v>00021157</v>
      </c>
    </row>
    <row r="1159" spans="1:9" x14ac:dyDescent="0.3">
      <c r="A1159">
        <v>1158</v>
      </c>
      <c r="B1159" s="6">
        <v>94537823</v>
      </c>
      <c r="C1159" t="str">
        <f>VLOOKUP(B1159,[1]BD_FINAL!$A:$H,2,FALSE)</f>
        <v xml:space="preserve">FREDIS </v>
      </c>
      <c r="D1159" t="str">
        <f>VLOOKUP(B1159,[1]BD_FINAL!$A:$H,3,FALSE)</f>
        <v>Cali</v>
      </c>
      <c r="E1159" t="str">
        <f>VLOOKUP(B1159,[1]BD_FINAL!$A:$H,8,FALSE)</f>
        <v>Control</v>
      </c>
      <c r="F1159" s="2">
        <f t="shared" si="54"/>
        <v>0</v>
      </c>
      <c r="G1159">
        <f t="shared" si="55"/>
        <v>2</v>
      </c>
      <c r="H1159" s="3" t="s">
        <v>5112</v>
      </c>
      <c r="I1159" s="6" t="str">
        <f t="shared" si="56"/>
        <v>00021158</v>
      </c>
    </row>
    <row r="1160" spans="1:9" x14ac:dyDescent="0.3">
      <c r="A1160">
        <v>1159</v>
      </c>
      <c r="B1160" s="6">
        <v>94540935</v>
      </c>
      <c r="C1160" t="str">
        <f>VLOOKUP(B1160,[1]BD_FINAL!$A:$H,2,FALSE)</f>
        <v xml:space="preserve">Emilio José </v>
      </c>
      <c r="D1160" t="str">
        <f>VLOOKUP(B1160,[1]BD_FINAL!$A:$H,3,FALSE)</f>
        <v>Cali</v>
      </c>
      <c r="E1160" t="str">
        <f>VLOOKUP(B1160,[1]BD_FINAL!$A:$H,8,FALSE)</f>
        <v>Tratamiento</v>
      </c>
      <c r="F1160" s="2">
        <f t="shared" si="54"/>
        <v>1</v>
      </c>
      <c r="G1160">
        <f t="shared" si="55"/>
        <v>2</v>
      </c>
      <c r="H1160" s="3" t="s">
        <v>5113</v>
      </c>
      <c r="I1160" s="6" t="str">
        <f t="shared" si="56"/>
        <v>01021159</v>
      </c>
    </row>
    <row r="1161" spans="1:9" x14ac:dyDescent="0.3">
      <c r="A1161">
        <v>1160</v>
      </c>
      <c r="B1161" s="6">
        <v>94550202</v>
      </c>
      <c r="C1161" t="str">
        <f>VLOOKUP(B1161,[1]BD_FINAL!$A:$H,2,FALSE)</f>
        <v>Geiver</v>
      </c>
      <c r="D1161" t="str">
        <f>VLOOKUP(B1161,[1]BD_FINAL!$A:$H,3,FALSE)</f>
        <v>Cali</v>
      </c>
      <c r="E1161" t="str">
        <f>VLOOKUP(B1161,[1]BD_FINAL!$A:$H,8,FALSE)</f>
        <v>Tratamiento</v>
      </c>
      <c r="F1161" s="2">
        <f t="shared" si="54"/>
        <v>1</v>
      </c>
      <c r="G1161">
        <f t="shared" si="55"/>
        <v>2</v>
      </c>
      <c r="H1161" s="3" t="s">
        <v>5114</v>
      </c>
      <c r="I1161" s="6" t="str">
        <f t="shared" si="56"/>
        <v>01021160</v>
      </c>
    </row>
    <row r="1162" spans="1:9" x14ac:dyDescent="0.3">
      <c r="A1162">
        <v>1161</v>
      </c>
      <c r="B1162" s="6">
        <v>9825002</v>
      </c>
      <c r="C1162" t="str">
        <f>VLOOKUP(B1162,[1]BD_FINAL!$A:$H,2,FALSE)</f>
        <v>ELISENIO</v>
      </c>
      <c r="D1162" t="str">
        <f>VLOOKUP(B1162,[1]BD_FINAL!$A:$H,3,FALSE)</f>
        <v>Cali</v>
      </c>
      <c r="E1162" t="str">
        <f>VLOOKUP(B1162,[1]BD_FINAL!$A:$H,8,FALSE)</f>
        <v>Control</v>
      </c>
      <c r="F1162" s="2">
        <f t="shared" si="54"/>
        <v>0</v>
      </c>
      <c r="G1162">
        <f t="shared" si="55"/>
        <v>2</v>
      </c>
      <c r="H1162" s="3" t="s">
        <v>5115</v>
      </c>
      <c r="I1162" s="6" t="str">
        <f t="shared" si="56"/>
        <v>00021161</v>
      </c>
    </row>
    <row r="1163" spans="1:9" x14ac:dyDescent="0.3">
      <c r="A1163">
        <v>1162</v>
      </c>
      <c r="B1163" s="6">
        <v>98638636</v>
      </c>
      <c r="C1163" t="str">
        <f>VLOOKUP(B1163,[1]BD_FINAL!$A:$H,2,FALSE)</f>
        <v>Pedro José Bustamante Ortiz</v>
      </c>
      <c r="D1163" t="str">
        <f>VLOOKUP(B1163,[1]BD_FINAL!$A:$H,3,FALSE)</f>
        <v>Medellin</v>
      </c>
      <c r="E1163" t="str">
        <f>VLOOKUP(B1163,[1]BD_FINAL!$A:$H,8,FALSE)</f>
        <v>Tratamiento</v>
      </c>
      <c r="F1163" s="2">
        <f t="shared" si="54"/>
        <v>1</v>
      </c>
      <c r="G1163">
        <f t="shared" si="55"/>
        <v>1</v>
      </c>
      <c r="H1163" s="3" t="s">
        <v>5116</v>
      </c>
      <c r="I1163" s="6" t="str">
        <f t="shared" si="56"/>
        <v>01011162</v>
      </c>
    </row>
    <row r="1164" spans="1:9" x14ac:dyDescent="0.3">
      <c r="A1164">
        <v>1163</v>
      </c>
      <c r="B1164" s="6">
        <v>98657538</v>
      </c>
      <c r="C1164" t="str">
        <f>VLOOKUP(B1164,[1]BD_FINAL!$A:$H,2,FALSE)</f>
        <v xml:space="preserve">Jaime Alberto </v>
      </c>
      <c r="D1164" t="str">
        <f>VLOOKUP(B1164,[1]BD_FINAL!$A:$H,3,FALSE)</f>
        <v>Medellin</v>
      </c>
      <c r="E1164" t="str">
        <f>VLOOKUP(B1164,[1]BD_FINAL!$A:$H,8,FALSE)</f>
        <v>Control</v>
      </c>
      <c r="F1164" s="2">
        <f t="shared" si="54"/>
        <v>0</v>
      </c>
      <c r="G1164">
        <f t="shared" si="55"/>
        <v>1</v>
      </c>
      <c r="H1164" s="3" t="s">
        <v>5117</v>
      </c>
      <c r="I1164" s="6" t="str">
        <f t="shared" si="56"/>
        <v>00011163</v>
      </c>
    </row>
  </sheetData>
  <autoFilter ref="A1:I1164" xr:uid="{969C4545-8A2B-4769-B9D2-694B15A3A1CB}"/>
  <phoneticPr fontId="3" type="noConversion"/>
  <conditionalFormatting sqref="A1:I1">
    <cfRule type="containsText" dxfId="7" priority="1" operator="containsText" text="SOSPECHOSO">
      <formula>NOT(ISERROR(SEARCH("SOSPECHOSO",A1)))</formula>
    </cfRule>
    <cfRule type="containsText" dxfId="6" priority="2" operator="containsText" text="CORRECTO">
      <formula>NOT(ISERROR(SEARCH("CORRECTO",A1)))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57C1-4371-4AA4-A06B-58909C205DFC}">
  <dimension ref="A1:F3945"/>
  <sheetViews>
    <sheetView zoomScale="93" zoomScaleNormal="205" workbookViewId="0">
      <selection activeCell="G1" sqref="G1:G1048576"/>
    </sheetView>
  </sheetViews>
  <sheetFormatPr baseColWidth="10" defaultRowHeight="14.4" x14ac:dyDescent="0.3"/>
  <cols>
    <col min="1" max="1" width="16.33203125" style="6" customWidth="1"/>
    <col min="2" max="2" width="13.6640625" bestFit="1" customWidth="1"/>
    <col min="3" max="3" width="17.109375" style="3" bestFit="1" customWidth="1"/>
    <col min="4" max="4" width="14.44140625" style="5" bestFit="1" customWidth="1"/>
    <col min="6" max="6" width="11.5546875" style="6"/>
  </cols>
  <sheetData>
    <row r="1" spans="1:6" x14ac:dyDescent="0.3">
      <c r="A1" s="1" t="s">
        <v>1</v>
      </c>
      <c r="B1" s="1" t="s">
        <v>3947</v>
      </c>
      <c r="C1" s="1" t="s">
        <v>5118</v>
      </c>
      <c r="D1" s="1" t="s">
        <v>5119</v>
      </c>
      <c r="E1" s="1" t="s">
        <v>3946</v>
      </c>
      <c r="F1" s="1" t="s">
        <v>1</v>
      </c>
    </row>
    <row r="2" spans="1:6" x14ac:dyDescent="0.3">
      <c r="A2" s="6" t="s">
        <v>2</v>
      </c>
      <c r="B2">
        <v>1000193972</v>
      </c>
      <c r="C2" s="3">
        <v>1</v>
      </c>
      <c r="D2" s="5" t="str">
        <f>_xlfn.CONCAT(0,C2)</f>
        <v>01</v>
      </c>
      <c r="E2" t="str">
        <f>VLOOKUP(B2,'HOGARES-BASELINE'!$B:$I,8,FALSE)</f>
        <v>00010001</v>
      </c>
      <c r="F2" s="6" t="str">
        <f>_xlfn.CONCAT(E2,D2)</f>
        <v>0001000101</v>
      </c>
    </row>
    <row r="3" spans="1:6" x14ac:dyDescent="0.3">
      <c r="A3" s="6" t="s">
        <v>3</v>
      </c>
      <c r="B3">
        <v>1000292440</v>
      </c>
      <c r="C3" s="3">
        <v>2</v>
      </c>
      <c r="D3" s="5" t="str">
        <f t="shared" ref="D3:D11" si="0">_xlfn.CONCAT(0,C3)</f>
        <v>02</v>
      </c>
      <c r="E3" t="str">
        <f>VLOOKUP(B3,'HOGARES-BASELINE'!$B:$I,8,FALSE)</f>
        <v>00010002</v>
      </c>
      <c r="F3" s="6" t="str">
        <f t="shared" ref="F3:F66" si="1">_xlfn.CONCAT(E3,D3)</f>
        <v>0001000202</v>
      </c>
    </row>
    <row r="4" spans="1:6" x14ac:dyDescent="0.3">
      <c r="A4" s="6" t="s">
        <v>4</v>
      </c>
      <c r="B4">
        <v>1000292440</v>
      </c>
      <c r="C4" s="3">
        <v>3</v>
      </c>
      <c r="D4" s="5" t="str">
        <f t="shared" si="0"/>
        <v>03</v>
      </c>
      <c r="E4" t="str">
        <f>VLOOKUP(B4,'HOGARES-BASELINE'!$B:$I,8,FALSE)</f>
        <v>00010002</v>
      </c>
      <c r="F4" s="6" t="str">
        <f t="shared" si="1"/>
        <v>0001000203</v>
      </c>
    </row>
    <row r="5" spans="1:6" x14ac:dyDescent="0.3">
      <c r="A5" s="6" t="s">
        <v>5</v>
      </c>
      <c r="B5">
        <v>1000292440</v>
      </c>
      <c r="C5" s="3">
        <v>1</v>
      </c>
      <c r="D5" s="5" t="str">
        <f t="shared" si="0"/>
        <v>01</v>
      </c>
      <c r="E5" t="str">
        <f>VLOOKUP(B5,'HOGARES-BASELINE'!$B:$I,8,FALSE)</f>
        <v>00010002</v>
      </c>
      <c r="F5" s="6" t="str">
        <f t="shared" si="1"/>
        <v>0001000201</v>
      </c>
    </row>
    <row r="6" spans="1:6" x14ac:dyDescent="0.3">
      <c r="A6" s="6" t="s">
        <v>6</v>
      </c>
      <c r="B6">
        <v>1000438461</v>
      </c>
      <c r="C6" s="3">
        <v>3</v>
      </c>
      <c r="D6" s="5" t="str">
        <f t="shared" si="0"/>
        <v>03</v>
      </c>
      <c r="E6" t="str">
        <f>VLOOKUP(B6,'HOGARES-BASELINE'!$B:$I,8,FALSE)</f>
        <v>00010003</v>
      </c>
      <c r="F6" s="6" t="str">
        <f t="shared" si="1"/>
        <v>0001000303</v>
      </c>
    </row>
    <row r="7" spans="1:6" x14ac:dyDescent="0.3">
      <c r="A7" s="6" t="s">
        <v>7</v>
      </c>
      <c r="B7">
        <v>1000438461</v>
      </c>
      <c r="C7" s="3">
        <v>5</v>
      </c>
      <c r="D7" s="5" t="str">
        <f t="shared" si="0"/>
        <v>05</v>
      </c>
      <c r="E7" t="str">
        <f>VLOOKUP(B7,'HOGARES-BASELINE'!$B:$I,8,FALSE)</f>
        <v>00010003</v>
      </c>
      <c r="F7" s="6" t="str">
        <f t="shared" si="1"/>
        <v>0001000305</v>
      </c>
    </row>
    <row r="8" spans="1:6" x14ac:dyDescent="0.3">
      <c r="A8" s="6" t="s">
        <v>8</v>
      </c>
      <c r="B8">
        <v>1000438461</v>
      </c>
      <c r="C8" s="3">
        <v>1</v>
      </c>
      <c r="D8" s="5" t="str">
        <f t="shared" si="0"/>
        <v>01</v>
      </c>
      <c r="E8" t="str">
        <f>VLOOKUP(B8,'HOGARES-BASELINE'!$B:$I,8,FALSE)</f>
        <v>00010003</v>
      </c>
      <c r="F8" s="6" t="str">
        <f t="shared" si="1"/>
        <v>0001000301</v>
      </c>
    </row>
    <row r="9" spans="1:6" x14ac:dyDescent="0.3">
      <c r="A9" s="6" t="s">
        <v>9</v>
      </c>
      <c r="B9">
        <v>1000438461</v>
      </c>
      <c r="C9" s="3">
        <v>4</v>
      </c>
      <c r="D9" s="5" t="str">
        <f t="shared" si="0"/>
        <v>04</v>
      </c>
      <c r="E9" t="str">
        <f>VLOOKUP(B9,'HOGARES-BASELINE'!$B:$I,8,FALSE)</f>
        <v>00010003</v>
      </c>
      <c r="F9" s="6" t="str">
        <f t="shared" si="1"/>
        <v>0001000304</v>
      </c>
    </row>
    <row r="10" spans="1:6" x14ac:dyDescent="0.3">
      <c r="A10" s="6" t="s">
        <v>10</v>
      </c>
      <c r="B10">
        <v>1000438461</v>
      </c>
      <c r="C10" s="3">
        <v>2</v>
      </c>
      <c r="D10" s="5" t="str">
        <f t="shared" si="0"/>
        <v>02</v>
      </c>
      <c r="E10" t="str">
        <f>VLOOKUP(B10,'HOGARES-BASELINE'!$B:$I,8,FALSE)</f>
        <v>00010003</v>
      </c>
      <c r="F10" s="6" t="str">
        <f t="shared" si="1"/>
        <v>0001000302</v>
      </c>
    </row>
    <row r="11" spans="1:6" x14ac:dyDescent="0.3">
      <c r="A11" s="6" t="s">
        <v>11</v>
      </c>
      <c r="B11">
        <v>1000536137</v>
      </c>
      <c r="C11" s="3">
        <v>4</v>
      </c>
      <c r="D11" s="5" t="str">
        <f t="shared" si="0"/>
        <v>04</v>
      </c>
      <c r="E11" t="str">
        <f>VLOOKUP(B11,'HOGARES-BASELINE'!$B:$I,8,FALSE)</f>
        <v>01010004</v>
      </c>
      <c r="F11" s="6" t="str">
        <f t="shared" si="1"/>
        <v>0101000404</v>
      </c>
    </row>
    <row r="12" spans="1:6" x14ac:dyDescent="0.3">
      <c r="A12" s="6" t="s">
        <v>12</v>
      </c>
      <c r="B12">
        <v>1000536137</v>
      </c>
      <c r="C12" s="3">
        <v>10</v>
      </c>
      <c r="D12" s="2">
        <f>C12</f>
        <v>10</v>
      </c>
      <c r="E12" t="str">
        <f>VLOOKUP(B12,'HOGARES-BASELINE'!$B:$I,8,FALSE)</f>
        <v>01010004</v>
      </c>
      <c r="F12" s="6" t="str">
        <f t="shared" si="1"/>
        <v>0101000410</v>
      </c>
    </row>
    <row r="13" spans="1:6" x14ac:dyDescent="0.3">
      <c r="A13" s="6" t="s">
        <v>13</v>
      </c>
      <c r="B13">
        <v>1000536137</v>
      </c>
      <c r="C13" s="3">
        <v>12</v>
      </c>
      <c r="D13" s="2">
        <f t="shared" ref="D13:D14" si="2">C13</f>
        <v>12</v>
      </c>
      <c r="E13" t="str">
        <f>VLOOKUP(B13,'HOGARES-BASELINE'!$B:$I,8,FALSE)</f>
        <v>01010004</v>
      </c>
      <c r="F13" s="6" t="str">
        <f t="shared" si="1"/>
        <v>0101000412</v>
      </c>
    </row>
    <row r="14" spans="1:6" x14ac:dyDescent="0.3">
      <c r="A14" s="6" t="s">
        <v>14</v>
      </c>
      <c r="B14">
        <v>1000536137</v>
      </c>
      <c r="C14" s="3">
        <v>13</v>
      </c>
      <c r="D14" s="2">
        <f t="shared" si="2"/>
        <v>13</v>
      </c>
      <c r="E14" t="str">
        <f>VLOOKUP(B14,'HOGARES-BASELINE'!$B:$I,8,FALSE)</f>
        <v>01010004</v>
      </c>
      <c r="F14" s="6" t="str">
        <f t="shared" si="1"/>
        <v>0101000413</v>
      </c>
    </row>
    <row r="15" spans="1:6" x14ac:dyDescent="0.3">
      <c r="A15" s="6" t="s">
        <v>15</v>
      </c>
      <c r="B15">
        <v>1000536137</v>
      </c>
      <c r="C15" s="3">
        <v>5</v>
      </c>
      <c r="D15" s="5" t="str">
        <f t="shared" ref="D15:D21" si="3">_xlfn.CONCAT(0,C15)</f>
        <v>05</v>
      </c>
      <c r="E15" t="str">
        <f>VLOOKUP(B15,'HOGARES-BASELINE'!$B:$I,8,FALSE)</f>
        <v>01010004</v>
      </c>
      <c r="F15" s="6" t="str">
        <f t="shared" si="1"/>
        <v>0101000405</v>
      </c>
    </row>
    <row r="16" spans="1:6" x14ac:dyDescent="0.3">
      <c r="A16" s="6" t="s">
        <v>16</v>
      </c>
      <c r="B16">
        <v>1000536137</v>
      </c>
      <c r="C16" s="3">
        <v>8</v>
      </c>
      <c r="D16" s="5" t="str">
        <f t="shared" si="3"/>
        <v>08</v>
      </c>
      <c r="E16" t="str">
        <f>VLOOKUP(B16,'HOGARES-BASELINE'!$B:$I,8,FALSE)</f>
        <v>01010004</v>
      </c>
      <c r="F16" s="6" t="str">
        <f t="shared" si="1"/>
        <v>0101000408</v>
      </c>
    </row>
    <row r="17" spans="1:6" x14ac:dyDescent="0.3">
      <c r="A17" s="6" t="s">
        <v>17</v>
      </c>
      <c r="B17">
        <v>1000536137</v>
      </c>
      <c r="C17" s="3">
        <v>7</v>
      </c>
      <c r="D17" s="5" t="str">
        <f t="shared" si="3"/>
        <v>07</v>
      </c>
      <c r="E17" t="str">
        <f>VLOOKUP(B17,'HOGARES-BASELINE'!$B:$I,8,FALSE)</f>
        <v>01010004</v>
      </c>
      <c r="F17" s="6" t="str">
        <f t="shared" si="1"/>
        <v>0101000407</v>
      </c>
    </row>
    <row r="18" spans="1:6" x14ac:dyDescent="0.3">
      <c r="A18" s="6" t="s">
        <v>18</v>
      </c>
      <c r="B18">
        <v>1000536137</v>
      </c>
      <c r="C18" s="3">
        <v>1</v>
      </c>
      <c r="D18" s="5" t="str">
        <f t="shared" si="3"/>
        <v>01</v>
      </c>
      <c r="E18" t="str">
        <f>VLOOKUP(B18,'HOGARES-BASELINE'!$B:$I,8,FALSE)</f>
        <v>01010004</v>
      </c>
      <c r="F18" s="6" t="str">
        <f t="shared" si="1"/>
        <v>0101000401</v>
      </c>
    </row>
    <row r="19" spans="1:6" x14ac:dyDescent="0.3">
      <c r="A19" s="6" t="s">
        <v>19</v>
      </c>
      <c r="B19">
        <v>1000536137</v>
      </c>
      <c r="C19" s="3">
        <v>2</v>
      </c>
      <c r="D19" s="5" t="str">
        <f t="shared" si="3"/>
        <v>02</v>
      </c>
      <c r="E19" t="str">
        <f>VLOOKUP(B19,'HOGARES-BASELINE'!$B:$I,8,FALSE)</f>
        <v>01010004</v>
      </c>
      <c r="F19" s="6" t="str">
        <f t="shared" si="1"/>
        <v>0101000402</v>
      </c>
    </row>
    <row r="20" spans="1:6" x14ac:dyDescent="0.3">
      <c r="A20" s="6" t="s">
        <v>20</v>
      </c>
      <c r="B20">
        <v>1000536137</v>
      </c>
      <c r="C20" s="3">
        <v>3</v>
      </c>
      <c r="D20" s="5" t="str">
        <f t="shared" si="3"/>
        <v>03</v>
      </c>
      <c r="E20" t="str">
        <f>VLOOKUP(B20,'HOGARES-BASELINE'!$B:$I,8,FALSE)</f>
        <v>01010004</v>
      </c>
      <c r="F20" s="6" t="str">
        <f t="shared" si="1"/>
        <v>0101000403</v>
      </c>
    </row>
    <row r="21" spans="1:6" x14ac:dyDescent="0.3">
      <c r="A21" s="6" t="s">
        <v>21</v>
      </c>
      <c r="B21">
        <v>1000536137</v>
      </c>
      <c r="C21" s="3">
        <v>6</v>
      </c>
      <c r="D21" s="5" t="str">
        <f t="shared" si="3"/>
        <v>06</v>
      </c>
      <c r="E21" t="str">
        <f>VLOOKUP(B21,'HOGARES-BASELINE'!$B:$I,8,FALSE)</f>
        <v>01010004</v>
      </c>
      <c r="F21" s="6" t="str">
        <f t="shared" si="1"/>
        <v>0101000406</v>
      </c>
    </row>
    <row r="22" spans="1:6" x14ac:dyDescent="0.3">
      <c r="A22" s="6" t="s">
        <v>22</v>
      </c>
      <c r="B22">
        <v>1000536137</v>
      </c>
      <c r="C22" s="3">
        <v>11</v>
      </c>
      <c r="D22" s="2">
        <f>C22</f>
        <v>11</v>
      </c>
      <c r="E22" t="str">
        <f>VLOOKUP(B22,'HOGARES-BASELINE'!$B:$I,8,FALSE)</f>
        <v>01010004</v>
      </c>
      <c r="F22" s="6" t="str">
        <f t="shared" si="1"/>
        <v>0101000411</v>
      </c>
    </row>
    <row r="23" spans="1:6" x14ac:dyDescent="0.3">
      <c r="A23" s="6" t="s">
        <v>23</v>
      </c>
      <c r="B23">
        <v>1000536137</v>
      </c>
      <c r="C23" s="3">
        <v>9</v>
      </c>
      <c r="D23" s="5" t="str">
        <f t="shared" ref="D23:D86" si="4">_xlfn.CONCAT(0,C23)</f>
        <v>09</v>
      </c>
      <c r="E23" t="str">
        <f>VLOOKUP(B23,'HOGARES-BASELINE'!$B:$I,8,FALSE)</f>
        <v>01010004</v>
      </c>
      <c r="F23" s="6" t="str">
        <f t="shared" si="1"/>
        <v>0101000409</v>
      </c>
    </row>
    <row r="24" spans="1:6" x14ac:dyDescent="0.3">
      <c r="A24" s="6" t="s">
        <v>24</v>
      </c>
      <c r="B24">
        <v>1000538215</v>
      </c>
      <c r="C24" s="3">
        <v>3</v>
      </c>
      <c r="D24" s="5" t="str">
        <f t="shared" si="4"/>
        <v>03</v>
      </c>
      <c r="E24" t="str">
        <f>VLOOKUP(B24,'HOGARES-BASELINE'!$B:$I,8,FALSE)</f>
        <v>01010005</v>
      </c>
      <c r="F24" s="6" t="str">
        <f t="shared" si="1"/>
        <v>0101000503</v>
      </c>
    </row>
    <row r="25" spans="1:6" x14ac:dyDescent="0.3">
      <c r="A25" s="6" t="s">
        <v>25</v>
      </c>
      <c r="B25">
        <v>1000538215</v>
      </c>
      <c r="C25" s="3">
        <v>2</v>
      </c>
      <c r="D25" s="5" t="str">
        <f t="shared" si="4"/>
        <v>02</v>
      </c>
      <c r="E25" t="str">
        <f>VLOOKUP(B25,'HOGARES-BASELINE'!$B:$I,8,FALSE)</f>
        <v>01010005</v>
      </c>
      <c r="F25" s="6" t="str">
        <f t="shared" si="1"/>
        <v>0101000502</v>
      </c>
    </row>
    <row r="26" spans="1:6" x14ac:dyDescent="0.3">
      <c r="A26" s="6" t="s">
        <v>26</v>
      </c>
      <c r="B26">
        <v>1000538215</v>
      </c>
      <c r="C26" s="3">
        <v>4</v>
      </c>
      <c r="D26" s="5" t="str">
        <f t="shared" si="4"/>
        <v>04</v>
      </c>
      <c r="E26" t="str">
        <f>VLOOKUP(B26,'HOGARES-BASELINE'!$B:$I,8,FALSE)</f>
        <v>01010005</v>
      </c>
      <c r="F26" s="6" t="str">
        <f t="shared" si="1"/>
        <v>0101000504</v>
      </c>
    </row>
    <row r="27" spans="1:6" x14ac:dyDescent="0.3">
      <c r="A27" s="6" t="s">
        <v>27</v>
      </c>
      <c r="B27">
        <v>1000538215</v>
      </c>
      <c r="C27" s="3">
        <v>1</v>
      </c>
      <c r="D27" s="5" t="str">
        <f t="shared" si="4"/>
        <v>01</v>
      </c>
      <c r="E27" t="str">
        <f>VLOOKUP(B27,'HOGARES-BASELINE'!$B:$I,8,FALSE)</f>
        <v>01010005</v>
      </c>
      <c r="F27" s="6" t="str">
        <f t="shared" si="1"/>
        <v>0101000501</v>
      </c>
    </row>
    <row r="28" spans="1:6" x14ac:dyDescent="0.3">
      <c r="A28" s="6" t="s">
        <v>28</v>
      </c>
      <c r="B28">
        <v>1000638664</v>
      </c>
      <c r="C28" s="3">
        <v>1</v>
      </c>
      <c r="D28" s="5" t="str">
        <f t="shared" si="4"/>
        <v>01</v>
      </c>
      <c r="E28" t="str">
        <f>VLOOKUP(B28,'HOGARES-BASELINE'!$B:$I,8,FALSE)</f>
        <v>01010006</v>
      </c>
      <c r="F28" s="6" t="str">
        <f t="shared" si="1"/>
        <v>0101000601</v>
      </c>
    </row>
    <row r="29" spans="1:6" x14ac:dyDescent="0.3">
      <c r="A29" s="6" t="s">
        <v>29</v>
      </c>
      <c r="B29">
        <v>1000638664</v>
      </c>
      <c r="C29" s="3">
        <v>2</v>
      </c>
      <c r="D29" s="5" t="str">
        <f t="shared" si="4"/>
        <v>02</v>
      </c>
      <c r="E29" t="str">
        <f>VLOOKUP(B29,'HOGARES-BASELINE'!$B:$I,8,FALSE)</f>
        <v>01010006</v>
      </c>
      <c r="F29" s="6" t="str">
        <f t="shared" si="1"/>
        <v>0101000602</v>
      </c>
    </row>
    <row r="30" spans="1:6" x14ac:dyDescent="0.3">
      <c r="A30" s="6" t="s">
        <v>30</v>
      </c>
      <c r="B30">
        <v>1000638664</v>
      </c>
      <c r="C30" s="3">
        <v>3</v>
      </c>
      <c r="D30" s="5" t="str">
        <f t="shared" si="4"/>
        <v>03</v>
      </c>
      <c r="E30" t="str">
        <f>VLOOKUP(B30,'HOGARES-BASELINE'!$B:$I,8,FALSE)</f>
        <v>01010006</v>
      </c>
      <c r="F30" s="6" t="str">
        <f t="shared" si="1"/>
        <v>0101000603</v>
      </c>
    </row>
    <row r="31" spans="1:6" x14ac:dyDescent="0.3">
      <c r="A31" s="6" t="s">
        <v>31</v>
      </c>
      <c r="B31">
        <v>1000643548</v>
      </c>
      <c r="C31" s="3">
        <v>2</v>
      </c>
      <c r="D31" s="5" t="str">
        <f t="shared" si="4"/>
        <v>02</v>
      </c>
      <c r="E31" t="str">
        <f>VLOOKUP(B31,'HOGARES-BASELINE'!$B:$I,8,FALSE)</f>
        <v>01010007</v>
      </c>
      <c r="F31" s="6" t="str">
        <f t="shared" si="1"/>
        <v>0101000702</v>
      </c>
    </row>
    <row r="32" spans="1:6" x14ac:dyDescent="0.3">
      <c r="A32" s="6" t="s">
        <v>32</v>
      </c>
      <c r="B32">
        <v>1000643548</v>
      </c>
      <c r="C32" s="3">
        <v>1</v>
      </c>
      <c r="D32" s="5" t="str">
        <f t="shared" si="4"/>
        <v>01</v>
      </c>
      <c r="E32" t="str">
        <f>VLOOKUP(B32,'HOGARES-BASELINE'!$B:$I,8,FALSE)</f>
        <v>01010007</v>
      </c>
      <c r="F32" s="6" t="str">
        <f t="shared" si="1"/>
        <v>0101000701</v>
      </c>
    </row>
    <row r="33" spans="1:6" x14ac:dyDescent="0.3">
      <c r="A33" s="6" t="s">
        <v>33</v>
      </c>
      <c r="B33">
        <v>1000871711</v>
      </c>
      <c r="C33" s="3">
        <v>2</v>
      </c>
      <c r="D33" s="5" t="str">
        <f t="shared" si="4"/>
        <v>02</v>
      </c>
      <c r="E33" t="str">
        <f>VLOOKUP(B33,'HOGARES-BASELINE'!$B:$I,8,FALSE)</f>
        <v>01010008</v>
      </c>
      <c r="F33" s="6" t="str">
        <f t="shared" si="1"/>
        <v>0101000802</v>
      </c>
    </row>
    <row r="34" spans="1:6" x14ac:dyDescent="0.3">
      <c r="A34" s="6" t="s">
        <v>34</v>
      </c>
      <c r="B34">
        <v>1000871711</v>
      </c>
      <c r="C34" s="3">
        <v>1</v>
      </c>
      <c r="D34" s="5" t="str">
        <f t="shared" si="4"/>
        <v>01</v>
      </c>
      <c r="E34" t="str">
        <f>VLOOKUP(B34,'HOGARES-BASELINE'!$B:$I,8,FALSE)</f>
        <v>01010008</v>
      </c>
      <c r="F34" s="6" t="str">
        <f t="shared" si="1"/>
        <v>0101000801</v>
      </c>
    </row>
    <row r="35" spans="1:6" x14ac:dyDescent="0.3">
      <c r="A35" s="6" t="s">
        <v>35</v>
      </c>
      <c r="B35">
        <v>1000871711</v>
      </c>
      <c r="C35" s="3">
        <v>3</v>
      </c>
      <c r="D35" s="5" t="str">
        <f t="shared" si="4"/>
        <v>03</v>
      </c>
      <c r="E35" t="str">
        <f>VLOOKUP(B35,'HOGARES-BASELINE'!$B:$I,8,FALSE)</f>
        <v>01010008</v>
      </c>
      <c r="F35" s="6" t="str">
        <f t="shared" si="1"/>
        <v>0101000803</v>
      </c>
    </row>
    <row r="36" spans="1:6" x14ac:dyDescent="0.3">
      <c r="A36" s="6" t="s">
        <v>36</v>
      </c>
      <c r="B36">
        <v>1001033236</v>
      </c>
      <c r="C36" s="3">
        <v>3</v>
      </c>
      <c r="D36" s="5" t="str">
        <f t="shared" si="4"/>
        <v>03</v>
      </c>
      <c r="E36" t="str">
        <f>VLOOKUP(B36,'HOGARES-BASELINE'!$B:$I,8,FALSE)</f>
        <v>00010009</v>
      </c>
      <c r="F36" s="6" t="str">
        <f t="shared" si="1"/>
        <v>0001000903</v>
      </c>
    </row>
    <row r="37" spans="1:6" x14ac:dyDescent="0.3">
      <c r="A37" s="6" t="s">
        <v>37</v>
      </c>
      <c r="B37">
        <v>1001033236</v>
      </c>
      <c r="C37" s="3">
        <v>1</v>
      </c>
      <c r="D37" s="5" t="str">
        <f t="shared" si="4"/>
        <v>01</v>
      </c>
      <c r="E37" t="str">
        <f>VLOOKUP(B37,'HOGARES-BASELINE'!$B:$I,8,FALSE)</f>
        <v>00010009</v>
      </c>
      <c r="F37" s="6" t="str">
        <f t="shared" si="1"/>
        <v>0001000901</v>
      </c>
    </row>
    <row r="38" spans="1:6" x14ac:dyDescent="0.3">
      <c r="A38" s="6" t="s">
        <v>38</v>
      </c>
      <c r="B38">
        <v>1001033236</v>
      </c>
      <c r="C38" s="3">
        <v>2</v>
      </c>
      <c r="D38" s="5" t="str">
        <f t="shared" si="4"/>
        <v>02</v>
      </c>
      <c r="E38" t="str">
        <f>VLOOKUP(B38,'HOGARES-BASELINE'!$B:$I,8,FALSE)</f>
        <v>00010009</v>
      </c>
      <c r="F38" s="6" t="str">
        <f t="shared" si="1"/>
        <v>0001000902</v>
      </c>
    </row>
    <row r="39" spans="1:6" x14ac:dyDescent="0.3">
      <c r="A39" s="6" t="s">
        <v>39</v>
      </c>
      <c r="B39">
        <v>1001139233</v>
      </c>
      <c r="C39" s="3">
        <v>2</v>
      </c>
      <c r="D39" s="5" t="str">
        <f t="shared" si="4"/>
        <v>02</v>
      </c>
      <c r="E39" t="str">
        <f>VLOOKUP(B39,'HOGARES-BASELINE'!$B:$I,8,FALSE)</f>
        <v>00010010</v>
      </c>
      <c r="F39" s="6" t="str">
        <f t="shared" si="1"/>
        <v>0001001002</v>
      </c>
    </row>
    <row r="40" spans="1:6" x14ac:dyDescent="0.3">
      <c r="A40" s="6" t="s">
        <v>40</v>
      </c>
      <c r="B40">
        <v>1001139233</v>
      </c>
      <c r="C40" s="3">
        <v>1</v>
      </c>
      <c r="D40" s="5" t="str">
        <f t="shared" si="4"/>
        <v>01</v>
      </c>
      <c r="E40" t="str">
        <f>VLOOKUP(B40,'HOGARES-BASELINE'!$B:$I,8,FALSE)</f>
        <v>00010010</v>
      </c>
      <c r="F40" s="6" t="str">
        <f t="shared" si="1"/>
        <v>0001001001</v>
      </c>
    </row>
    <row r="41" spans="1:6" x14ac:dyDescent="0.3">
      <c r="A41" s="6" t="s">
        <v>41</v>
      </c>
      <c r="B41">
        <v>1001235015</v>
      </c>
      <c r="C41" s="3">
        <v>1</v>
      </c>
      <c r="D41" s="5" t="str">
        <f t="shared" si="4"/>
        <v>01</v>
      </c>
      <c r="E41" t="str">
        <f>VLOOKUP(B41,'HOGARES-BASELINE'!$B:$I,8,FALSE)</f>
        <v>00010011</v>
      </c>
      <c r="F41" s="6" t="str">
        <f t="shared" si="1"/>
        <v>0001001101</v>
      </c>
    </row>
    <row r="42" spans="1:6" x14ac:dyDescent="0.3">
      <c r="A42" s="6" t="s">
        <v>42</v>
      </c>
      <c r="B42">
        <v>1001359510</v>
      </c>
      <c r="C42" s="3">
        <v>4</v>
      </c>
      <c r="D42" s="5" t="str">
        <f t="shared" si="4"/>
        <v>04</v>
      </c>
      <c r="E42" t="str">
        <f>VLOOKUP(B42,'HOGARES-BASELINE'!$B:$I,8,FALSE)</f>
        <v>01010012</v>
      </c>
      <c r="F42" s="6" t="str">
        <f t="shared" si="1"/>
        <v>0101001204</v>
      </c>
    </row>
    <row r="43" spans="1:6" x14ac:dyDescent="0.3">
      <c r="A43" s="6" t="s">
        <v>43</v>
      </c>
      <c r="B43">
        <v>1001359510</v>
      </c>
      <c r="C43" s="3">
        <v>3</v>
      </c>
      <c r="D43" s="5" t="str">
        <f t="shared" si="4"/>
        <v>03</v>
      </c>
      <c r="E43" t="str">
        <f>VLOOKUP(B43,'HOGARES-BASELINE'!$B:$I,8,FALSE)</f>
        <v>01010012</v>
      </c>
      <c r="F43" s="6" t="str">
        <f t="shared" si="1"/>
        <v>0101001203</v>
      </c>
    </row>
    <row r="44" spans="1:6" x14ac:dyDescent="0.3">
      <c r="A44" s="6" t="s">
        <v>44</v>
      </c>
      <c r="B44">
        <v>1001359510</v>
      </c>
      <c r="C44" s="3">
        <v>5</v>
      </c>
      <c r="D44" s="5" t="str">
        <f t="shared" si="4"/>
        <v>05</v>
      </c>
      <c r="E44" t="str">
        <f>VLOOKUP(B44,'HOGARES-BASELINE'!$B:$I,8,FALSE)</f>
        <v>01010012</v>
      </c>
      <c r="F44" s="6" t="str">
        <f t="shared" si="1"/>
        <v>0101001205</v>
      </c>
    </row>
    <row r="45" spans="1:6" x14ac:dyDescent="0.3">
      <c r="A45" s="6" t="s">
        <v>45</v>
      </c>
      <c r="B45">
        <v>1001359510</v>
      </c>
      <c r="C45" s="3">
        <v>2</v>
      </c>
      <c r="D45" s="5" t="str">
        <f t="shared" si="4"/>
        <v>02</v>
      </c>
      <c r="E45" t="str">
        <f>VLOOKUP(B45,'HOGARES-BASELINE'!$B:$I,8,FALSE)</f>
        <v>01010012</v>
      </c>
      <c r="F45" s="6" t="str">
        <f t="shared" si="1"/>
        <v>0101001202</v>
      </c>
    </row>
    <row r="46" spans="1:6" x14ac:dyDescent="0.3">
      <c r="A46" s="6" t="s">
        <v>46</v>
      </c>
      <c r="B46">
        <v>1001359510</v>
      </c>
      <c r="C46" s="3">
        <v>1</v>
      </c>
      <c r="D46" s="5" t="str">
        <f t="shared" si="4"/>
        <v>01</v>
      </c>
      <c r="E46" t="str">
        <f>VLOOKUP(B46,'HOGARES-BASELINE'!$B:$I,8,FALSE)</f>
        <v>01010012</v>
      </c>
      <c r="F46" s="6" t="str">
        <f t="shared" si="1"/>
        <v>0101001201</v>
      </c>
    </row>
    <row r="47" spans="1:6" x14ac:dyDescent="0.3">
      <c r="A47" s="6" t="s">
        <v>47</v>
      </c>
      <c r="B47">
        <v>1001359510</v>
      </c>
      <c r="C47" s="3">
        <v>6</v>
      </c>
      <c r="D47" s="5" t="str">
        <f t="shared" si="4"/>
        <v>06</v>
      </c>
      <c r="E47" t="str">
        <f>VLOOKUP(B47,'HOGARES-BASELINE'!$B:$I,8,FALSE)</f>
        <v>01010012</v>
      </c>
      <c r="F47" s="6" t="str">
        <f t="shared" si="1"/>
        <v>0101001206</v>
      </c>
    </row>
    <row r="48" spans="1:6" x14ac:dyDescent="0.3">
      <c r="A48" s="6" t="s">
        <v>48</v>
      </c>
      <c r="B48">
        <v>1001851457</v>
      </c>
      <c r="C48" s="3">
        <v>4</v>
      </c>
      <c r="D48" s="5" t="str">
        <f t="shared" si="4"/>
        <v>04</v>
      </c>
      <c r="E48" t="str">
        <f>VLOOKUP(B48,'HOGARES-BASELINE'!$B:$I,8,FALSE)</f>
        <v>01030013</v>
      </c>
      <c r="F48" s="6" t="str">
        <f t="shared" si="1"/>
        <v>0103001304</v>
      </c>
    </row>
    <row r="49" spans="1:6" x14ac:dyDescent="0.3">
      <c r="A49" s="6" t="s">
        <v>49</v>
      </c>
      <c r="B49">
        <v>1001851457</v>
      </c>
      <c r="C49" s="3">
        <v>1</v>
      </c>
      <c r="D49" s="5" t="str">
        <f t="shared" si="4"/>
        <v>01</v>
      </c>
      <c r="E49" t="str">
        <f>VLOOKUP(B49,'HOGARES-BASELINE'!$B:$I,8,FALSE)</f>
        <v>01030013</v>
      </c>
      <c r="F49" s="6" t="str">
        <f t="shared" si="1"/>
        <v>0103001301</v>
      </c>
    </row>
    <row r="50" spans="1:6" x14ac:dyDescent="0.3">
      <c r="A50" s="6" t="s">
        <v>50</v>
      </c>
      <c r="B50">
        <v>1001851457</v>
      </c>
      <c r="C50" s="3">
        <v>6</v>
      </c>
      <c r="D50" s="5" t="str">
        <f t="shared" si="4"/>
        <v>06</v>
      </c>
      <c r="E50" t="str">
        <f>VLOOKUP(B50,'HOGARES-BASELINE'!$B:$I,8,FALSE)</f>
        <v>01030013</v>
      </c>
      <c r="F50" s="6" t="str">
        <f t="shared" si="1"/>
        <v>0103001306</v>
      </c>
    </row>
    <row r="51" spans="1:6" x14ac:dyDescent="0.3">
      <c r="A51" s="6" t="s">
        <v>51</v>
      </c>
      <c r="B51">
        <v>1001851457</v>
      </c>
      <c r="C51" s="3">
        <v>3</v>
      </c>
      <c r="D51" s="5" t="str">
        <f t="shared" si="4"/>
        <v>03</v>
      </c>
      <c r="E51" t="str">
        <f>VLOOKUP(B51,'HOGARES-BASELINE'!$B:$I,8,FALSE)</f>
        <v>01030013</v>
      </c>
      <c r="F51" s="6" t="str">
        <f t="shared" si="1"/>
        <v>0103001303</v>
      </c>
    </row>
    <row r="52" spans="1:6" x14ac:dyDescent="0.3">
      <c r="A52" s="6" t="s">
        <v>52</v>
      </c>
      <c r="B52">
        <v>1001851457</v>
      </c>
      <c r="C52" s="3">
        <v>5</v>
      </c>
      <c r="D52" s="5" t="str">
        <f t="shared" si="4"/>
        <v>05</v>
      </c>
      <c r="E52" t="str">
        <f>VLOOKUP(B52,'HOGARES-BASELINE'!$B:$I,8,FALSE)</f>
        <v>01030013</v>
      </c>
      <c r="F52" s="6" t="str">
        <f t="shared" si="1"/>
        <v>0103001305</v>
      </c>
    </row>
    <row r="53" spans="1:6" x14ac:dyDescent="0.3">
      <c r="A53" s="6" t="s">
        <v>53</v>
      </c>
      <c r="B53">
        <v>1001851457</v>
      </c>
      <c r="C53" s="3">
        <v>2</v>
      </c>
      <c r="D53" s="5" t="str">
        <f t="shared" si="4"/>
        <v>02</v>
      </c>
      <c r="E53" t="str">
        <f>VLOOKUP(B53,'HOGARES-BASELINE'!$B:$I,8,FALSE)</f>
        <v>01030013</v>
      </c>
      <c r="F53" s="6" t="str">
        <f t="shared" si="1"/>
        <v>0103001302</v>
      </c>
    </row>
    <row r="54" spans="1:6" x14ac:dyDescent="0.3">
      <c r="A54" s="6" t="s">
        <v>54</v>
      </c>
      <c r="B54">
        <v>1002022185</v>
      </c>
      <c r="C54" s="3">
        <v>4</v>
      </c>
      <c r="D54" s="5" t="str">
        <f t="shared" si="4"/>
        <v>04</v>
      </c>
      <c r="E54" t="str">
        <f>VLOOKUP(B54,'HOGARES-BASELINE'!$B:$I,8,FALSE)</f>
        <v>00030014</v>
      </c>
      <c r="F54" s="6" t="str">
        <f t="shared" si="1"/>
        <v>0003001404</v>
      </c>
    </row>
    <row r="55" spans="1:6" x14ac:dyDescent="0.3">
      <c r="A55" s="6" t="s">
        <v>55</v>
      </c>
      <c r="B55">
        <v>1002022185</v>
      </c>
      <c r="C55" s="3">
        <v>5</v>
      </c>
      <c r="D55" s="5" t="str">
        <f t="shared" si="4"/>
        <v>05</v>
      </c>
      <c r="E55" t="str">
        <f>VLOOKUP(B55,'HOGARES-BASELINE'!$B:$I,8,FALSE)</f>
        <v>00030014</v>
      </c>
      <c r="F55" s="6" t="str">
        <f t="shared" si="1"/>
        <v>0003001405</v>
      </c>
    </row>
    <row r="56" spans="1:6" x14ac:dyDescent="0.3">
      <c r="A56" s="6" t="s">
        <v>56</v>
      </c>
      <c r="B56">
        <v>1002022185</v>
      </c>
      <c r="C56" s="3">
        <v>1</v>
      </c>
      <c r="D56" s="5" t="str">
        <f t="shared" si="4"/>
        <v>01</v>
      </c>
      <c r="E56" t="str">
        <f>VLOOKUP(B56,'HOGARES-BASELINE'!$B:$I,8,FALSE)</f>
        <v>00030014</v>
      </c>
      <c r="F56" s="6" t="str">
        <f t="shared" si="1"/>
        <v>0003001401</v>
      </c>
    </row>
    <row r="57" spans="1:6" x14ac:dyDescent="0.3">
      <c r="A57" s="6" t="s">
        <v>57</v>
      </c>
      <c r="B57">
        <v>1002022185</v>
      </c>
      <c r="C57" s="3">
        <v>3</v>
      </c>
      <c r="D57" s="5" t="str">
        <f t="shared" si="4"/>
        <v>03</v>
      </c>
      <c r="E57" t="str">
        <f>VLOOKUP(B57,'HOGARES-BASELINE'!$B:$I,8,FALSE)</f>
        <v>00030014</v>
      </c>
      <c r="F57" s="6" t="str">
        <f t="shared" si="1"/>
        <v>0003001403</v>
      </c>
    </row>
    <row r="58" spans="1:6" x14ac:dyDescent="0.3">
      <c r="A58" s="6" t="s">
        <v>58</v>
      </c>
      <c r="B58">
        <v>1002022185</v>
      </c>
      <c r="C58" s="3">
        <v>2</v>
      </c>
      <c r="D58" s="5" t="str">
        <f t="shared" si="4"/>
        <v>02</v>
      </c>
      <c r="E58" t="str">
        <f>VLOOKUP(B58,'HOGARES-BASELINE'!$B:$I,8,FALSE)</f>
        <v>00030014</v>
      </c>
      <c r="F58" s="6" t="str">
        <f t="shared" si="1"/>
        <v>0003001402</v>
      </c>
    </row>
    <row r="59" spans="1:6" x14ac:dyDescent="0.3">
      <c r="A59" s="6" t="s">
        <v>59</v>
      </c>
      <c r="B59">
        <v>1002026183</v>
      </c>
      <c r="C59" s="3">
        <v>3</v>
      </c>
      <c r="D59" s="5" t="str">
        <f t="shared" si="4"/>
        <v>03</v>
      </c>
      <c r="E59" t="str">
        <f>VLOOKUP(B59,'HOGARES-BASELINE'!$B:$I,8,FALSE)</f>
        <v>00030015</v>
      </c>
      <c r="F59" s="6" t="str">
        <f t="shared" si="1"/>
        <v>0003001503</v>
      </c>
    </row>
    <row r="60" spans="1:6" x14ac:dyDescent="0.3">
      <c r="A60" s="6" t="s">
        <v>60</v>
      </c>
      <c r="B60">
        <v>1002026183</v>
      </c>
      <c r="C60" s="3">
        <v>4</v>
      </c>
      <c r="D60" s="5" t="str">
        <f t="shared" si="4"/>
        <v>04</v>
      </c>
      <c r="E60" t="str">
        <f>VLOOKUP(B60,'HOGARES-BASELINE'!$B:$I,8,FALSE)</f>
        <v>00030015</v>
      </c>
      <c r="F60" s="6" t="str">
        <f t="shared" si="1"/>
        <v>0003001504</v>
      </c>
    </row>
    <row r="61" spans="1:6" x14ac:dyDescent="0.3">
      <c r="A61" s="6" t="s">
        <v>61</v>
      </c>
      <c r="B61">
        <v>1002026183</v>
      </c>
      <c r="C61" s="3">
        <v>2</v>
      </c>
      <c r="D61" s="5" t="str">
        <f t="shared" si="4"/>
        <v>02</v>
      </c>
      <c r="E61" t="str">
        <f>VLOOKUP(B61,'HOGARES-BASELINE'!$B:$I,8,FALSE)</f>
        <v>00030015</v>
      </c>
      <c r="F61" s="6" t="str">
        <f t="shared" si="1"/>
        <v>0003001502</v>
      </c>
    </row>
    <row r="62" spans="1:6" x14ac:dyDescent="0.3">
      <c r="A62" s="6" t="s">
        <v>62</v>
      </c>
      <c r="B62">
        <v>1002026183</v>
      </c>
      <c r="C62" s="3">
        <v>5</v>
      </c>
      <c r="D62" s="5" t="str">
        <f t="shared" si="4"/>
        <v>05</v>
      </c>
      <c r="E62" t="str">
        <f>VLOOKUP(B62,'HOGARES-BASELINE'!$B:$I,8,FALSE)</f>
        <v>00030015</v>
      </c>
      <c r="F62" s="6" t="str">
        <f t="shared" si="1"/>
        <v>0003001505</v>
      </c>
    </row>
    <row r="63" spans="1:6" x14ac:dyDescent="0.3">
      <c r="A63" s="6" t="s">
        <v>63</v>
      </c>
      <c r="B63">
        <v>1002026183</v>
      </c>
      <c r="C63" s="3">
        <v>6</v>
      </c>
      <c r="D63" s="5" t="str">
        <f t="shared" si="4"/>
        <v>06</v>
      </c>
      <c r="E63" t="str">
        <f>VLOOKUP(B63,'HOGARES-BASELINE'!$B:$I,8,FALSE)</f>
        <v>00030015</v>
      </c>
      <c r="F63" s="6" t="str">
        <f t="shared" si="1"/>
        <v>0003001506</v>
      </c>
    </row>
    <row r="64" spans="1:6" x14ac:dyDescent="0.3">
      <c r="A64" s="6" t="s">
        <v>64</v>
      </c>
      <c r="B64">
        <v>1002026183</v>
      </c>
      <c r="C64" s="3">
        <v>1</v>
      </c>
      <c r="D64" s="5" t="str">
        <f t="shared" si="4"/>
        <v>01</v>
      </c>
      <c r="E64" t="str">
        <f>VLOOKUP(B64,'HOGARES-BASELINE'!$B:$I,8,FALSE)</f>
        <v>00030015</v>
      </c>
      <c r="F64" s="6" t="str">
        <f t="shared" si="1"/>
        <v>0003001501</v>
      </c>
    </row>
    <row r="65" spans="1:6" x14ac:dyDescent="0.3">
      <c r="A65" s="6" t="s">
        <v>65</v>
      </c>
      <c r="B65">
        <v>1002034065</v>
      </c>
      <c r="C65" s="3">
        <v>3</v>
      </c>
      <c r="D65" s="5" t="str">
        <f t="shared" si="4"/>
        <v>03</v>
      </c>
      <c r="E65" t="str">
        <f>VLOOKUP(B65,'HOGARES-BASELINE'!$B:$I,8,FALSE)</f>
        <v>00030016</v>
      </c>
      <c r="F65" s="6" t="str">
        <f t="shared" si="1"/>
        <v>0003001603</v>
      </c>
    </row>
    <row r="66" spans="1:6" x14ac:dyDescent="0.3">
      <c r="A66" s="6" t="s">
        <v>66</v>
      </c>
      <c r="B66">
        <v>1002034065</v>
      </c>
      <c r="C66" s="3">
        <v>1</v>
      </c>
      <c r="D66" s="5" t="str">
        <f t="shared" si="4"/>
        <v>01</v>
      </c>
      <c r="E66" t="str">
        <f>VLOOKUP(B66,'HOGARES-BASELINE'!$B:$I,8,FALSE)</f>
        <v>00030016</v>
      </c>
      <c r="F66" s="6" t="str">
        <f t="shared" si="1"/>
        <v>0003001601</v>
      </c>
    </row>
    <row r="67" spans="1:6" x14ac:dyDescent="0.3">
      <c r="A67" s="6" t="s">
        <v>67</v>
      </c>
      <c r="B67">
        <v>1002034065</v>
      </c>
      <c r="C67" s="3">
        <v>2</v>
      </c>
      <c r="D67" s="5" t="str">
        <f t="shared" si="4"/>
        <v>02</v>
      </c>
      <c r="E67" t="str">
        <f>VLOOKUP(B67,'HOGARES-BASELINE'!$B:$I,8,FALSE)</f>
        <v>00030016</v>
      </c>
      <c r="F67" s="6" t="str">
        <f t="shared" ref="F67:F130" si="5">_xlfn.CONCAT(E67,D67)</f>
        <v>0003001602</v>
      </c>
    </row>
    <row r="68" spans="1:6" x14ac:dyDescent="0.3">
      <c r="A68" s="6" t="s">
        <v>68</v>
      </c>
      <c r="B68">
        <v>1002034065</v>
      </c>
      <c r="C68" s="3">
        <v>4</v>
      </c>
      <c r="D68" s="5" t="str">
        <f t="shared" si="4"/>
        <v>04</v>
      </c>
      <c r="E68" t="str">
        <f>VLOOKUP(B68,'HOGARES-BASELINE'!$B:$I,8,FALSE)</f>
        <v>00030016</v>
      </c>
      <c r="F68" s="6" t="str">
        <f t="shared" si="5"/>
        <v>0003001604</v>
      </c>
    </row>
    <row r="69" spans="1:6" x14ac:dyDescent="0.3">
      <c r="A69" s="6" t="s">
        <v>69</v>
      </c>
      <c r="B69">
        <v>1002130477</v>
      </c>
      <c r="C69" s="3">
        <v>2</v>
      </c>
      <c r="D69" s="5" t="str">
        <f t="shared" si="4"/>
        <v>02</v>
      </c>
      <c r="E69" t="str">
        <f>VLOOKUP(B69,'HOGARES-BASELINE'!$B:$I,8,FALSE)</f>
        <v>01030017</v>
      </c>
      <c r="F69" s="6" t="str">
        <f t="shared" si="5"/>
        <v>0103001702</v>
      </c>
    </row>
    <row r="70" spans="1:6" x14ac:dyDescent="0.3">
      <c r="A70" s="6" t="s">
        <v>70</v>
      </c>
      <c r="B70">
        <v>1002130477</v>
      </c>
      <c r="C70" s="3">
        <v>1</v>
      </c>
      <c r="D70" s="5" t="str">
        <f t="shared" si="4"/>
        <v>01</v>
      </c>
      <c r="E70" t="str">
        <f>VLOOKUP(B70,'HOGARES-BASELINE'!$B:$I,8,FALSE)</f>
        <v>01030017</v>
      </c>
      <c r="F70" s="6" t="str">
        <f t="shared" si="5"/>
        <v>0103001701</v>
      </c>
    </row>
    <row r="71" spans="1:6" x14ac:dyDescent="0.3">
      <c r="A71" s="6" t="s">
        <v>71</v>
      </c>
      <c r="B71">
        <v>1002130477</v>
      </c>
      <c r="C71" s="3">
        <v>4</v>
      </c>
      <c r="D71" s="5" t="str">
        <f t="shared" si="4"/>
        <v>04</v>
      </c>
      <c r="E71" t="str">
        <f>VLOOKUP(B71,'HOGARES-BASELINE'!$B:$I,8,FALSE)</f>
        <v>01030017</v>
      </c>
      <c r="F71" s="6" t="str">
        <f t="shared" si="5"/>
        <v>0103001704</v>
      </c>
    </row>
    <row r="72" spans="1:6" x14ac:dyDescent="0.3">
      <c r="A72" s="6" t="s">
        <v>72</v>
      </c>
      <c r="B72">
        <v>1002130477</v>
      </c>
      <c r="C72" s="3">
        <v>3</v>
      </c>
      <c r="D72" s="5" t="str">
        <f t="shared" si="4"/>
        <v>03</v>
      </c>
      <c r="E72" t="str">
        <f>VLOOKUP(B72,'HOGARES-BASELINE'!$B:$I,8,FALSE)</f>
        <v>01030017</v>
      </c>
      <c r="F72" s="6" t="str">
        <f t="shared" si="5"/>
        <v>0103001703</v>
      </c>
    </row>
    <row r="73" spans="1:6" x14ac:dyDescent="0.3">
      <c r="A73" s="6" t="s">
        <v>73</v>
      </c>
      <c r="B73">
        <v>1002155243</v>
      </c>
      <c r="C73" s="3">
        <v>2</v>
      </c>
      <c r="D73" s="5" t="str">
        <f t="shared" si="4"/>
        <v>02</v>
      </c>
      <c r="E73" t="str">
        <f>VLOOKUP(B73,'HOGARES-BASELINE'!$B:$I,8,FALSE)</f>
        <v>01030018</v>
      </c>
      <c r="F73" s="6" t="str">
        <f t="shared" si="5"/>
        <v>0103001802</v>
      </c>
    </row>
    <row r="74" spans="1:6" x14ac:dyDescent="0.3">
      <c r="A74" s="6" t="s">
        <v>74</v>
      </c>
      <c r="B74">
        <v>1002155243</v>
      </c>
      <c r="C74" s="3">
        <v>1</v>
      </c>
      <c r="D74" s="5" t="str">
        <f t="shared" si="4"/>
        <v>01</v>
      </c>
      <c r="E74" t="str">
        <f>VLOOKUP(B74,'HOGARES-BASELINE'!$B:$I,8,FALSE)</f>
        <v>01030018</v>
      </c>
      <c r="F74" s="6" t="str">
        <f t="shared" si="5"/>
        <v>0103001801</v>
      </c>
    </row>
    <row r="75" spans="1:6" x14ac:dyDescent="0.3">
      <c r="A75" s="6" t="s">
        <v>75</v>
      </c>
      <c r="B75">
        <v>1002163129</v>
      </c>
      <c r="C75" s="3">
        <v>1</v>
      </c>
      <c r="D75" s="5" t="str">
        <f t="shared" si="4"/>
        <v>01</v>
      </c>
      <c r="E75" t="str">
        <f>VLOOKUP(B75,'HOGARES-BASELINE'!$B:$I,8,FALSE)</f>
        <v>00030019</v>
      </c>
      <c r="F75" s="6" t="str">
        <f t="shared" si="5"/>
        <v>0003001901</v>
      </c>
    </row>
    <row r="76" spans="1:6" x14ac:dyDescent="0.3">
      <c r="A76" s="6" t="s">
        <v>76</v>
      </c>
      <c r="B76">
        <v>1002793265</v>
      </c>
      <c r="C76" s="3">
        <v>4</v>
      </c>
      <c r="D76" s="5" t="str">
        <f t="shared" si="4"/>
        <v>04</v>
      </c>
      <c r="E76" t="str">
        <f>VLOOKUP(B76,'HOGARES-BASELINE'!$B:$I,8,FALSE)</f>
        <v>01020020</v>
      </c>
      <c r="F76" s="6" t="str">
        <f t="shared" si="5"/>
        <v>0102002004</v>
      </c>
    </row>
    <row r="77" spans="1:6" x14ac:dyDescent="0.3">
      <c r="A77" s="6" t="s">
        <v>77</v>
      </c>
      <c r="B77">
        <v>1002793265</v>
      </c>
      <c r="C77" s="3">
        <v>6</v>
      </c>
      <c r="D77" s="5" t="str">
        <f t="shared" si="4"/>
        <v>06</v>
      </c>
      <c r="E77" t="str">
        <f>VLOOKUP(B77,'HOGARES-BASELINE'!$B:$I,8,FALSE)</f>
        <v>01020020</v>
      </c>
      <c r="F77" s="6" t="str">
        <f t="shared" si="5"/>
        <v>0102002006</v>
      </c>
    </row>
    <row r="78" spans="1:6" x14ac:dyDescent="0.3">
      <c r="A78" s="6" t="s">
        <v>78</v>
      </c>
      <c r="B78">
        <v>1002793265</v>
      </c>
      <c r="C78" s="3">
        <v>7</v>
      </c>
      <c r="D78" s="5" t="str">
        <f t="shared" si="4"/>
        <v>07</v>
      </c>
      <c r="E78" t="str">
        <f>VLOOKUP(B78,'HOGARES-BASELINE'!$B:$I,8,FALSE)</f>
        <v>01020020</v>
      </c>
      <c r="F78" s="6" t="str">
        <f t="shared" si="5"/>
        <v>0102002007</v>
      </c>
    </row>
    <row r="79" spans="1:6" x14ac:dyDescent="0.3">
      <c r="A79" s="6" t="s">
        <v>79</v>
      </c>
      <c r="B79">
        <v>1002793265</v>
      </c>
      <c r="C79" s="3">
        <v>3</v>
      </c>
      <c r="D79" s="5" t="str">
        <f t="shared" si="4"/>
        <v>03</v>
      </c>
      <c r="E79" t="str">
        <f>VLOOKUP(B79,'HOGARES-BASELINE'!$B:$I,8,FALSE)</f>
        <v>01020020</v>
      </c>
      <c r="F79" s="6" t="str">
        <f t="shared" si="5"/>
        <v>0102002003</v>
      </c>
    </row>
    <row r="80" spans="1:6" x14ac:dyDescent="0.3">
      <c r="A80" s="6" t="s">
        <v>80</v>
      </c>
      <c r="B80">
        <v>1002793265</v>
      </c>
      <c r="C80" s="3">
        <v>2</v>
      </c>
      <c r="D80" s="5" t="str">
        <f t="shared" si="4"/>
        <v>02</v>
      </c>
      <c r="E80" t="str">
        <f>VLOOKUP(B80,'HOGARES-BASELINE'!$B:$I,8,FALSE)</f>
        <v>01020020</v>
      </c>
      <c r="F80" s="6" t="str">
        <f t="shared" si="5"/>
        <v>0102002002</v>
      </c>
    </row>
    <row r="81" spans="1:6" x14ac:dyDescent="0.3">
      <c r="A81" s="6" t="s">
        <v>81</v>
      </c>
      <c r="B81">
        <v>1002793265</v>
      </c>
      <c r="C81" s="3">
        <v>5</v>
      </c>
      <c r="D81" s="5" t="str">
        <f t="shared" si="4"/>
        <v>05</v>
      </c>
      <c r="E81" t="str">
        <f>VLOOKUP(B81,'HOGARES-BASELINE'!$B:$I,8,FALSE)</f>
        <v>01020020</v>
      </c>
      <c r="F81" s="6" t="str">
        <f t="shared" si="5"/>
        <v>0102002005</v>
      </c>
    </row>
    <row r="82" spans="1:6" x14ac:dyDescent="0.3">
      <c r="A82" s="6" t="s">
        <v>82</v>
      </c>
      <c r="B82">
        <v>1002793265</v>
      </c>
      <c r="C82" s="3">
        <v>1</v>
      </c>
      <c r="D82" s="5" t="str">
        <f t="shared" si="4"/>
        <v>01</v>
      </c>
      <c r="E82" t="str">
        <f>VLOOKUP(B82,'HOGARES-BASELINE'!$B:$I,8,FALSE)</f>
        <v>01020020</v>
      </c>
      <c r="F82" s="6" t="str">
        <f t="shared" si="5"/>
        <v>0102002001</v>
      </c>
    </row>
    <row r="83" spans="1:6" x14ac:dyDescent="0.3">
      <c r="A83" s="6" t="s">
        <v>83</v>
      </c>
      <c r="B83">
        <v>100306195</v>
      </c>
      <c r="C83" s="3">
        <v>4</v>
      </c>
      <c r="D83" s="5" t="str">
        <f t="shared" si="4"/>
        <v>04</v>
      </c>
      <c r="E83" t="str">
        <f>VLOOKUP(B83,'HOGARES-BASELINE'!$B:$I,8,FALSE)</f>
        <v>00010021</v>
      </c>
      <c r="F83" s="6" t="str">
        <f t="shared" si="5"/>
        <v>0001002104</v>
      </c>
    </row>
    <row r="84" spans="1:6" x14ac:dyDescent="0.3">
      <c r="A84" s="6" t="s">
        <v>84</v>
      </c>
      <c r="B84">
        <v>100306195</v>
      </c>
      <c r="C84" s="3">
        <v>2</v>
      </c>
      <c r="D84" s="5" t="str">
        <f t="shared" si="4"/>
        <v>02</v>
      </c>
      <c r="E84" t="str">
        <f>VLOOKUP(B84,'HOGARES-BASELINE'!$B:$I,8,FALSE)</f>
        <v>00010021</v>
      </c>
      <c r="F84" s="6" t="str">
        <f t="shared" si="5"/>
        <v>0001002102</v>
      </c>
    </row>
    <row r="85" spans="1:6" x14ac:dyDescent="0.3">
      <c r="A85" s="6" t="s">
        <v>85</v>
      </c>
      <c r="B85">
        <v>100306195</v>
      </c>
      <c r="C85" s="3">
        <v>1</v>
      </c>
      <c r="D85" s="5" t="str">
        <f t="shared" si="4"/>
        <v>01</v>
      </c>
      <c r="E85" t="str">
        <f>VLOOKUP(B85,'HOGARES-BASELINE'!$B:$I,8,FALSE)</f>
        <v>00010021</v>
      </c>
      <c r="F85" s="6" t="str">
        <f t="shared" si="5"/>
        <v>0001002101</v>
      </c>
    </row>
    <row r="86" spans="1:6" x14ac:dyDescent="0.3">
      <c r="A86" s="6" t="s">
        <v>86</v>
      </c>
      <c r="B86">
        <v>100306195</v>
      </c>
      <c r="C86" s="3">
        <v>3</v>
      </c>
      <c r="D86" s="5" t="str">
        <f t="shared" si="4"/>
        <v>03</v>
      </c>
      <c r="E86" t="str">
        <f>VLOOKUP(B86,'HOGARES-BASELINE'!$B:$I,8,FALSE)</f>
        <v>00010021</v>
      </c>
      <c r="F86" s="6" t="str">
        <f t="shared" si="5"/>
        <v>0001002103</v>
      </c>
    </row>
    <row r="87" spans="1:6" x14ac:dyDescent="0.3">
      <c r="A87" s="6" t="s">
        <v>87</v>
      </c>
      <c r="B87">
        <v>1005706694</v>
      </c>
      <c r="C87" s="3">
        <v>2</v>
      </c>
      <c r="D87" s="5" t="str">
        <f t="shared" ref="D87:D150" si="6">_xlfn.CONCAT(0,C87)</f>
        <v>02</v>
      </c>
      <c r="E87" t="str">
        <f>VLOOKUP(B87,'HOGARES-BASELINE'!$B:$I,8,FALSE)</f>
        <v>00020022</v>
      </c>
      <c r="F87" s="6" t="str">
        <f t="shared" si="5"/>
        <v>0002002202</v>
      </c>
    </row>
    <row r="88" spans="1:6" x14ac:dyDescent="0.3">
      <c r="A88" s="6" t="s">
        <v>88</v>
      </c>
      <c r="B88">
        <v>1005706694</v>
      </c>
      <c r="C88" s="3">
        <v>4</v>
      </c>
      <c r="D88" s="5" t="str">
        <f t="shared" si="6"/>
        <v>04</v>
      </c>
      <c r="E88" t="str">
        <f>VLOOKUP(B88,'HOGARES-BASELINE'!$B:$I,8,FALSE)</f>
        <v>00020022</v>
      </c>
      <c r="F88" s="6" t="str">
        <f t="shared" si="5"/>
        <v>0002002204</v>
      </c>
    </row>
    <row r="89" spans="1:6" x14ac:dyDescent="0.3">
      <c r="A89" s="6" t="s">
        <v>89</v>
      </c>
      <c r="B89">
        <v>1005706694</v>
      </c>
      <c r="C89" s="3">
        <v>3</v>
      </c>
      <c r="D89" s="5" t="str">
        <f t="shared" si="6"/>
        <v>03</v>
      </c>
      <c r="E89" t="str">
        <f>VLOOKUP(B89,'HOGARES-BASELINE'!$B:$I,8,FALSE)</f>
        <v>00020022</v>
      </c>
      <c r="F89" s="6" t="str">
        <f t="shared" si="5"/>
        <v>0002002203</v>
      </c>
    </row>
    <row r="90" spans="1:6" x14ac:dyDescent="0.3">
      <c r="A90" s="6" t="s">
        <v>90</v>
      </c>
      <c r="B90">
        <v>1005706694</v>
      </c>
      <c r="C90" s="3">
        <v>1</v>
      </c>
      <c r="D90" s="5" t="str">
        <f t="shared" si="6"/>
        <v>01</v>
      </c>
      <c r="E90" t="str">
        <f>VLOOKUP(B90,'HOGARES-BASELINE'!$B:$I,8,FALSE)</f>
        <v>00020022</v>
      </c>
      <c r="F90" s="6" t="str">
        <f t="shared" si="5"/>
        <v>0002002201</v>
      </c>
    </row>
    <row r="91" spans="1:6" x14ac:dyDescent="0.3">
      <c r="A91" s="6" t="s">
        <v>91</v>
      </c>
      <c r="B91">
        <v>1005873832</v>
      </c>
      <c r="C91" s="3">
        <v>2</v>
      </c>
      <c r="D91" s="5" t="str">
        <f t="shared" si="6"/>
        <v>02</v>
      </c>
      <c r="E91" t="str">
        <f>VLOOKUP(B91,'HOGARES-BASELINE'!$B:$I,8,FALSE)</f>
        <v>01020023</v>
      </c>
      <c r="F91" s="6" t="str">
        <f t="shared" si="5"/>
        <v>0102002302</v>
      </c>
    </row>
    <row r="92" spans="1:6" x14ac:dyDescent="0.3">
      <c r="A92" s="6" t="s">
        <v>92</v>
      </c>
      <c r="B92">
        <v>1005873832</v>
      </c>
      <c r="C92" s="3">
        <v>1</v>
      </c>
      <c r="D92" s="5" t="str">
        <f t="shared" si="6"/>
        <v>01</v>
      </c>
      <c r="E92" t="str">
        <f>VLOOKUP(B92,'HOGARES-BASELINE'!$B:$I,8,FALSE)</f>
        <v>01020023</v>
      </c>
      <c r="F92" s="6" t="str">
        <f t="shared" si="5"/>
        <v>0102002301</v>
      </c>
    </row>
    <row r="93" spans="1:6" x14ac:dyDescent="0.3">
      <c r="A93" s="6" t="s">
        <v>93</v>
      </c>
      <c r="B93">
        <v>1005934818</v>
      </c>
      <c r="C93" s="3">
        <v>3</v>
      </c>
      <c r="D93" s="5" t="str">
        <f t="shared" si="6"/>
        <v>03</v>
      </c>
      <c r="E93" t="str">
        <f>VLOOKUP(B93,'HOGARES-BASELINE'!$B:$I,8,FALSE)</f>
        <v>00020024</v>
      </c>
      <c r="F93" s="6" t="str">
        <f t="shared" si="5"/>
        <v>0002002403</v>
      </c>
    </row>
    <row r="94" spans="1:6" x14ac:dyDescent="0.3">
      <c r="A94" s="6" t="s">
        <v>94</v>
      </c>
      <c r="B94">
        <v>1005934818</v>
      </c>
      <c r="C94" s="3">
        <v>1</v>
      </c>
      <c r="D94" s="5" t="str">
        <f t="shared" si="6"/>
        <v>01</v>
      </c>
      <c r="E94" t="str">
        <f>VLOOKUP(B94,'HOGARES-BASELINE'!$B:$I,8,FALSE)</f>
        <v>00020024</v>
      </c>
      <c r="F94" s="6" t="str">
        <f t="shared" si="5"/>
        <v>0002002401</v>
      </c>
    </row>
    <row r="95" spans="1:6" x14ac:dyDescent="0.3">
      <c r="A95" s="6" t="s">
        <v>95</v>
      </c>
      <c r="B95">
        <v>1005934818</v>
      </c>
      <c r="C95" s="3">
        <v>4</v>
      </c>
      <c r="D95" s="5" t="str">
        <f t="shared" si="6"/>
        <v>04</v>
      </c>
      <c r="E95" t="str">
        <f>VLOOKUP(B95,'HOGARES-BASELINE'!$B:$I,8,FALSE)</f>
        <v>00020024</v>
      </c>
      <c r="F95" s="6" t="str">
        <f t="shared" si="5"/>
        <v>0002002404</v>
      </c>
    </row>
    <row r="96" spans="1:6" x14ac:dyDescent="0.3">
      <c r="A96" s="6" t="s">
        <v>96</v>
      </c>
      <c r="B96">
        <v>1005934818</v>
      </c>
      <c r="C96" s="3">
        <v>2</v>
      </c>
      <c r="D96" s="5" t="str">
        <f t="shared" si="6"/>
        <v>02</v>
      </c>
      <c r="E96" t="str">
        <f>VLOOKUP(B96,'HOGARES-BASELINE'!$B:$I,8,FALSE)</f>
        <v>00020024</v>
      </c>
      <c r="F96" s="6" t="str">
        <f t="shared" si="5"/>
        <v>0002002402</v>
      </c>
    </row>
    <row r="97" spans="1:6" x14ac:dyDescent="0.3">
      <c r="A97" s="6" t="s">
        <v>97</v>
      </c>
      <c r="B97">
        <v>1006233749</v>
      </c>
      <c r="C97" s="3">
        <v>1</v>
      </c>
      <c r="D97" s="5" t="str">
        <f t="shared" si="6"/>
        <v>01</v>
      </c>
      <c r="E97" t="str">
        <f>VLOOKUP(B97,'HOGARES-BASELINE'!$B:$I,8,FALSE)</f>
        <v>01020025</v>
      </c>
      <c r="F97" s="6" t="str">
        <f t="shared" si="5"/>
        <v>0102002501</v>
      </c>
    </row>
    <row r="98" spans="1:6" x14ac:dyDescent="0.3">
      <c r="A98" s="6" t="s">
        <v>98</v>
      </c>
      <c r="B98">
        <v>1006233749</v>
      </c>
      <c r="C98" s="3">
        <v>2</v>
      </c>
      <c r="D98" s="5" t="str">
        <f t="shared" si="6"/>
        <v>02</v>
      </c>
      <c r="E98" t="str">
        <f>VLOOKUP(B98,'HOGARES-BASELINE'!$B:$I,8,FALSE)</f>
        <v>01020025</v>
      </c>
      <c r="F98" s="6" t="str">
        <f t="shared" si="5"/>
        <v>0102002502</v>
      </c>
    </row>
    <row r="99" spans="1:6" x14ac:dyDescent="0.3">
      <c r="A99" s="6" t="s">
        <v>99</v>
      </c>
      <c r="B99">
        <v>10068285</v>
      </c>
      <c r="C99" s="3">
        <v>1</v>
      </c>
      <c r="D99" s="5" t="str">
        <f t="shared" si="6"/>
        <v>01</v>
      </c>
      <c r="E99" t="str">
        <f>VLOOKUP(B99,'HOGARES-BASELINE'!$B:$I,8,FALSE)</f>
        <v>00020026</v>
      </c>
      <c r="F99" s="6" t="str">
        <f t="shared" si="5"/>
        <v>0002002601</v>
      </c>
    </row>
    <row r="100" spans="1:6" x14ac:dyDescent="0.3">
      <c r="A100" s="6" t="s">
        <v>100</v>
      </c>
      <c r="B100">
        <v>10068285</v>
      </c>
      <c r="C100" s="3">
        <v>2</v>
      </c>
      <c r="D100" s="5" t="str">
        <f t="shared" si="6"/>
        <v>02</v>
      </c>
      <c r="E100" t="str">
        <f>VLOOKUP(B100,'HOGARES-BASELINE'!$B:$I,8,FALSE)</f>
        <v>00020026</v>
      </c>
      <c r="F100" s="6" t="str">
        <f t="shared" si="5"/>
        <v>0002002602</v>
      </c>
    </row>
    <row r="101" spans="1:6" x14ac:dyDescent="0.3">
      <c r="A101" s="6" t="s">
        <v>101</v>
      </c>
      <c r="B101">
        <v>1007132436</v>
      </c>
      <c r="C101" s="3">
        <v>1</v>
      </c>
      <c r="D101" s="5" t="str">
        <f t="shared" si="6"/>
        <v>01</v>
      </c>
      <c r="E101" t="str">
        <f>VLOOKUP(B101,'HOGARES-BASELINE'!$B:$I,8,FALSE)</f>
        <v>01030027</v>
      </c>
      <c r="F101" s="6" t="str">
        <f t="shared" si="5"/>
        <v>0103002701</v>
      </c>
    </row>
    <row r="102" spans="1:6" x14ac:dyDescent="0.3">
      <c r="A102" s="6" t="s">
        <v>102</v>
      </c>
      <c r="B102">
        <v>1007132436</v>
      </c>
      <c r="C102" s="3">
        <v>2</v>
      </c>
      <c r="D102" s="5" t="str">
        <f t="shared" si="6"/>
        <v>02</v>
      </c>
      <c r="E102" t="str">
        <f>VLOOKUP(B102,'HOGARES-BASELINE'!$B:$I,8,FALSE)</f>
        <v>01030027</v>
      </c>
      <c r="F102" s="6" t="str">
        <f t="shared" si="5"/>
        <v>0103002702</v>
      </c>
    </row>
    <row r="103" spans="1:6" x14ac:dyDescent="0.3">
      <c r="A103" s="6" t="s">
        <v>103</v>
      </c>
      <c r="B103">
        <v>1007132436</v>
      </c>
      <c r="C103" s="3">
        <v>4</v>
      </c>
      <c r="D103" s="5" t="str">
        <f t="shared" si="6"/>
        <v>04</v>
      </c>
      <c r="E103" t="str">
        <f>VLOOKUP(B103,'HOGARES-BASELINE'!$B:$I,8,FALSE)</f>
        <v>01030027</v>
      </c>
      <c r="F103" s="6" t="str">
        <f t="shared" si="5"/>
        <v>0103002704</v>
      </c>
    </row>
    <row r="104" spans="1:6" x14ac:dyDescent="0.3">
      <c r="A104" s="6" t="s">
        <v>104</v>
      </c>
      <c r="B104">
        <v>1007132436</v>
      </c>
      <c r="C104" s="3">
        <v>5</v>
      </c>
      <c r="D104" s="5" t="str">
        <f t="shared" si="6"/>
        <v>05</v>
      </c>
      <c r="E104" t="str">
        <f>VLOOKUP(B104,'HOGARES-BASELINE'!$B:$I,8,FALSE)</f>
        <v>01030027</v>
      </c>
      <c r="F104" s="6" t="str">
        <f t="shared" si="5"/>
        <v>0103002705</v>
      </c>
    </row>
    <row r="105" spans="1:6" x14ac:dyDescent="0.3">
      <c r="A105" s="6" t="s">
        <v>105</v>
      </c>
      <c r="B105">
        <v>1007132436</v>
      </c>
      <c r="C105" s="3">
        <v>3</v>
      </c>
      <c r="D105" s="5" t="str">
        <f t="shared" si="6"/>
        <v>03</v>
      </c>
      <c r="E105" t="str">
        <f>VLOOKUP(B105,'HOGARES-BASELINE'!$B:$I,8,FALSE)</f>
        <v>01030027</v>
      </c>
      <c r="F105" s="6" t="str">
        <f t="shared" si="5"/>
        <v>0103002703</v>
      </c>
    </row>
    <row r="106" spans="1:6" x14ac:dyDescent="0.3">
      <c r="A106" s="6" t="s">
        <v>106</v>
      </c>
      <c r="B106">
        <v>1007175950</v>
      </c>
      <c r="C106" s="3">
        <v>2</v>
      </c>
      <c r="D106" s="5" t="str">
        <f t="shared" si="6"/>
        <v>02</v>
      </c>
      <c r="E106" t="str">
        <f>VLOOKUP(B106,'HOGARES-BASELINE'!$B:$I,8,FALSE)</f>
        <v>01030028</v>
      </c>
      <c r="F106" s="6" t="str">
        <f t="shared" si="5"/>
        <v>0103002802</v>
      </c>
    </row>
    <row r="107" spans="1:6" x14ac:dyDescent="0.3">
      <c r="A107" s="6" t="s">
        <v>107</v>
      </c>
      <c r="B107">
        <v>1007175950</v>
      </c>
      <c r="C107" s="3">
        <v>3</v>
      </c>
      <c r="D107" s="5" t="str">
        <f t="shared" si="6"/>
        <v>03</v>
      </c>
      <c r="E107" t="str">
        <f>VLOOKUP(B107,'HOGARES-BASELINE'!$B:$I,8,FALSE)</f>
        <v>01030028</v>
      </c>
      <c r="F107" s="6" t="str">
        <f t="shared" si="5"/>
        <v>0103002803</v>
      </c>
    </row>
    <row r="108" spans="1:6" x14ac:dyDescent="0.3">
      <c r="A108" s="6" t="s">
        <v>108</v>
      </c>
      <c r="B108">
        <v>1007175950</v>
      </c>
      <c r="C108" s="3">
        <v>1</v>
      </c>
      <c r="D108" s="5" t="str">
        <f t="shared" si="6"/>
        <v>01</v>
      </c>
      <c r="E108" t="str">
        <f>VLOOKUP(B108,'HOGARES-BASELINE'!$B:$I,8,FALSE)</f>
        <v>01030028</v>
      </c>
      <c r="F108" s="6" t="str">
        <f t="shared" si="5"/>
        <v>0103002801</v>
      </c>
    </row>
    <row r="109" spans="1:6" x14ac:dyDescent="0.3">
      <c r="A109" s="6" t="s">
        <v>109</v>
      </c>
      <c r="B109">
        <v>1007175950</v>
      </c>
      <c r="C109" s="3">
        <v>4</v>
      </c>
      <c r="D109" s="5" t="str">
        <f t="shared" si="6"/>
        <v>04</v>
      </c>
      <c r="E109" t="str">
        <f>VLOOKUP(B109,'HOGARES-BASELINE'!$B:$I,8,FALSE)</f>
        <v>01030028</v>
      </c>
      <c r="F109" s="6" t="str">
        <f t="shared" si="5"/>
        <v>0103002804</v>
      </c>
    </row>
    <row r="110" spans="1:6" x14ac:dyDescent="0.3">
      <c r="A110" s="6" t="s">
        <v>110</v>
      </c>
      <c r="B110">
        <v>1007908804</v>
      </c>
      <c r="C110" s="3">
        <v>1</v>
      </c>
      <c r="D110" s="5" t="str">
        <f t="shared" si="6"/>
        <v>01</v>
      </c>
      <c r="E110" t="str">
        <f>VLOOKUP(B110,'HOGARES-BASELINE'!$B:$I,8,FALSE)</f>
        <v>00030029</v>
      </c>
      <c r="F110" s="6" t="str">
        <f t="shared" si="5"/>
        <v>0003002901</v>
      </c>
    </row>
    <row r="111" spans="1:6" x14ac:dyDescent="0.3">
      <c r="A111" s="6" t="s">
        <v>111</v>
      </c>
      <c r="B111">
        <v>1010032037</v>
      </c>
      <c r="C111" s="3">
        <v>2</v>
      </c>
      <c r="D111" s="5" t="str">
        <f t="shared" si="6"/>
        <v>02</v>
      </c>
      <c r="E111" t="str">
        <f>VLOOKUP(B111,'HOGARES-BASELINE'!$B:$I,8,FALSE)</f>
        <v>01010030</v>
      </c>
      <c r="F111" s="6" t="str">
        <f t="shared" si="5"/>
        <v>0101003002</v>
      </c>
    </row>
    <row r="112" spans="1:6" x14ac:dyDescent="0.3">
      <c r="A112" s="6" t="s">
        <v>112</v>
      </c>
      <c r="B112">
        <v>1010032037</v>
      </c>
      <c r="C112" s="3">
        <v>1</v>
      </c>
      <c r="D112" s="5" t="str">
        <f t="shared" si="6"/>
        <v>01</v>
      </c>
      <c r="E112" t="str">
        <f>VLOOKUP(B112,'HOGARES-BASELINE'!$B:$I,8,FALSE)</f>
        <v>01010030</v>
      </c>
      <c r="F112" s="6" t="str">
        <f t="shared" si="5"/>
        <v>0101003001</v>
      </c>
    </row>
    <row r="113" spans="1:6" x14ac:dyDescent="0.3">
      <c r="A113" s="6" t="s">
        <v>113</v>
      </c>
      <c r="B113">
        <v>1010032037</v>
      </c>
      <c r="C113" s="3">
        <v>4</v>
      </c>
      <c r="D113" s="5" t="str">
        <f t="shared" si="6"/>
        <v>04</v>
      </c>
      <c r="E113" t="str">
        <f>VLOOKUP(B113,'HOGARES-BASELINE'!$B:$I,8,FALSE)</f>
        <v>01010030</v>
      </c>
      <c r="F113" s="6" t="str">
        <f t="shared" si="5"/>
        <v>0101003004</v>
      </c>
    </row>
    <row r="114" spans="1:6" x14ac:dyDescent="0.3">
      <c r="A114" s="6" t="s">
        <v>114</v>
      </c>
      <c r="B114">
        <v>1010032037</v>
      </c>
      <c r="C114" s="3">
        <v>3</v>
      </c>
      <c r="D114" s="5" t="str">
        <f t="shared" si="6"/>
        <v>03</v>
      </c>
      <c r="E114" t="str">
        <f>VLOOKUP(B114,'HOGARES-BASELINE'!$B:$I,8,FALSE)</f>
        <v>01010030</v>
      </c>
      <c r="F114" s="6" t="str">
        <f t="shared" si="5"/>
        <v>0101003003</v>
      </c>
    </row>
    <row r="115" spans="1:6" x14ac:dyDescent="0.3">
      <c r="A115" s="6" t="s">
        <v>115</v>
      </c>
      <c r="B115">
        <v>1010119253</v>
      </c>
      <c r="C115" s="3">
        <v>2</v>
      </c>
      <c r="D115" s="5" t="str">
        <f t="shared" si="6"/>
        <v>02</v>
      </c>
      <c r="E115" t="str">
        <f>VLOOKUP(B115,'HOGARES-BASELINE'!$B:$I,8,FALSE)</f>
        <v>01030031</v>
      </c>
      <c r="F115" s="6" t="str">
        <f t="shared" si="5"/>
        <v>0103003102</v>
      </c>
    </row>
    <row r="116" spans="1:6" x14ac:dyDescent="0.3">
      <c r="A116" s="6" t="s">
        <v>116</v>
      </c>
      <c r="B116">
        <v>1010119253</v>
      </c>
      <c r="C116" s="3">
        <v>1</v>
      </c>
      <c r="D116" s="5" t="str">
        <f t="shared" si="6"/>
        <v>01</v>
      </c>
      <c r="E116" t="str">
        <f>VLOOKUP(B116,'HOGARES-BASELINE'!$B:$I,8,FALSE)</f>
        <v>01030031</v>
      </c>
      <c r="F116" s="6" t="str">
        <f t="shared" si="5"/>
        <v>0103003101</v>
      </c>
    </row>
    <row r="117" spans="1:6" x14ac:dyDescent="0.3">
      <c r="A117" s="6" t="s">
        <v>117</v>
      </c>
      <c r="B117">
        <v>1010119253</v>
      </c>
      <c r="C117" s="3">
        <v>3</v>
      </c>
      <c r="D117" s="5" t="str">
        <f t="shared" si="6"/>
        <v>03</v>
      </c>
      <c r="E117" t="str">
        <f>VLOOKUP(B117,'HOGARES-BASELINE'!$B:$I,8,FALSE)</f>
        <v>01030031</v>
      </c>
      <c r="F117" s="6" t="str">
        <f t="shared" si="5"/>
        <v>0103003103</v>
      </c>
    </row>
    <row r="118" spans="1:6" x14ac:dyDescent="0.3">
      <c r="A118" s="6" t="s">
        <v>118</v>
      </c>
      <c r="B118">
        <v>1010119253</v>
      </c>
      <c r="C118" s="3">
        <v>4</v>
      </c>
      <c r="D118" s="5" t="str">
        <f t="shared" si="6"/>
        <v>04</v>
      </c>
      <c r="E118" t="str">
        <f>VLOOKUP(B118,'HOGARES-BASELINE'!$B:$I,8,FALSE)</f>
        <v>01030031</v>
      </c>
      <c r="F118" s="6" t="str">
        <f t="shared" si="5"/>
        <v>0103003104</v>
      </c>
    </row>
    <row r="119" spans="1:6" x14ac:dyDescent="0.3">
      <c r="A119" s="6" t="s">
        <v>119</v>
      </c>
      <c r="B119">
        <v>10122125</v>
      </c>
      <c r="C119" s="3">
        <v>3</v>
      </c>
      <c r="D119" s="5" t="str">
        <f t="shared" si="6"/>
        <v>03</v>
      </c>
      <c r="E119" t="str">
        <f>VLOOKUP(B119,'HOGARES-BASELINE'!$B:$I,8,FALSE)</f>
        <v>01030032</v>
      </c>
      <c r="F119" s="6" t="str">
        <f t="shared" si="5"/>
        <v>0103003203</v>
      </c>
    </row>
    <row r="120" spans="1:6" x14ac:dyDescent="0.3">
      <c r="A120" s="6" t="s">
        <v>120</v>
      </c>
      <c r="B120">
        <v>10122125</v>
      </c>
      <c r="C120" s="3">
        <v>1</v>
      </c>
      <c r="D120" s="5" t="str">
        <f t="shared" si="6"/>
        <v>01</v>
      </c>
      <c r="E120" t="str">
        <f>VLOOKUP(B120,'HOGARES-BASELINE'!$B:$I,8,FALSE)</f>
        <v>01030032</v>
      </c>
      <c r="F120" s="6" t="str">
        <f t="shared" si="5"/>
        <v>0103003201</v>
      </c>
    </row>
    <row r="121" spans="1:6" x14ac:dyDescent="0.3">
      <c r="A121" s="6" t="s">
        <v>121</v>
      </c>
      <c r="B121">
        <v>10122125</v>
      </c>
      <c r="C121" s="3">
        <v>4</v>
      </c>
      <c r="D121" s="5" t="str">
        <f t="shared" si="6"/>
        <v>04</v>
      </c>
      <c r="E121" t="str">
        <f>VLOOKUP(B121,'HOGARES-BASELINE'!$B:$I,8,FALSE)</f>
        <v>01030032</v>
      </c>
      <c r="F121" s="6" t="str">
        <f t="shared" si="5"/>
        <v>0103003204</v>
      </c>
    </row>
    <row r="122" spans="1:6" x14ac:dyDescent="0.3">
      <c r="A122" s="6" t="s">
        <v>122</v>
      </c>
      <c r="B122">
        <v>10122125</v>
      </c>
      <c r="C122" s="3">
        <v>2</v>
      </c>
      <c r="D122" s="5" t="str">
        <f t="shared" si="6"/>
        <v>02</v>
      </c>
      <c r="E122" t="str">
        <f>VLOOKUP(B122,'HOGARES-BASELINE'!$B:$I,8,FALSE)</f>
        <v>01030032</v>
      </c>
      <c r="F122" s="6" t="str">
        <f t="shared" si="5"/>
        <v>0103003202</v>
      </c>
    </row>
    <row r="123" spans="1:6" x14ac:dyDescent="0.3">
      <c r="A123" s="6" t="s">
        <v>123</v>
      </c>
      <c r="B123">
        <v>1015186975</v>
      </c>
      <c r="C123" s="3">
        <v>1</v>
      </c>
      <c r="D123" s="5" t="str">
        <f t="shared" si="6"/>
        <v>01</v>
      </c>
      <c r="E123" t="str">
        <f>VLOOKUP(B123,'HOGARES-BASELINE'!$B:$I,8,FALSE)</f>
        <v>01010033</v>
      </c>
      <c r="F123" s="6" t="str">
        <f t="shared" si="5"/>
        <v>0101003301</v>
      </c>
    </row>
    <row r="124" spans="1:6" x14ac:dyDescent="0.3">
      <c r="A124" s="6" t="s">
        <v>124</v>
      </c>
      <c r="B124">
        <v>1015186975</v>
      </c>
      <c r="C124" s="3">
        <v>2</v>
      </c>
      <c r="D124" s="5" t="str">
        <f t="shared" si="6"/>
        <v>02</v>
      </c>
      <c r="E124" t="str">
        <f>VLOOKUP(B124,'HOGARES-BASELINE'!$B:$I,8,FALSE)</f>
        <v>01010033</v>
      </c>
      <c r="F124" s="6" t="str">
        <f t="shared" si="5"/>
        <v>0101003302</v>
      </c>
    </row>
    <row r="125" spans="1:6" x14ac:dyDescent="0.3">
      <c r="A125" s="6" t="s">
        <v>125</v>
      </c>
      <c r="B125">
        <v>1015186975</v>
      </c>
      <c r="C125" s="3">
        <v>3</v>
      </c>
      <c r="D125" s="5" t="str">
        <f t="shared" si="6"/>
        <v>03</v>
      </c>
      <c r="E125" t="str">
        <f>VLOOKUP(B125,'HOGARES-BASELINE'!$B:$I,8,FALSE)</f>
        <v>01010033</v>
      </c>
      <c r="F125" s="6" t="str">
        <f t="shared" si="5"/>
        <v>0101003303</v>
      </c>
    </row>
    <row r="126" spans="1:6" x14ac:dyDescent="0.3">
      <c r="A126" s="6" t="s">
        <v>126</v>
      </c>
      <c r="B126">
        <v>1015193737</v>
      </c>
      <c r="C126" s="3">
        <v>3</v>
      </c>
      <c r="D126" s="5" t="str">
        <f t="shared" si="6"/>
        <v>03</v>
      </c>
      <c r="E126" t="str">
        <f>VLOOKUP(B126,'HOGARES-BASELINE'!$B:$I,8,FALSE)</f>
        <v>00010034</v>
      </c>
      <c r="F126" s="6" t="str">
        <f t="shared" si="5"/>
        <v>0001003403</v>
      </c>
    </row>
    <row r="127" spans="1:6" x14ac:dyDescent="0.3">
      <c r="A127" s="6" t="s">
        <v>127</v>
      </c>
      <c r="B127">
        <v>1015193737</v>
      </c>
      <c r="C127" s="3">
        <v>6</v>
      </c>
      <c r="D127" s="5" t="str">
        <f t="shared" si="6"/>
        <v>06</v>
      </c>
      <c r="E127" t="str">
        <f>VLOOKUP(B127,'HOGARES-BASELINE'!$B:$I,8,FALSE)</f>
        <v>00010034</v>
      </c>
      <c r="F127" s="6" t="str">
        <f t="shared" si="5"/>
        <v>0001003406</v>
      </c>
    </row>
    <row r="128" spans="1:6" x14ac:dyDescent="0.3">
      <c r="A128" s="6" t="s">
        <v>128</v>
      </c>
      <c r="B128">
        <v>1015193737</v>
      </c>
      <c r="C128" s="3">
        <v>1</v>
      </c>
      <c r="D128" s="5" t="str">
        <f t="shared" si="6"/>
        <v>01</v>
      </c>
      <c r="E128" t="str">
        <f>VLOOKUP(B128,'HOGARES-BASELINE'!$B:$I,8,FALSE)</f>
        <v>00010034</v>
      </c>
      <c r="F128" s="6" t="str">
        <f t="shared" si="5"/>
        <v>0001003401</v>
      </c>
    </row>
    <row r="129" spans="1:6" x14ac:dyDescent="0.3">
      <c r="A129" s="6" t="s">
        <v>129</v>
      </c>
      <c r="B129">
        <v>1015193737</v>
      </c>
      <c r="C129" s="3">
        <v>2</v>
      </c>
      <c r="D129" s="5" t="str">
        <f t="shared" si="6"/>
        <v>02</v>
      </c>
      <c r="E129" t="str">
        <f>VLOOKUP(B129,'HOGARES-BASELINE'!$B:$I,8,FALSE)</f>
        <v>00010034</v>
      </c>
      <c r="F129" s="6" t="str">
        <f t="shared" si="5"/>
        <v>0001003402</v>
      </c>
    </row>
    <row r="130" spans="1:6" x14ac:dyDescent="0.3">
      <c r="A130" s="6" t="s">
        <v>130</v>
      </c>
      <c r="B130">
        <v>1015193737</v>
      </c>
      <c r="C130" s="3">
        <v>4</v>
      </c>
      <c r="D130" s="5" t="str">
        <f t="shared" si="6"/>
        <v>04</v>
      </c>
      <c r="E130" t="str">
        <f>VLOOKUP(B130,'HOGARES-BASELINE'!$B:$I,8,FALSE)</f>
        <v>00010034</v>
      </c>
      <c r="F130" s="6" t="str">
        <f t="shared" si="5"/>
        <v>0001003404</v>
      </c>
    </row>
    <row r="131" spans="1:6" x14ac:dyDescent="0.3">
      <c r="A131" s="6" t="s">
        <v>131</v>
      </c>
      <c r="B131">
        <v>1015193737</v>
      </c>
      <c r="C131" s="3">
        <v>5</v>
      </c>
      <c r="D131" s="5" t="str">
        <f t="shared" si="6"/>
        <v>05</v>
      </c>
      <c r="E131" t="str">
        <f>VLOOKUP(B131,'HOGARES-BASELINE'!$B:$I,8,FALSE)</f>
        <v>00010034</v>
      </c>
      <c r="F131" s="6" t="str">
        <f t="shared" ref="F131:F194" si="7">_xlfn.CONCAT(E131,D131)</f>
        <v>0001003405</v>
      </c>
    </row>
    <row r="132" spans="1:6" x14ac:dyDescent="0.3">
      <c r="A132" s="6" t="s">
        <v>132</v>
      </c>
      <c r="B132">
        <v>1017135726</v>
      </c>
      <c r="C132" s="3">
        <v>2</v>
      </c>
      <c r="D132" s="5" t="str">
        <f t="shared" si="6"/>
        <v>02</v>
      </c>
      <c r="E132" t="str">
        <f>VLOOKUP(B132,'HOGARES-BASELINE'!$B:$I,8,FALSE)</f>
        <v>01010035</v>
      </c>
      <c r="F132" s="6" t="str">
        <f t="shared" si="7"/>
        <v>0101003502</v>
      </c>
    </row>
    <row r="133" spans="1:6" x14ac:dyDescent="0.3">
      <c r="A133" s="6" t="s">
        <v>133</v>
      </c>
      <c r="B133">
        <v>1017135726</v>
      </c>
      <c r="C133" s="3">
        <v>1</v>
      </c>
      <c r="D133" s="5" t="str">
        <f t="shared" si="6"/>
        <v>01</v>
      </c>
      <c r="E133" t="str">
        <f>VLOOKUP(B133,'HOGARES-BASELINE'!$B:$I,8,FALSE)</f>
        <v>01010035</v>
      </c>
      <c r="F133" s="6" t="str">
        <f t="shared" si="7"/>
        <v>0101003501</v>
      </c>
    </row>
    <row r="134" spans="1:6" x14ac:dyDescent="0.3">
      <c r="A134" s="6" t="s">
        <v>134</v>
      </c>
      <c r="B134">
        <v>1017135726</v>
      </c>
      <c r="C134" s="3">
        <v>3</v>
      </c>
      <c r="D134" s="5" t="str">
        <f t="shared" si="6"/>
        <v>03</v>
      </c>
      <c r="E134" t="str">
        <f>VLOOKUP(B134,'HOGARES-BASELINE'!$B:$I,8,FALSE)</f>
        <v>01010035</v>
      </c>
      <c r="F134" s="6" t="str">
        <f t="shared" si="7"/>
        <v>0101003503</v>
      </c>
    </row>
    <row r="135" spans="1:6" x14ac:dyDescent="0.3">
      <c r="A135" s="6" t="s">
        <v>135</v>
      </c>
      <c r="B135">
        <v>1017152403</v>
      </c>
      <c r="C135" s="3">
        <v>1</v>
      </c>
      <c r="D135" s="5" t="str">
        <f t="shared" si="6"/>
        <v>01</v>
      </c>
      <c r="E135" t="str">
        <f>VLOOKUP(B135,'HOGARES-BASELINE'!$B:$I,8,FALSE)</f>
        <v>01010036</v>
      </c>
      <c r="F135" s="6" t="str">
        <f t="shared" si="7"/>
        <v>0101003601</v>
      </c>
    </row>
    <row r="136" spans="1:6" x14ac:dyDescent="0.3">
      <c r="A136" s="6" t="s">
        <v>136</v>
      </c>
      <c r="B136">
        <v>1017154497</v>
      </c>
      <c r="C136" s="3">
        <v>3</v>
      </c>
      <c r="D136" s="5" t="str">
        <f t="shared" si="6"/>
        <v>03</v>
      </c>
      <c r="E136" t="str">
        <f>VLOOKUP(B136,'HOGARES-BASELINE'!$B:$I,8,FALSE)</f>
        <v>00010037</v>
      </c>
      <c r="F136" s="6" t="str">
        <f t="shared" si="7"/>
        <v>0001003703</v>
      </c>
    </row>
    <row r="137" spans="1:6" x14ac:dyDescent="0.3">
      <c r="A137" s="6" t="s">
        <v>137</v>
      </c>
      <c r="B137">
        <v>1017154497</v>
      </c>
      <c r="C137" s="3">
        <v>2</v>
      </c>
      <c r="D137" s="5" t="str">
        <f t="shared" si="6"/>
        <v>02</v>
      </c>
      <c r="E137" t="str">
        <f>VLOOKUP(B137,'HOGARES-BASELINE'!$B:$I,8,FALSE)</f>
        <v>00010037</v>
      </c>
      <c r="F137" s="6" t="str">
        <f t="shared" si="7"/>
        <v>0001003702</v>
      </c>
    </row>
    <row r="138" spans="1:6" x14ac:dyDescent="0.3">
      <c r="A138" s="6" t="s">
        <v>138</v>
      </c>
      <c r="B138">
        <v>1017154497</v>
      </c>
      <c r="C138" s="3">
        <v>1</v>
      </c>
      <c r="D138" s="5" t="str">
        <f t="shared" si="6"/>
        <v>01</v>
      </c>
      <c r="E138" t="str">
        <f>VLOOKUP(B138,'HOGARES-BASELINE'!$B:$I,8,FALSE)</f>
        <v>00010037</v>
      </c>
      <c r="F138" s="6" t="str">
        <f t="shared" si="7"/>
        <v>0001003701</v>
      </c>
    </row>
    <row r="139" spans="1:6" x14ac:dyDescent="0.3">
      <c r="A139" s="6" t="s">
        <v>139</v>
      </c>
      <c r="B139">
        <v>1017179652</v>
      </c>
      <c r="C139" s="3">
        <v>2</v>
      </c>
      <c r="D139" s="5" t="str">
        <f t="shared" si="6"/>
        <v>02</v>
      </c>
      <c r="E139" t="str">
        <f>VLOOKUP(B139,'HOGARES-BASELINE'!$B:$I,8,FALSE)</f>
        <v>01010038</v>
      </c>
      <c r="F139" s="6" t="str">
        <f t="shared" si="7"/>
        <v>0101003802</v>
      </c>
    </row>
    <row r="140" spans="1:6" x14ac:dyDescent="0.3">
      <c r="A140" s="6" t="s">
        <v>140</v>
      </c>
      <c r="B140">
        <v>1017179652</v>
      </c>
      <c r="C140" s="3">
        <v>3</v>
      </c>
      <c r="D140" s="5" t="str">
        <f t="shared" si="6"/>
        <v>03</v>
      </c>
      <c r="E140" t="str">
        <f>VLOOKUP(B140,'HOGARES-BASELINE'!$B:$I,8,FALSE)</f>
        <v>01010038</v>
      </c>
      <c r="F140" s="6" t="str">
        <f t="shared" si="7"/>
        <v>0101003803</v>
      </c>
    </row>
    <row r="141" spans="1:6" x14ac:dyDescent="0.3">
      <c r="A141" s="6" t="s">
        <v>141</v>
      </c>
      <c r="B141">
        <v>1017179652</v>
      </c>
      <c r="C141" s="3">
        <v>1</v>
      </c>
      <c r="D141" s="5" t="str">
        <f t="shared" si="6"/>
        <v>01</v>
      </c>
      <c r="E141" t="str">
        <f>VLOOKUP(B141,'HOGARES-BASELINE'!$B:$I,8,FALSE)</f>
        <v>01010038</v>
      </c>
      <c r="F141" s="6" t="str">
        <f t="shared" si="7"/>
        <v>0101003801</v>
      </c>
    </row>
    <row r="142" spans="1:6" x14ac:dyDescent="0.3">
      <c r="A142" s="6" t="s">
        <v>142</v>
      </c>
      <c r="B142">
        <v>1017179652</v>
      </c>
      <c r="C142" s="3">
        <v>4</v>
      </c>
      <c r="D142" s="5" t="str">
        <f t="shared" si="6"/>
        <v>04</v>
      </c>
      <c r="E142" t="str">
        <f>VLOOKUP(B142,'HOGARES-BASELINE'!$B:$I,8,FALSE)</f>
        <v>01010038</v>
      </c>
      <c r="F142" s="6" t="str">
        <f t="shared" si="7"/>
        <v>0101003804</v>
      </c>
    </row>
    <row r="143" spans="1:6" x14ac:dyDescent="0.3">
      <c r="A143" s="6" t="s">
        <v>143</v>
      </c>
      <c r="B143">
        <v>1017179966</v>
      </c>
      <c r="C143" s="3">
        <v>4</v>
      </c>
      <c r="D143" s="5" t="str">
        <f t="shared" si="6"/>
        <v>04</v>
      </c>
      <c r="E143" t="str">
        <f>VLOOKUP(B143,'HOGARES-BASELINE'!$B:$I,8,FALSE)</f>
        <v>01010039</v>
      </c>
      <c r="F143" s="6" t="str">
        <f t="shared" si="7"/>
        <v>0101003904</v>
      </c>
    </row>
    <row r="144" spans="1:6" x14ac:dyDescent="0.3">
      <c r="A144" s="6" t="s">
        <v>144</v>
      </c>
      <c r="B144">
        <v>1017179966</v>
      </c>
      <c r="C144" s="3">
        <v>3</v>
      </c>
      <c r="D144" s="5" t="str">
        <f t="shared" si="6"/>
        <v>03</v>
      </c>
      <c r="E144" t="str">
        <f>VLOOKUP(B144,'HOGARES-BASELINE'!$B:$I,8,FALSE)</f>
        <v>01010039</v>
      </c>
      <c r="F144" s="6" t="str">
        <f t="shared" si="7"/>
        <v>0101003903</v>
      </c>
    </row>
    <row r="145" spans="1:6" x14ac:dyDescent="0.3">
      <c r="A145" s="6" t="s">
        <v>145</v>
      </c>
      <c r="B145">
        <v>1017179966</v>
      </c>
      <c r="C145" s="3">
        <v>1</v>
      </c>
      <c r="D145" s="5" t="str">
        <f t="shared" si="6"/>
        <v>01</v>
      </c>
      <c r="E145" t="str">
        <f>VLOOKUP(B145,'HOGARES-BASELINE'!$B:$I,8,FALSE)</f>
        <v>01010039</v>
      </c>
      <c r="F145" s="6" t="str">
        <f t="shared" si="7"/>
        <v>0101003901</v>
      </c>
    </row>
    <row r="146" spans="1:6" x14ac:dyDescent="0.3">
      <c r="A146" s="6" t="s">
        <v>146</v>
      </c>
      <c r="B146">
        <v>1017179966</v>
      </c>
      <c r="C146" s="3">
        <v>2</v>
      </c>
      <c r="D146" s="5" t="str">
        <f t="shared" si="6"/>
        <v>02</v>
      </c>
      <c r="E146" t="str">
        <f>VLOOKUP(B146,'HOGARES-BASELINE'!$B:$I,8,FALSE)</f>
        <v>01010039</v>
      </c>
      <c r="F146" s="6" t="str">
        <f t="shared" si="7"/>
        <v>0101003902</v>
      </c>
    </row>
    <row r="147" spans="1:6" x14ac:dyDescent="0.3">
      <c r="A147" s="6" t="s">
        <v>147</v>
      </c>
      <c r="B147">
        <v>1017190314</v>
      </c>
      <c r="C147" s="3">
        <v>2</v>
      </c>
      <c r="D147" s="5" t="str">
        <f t="shared" si="6"/>
        <v>02</v>
      </c>
      <c r="E147" t="str">
        <f>VLOOKUP(B147,'HOGARES-BASELINE'!$B:$I,8,FALSE)</f>
        <v>01010040</v>
      </c>
      <c r="F147" s="6" t="str">
        <f t="shared" si="7"/>
        <v>0101004002</v>
      </c>
    </row>
    <row r="148" spans="1:6" x14ac:dyDescent="0.3">
      <c r="A148" s="6" t="s">
        <v>148</v>
      </c>
      <c r="B148">
        <v>1017190314</v>
      </c>
      <c r="C148" s="3">
        <v>1</v>
      </c>
      <c r="D148" s="5" t="str">
        <f t="shared" si="6"/>
        <v>01</v>
      </c>
      <c r="E148" t="str">
        <f>VLOOKUP(B148,'HOGARES-BASELINE'!$B:$I,8,FALSE)</f>
        <v>01010040</v>
      </c>
      <c r="F148" s="6" t="str">
        <f t="shared" si="7"/>
        <v>0101004001</v>
      </c>
    </row>
    <row r="149" spans="1:6" x14ac:dyDescent="0.3">
      <c r="A149" s="6" t="s">
        <v>149</v>
      </c>
      <c r="B149">
        <v>1017190314</v>
      </c>
      <c r="C149" s="3">
        <v>3</v>
      </c>
      <c r="D149" s="5" t="str">
        <f t="shared" si="6"/>
        <v>03</v>
      </c>
      <c r="E149" t="str">
        <f>VLOOKUP(B149,'HOGARES-BASELINE'!$B:$I,8,FALSE)</f>
        <v>01010040</v>
      </c>
      <c r="F149" s="6" t="str">
        <f t="shared" si="7"/>
        <v>0101004003</v>
      </c>
    </row>
    <row r="150" spans="1:6" x14ac:dyDescent="0.3">
      <c r="A150" s="6" t="s">
        <v>150</v>
      </c>
      <c r="B150">
        <v>1017192472</v>
      </c>
      <c r="C150" s="3">
        <v>1</v>
      </c>
      <c r="D150" s="5" t="str">
        <f t="shared" si="6"/>
        <v>01</v>
      </c>
      <c r="E150" t="str">
        <f>VLOOKUP(B150,'HOGARES-BASELINE'!$B:$I,8,FALSE)</f>
        <v>01010041</v>
      </c>
      <c r="F150" s="6" t="str">
        <f t="shared" si="7"/>
        <v>0101004101</v>
      </c>
    </row>
    <row r="151" spans="1:6" x14ac:dyDescent="0.3">
      <c r="A151" s="6" t="s">
        <v>151</v>
      </c>
      <c r="B151">
        <v>1017192472</v>
      </c>
      <c r="C151" s="3">
        <v>3</v>
      </c>
      <c r="D151" s="5" t="str">
        <f t="shared" ref="D151:D176" si="8">_xlfn.CONCAT(0,C151)</f>
        <v>03</v>
      </c>
      <c r="E151" t="str">
        <f>VLOOKUP(B151,'HOGARES-BASELINE'!$B:$I,8,FALSE)</f>
        <v>01010041</v>
      </c>
      <c r="F151" s="6" t="str">
        <f t="shared" si="7"/>
        <v>0101004103</v>
      </c>
    </row>
    <row r="152" spans="1:6" x14ac:dyDescent="0.3">
      <c r="A152" s="6" t="s">
        <v>152</v>
      </c>
      <c r="B152">
        <v>1017192472</v>
      </c>
      <c r="C152" s="3">
        <v>6</v>
      </c>
      <c r="D152" s="5" t="str">
        <f t="shared" si="8"/>
        <v>06</v>
      </c>
      <c r="E152" t="str">
        <f>VLOOKUP(B152,'HOGARES-BASELINE'!$B:$I,8,FALSE)</f>
        <v>01010041</v>
      </c>
      <c r="F152" s="6" t="str">
        <f t="shared" si="7"/>
        <v>0101004106</v>
      </c>
    </row>
    <row r="153" spans="1:6" x14ac:dyDescent="0.3">
      <c r="A153" s="6" t="s">
        <v>153</v>
      </c>
      <c r="B153">
        <v>1017192472</v>
      </c>
      <c r="C153" s="3">
        <v>2</v>
      </c>
      <c r="D153" s="5" t="str">
        <f t="shared" si="8"/>
        <v>02</v>
      </c>
      <c r="E153" t="str">
        <f>VLOOKUP(B153,'HOGARES-BASELINE'!$B:$I,8,FALSE)</f>
        <v>01010041</v>
      </c>
      <c r="F153" s="6" t="str">
        <f t="shared" si="7"/>
        <v>0101004102</v>
      </c>
    </row>
    <row r="154" spans="1:6" x14ac:dyDescent="0.3">
      <c r="A154" s="6" t="s">
        <v>154</v>
      </c>
      <c r="B154">
        <v>1017192472</v>
      </c>
      <c r="C154" s="3">
        <v>7</v>
      </c>
      <c r="D154" s="5" t="str">
        <f t="shared" si="8"/>
        <v>07</v>
      </c>
      <c r="E154" t="str">
        <f>VLOOKUP(B154,'HOGARES-BASELINE'!$B:$I,8,FALSE)</f>
        <v>01010041</v>
      </c>
      <c r="F154" s="6" t="str">
        <f t="shared" si="7"/>
        <v>0101004107</v>
      </c>
    </row>
    <row r="155" spans="1:6" x14ac:dyDescent="0.3">
      <c r="A155" s="6" t="s">
        <v>155</v>
      </c>
      <c r="B155">
        <v>1017192472</v>
      </c>
      <c r="C155" s="3">
        <v>5</v>
      </c>
      <c r="D155" s="5" t="str">
        <f t="shared" si="8"/>
        <v>05</v>
      </c>
      <c r="E155" t="str">
        <f>VLOOKUP(B155,'HOGARES-BASELINE'!$B:$I,8,FALSE)</f>
        <v>01010041</v>
      </c>
      <c r="F155" s="6" t="str">
        <f t="shared" si="7"/>
        <v>0101004105</v>
      </c>
    </row>
    <row r="156" spans="1:6" x14ac:dyDescent="0.3">
      <c r="A156" s="6" t="s">
        <v>156</v>
      </c>
      <c r="B156">
        <v>1017192472</v>
      </c>
      <c r="C156" s="3">
        <v>4</v>
      </c>
      <c r="D156" s="5" t="str">
        <f t="shared" si="8"/>
        <v>04</v>
      </c>
      <c r="E156" t="str">
        <f>VLOOKUP(B156,'HOGARES-BASELINE'!$B:$I,8,FALSE)</f>
        <v>01010041</v>
      </c>
      <c r="F156" s="6" t="str">
        <f t="shared" si="7"/>
        <v>0101004104</v>
      </c>
    </row>
    <row r="157" spans="1:6" x14ac:dyDescent="0.3">
      <c r="A157" s="6" t="s">
        <v>157</v>
      </c>
      <c r="B157">
        <v>1017206637</v>
      </c>
      <c r="C157" s="3">
        <v>2</v>
      </c>
      <c r="D157" s="5" t="str">
        <f t="shared" si="8"/>
        <v>02</v>
      </c>
      <c r="E157" t="str">
        <f>VLOOKUP(B157,'HOGARES-BASELINE'!$B:$I,8,FALSE)</f>
        <v>01010042</v>
      </c>
      <c r="F157" s="6" t="str">
        <f t="shared" si="7"/>
        <v>0101004202</v>
      </c>
    </row>
    <row r="158" spans="1:6" x14ac:dyDescent="0.3">
      <c r="A158" s="6" t="s">
        <v>158</v>
      </c>
      <c r="B158">
        <v>1017206637</v>
      </c>
      <c r="C158" s="3">
        <v>1</v>
      </c>
      <c r="D158" s="5" t="str">
        <f t="shared" si="8"/>
        <v>01</v>
      </c>
      <c r="E158" t="str">
        <f>VLOOKUP(B158,'HOGARES-BASELINE'!$B:$I,8,FALSE)</f>
        <v>01010042</v>
      </c>
      <c r="F158" s="6" t="str">
        <f t="shared" si="7"/>
        <v>0101004201</v>
      </c>
    </row>
    <row r="159" spans="1:6" x14ac:dyDescent="0.3">
      <c r="A159" s="6" t="s">
        <v>159</v>
      </c>
      <c r="B159">
        <v>1017206637</v>
      </c>
      <c r="C159" s="3">
        <v>3</v>
      </c>
      <c r="D159" s="5" t="str">
        <f t="shared" si="8"/>
        <v>03</v>
      </c>
      <c r="E159" t="str">
        <f>VLOOKUP(B159,'HOGARES-BASELINE'!$B:$I,8,FALSE)</f>
        <v>01010042</v>
      </c>
      <c r="F159" s="6" t="str">
        <f t="shared" si="7"/>
        <v>0101004203</v>
      </c>
    </row>
    <row r="160" spans="1:6" x14ac:dyDescent="0.3">
      <c r="A160" s="6" t="s">
        <v>160</v>
      </c>
      <c r="B160">
        <v>1017212544</v>
      </c>
      <c r="C160" s="3">
        <v>3</v>
      </c>
      <c r="D160" s="5" t="str">
        <f t="shared" si="8"/>
        <v>03</v>
      </c>
      <c r="E160" t="str">
        <f>VLOOKUP(B160,'HOGARES-BASELINE'!$B:$I,8,FALSE)</f>
        <v>01010043</v>
      </c>
      <c r="F160" s="6" t="str">
        <f t="shared" si="7"/>
        <v>0101004303</v>
      </c>
    </row>
    <row r="161" spans="1:6" x14ac:dyDescent="0.3">
      <c r="A161" s="6" t="s">
        <v>161</v>
      </c>
      <c r="B161">
        <v>1017212544</v>
      </c>
      <c r="C161" s="3">
        <v>2</v>
      </c>
      <c r="D161" s="5" t="str">
        <f t="shared" si="8"/>
        <v>02</v>
      </c>
      <c r="E161" t="str">
        <f>VLOOKUP(B161,'HOGARES-BASELINE'!$B:$I,8,FALSE)</f>
        <v>01010043</v>
      </c>
      <c r="F161" s="6" t="str">
        <f t="shared" si="7"/>
        <v>0101004302</v>
      </c>
    </row>
    <row r="162" spans="1:6" x14ac:dyDescent="0.3">
      <c r="A162" s="6" t="s">
        <v>162</v>
      </c>
      <c r="B162">
        <v>1017212544</v>
      </c>
      <c r="C162" s="3">
        <v>1</v>
      </c>
      <c r="D162" s="5" t="str">
        <f t="shared" si="8"/>
        <v>01</v>
      </c>
      <c r="E162" t="str">
        <f>VLOOKUP(B162,'HOGARES-BASELINE'!$B:$I,8,FALSE)</f>
        <v>01010043</v>
      </c>
      <c r="F162" s="6" t="str">
        <f t="shared" si="7"/>
        <v>0101004301</v>
      </c>
    </row>
    <row r="163" spans="1:6" x14ac:dyDescent="0.3">
      <c r="A163" s="6" t="s">
        <v>163</v>
      </c>
      <c r="B163">
        <v>1017212544</v>
      </c>
      <c r="C163" s="3">
        <v>6</v>
      </c>
      <c r="D163" s="5" t="str">
        <f t="shared" si="8"/>
        <v>06</v>
      </c>
      <c r="E163" t="str">
        <f>VLOOKUP(B163,'HOGARES-BASELINE'!$B:$I,8,FALSE)</f>
        <v>01010043</v>
      </c>
      <c r="F163" s="6" t="str">
        <f t="shared" si="7"/>
        <v>0101004306</v>
      </c>
    </row>
    <row r="164" spans="1:6" x14ac:dyDescent="0.3">
      <c r="A164" s="6" t="s">
        <v>164</v>
      </c>
      <c r="B164">
        <v>1017212544</v>
      </c>
      <c r="C164" s="3">
        <v>4</v>
      </c>
      <c r="D164" s="5" t="str">
        <f t="shared" si="8"/>
        <v>04</v>
      </c>
      <c r="E164" t="str">
        <f>VLOOKUP(B164,'HOGARES-BASELINE'!$B:$I,8,FALSE)</f>
        <v>01010043</v>
      </c>
      <c r="F164" s="6" t="str">
        <f t="shared" si="7"/>
        <v>0101004304</v>
      </c>
    </row>
    <row r="165" spans="1:6" x14ac:dyDescent="0.3">
      <c r="A165" s="6" t="s">
        <v>165</v>
      </c>
      <c r="B165">
        <v>1017212544</v>
      </c>
      <c r="C165" s="3">
        <v>5</v>
      </c>
      <c r="D165" s="5" t="str">
        <f t="shared" si="8"/>
        <v>05</v>
      </c>
      <c r="E165" t="str">
        <f>VLOOKUP(B165,'HOGARES-BASELINE'!$B:$I,8,FALSE)</f>
        <v>01010043</v>
      </c>
      <c r="F165" s="6" t="str">
        <f t="shared" si="7"/>
        <v>0101004305</v>
      </c>
    </row>
    <row r="166" spans="1:6" x14ac:dyDescent="0.3">
      <c r="A166" s="6" t="s">
        <v>166</v>
      </c>
      <c r="B166">
        <v>1017216558</v>
      </c>
      <c r="C166" s="3">
        <v>1</v>
      </c>
      <c r="D166" s="5" t="str">
        <f t="shared" si="8"/>
        <v>01</v>
      </c>
      <c r="E166" t="str">
        <f>VLOOKUP(B166,'HOGARES-BASELINE'!$B:$I,8,FALSE)</f>
        <v>01010044</v>
      </c>
      <c r="F166" s="6" t="str">
        <f t="shared" si="7"/>
        <v>0101004401</v>
      </c>
    </row>
    <row r="167" spans="1:6" x14ac:dyDescent="0.3">
      <c r="A167" s="6" t="s">
        <v>167</v>
      </c>
      <c r="B167">
        <v>1017216558</v>
      </c>
      <c r="C167" s="3">
        <v>2</v>
      </c>
      <c r="D167" s="5" t="str">
        <f t="shared" si="8"/>
        <v>02</v>
      </c>
      <c r="E167" t="str">
        <f>VLOOKUP(B167,'HOGARES-BASELINE'!$B:$I,8,FALSE)</f>
        <v>01010044</v>
      </c>
      <c r="F167" s="6" t="str">
        <f t="shared" si="7"/>
        <v>0101004402</v>
      </c>
    </row>
    <row r="168" spans="1:6" x14ac:dyDescent="0.3">
      <c r="A168" s="6" t="s">
        <v>168</v>
      </c>
      <c r="B168">
        <v>1017233148</v>
      </c>
      <c r="C168" s="3">
        <v>1</v>
      </c>
      <c r="D168" s="5" t="str">
        <f t="shared" si="8"/>
        <v>01</v>
      </c>
      <c r="E168" t="str">
        <f>VLOOKUP(B168,'HOGARES-BASELINE'!$B:$I,8,FALSE)</f>
        <v>01010045</v>
      </c>
      <c r="F168" s="6" t="str">
        <f t="shared" si="7"/>
        <v>0101004501</v>
      </c>
    </row>
    <row r="169" spans="1:6" x14ac:dyDescent="0.3">
      <c r="A169" s="6" t="s">
        <v>169</v>
      </c>
      <c r="B169">
        <v>1017233148</v>
      </c>
      <c r="C169" s="3">
        <v>2</v>
      </c>
      <c r="D169" s="5" t="str">
        <f t="shared" si="8"/>
        <v>02</v>
      </c>
      <c r="E169" t="str">
        <f>VLOOKUP(B169,'HOGARES-BASELINE'!$B:$I,8,FALSE)</f>
        <v>01010045</v>
      </c>
      <c r="F169" s="6" t="str">
        <f t="shared" si="7"/>
        <v>0101004502</v>
      </c>
    </row>
    <row r="170" spans="1:6" x14ac:dyDescent="0.3">
      <c r="A170" s="6" t="s">
        <v>170</v>
      </c>
      <c r="B170">
        <v>1017239115</v>
      </c>
      <c r="C170" s="3">
        <v>1</v>
      </c>
      <c r="D170" s="5" t="str">
        <f t="shared" si="8"/>
        <v>01</v>
      </c>
      <c r="E170" t="str">
        <f>VLOOKUP(B170,'HOGARES-BASELINE'!$B:$I,8,FALSE)</f>
        <v>01010046</v>
      </c>
      <c r="F170" s="6" t="str">
        <f t="shared" si="7"/>
        <v>0101004601</v>
      </c>
    </row>
    <row r="171" spans="1:6" x14ac:dyDescent="0.3">
      <c r="A171" s="6" t="s">
        <v>171</v>
      </c>
      <c r="B171">
        <v>1017247299</v>
      </c>
      <c r="C171" s="3">
        <v>5</v>
      </c>
      <c r="D171" s="5" t="str">
        <f t="shared" si="8"/>
        <v>05</v>
      </c>
      <c r="E171" t="str">
        <f>VLOOKUP(B171,'HOGARES-BASELINE'!$B:$I,8,FALSE)</f>
        <v>01010047</v>
      </c>
      <c r="F171" s="6" t="str">
        <f t="shared" si="7"/>
        <v>0101004705</v>
      </c>
    </row>
    <row r="172" spans="1:6" x14ac:dyDescent="0.3">
      <c r="A172" s="6" t="s">
        <v>172</v>
      </c>
      <c r="B172">
        <v>1017247299</v>
      </c>
      <c r="C172" s="3">
        <v>9</v>
      </c>
      <c r="D172" s="5" t="str">
        <f t="shared" si="8"/>
        <v>09</v>
      </c>
      <c r="E172" t="str">
        <f>VLOOKUP(B172,'HOGARES-BASELINE'!$B:$I,8,FALSE)</f>
        <v>01010047</v>
      </c>
      <c r="F172" s="6" t="str">
        <f t="shared" si="7"/>
        <v>0101004709</v>
      </c>
    </row>
    <row r="173" spans="1:6" x14ac:dyDescent="0.3">
      <c r="A173" s="6" t="s">
        <v>173</v>
      </c>
      <c r="B173">
        <v>1017247299</v>
      </c>
      <c r="C173" s="3">
        <v>1</v>
      </c>
      <c r="D173" s="5" t="str">
        <f t="shared" si="8"/>
        <v>01</v>
      </c>
      <c r="E173" t="str">
        <f>VLOOKUP(B173,'HOGARES-BASELINE'!$B:$I,8,FALSE)</f>
        <v>01010047</v>
      </c>
      <c r="F173" s="6" t="str">
        <f t="shared" si="7"/>
        <v>0101004701</v>
      </c>
    </row>
    <row r="174" spans="1:6" x14ac:dyDescent="0.3">
      <c r="A174" s="6" t="s">
        <v>174</v>
      </c>
      <c r="B174">
        <v>1017247299</v>
      </c>
      <c r="C174" s="3">
        <v>2</v>
      </c>
      <c r="D174" s="5" t="str">
        <f t="shared" si="8"/>
        <v>02</v>
      </c>
      <c r="E174" t="str">
        <f>VLOOKUP(B174,'HOGARES-BASELINE'!$B:$I,8,FALSE)</f>
        <v>01010047</v>
      </c>
      <c r="F174" s="6" t="str">
        <f t="shared" si="7"/>
        <v>0101004702</v>
      </c>
    </row>
    <row r="175" spans="1:6" x14ac:dyDescent="0.3">
      <c r="A175" s="6" t="s">
        <v>175</v>
      </c>
      <c r="B175">
        <v>1017247299</v>
      </c>
      <c r="C175" s="3">
        <v>6</v>
      </c>
      <c r="D175" s="5" t="str">
        <f t="shared" si="8"/>
        <v>06</v>
      </c>
      <c r="E175" t="str">
        <f>VLOOKUP(B175,'HOGARES-BASELINE'!$B:$I,8,FALSE)</f>
        <v>01010047</v>
      </c>
      <c r="F175" s="6" t="str">
        <f t="shared" si="7"/>
        <v>0101004706</v>
      </c>
    </row>
    <row r="176" spans="1:6" x14ac:dyDescent="0.3">
      <c r="A176" s="6" t="s">
        <v>176</v>
      </c>
      <c r="B176">
        <v>1017247299</v>
      </c>
      <c r="C176" s="3">
        <v>8</v>
      </c>
      <c r="D176" s="5" t="str">
        <f t="shared" si="8"/>
        <v>08</v>
      </c>
      <c r="E176" t="str">
        <f>VLOOKUP(B176,'HOGARES-BASELINE'!$B:$I,8,FALSE)</f>
        <v>01010047</v>
      </c>
      <c r="F176" s="6" t="str">
        <f t="shared" si="7"/>
        <v>0101004708</v>
      </c>
    </row>
    <row r="177" spans="1:6" x14ac:dyDescent="0.3">
      <c r="A177" s="6" t="s">
        <v>177</v>
      </c>
      <c r="B177">
        <v>1017247299</v>
      </c>
      <c r="C177" s="3">
        <v>10</v>
      </c>
      <c r="D177" s="2">
        <f>C177</f>
        <v>10</v>
      </c>
      <c r="E177" t="str">
        <f>VLOOKUP(B177,'HOGARES-BASELINE'!$B:$I,8,FALSE)</f>
        <v>01010047</v>
      </c>
      <c r="F177" s="6" t="str">
        <f t="shared" si="7"/>
        <v>0101004710</v>
      </c>
    </row>
    <row r="178" spans="1:6" x14ac:dyDescent="0.3">
      <c r="A178" s="6" t="s">
        <v>178</v>
      </c>
      <c r="B178">
        <v>1017247299</v>
      </c>
      <c r="C178" s="3">
        <v>3</v>
      </c>
      <c r="D178" s="5" t="str">
        <f t="shared" ref="D178:D241" si="9">_xlfn.CONCAT(0,C178)</f>
        <v>03</v>
      </c>
      <c r="E178" t="str">
        <f>VLOOKUP(B178,'HOGARES-BASELINE'!$B:$I,8,FALSE)</f>
        <v>01010047</v>
      </c>
      <c r="F178" s="6" t="str">
        <f t="shared" si="7"/>
        <v>0101004703</v>
      </c>
    </row>
    <row r="179" spans="1:6" x14ac:dyDescent="0.3">
      <c r="A179" s="6" t="s">
        <v>179</v>
      </c>
      <c r="B179">
        <v>1017247299</v>
      </c>
      <c r="C179" s="3">
        <v>4</v>
      </c>
      <c r="D179" s="5" t="str">
        <f t="shared" si="9"/>
        <v>04</v>
      </c>
      <c r="E179" t="str">
        <f>VLOOKUP(B179,'HOGARES-BASELINE'!$B:$I,8,FALSE)</f>
        <v>01010047</v>
      </c>
      <c r="F179" s="6" t="str">
        <f t="shared" si="7"/>
        <v>0101004704</v>
      </c>
    </row>
    <row r="180" spans="1:6" x14ac:dyDescent="0.3">
      <c r="A180" s="6" t="s">
        <v>180</v>
      </c>
      <c r="B180">
        <v>1017247299</v>
      </c>
      <c r="C180" s="3">
        <v>7</v>
      </c>
      <c r="D180" s="5" t="str">
        <f t="shared" si="9"/>
        <v>07</v>
      </c>
      <c r="E180" t="str">
        <f>VLOOKUP(B180,'HOGARES-BASELINE'!$B:$I,8,FALSE)</f>
        <v>01010047</v>
      </c>
      <c r="F180" s="6" t="str">
        <f t="shared" si="7"/>
        <v>0101004707</v>
      </c>
    </row>
    <row r="181" spans="1:6" x14ac:dyDescent="0.3">
      <c r="A181" s="6" t="s">
        <v>181</v>
      </c>
      <c r="B181">
        <v>1017248051</v>
      </c>
      <c r="C181" s="3">
        <v>4</v>
      </c>
      <c r="D181" s="5" t="str">
        <f t="shared" si="9"/>
        <v>04</v>
      </c>
      <c r="E181" t="str">
        <f>VLOOKUP(B181,'HOGARES-BASELINE'!$B:$I,8,FALSE)</f>
        <v>01010048</v>
      </c>
      <c r="F181" s="6" t="str">
        <f t="shared" si="7"/>
        <v>0101004804</v>
      </c>
    </row>
    <row r="182" spans="1:6" x14ac:dyDescent="0.3">
      <c r="A182" s="6" t="s">
        <v>182</v>
      </c>
      <c r="B182">
        <v>1017248051</v>
      </c>
      <c r="C182" s="3">
        <v>5</v>
      </c>
      <c r="D182" s="5" t="str">
        <f t="shared" si="9"/>
        <v>05</v>
      </c>
      <c r="E182" t="str">
        <f>VLOOKUP(B182,'HOGARES-BASELINE'!$B:$I,8,FALSE)</f>
        <v>01010048</v>
      </c>
      <c r="F182" s="6" t="str">
        <f t="shared" si="7"/>
        <v>0101004805</v>
      </c>
    </row>
    <row r="183" spans="1:6" x14ac:dyDescent="0.3">
      <c r="A183" s="6" t="s">
        <v>183</v>
      </c>
      <c r="B183">
        <v>1017248051</v>
      </c>
      <c r="C183" s="3">
        <v>1</v>
      </c>
      <c r="D183" s="5" t="str">
        <f t="shared" si="9"/>
        <v>01</v>
      </c>
      <c r="E183" t="str">
        <f>VLOOKUP(B183,'HOGARES-BASELINE'!$B:$I,8,FALSE)</f>
        <v>01010048</v>
      </c>
      <c r="F183" s="6" t="str">
        <f t="shared" si="7"/>
        <v>0101004801</v>
      </c>
    </row>
    <row r="184" spans="1:6" x14ac:dyDescent="0.3">
      <c r="A184" s="6" t="s">
        <v>184</v>
      </c>
      <c r="B184">
        <v>1017248051</v>
      </c>
      <c r="C184" s="3">
        <v>2</v>
      </c>
      <c r="D184" s="5" t="str">
        <f t="shared" si="9"/>
        <v>02</v>
      </c>
      <c r="E184" t="str">
        <f>VLOOKUP(B184,'HOGARES-BASELINE'!$B:$I,8,FALSE)</f>
        <v>01010048</v>
      </c>
      <c r="F184" s="6" t="str">
        <f t="shared" si="7"/>
        <v>0101004802</v>
      </c>
    </row>
    <row r="185" spans="1:6" x14ac:dyDescent="0.3">
      <c r="A185" s="6" t="s">
        <v>185</v>
      </c>
      <c r="B185">
        <v>1017248051</v>
      </c>
      <c r="C185" s="3">
        <v>3</v>
      </c>
      <c r="D185" s="5" t="str">
        <f t="shared" si="9"/>
        <v>03</v>
      </c>
      <c r="E185" t="str">
        <f>VLOOKUP(B185,'HOGARES-BASELINE'!$B:$I,8,FALSE)</f>
        <v>01010048</v>
      </c>
      <c r="F185" s="6" t="str">
        <f t="shared" si="7"/>
        <v>0101004803</v>
      </c>
    </row>
    <row r="186" spans="1:6" x14ac:dyDescent="0.3">
      <c r="A186" s="6" t="s">
        <v>186</v>
      </c>
      <c r="B186">
        <v>1017266133</v>
      </c>
      <c r="C186" s="3">
        <v>5</v>
      </c>
      <c r="D186" s="5" t="str">
        <f t="shared" si="9"/>
        <v>05</v>
      </c>
      <c r="E186" t="str">
        <f>VLOOKUP(B186,'HOGARES-BASELINE'!$B:$I,8,FALSE)</f>
        <v>01010049</v>
      </c>
      <c r="F186" s="6" t="str">
        <f t="shared" si="7"/>
        <v>0101004905</v>
      </c>
    </row>
    <row r="187" spans="1:6" x14ac:dyDescent="0.3">
      <c r="A187" s="6" t="s">
        <v>187</v>
      </c>
      <c r="B187">
        <v>1017266133</v>
      </c>
      <c r="C187" s="3">
        <v>7</v>
      </c>
      <c r="D187" s="5" t="str">
        <f t="shared" si="9"/>
        <v>07</v>
      </c>
      <c r="E187" t="str">
        <f>VLOOKUP(B187,'HOGARES-BASELINE'!$B:$I,8,FALSE)</f>
        <v>01010049</v>
      </c>
      <c r="F187" s="6" t="str">
        <f t="shared" si="7"/>
        <v>0101004907</v>
      </c>
    </row>
    <row r="188" spans="1:6" x14ac:dyDescent="0.3">
      <c r="A188" s="6" t="s">
        <v>188</v>
      </c>
      <c r="B188">
        <v>1017266133</v>
      </c>
      <c r="C188" s="3">
        <v>6</v>
      </c>
      <c r="D188" s="5" t="str">
        <f t="shared" si="9"/>
        <v>06</v>
      </c>
      <c r="E188" t="str">
        <f>VLOOKUP(B188,'HOGARES-BASELINE'!$B:$I,8,FALSE)</f>
        <v>01010049</v>
      </c>
      <c r="F188" s="6" t="str">
        <f t="shared" si="7"/>
        <v>0101004906</v>
      </c>
    </row>
    <row r="189" spans="1:6" x14ac:dyDescent="0.3">
      <c r="A189" s="6" t="s">
        <v>189</v>
      </c>
      <c r="B189">
        <v>1017266133</v>
      </c>
      <c r="C189" s="3">
        <v>3</v>
      </c>
      <c r="D189" s="5" t="str">
        <f t="shared" si="9"/>
        <v>03</v>
      </c>
      <c r="E189" t="str">
        <f>VLOOKUP(B189,'HOGARES-BASELINE'!$B:$I,8,FALSE)</f>
        <v>01010049</v>
      </c>
      <c r="F189" s="6" t="str">
        <f t="shared" si="7"/>
        <v>0101004903</v>
      </c>
    </row>
    <row r="190" spans="1:6" x14ac:dyDescent="0.3">
      <c r="A190" s="6" t="s">
        <v>190</v>
      </c>
      <c r="B190">
        <v>1017266133</v>
      </c>
      <c r="C190" s="3">
        <v>4</v>
      </c>
      <c r="D190" s="5" t="str">
        <f t="shared" si="9"/>
        <v>04</v>
      </c>
      <c r="E190" t="str">
        <f>VLOOKUP(B190,'HOGARES-BASELINE'!$B:$I,8,FALSE)</f>
        <v>01010049</v>
      </c>
      <c r="F190" s="6" t="str">
        <f t="shared" si="7"/>
        <v>0101004904</v>
      </c>
    </row>
    <row r="191" spans="1:6" x14ac:dyDescent="0.3">
      <c r="A191" s="6" t="s">
        <v>191</v>
      </c>
      <c r="B191">
        <v>1017266133</v>
      </c>
      <c r="C191" s="3">
        <v>1</v>
      </c>
      <c r="D191" s="5" t="str">
        <f t="shared" si="9"/>
        <v>01</v>
      </c>
      <c r="E191" t="str">
        <f>VLOOKUP(B191,'HOGARES-BASELINE'!$B:$I,8,FALSE)</f>
        <v>01010049</v>
      </c>
      <c r="F191" s="6" t="str">
        <f t="shared" si="7"/>
        <v>0101004901</v>
      </c>
    </row>
    <row r="192" spans="1:6" x14ac:dyDescent="0.3">
      <c r="A192" s="6" t="s">
        <v>192</v>
      </c>
      <c r="B192">
        <v>1017266133</v>
      </c>
      <c r="C192" s="3">
        <v>8</v>
      </c>
      <c r="D192" s="5" t="str">
        <f t="shared" si="9"/>
        <v>08</v>
      </c>
      <c r="E192" t="str">
        <f>VLOOKUP(B192,'HOGARES-BASELINE'!$B:$I,8,FALSE)</f>
        <v>01010049</v>
      </c>
      <c r="F192" s="6" t="str">
        <f t="shared" si="7"/>
        <v>0101004908</v>
      </c>
    </row>
    <row r="193" spans="1:6" x14ac:dyDescent="0.3">
      <c r="A193" s="6" t="s">
        <v>193</v>
      </c>
      <c r="B193">
        <v>1017266133</v>
      </c>
      <c r="C193" s="3">
        <v>2</v>
      </c>
      <c r="D193" s="5" t="str">
        <f t="shared" si="9"/>
        <v>02</v>
      </c>
      <c r="E193" t="str">
        <f>VLOOKUP(B193,'HOGARES-BASELINE'!$B:$I,8,FALSE)</f>
        <v>01010049</v>
      </c>
      <c r="F193" s="6" t="str">
        <f t="shared" si="7"/>
        <v>0101004902</v>
      </c>
    </row>
    <row r="194" spans="1:6" x14ac:dyDescent="0.3">
      <c r="A194" s="6" t="s">
        <v>194</v>
      </c>
      <c r="B194">
        <v>1017269447</v>
      </c>
      <c r="C194" s="3">
        <v>2</v>
      </c>
      <c r="D194" s="5" t="str">
        <f t="shared" si="9"/>
        <v>02</v>
      </c>
      <c r="E194" t="str">
        <f>VLOOKUP(B194,'HOGARES-BASELINE'!$B:$I,8,FALSE)</f>
        <v>01010050</v>
      </c>
      <c r="F194" s="6" t="str">
        <f t="shared" si="7"/>
        <v>0101005002</v>
      </c>
    </row>
    <row r="195" spans="1:6" x14ac:dyDescent="0.3">
      <c r="A195" s="6" t="s">
        <v>195</v>
      </c>
      <c r="B195">
        <v>1017269447</v>
      </c>
      <c r="C195" s="3">
        <v>4</v>
      </c>
      <c r="D195" s="5" t="str">
        <f t="shared" si="9"/>
        <v>04</v>
      </c>
      <c r="E195" t="str">
        <f>VLOOKUP(B195,'HOGARES-BASELINE'!$B:$I,8,FALSE)</f>
        <v>01010050</v>
      </c>
      <c r="F195" s="6" t="str">
        <f t="shared" ref="F195:F258" si="10">_xlfn.CONCAT(E195,D195)</f>
        <v>0101005004</v>
      </c>
    </row>
    <row r="196" spans="1:6" x14ac:dyDescent="0.3">
      <c r="A196" s="6" t="s">
        <v>196</v>
      </c>
      <c r="B196">
        <v>1017269447</v>
      </c>
      <c r="C196" s="3">
        <v>3</v>
      </c>
      <c r="D196" s="5" t="str">
        <f t="shared" si="9"/>
        <v>03</v>
      </c>
      <c r="E196" t="str">
        <f>VLOOKUP(B196,'HOGARES-BASELINE'!$B:$I,8,FALSE)</f>
        <v>01010050</v>
      </c>
      <c r="F196" s="6" t="str">
        <f t="shared" si="10"/>
        <v>0101005003</v>
      </c>
    </row>
    <row r="197" spans="1:6" x14ac:dyDescent="0.3">
      <c r="A197" s="6" t="s">
        <v>197</v>
      </c>
      <c r="B197">
        <v>1017269447</v>
      </c>
      <c r="C197" s="3">
        <v>1</v>
      </c>
      <c r="D197" s="5" t="str">
        <f t="shared" si="9"/>
        <v>01</v>
      </c>
      <c r="E197" t="str">
        <f>VLOOKUP(B197,'HOGARES-BASELINE'!$B:$I,8,FALSE)</f>
        <v>01010050</v>
      </c>
      <c r="F197" s="6" t="str">
        <f t="shared" si="10"/>
        <v>0101005001</v>
      </c>
    </row>
    <row r="198" spans="1:6" x14ac:dyDescent="0.3">
      <c r="A198" s="6" t="s">
        <v>198</v>
      </c>
      <c r="B198">
        <v>1017269998</v>
      </c>
      <c r="C198" s="3">
        <v>1</v>
      </c>
      <c r="D198" s="5" t="str">
        <f t="shared" si="9"/>
        <v>01</v>
      </c>
      <c r="E198" t="str">
        <f>VLOOKUP(B198,'HOGARES-BASELINE'!$B:$I,8,FALSE)</f>
        <v>01010051</v>
      </c>
      <c r="F198" s="6" t="str">
        <f t="shared" si="10"/>
        <v>0101005101</v>
      </c>
    </row>
    <row r="199" spans="1:6" x14ac:dyDescent="0.3">
      <c r="A199" s="6" t="s">
        <v>199</v>
      </c>
      <c r="B199">
        <v>1017269998</v>
      </c>
      <c r="C199" s="3">
        <v>2</v>
      </c>
      <c r="D199" s="5" t="str">
        <f t="shared" si="9"/>
        <v>02</v>
      </c>
      <c r="E199" t="str">
        <f>VLOOKUP(B199,'HOGARES-BASELINE'!$B:$I,8,FALSE)</f>
        <v>01010051</v>
      </c>
      <c r="F199" s="6" t="str">
        <f t="shared" si="10"/>
        <v>0101005102</v>
      </c>
    </row>
    <row r="200" spans="1:6" x14ac:dyDescent="0.3">
      <c r="A200" s="6" t="s">
        <v>200</v>
      </c>
      <c r="B200">
        <v>1020450299</v>
      </c>
      <c r="C200" s="3">
        <v>6</v>
      </c>
      <c r="D200" s="5" t="str">
        <f t="shared" si="9"/>
        <v>06</v>
      </c>
      <c r="E200" t="str">
        <f>VLOOKUP(B200,'HOGARES-BASELINE'!$B:$I,8,FALSE)</f>
        <v>00010052</v>
      </c>
      <c r="F200" s="6" t="str">
        <f t="shared" si="10"/>
        <v>0001005206</v>
      </c>
    </row>
    <row r="201" spans="1:6" x14ac:dyDescent="0.3">
      <c r="A201" s="6" t="s">
        <v>201</v>
      </c>
      <c r="B201">
        <v>1020450299</v>
      </c>
      <c r="C201" s="3">
        <v>5</v>
      </c>
      <c r="D201" s="5" t="str">
        <f t="shared" si="9"/>
        <v>05</v>
      </c>
      <c r="E201" t="str">
        <f>VLOOKUP(B201,'HOGARES-BASELINE'!$B:$I,8,FALSE)</f>
        <v>00010052</v>
      </c>
      <c r="F201" s="6" t="str">
        <f t="shared" si="10"/>
        <v>0001005205</v>
      </c>
    </row>
    <row r="202" spans="1:6" x14ac:dyDescent="0.3">
      <c r="A202" s="6" t="s">
        <v>202</v>
      </c>
      <c r="B202">
        <v>1020450299</v>
      </c>
      <c r="C202" s="3">
        <v>4</v>
      </c>
      <c r="D202" s="5" t="str">
        <f t="shared" si="9"/>
        <v>04</v>
      </c>
      <c r="E202" t="str">
        <f>VLOOKUP(B202,'HOGARES-BASELINE'!$B:$I,8,FALSE)</f>
        <v>00010052</v>
      </c>
      <c r="F202" s="6" t="str">
        <f t="shared" si="10"/>
        <v>0001005204</v>
      </c>
    </row>
    <row r="203" spans="1:6" x14ac:dyDescent="0.3">
      <c r="A203" s="6" t="s">
        <v>203</v>
      </c>
      <c r="B203">
        <v>1020450299</v>
      </c>
      <c r="C203" s="3">
        <v>2</v>
      </c>
      <c r="D203" s="5" t="str">
        <f t="shared" si="9"/>
        <v>02</v>
      </c>
      <c r="E203" t="str">
        <f>VLOOKUP(B203,'HOGARES-BASELINE'!$B:$I,8,FALSE)</f>
        <v>00010052</v>
      </c>
      <c r="F203" s="6" t="str">
        <f t="shared" si="10"/>
        <v>0001005202</v>
      </c>
    </row>
    <row r="204" spans="1:6" x14ac:dyDescent="0.3">
      <c r="A204" s="6" t="s">
        <v>204</v>
      </c>
      <c r="B204">
        <v>1020450299</v>
      </c>
      <c r="C204" s="3">
        <v>1</v>
      </c>
      <c r="D204" s="5" t="str">
        <f t="shared" si="9"/>
        <v>01</v>
      </c>
      <c r="E204" t="str">
        <f>VLOOKUP(B204,'HOGARES-BASELINE'!$B:$I,8,FALSE)</f>
        <v>00010052</v>
      </c>
      <c r="F204" s="6" t="str">
        <f t="shared" si="10"/>
        <v>0001005201</v>
      </c>
    </row>
    <row r="205" spans="1:6" x14ac:dyDescent="0.3">
      <c r="A205" s="6" t="s">
        <v>205</v>
      </c>
      <c r="B205">
        <v>1020450299</v>
      </c>
      <c r="C205" s="3">
        <v>3</v>
      </c>
      <c r="D205" s="5" t="str">
        <f t="shared" si="9"/>
        <v>03</v>
      </c>
      <c r="E205" t="str">
        <f>VLOOKUP(B205,'HOGARES-BASELINE'!$B:$I,8,FALSE)</f>
        <v>00010052</v>
      </c>
      <c r="F205" s="6" t="str">
        <f t="shared" si="10"/>
        <v>0001005203</v>
      </c>
    </row>
    <row r="206" spans="1:6" x14ac:dyDescent="0.3">
      <c r="A206" s="6" t="s">
        <v>206</v>
      </c>
      <c r="B206">
        <v>1020482801</v>
      </c>
      <c r="C206" s="3">
        <v>1</v>
      </c>
      <c r="D206" s="5" t="str">
        <f t="shared" si="9"/>
        <v>01</v>
      </c>
      <c r="E206" t="str">
        <f>VLOOKUP(B206,'HOGARES-BASELINE'!$B:$I,8,FALSE)</f>
        <v>01010053</v>
      </c>
      <c r="F206" s="6" t="str">
        <f t="shared" si="10"/>
        <v>0101005301</v>
      </c>
    </row>
    <row r="207" spans="1:6" x14ac:dyDescent="0.3">
      <c r="A207" s="6" t="s">
        <v>207</v>
      </c>
      <c r="B207">
        <v>1020482801</v>
      </c>
      <c r="C207" s="3">
        <v>2</v>
      </c>
      <c r="D207" s="5" t="str">
        <f t="shared" si="9"/>
        <v>02</v>
      </c>
      <c r="E207" t="str">
        <f>VLOOKUP(B207,'HOGARES-BASELINE'!$B:$I,8,FALSE)</f>
        <v>01010053</v>
      </c>
      <c r="F207" s="6" t="str">
        <f t="shared" si="10"/>
        <v>0101005302</v>
      </c>
    </row>
    <row r="208" spans="1:6" x14ac:dyDescent="0.3">
      <c r="A208" s="6" t="s">
        <v>208</v>
      </c>
      <c r="B208">
        <v>1022094431</v>
      </c>
      <c r="C208" s="3">
        <v>1</v>
      </c>
      <c r="D208" s="5" t="str">
        <f t="shared" si="9"/>
        <v>01</v>
      </c>
      <c r="E208" t="str">
        <f>VLOOKUP(B208,'HOGARES-BASELINE'!$B:$I,8,FALSE)</f>
        <v>00010054</v>
      </c>
      <c r="F208" s="6" t="str">
        <f t="shared" si="10"/>
        <v>0001005401</v>
      </c>
    </row>
    <row r="209" spans="1:6" x14ac:dyDescent="0.3">
      <c r="A209" s="6" t="s">
        <v>209</v>
      </c>
      <c r="B209">
        <v>1022094431</v>
      </c>
      <c r="C209" s="3">
        <v>2</v>
      </c>
      <c r="D209" s="5" t="str">
        <f t="shared" si="9"/>
        <v>02</v>
      </c>
      <c r="E209" t="str">
        <f>VLOOKUP(B209,'HOGARES-BASELINE'!$B:$I,8,FALSE)</f>
        <v>00010054</v>
      </c>
      <c r="F209" s="6" t="str">
        <f t="shared" si="10"/>
        <v>0001005402</v>
      </c>
    </row>
    <row r="210" spans="1:6" x14ac:dyDescent="0.3">
      <c r="A210" s="6" t="s">
        <v>210</v>
      </c>
      <c r="B210">
        <v>1022094431</v>
      </c>
      <c r="C210" s="3">
        <v>3</v>
      </c>
      <c r="D210" s="5" t="str">
        <f t="shared" si="9"/>
        <v>03</v>
      </c>
      <c r="E210" t="str">
        <f>VLOOKUP(B210,'HOGARES-BASELINE'!$B:$I,8,FALSE)</f>
        <v>00010054</v>
      </c>
      <c r="F210" s="6" t="str">
        <f t="shared" si="10"/>
        <v>0001005403</v>
      </c>
    </row>
    <row r="211" spans="1:6" x14ac:dyDescent="0.3">
      <c r="A211" s="6" t="s">
        <v>211</v>
      </c>
      <c r="B211">
        <v>1022124557</v>
      </c>
      <c r="C211" s="3">
        <v>3</v>
      </c>
      <c r="D211" s="5" t="str">
        <f t="shared" si="9"/>
        <v>03</v>
      </c>
      <c r="E211" t="str">
        <f>VLOOKUP(B211,'HOGARES-BASELINE'!$B:$I,8,FALSE)</f>
        <v>01010055</v>
      </c>
      <c r="F211" s="6" t="str">
        <f t="shared" si="10"/>
        <v>0101005503</v>
      </c>
    </row>
    <row r="212" spans="1:6" x14ac:dyDescent="0.3">
      <c r="A212" s="6" t="s">
        <v>212</v>
      </c>
      <c r="B212">
        <v>1022124557</v>
      </c>
      <c r="C212" s="3">
        <v>2</v>
      </c>
      <c r="D212" s="5" t="str">
        <f t="shared" si="9"/>
        <v>02</v>
      </c>
      <c r="E212" t="str">
        <f>VLOOKUP(B212,'HOGARES-BASELINE'!$B:$I,8,FALSE)</f>
        <v>01010055</v>
      </c>
      <c r="F212" s="6" t="str">
        <f t="shared" si="10"/>
        <v>0101005502</v>
      </c>
    </row>
    <row r="213" spans="1:6" x14ac:dyDescent="0.3">
      <c r="A213" s="6" t="s">
        <v>213</v>
      </c>
      <c r="B213">
        <v>1022124557</v>
      </c>
      <c r="C213" s="3">
        <v>1</v>
      </c>
      <c r="D213" s="5" t="str">
        <f t="shared" si="9"/>
        <v>01</v>
      </c>
      <c r="E213" t="str">
        <f>VLOOKUP(B213,'HOGARES-BASELINE'!$B:$I,8,FALSE)</f>
        <v>01010055</v>
      </c>
      <c r="F213" s="6" t="str">
        <f t="shared" si="10"/>
        <v>0101005501</v>
      </c>
    </row>
    <row r="214" spans="1:6" x14ac:dyDescent="0.3">
      <c r="A214" s="6" t="s">
        <v>214</v>
      </c>
      <c r="B214">
        <v>1022125326</v>
      </c>
      <c r="C214" s="3">
        <v>2</v>
      </c>
      <c r="D214" s="5" t="str">
        <f t="shared" si="9"/>
        <v>02</v>
      </c>
      <c r="E214" t="str">
        <f>VLOOKUP(B214,'HOGARES-BASELINE'!$B:$I,8,FALSE)</f>
        <v>01010056</v>
      </c>
      <c r="F214" s="6" t="str">
        <f t="shared" si="10"/>
        <v>0101005602</v>
      </c>
    </row>
    <row r="215" spans="1:6" x14ac:dyDescent="0.3">
      <c r="A215" s="6" t="s">
        <v>215</v>
      </c>
      <c r="B215">
        <v>1022125326</v>
      </c>
      <c r="C215" s="3">
        <v>1</v>
      </c>
      <c r="D215" s="5" t="str">
        <f t="shared" si="9"/>
        <v>01</v>
      </c>
      <c r="E215" t="str">
        <f>VLOOKUP(B215,'HOGARES-BASELINE'!$B:$I,8,FALSE)</f>
        <v>01010056</v>
      </c>
      <c r="F215" s="6" t="str">
        <f t="shared" si="10"/>
        <v>0101005601</v>
      </c>
    </row>
    <row r="216" spans="1:6" x14ac:dyDescent="0.3">
      <c r="A216" s="6" t="s">
        <v>216</v>
      </c>
      <c r="B216">
        <v>1023626536</v>
      </c>
      <c r="C216" s="3">
        <v>1</v>
      </c>
      <c r="D216" s="5" t="str">
        <f t="shared" si="9"/>
        <v>01</v>
      </c>
      <c r="E216" t="str">
        <f>VLOOKUP(B216,'HOGARES-BASELINE'!$B:$I,8,FALSE)</f>
        <v>00010057</v>
      </c>
      <c r="F216" s="6" t="str">
        <f t="shared" si="10"/>
        <v>0001005701</v>
      </c>
    </row>
    <row r="217" spans="1:6" x14ac:dyDescent="0.3">
      <c r="A217" s="6" t="s">
        <v>217</v>
      </c>
      <c r="B217">
        <v>1023626536</v>
      </c>
      <c r="C217" s="3">
        <v>2</v>
      </c>
      <c r="D217" s="5" t="str">
        <f t="shared" si="9"/>
        <v>02</v>
      </c>
      <c r="E217" t="str">
        <f>VLOOKUP(B217,'HOGARES-BASELINE'!$B:$I,8,FALSE)</f>
        <v>00010057</v>
      </c>
      <c r="F217" s="6" t="str">
        <f t="shared" si="10"/>
        <v>0001005702</v>
      </c>
    </row>
    <row r="218" spans="1:6" x14ac:dyDescent="0.3">
      <c r="A218" s="6" t="s">
        <v>218</v>
      </c>
      <c r="B218">
        <v>1023626536</v>
      </c>
      <c r="C218" s="3">
        <v>3</v>
      </c>
      <c r="D218" s="5" t="str">
        <f t="shared" si="9"/>
        <v>03</v>
      </c>
      <c r="E218" t="str">
        <f>VLOOKUP(B218,'HOGARES-BASELINE'!$B:$I,8,FALSE)</f>
        <v>00010057</v>
      </c>
      <c r="F218" s="6" t="str">
        <f t="shared" si="10"/>
        <v>0001005703</v>
      </c>
    </row>
    <row r="219" spans="1:6" x14ac:dyDescent="0.3">
      <c r="A219" s="6" t="s">
        <v>219</v>
      </c>
      <c r="B219">
        <v>10239436</v>
      </c>
      <c r="C219" s="3">
        <v>6</v>
      </c>
      <c r="D219" s="5" t="str">
        <f t="shared" si="9"/>
        <v>06</v>
      </c>
      <c r="E219" t="str">
        <f>VLOOKUP(B219,'HOGARES-BASELINE'!$B:$I,8,FALSE)</f>
        <v>00010058</v>
      </c>
      <c r="F219" s="6" t="str">
        <f t="shared" si="10"/>
        <v>0001005806</v>
      </c>
    </row>
    <row r="220" spans="1:6" x14ac:dyDescent="0.3">
      <c r="A220" s="6" t="s">
        <v>220</v>
      </c>
      <c r="B220">
        <v>10239436</v>
      </c>
      <c r="C220" s="3">
        <v>5</v>
      </c>
      <c r="D220" s="5" t="str">
        <f t="shared" si="9"/>
        <v>05</v>
      </c>
      <c r="E220" t="str">
        <f>VLOOKUP(B220,'HOGARES-BASELINE'!$B:$I,8,FALSE)</f>
        <v>00010058</v>
      </c>
      <c r="F220" s="6" t="str">
        <f t="shared" si="10"/>
        <v>0001005805</v>
      </c>
    </row>
    <row r="221" spans="1:6" x14ac:dyDescent="0.3">
      <c r="A221" s="6" t="s">
        <v>221</v>
      </c>
      <c r="B221">
        <v>10239436</v>
      </c>
      <c r="C221" s="3">
        <v>3</v>
      </c>
      <c r="D221" s="5" t="str">
        <f t="shared" si="9"/>
        <v>03</v>
      </c>
      <c r="E221" t="str">
        <f>VLOOKUP(B221,'HOGARES-BASELINE'!$B:$I,8,FALSE)</f>
        <v>00010058</v>
      </c>
      <c r="F221" s="6" t="str">
        <f t="shared" si="10"/>
        <v>0001005803</v>
      </c>
    </row>
    <row r="222" spans="1:6" x14ac:dyDescent="0.3">
      <c r="A222" s="6" t="s">
        <v>222</v>
      </c>
      <c r="B222">
        <v>10239436</v>
      </c>
      <c r="C222" s="3">
        <v>1</v>
      </c>
      <c r="D222" s="5" t="str">
        <f t="shared" si="9"/>
        <v>01</v>
      </c>
      <c r="E222" t="str">
        <f>VLOOKUP(B222,'HOGARES-BASELINE'!$B:$I,8,FALSE)</f>
        <v>00010058</v>
      </c>
      <c r="F222" s="6" t="str">
        <f t="shared" si="10"/>
        <v>0001005801</v>
      </c>
    </row>
    <row r="223" spans="1:6" x14ac:dyDescent="0.3">
      <c r="A223" s="6" t="s">
        <v>223</v>
      </c>
      <c r="B223">
        <v>10239436</v>
      </c>
      <c r="C223" s="3">
        <v>2</v>
      </c>
      <c r="D223" s="5" t="str">
        <f t="shared" si="9"/>
        <v>02</v>
      </c>
      <c r="E223" t="str">
        <f>VLOOKUP(B223,'HOGARES-BASELINE'!$B:$I,8,FALSE)</f>
        <v>00010058</v>
      </c>
      <c r="F223" s="6" t="str">
        <f t="shared" si="10"/>
        <v>0001005802</v>
      </c>
    </row>
    <row r="224" spans="1:6" x14ac:dyDescent="0.3">
      <c r="A224" s="6" t="s">
        <v>224</v>
      </c>
      <c r="B224">
        <v>10239436</v>
      </c>
      <c r="C224" s="3">
        <v>4</v>
      </c>
      <c r="D224" s="5" t="str">
        <f t="shared" si="9"/>
        <v>04</v>
      </c>
      <c r="E224" t="str">
        <f>VLOOKUP(B224,'HOGARES-BASELINE'!$B:$I,8,FALSE)</f>
        <v>00010058</v>
      </c>
      <c r="F224" s="6" t="str">
        <f t="shared" si="10"/>
        <v>0001005804</v>
      </c>
    </row>
    <row r="225" spans="1:6" x14ac:dyDescent="0.3">
      <c r="A225" s="6" t="s">
        <v>225</v>
      </c>
      <c r="B225">
        <v>1025640590</v>
      </c>
      <c r="C225" s="3">
        <v>2</v>
      </c>
      <c r="D225" s="5" t="str">
        <f t="shared" si="9"/>
        <v>02</v>
      </c>
      <c r="E225" t="str">
        <f>VLOOKUP(B225,'HOGARES-BASELINE'!$B:$I,8,FALSE)</f>
        <v>01010059</v>
      </c>
      <c r="F225" s="6" t="str">
        <f t="shared" si="10"/>
        <v>0101005902</v>
      </c>
    </row>
    <row r="226" spans="1:6" x14ac:dyDescent="0.3">
      <c r="A226" s="6" t="s">
        <v>226</v>
      </c>
      <c r="B226">
        <v>1025640590</v>
      </c>
      <c r="C226" s="3">
        <v>1</v>
      </c>
      <c r="D226" s="5" t="str">
        <f t="shared" si="9"/>
        <v>01</v>
      </c>
      <c r="E226" t="str">
        <f>VLOOKUP(B226,'HOGARES-BASELINE'!$B:$I,8,FALSE)</f>
        <v>01010059</v>
      </c>
      <c r="F226" s="6" t="str">
        <f t="shared" si="10"/>
        <v>0101005901</v>
      </c>
    </row>
    <row r="227" spans="1:6" x14ac:dyDescent="0.3">
      <c r="A227" s="6" t="s">
        <v>227</v>
      </c>
      <c r="B227">
        <v>1025665487</v>
      </c>
      <c r="C227" s="3">
        <v>1</v>
      </c>
      <c r="D227" s="5" t="str">
        <f t="shared" si="9"/>
        <v>01</v>
      </c>
      <c r="E227" t="str">
        <f>VLOOKUP(B227,'HOGARES-BASELINE'!$B:$I,8,FALSE)</f>
        <v>01010060</v>
      </c>
      <c r="F227" s="6" t="str">
        <f t="shared" si="10"/>
        <v>0101006001</v>
      </c>
    </row>
    <row r="228" spans="1:6" x14ac:dyDescent="0.3">
      <c r="A228" s="6" t="s">
        <v>228</v>
      </c>
      <c r="B228">
        <v>1025665487</v>
      </c>
      <c r="C228" s="3">
        <v>4</v>
      </c>
      <c r="D228" s="5" t="str">
        <f t="shared" si="9"/>
        <v>04</v>
      </c>
      <c r="E228" t="str">
        <f>VLOOKUP(B228,'HOGARES-BASELINE'!$B:$I,8,FALSE)</f>
        <v>01010060</v>
      </c>
      <c r="F228" s="6" t="str">
        <f t="shared" si="10"/>
        <v>0101006004</v>
      </c>
    </row>
    <row r="229" spans="1:6" x14ac:dyDescent="0.3">
      <c r="A229" s="6" t="s">
        <v>229</v>
      </c>
      <c r="B229">
        <v>1025665487</v>
      </c>
      <c r="C229" s="3">
        <v>2</v>
      </c>
      <c r="D229" s="5" t="str">
        <f t="shared" si="9"/>
        <v>02</v>
      </c>
      <c r="E229" t="str">
        <f>VLOOKUP(B229,'HOGARES-BASELINE'!$B:$I,8,FALSE)</f>
        <v>01010060</v>
      </c>
      <c r="F229" s="6" t="str">
        <f t="shared" si="10"/>
        <v>0101006002</v>
      </c>
    </row>
    <row r="230" spans="1:6" x14ac:dyDescent="0.3">
      <c r="A230" s="6" t="s">
        <v>230</v>
      </c>
      <c r="B230">
        <v>1025665487</v>
      </c>
      <c r="C230" s="3">
        <v>3</v>
      </c>
      <c r="D230" s="5" t="str">
        <f t="shared" si="9"/>
        <v>03</v>
      </c>
      <c r="E230" t="str">
        <f>VLOOKUP(B230,'HOGARES-BASELINE'!$B:$I,8,FALSE)</f>
        <v>01010060</v>
      </c>
      <c r="F230" s="6" t="str">
        <f t="shared" si="10"/>
        <v>0101006003</v>
      </c>
    </row>
    <row r="231" spans="1:6" x14ac:dyDescent="0.3">
      <c r="A231" s="6" t="s">
        <v>231</v>
      </c>
      <c r="B231">
        <v>1026145865</v>
      </c>
      <c r="C231" s="3">
        <v>2</v>
      </c>
      <c r="D231" s="5" t="str">
        <f t="shared" si="9"/>
        <v>02</v>
      </c>
      <c r="E231" t="str">
        <f>VLOOKUP(B231,'HOGARES-BASELINE'!$B:$I,8,FALSE)</f>
        <v>01010061</v>
      </c>
      <c r="F231" s="6" t="str">
        <f t="shared" si="10"/>
        <v>0101006102</v>
      </c>
    </row>
    <row r="232" spans="1:6" x14ac:dyDescent="0.3">
      <c r="A232" s="6" t="s">
        <v>232</v>
      </c>
      <c r="B232">
        <v>1026145865</v>
      </c>
      <c r="C232" s="3">
        <v>4</v>
      </c>
      <c r="D232" s="5" t="str">
        <f t="shared" si="9"/>
        <v>04</v>
      </c>
      <c r="E232" t="str">
        <f>VLOOKUP(B232,'HOGARES-BASELINE'!$B:$I,8,FALSE)</f>
        <v>01010061</v>
      </c>
      <c r="F232" s="6" t="str">
        <f t="shared" si="10"/>
        <v>0101006104</v>
      </c>
    </row>
    <row r="233" spans="1:6" x14ac:dyDescent="0.3">
      <c r="A233" s="6" t="s">
        <v>233</v>
      </c>
      <c r="B233">
        <v>1026145865</v>
      </c>
      <c r="C233" s="3">
        <v>1</v>
      </c>
      <c r="D233" s="5" t="str">
        <f t="shared" si="9"/>
        <v>01</v>
      </c>
      <c r="E233" t="str">
        <f>VLOOKUP(B233,'HOGARES-BASELINE'!$B:$I,8,FALSE)</f>
        <v>01010061</v>
      </c>
      <c r="F233" s="6" t="str">
        <f t="shared" si="10"/>
        <v>0101006101</v>
      </c>
    </row>
    <row r="234" spans="1:6" x14ac:dyDescent="0.3">
      <c r="A234" s="6" t="s">
        <v>234</v>
      </c>
      <c r="B234">
        <v>1026145865</v>
      </c>
      <c r="C234" s="3">
        <v>3</v>
      </c>
      <c r="D234" s="5" t="str">
        <f t="shared" si="9"/>
        <v>03</v>
      </c>
      <c r="E234" t="str">
        <f>VLOOKUP(B234,'HOGARES-BASELINE'!$B:$I,8,FALSE)</f>
        <v>01010061</v>
      </c>
      <c r="F234" s="6" t="str">
        <f t="shared" si="10"/>
        <v>0101006103</v>
      </c>
    </row>
    <row r="235" spans="1:6" x14ac:dyDescent="0.3">
      <c r="A235" s="6" t="s">
        <v>235</v>
      </c>
      <c r="B235">
        <v>1032421813</v>
      </c>
      <c r="C235" s="3">
        <v>6</v>
      </c>
      <c r="D235" s="5" t="str">
        <f t="shared" si="9"/>
        <v>06</v>
      </c>
      <c r="E235" t="str">
        <f>VLOOKUP(B235,'HOGARES-BASELINE'!$B:$I,8,FALSE)</f>
        <v>00010062</v>
      </c>
      <c r="F235" s="6" t="str">
        <f t="shared" si="10"/>
        <v>0001006206</v>
      </c>
    </row>
    <row r="236" spans="1:6" x14ac:dyDescent="0.3">
      <c r="A236" s="6" t="s">
        <v>236</v>
      </c>
      <c r="B236">
        <v>1032421813</v>
      </c>
      <c r="C236" s="3">
        <v>5</v>
      </c>
      <c r="D236" s="5" t="str">
        <f t="shared" si="9"/>
        <v>05</v>
      </c>
      <c r="E236" t="str">
        <f>VLOOKUP(B236,'HOGARES-BASELINE'!$B:$I,8,FALSE)</f>
        <v>00010062</v>
      </c>
      <c r="F236" s="6" t="str">
        <f t="shared" si="10"/>
        <v>0001006205</v>
      </c>
    </row>
    <row r="237" spans="1:6" x14ac:dyDescent="0.3">
      <c r="A237" s="6" t="s">
        <v>237</v>
      </c>
      <c r="B237">
        <v>1032421813</v>
      </c>
      <c r="C237" s="3">
        <v>1</v>
      </c>
      <c r="D237" s="5" t="str">
        <f t="shared" si="9"/>
        <v>01</v>
      </c>
      <c r="E237" t="str">
        <f>VLOOKUP(B237,'HOGARES-BASELINE'!$B:$I,8,FALSE)</f>
        <v>00010062</v>
      </c>
      <c r="F237" s="6" t="str">
        <f t="shared" si="10"/>
        <v>0001006201</v>
      </c>
    </row>
    <row r="238" spans="1:6" x14ac:dyDescent="0.3">
      <c r="A238" s="6" t="s">
        <v>238</v>
      </c>
      <c r="B238">
        <v>1032421813</v>
      </c>
      <c r="C238" s="3">
        <v>2</v>
      </c>
      <c r="D238" s="5" t="str">
        <f t="shared" si="9"/>
        <v>02</v>
      </c>
      <c r="E238" t="str">
        <f>VLOOKUP(B238,'HOGARES-BASELINE'!$B:$I,8,FALSE)</f>
        <v>00010062</v>
      </c>
      <c r="F238" s="6" t="str">
        <f t="shared" si="10"/>
        <v>0001006202</v>
      </c>
    </row>
    <row r="239" spans="1:6" x14ac:dyDescent="0.3">
      <c r="A239" s="6" t="s">
        <v>239</v>
      </c>
      <c r="B239">
        <v>1032421813</v>
      </c>
      <c r="C239" s="3">
        <v>4</v>
      </c>
      <c r="D239" s="5" t="str">
        <f t="shared" si="9"/>
        <v>04</v>
      </c>
      <c r="E239" t="str">
        <f>VLOOKUP(B239,'HOGARES-BASELINE'!$B:$I,8,FALSE)</f>
        <v>00010062</v>
      </c>
      <c r="F239" s="6" t="str">
        <f t="shared" si="10"/>
        <v>0001006204</v>
      </c>
    </row>
    <row r="240" spans="1:6" x14ac:dyDescent="0.3">
      <c r="A240" s="6" t="s">
        <v>240</v>
      </c>
      <c r="B240">
        <v>1032421813</v>
      </c>
      <c r="C240" s="3">
        <v>3</v>
      </c>
      <c r="D240" s="5" t="str">
        <f t="shared" si="9"/>
        <v>03</v>
      </c>
      <c r="E240" t="str">
        <f>VLOOKUP(B240,'HOGARES-BASELINE'!$B:$I,8,FALSE)</f>
        <v>00010062</v>
      </c>
      <c r="F240" s="6" t="str">
        <f t="shared" si="10"/>
        <v>0001006203</v>
      </c>
    </row>
    <row r="241" spans="1:6" x14ac:dyDescent="0.3">
      <c r="A241" s="6" t="s">
        <v>241</v>
      </c>
      <c r="B241">
        <v>1033176878</v>
      </c>
      <c r="C241" s="3">
        <v>1</v>
      </c>
      <c r="D241" s="5" t="str">
        <f t="shared" si="9"/>
        <v>01</v>
      </c>
      <c r="E241" t="str">
        <f>VLOOKUP(B241,'HOGARES-BASELINE'!$B:$I,8,FALSE)</f>
        <v>00010063</v>
      </c>
      <c r="F241" s="6" t="str">
        <f t="shared" si="10"/>
        <v>0001006301</v>
      </c>
    </row>
    <row r="242" spans="1:6" x14ac:dyDescent="0.3">
      <c r="A242" s="6" t="s">
        <v>242</v>
      </c>
      <c r="B242">
        <v>1033176878</v>
      </c>
      <c r="C242" s="3">
        <v>2</v>
      </c>
      <c r="D242" s="5" t="str">
        <f t="shared" ref="D242:D305" si="11">_xlfn.CONCAT(0,C242)</f>
        <v>02</v>
      </c>
      <c r="E242" t="str">
        <f>VLOOKUP(B242,'HOGARES-BASELINE'!$B:$I,8,FALSE)</f>
        <v>00010063</v>
      </c>
      <c r="F242" s="6" t="str">
        <f t="shared" si="10"/>
        <v>0001006302</v>
      </c>
    </row>
    <row r="243" spans="1:6" x14ac:dyDescent="0.3">
      <c r="A243" s="6" t="s">
        <v>243</v>
      </c>
      <c r="B243">
        <v>1033176878</v>
      </c>
      <c r="C243" s="3">
        <v>4</v>
      </c>
      <c r="D243" s="5" t="str">
        <f t="shared" si="11"/>
        <v>04</v>
      </c>
      <c r="E243" t="str">
        <f>VLOOKUP(B243,'HOGARES-BASELINE'!$B:$I,8,FALSE)</f>
        <v>00010063</v>
      </c>
      <c r="F243" s="6" t="str">
        <f t="shared" si="10"/>
        <v>0001006304</v>
      </c>
    </row>
    <row r="244" spans="1:6" x14ac:dyDescent="0.3">
      <c r="A244" s="6" t="s">
        <v>244</v>
      </c>
      <c r="B244">
        <v>1033176878</v>
      </c>
      <c r="C244" s="3">
        <v>3</v>
      </c>
      <c r="D244" s="5" t="str">
        <f t="shared" si="11"/>
        <v>03</v>
      </c>
      <c r="E244" t="str">
        <f>VLOOKUP(B244,'HOGARES-BASELINE'!$B:$I,8,FALSE)</f>
        <v>00010063</v>
      </c>
      <c r="F244" s="6" t="str">
        <f t="shared" si="10"/>
        <v>0001006303</v>
      </c>
    </row>
    <row r="245" spans="1:6" x14ac:dyDescent="0.3">
      <c r="A245" s="6" t="s">
        <v>245</v>
      </c>
      <c r="B245">
        <v>1035228839</v>
      </c>
      <c r="C245" s="3">
        <v>2</v>
      </c>
      <c r="D245" s="5" t="str">
        <f t="shared" si="11"/>
        <v>02</v>
      </c>
      <c r="E245" t="str">
        <f>VLOOKUP(B245,'HOGARES-BASELINE'!$B:$I,8,FALSE)</f>
        <v>00010064</v>
      </c>
      <c r="F245" s="6" t="str">
        <f t="shared" si="10"/>
        <v>0001006402</v>
      </c>
    </row>
    <row r="246" spans="1:6" x14ac:dyDescent="0.3">
      <c r="A246" s="6" t="s">
        <v>246</v>
      </c>
      <c r="B246">
        <v>1035228839</v>
      </c>
      <c r="C246" s="3">
        <v>3</v>
      </c>
      <c r="D246" s="5" t="str">
        <f t="shared" si="11"/>
        <v>03</v>
      </c>
      <c r="E246" t="str">
        <f>VLOOKUP(B246,'HOGARES-BASELINE'!$B:$I,8,FALSE)</f>
        <v>00010064</v>
      </c>
      <c r="F246" s="6" t="str">
        <f t="shared" si="10"/>
        <v>0001006403</v>
      </c>
    </row>
    <row r="247" spans="1:6" x14ac:dyDescent="0.3">
      <c r="A247" s="6" t="s">
        <v>247</v>
      </c>
      <c r="B247">
        <v>1035228839</v>
      </c>
      <c r="C247" s="3">
        <v>1</v>
      </c>
      <c r="D247" s="5" t="str">
        <f t="shared" si="11"/>
        <v>01</v>
      </c>
      <c r="E247" t="str">
        <f>VLOOKUP(B247,'HOGARES-BASELINE'!$B:$I,8,FALSE)</f>
        <v>00010064</v>
      </c>
      <c r="F247" s="6" t="str">
        <f t="shared" si="10"/>
        <v>0001006401</v>
      </c>
    </row>
    <row r="248" spans="1:6" x14ac:dyDescent="0.3">
      <c r="A248" s="6" t="s">
        <v>248</v>
      </c>
      <c r="B248">
        <v>1035921080</v>
      </c>
      <c r="C248" s="3">
        <v>2</v>
      </c>
      <c r="D248" s="5" t="str">
        <f t="shared" si="11"/>
        <v>02</v>
      </c>
      <c r="E248" t="str">
        <f>VLOOKUP(B248,'HOGARES-BASELINE'!$B:$I,8,FALSE)</f>
        <v>00010065</v>
      </c>
      <c r="F248" s="6" t="str">
        <f t="shared" si="10"/>
        <v>0001006502</v>
      </c>
    </row>
    <row r="249" spans="1:6" x14ac:dyDescent="0.3">
      <c r="A249" s="6" t="s">
        <v>249</v>
      </c>
      <c r="B249">
        <v>1035921080</v>
      </c>
      <c r="C249" s="3">
        <v>1</v>
      </c>
      <c r="D249" s="5" t="str">
        <f t="shared" si="11"/>
        <v>01</v>
      </c>
      <c r="E249" t="str">
        <f>VLOOKUP(B249,'HOGARES-BASELINE'!$B:$I,8,FALSE)</f>
        <v>00010065</v>
      </c>
      <c r="F249" s="6" t="str">
        <f t="shared" si="10"/>
        <v>0001006501</v>
      </c>
    </row>
    <row r="250" spans="1:6" x14ac:dyDescent="0.3">
      <c r="A250" s="6" t="s">
        <v>250</v>
      </c>
      <c r="B250">
        <v>1036601648</v>
      </c>
      <c r="C250" s="3">
        <v>2</v>
      </c>
      <c r="D250" s="5" t="str">
        <f t="shared" si="11"/>
        <v>02</v>
      </c>
      <c r="E250" t="str">
        <f>VLOOKUP(B250,'HOGARES-BASELINE'!$B:$I,8,FALSE)</f>
        <v>01010066</v>
      </c>
      <c r="F250" s="6" t="str">
        <f t="shared" si="10"/>
        <v>0101006602</v>
      </c>
    </row>
    <row r="251" spans="1:6" x14ac:dyDescent="0.3">
      <c r="A251" s="6" t="s">
        <v>251</v>
      </c>
      <c r="B251">
        <v>1036601648</v>
      </c>
      <c r="C251" s="3">
        <v>3</v>
      </c>
      <c r="D251" s="5" t="str">
        <f t="shared" si="11"/>
        <v>03</v>
      </c>
      <c r="E251" t="str">
        <f>VLOOKUP(B251,'HOGARES-BASELINE'!$B:$I,8,FALSE)</f>
        <v>01010066</v>
      </c>
      <c r="F251" s="6" t="str">
        <f t="shared" si="10"/>
        <v>0101006603</v>
      </c>
    </row>
    <row r="252" spans="1:6" x14ac:dyDescent="0.3">
      <c r="A252" s="6" t="s">
        <v>252</v>
      </c>
      <c r="B252">
        <v>1036601648</v>
      </c>
      <c r="C252" s="3">
        <v>4</v>
      </c>
      <c r="D252" s="5" t="str">
        <f t="shared" si="11"/>
        <v>04</v>
      </c>
      <c r="E252" t="str">
        <f>VLOOKUP(B252,'HOGARES-BASELINE'!$B:$I,8,FALSE)</f>
        <v>01010066</v>
      </c>
      <c r="F252" s="6" t="str">
        <f t="shared" si="10"/>
        <v>0101006604</v>
      </c>
    </row>
    <row r="253" spans="1:6" x14ac:dyDescent="0.3">
      <c r="A253" s="6" t="s">
        <v>253</v>
      </c>
      <c r="B253">
        <v>1036601648</v>
      </c>
      <c r="C253" s="3">
        <v>1</v>
      </c>
      <c r="D253" s="5" t="str">
        <f t="shared" si="11"/>
        <v>01</v>
      </c>
      <c r="E253" t="str">
        <f>VLOOKUP(B253,'HOGARES-BASELINE'!$B:$I,8,FALSE)</f>
        <v>01010066</v>
      </c>
      <c r="F253" s="6" t="str">
        <f t="shared" si="10"/>
        <v>0101006601</v>
      </c>
    </row>
    <row r="254" spans="1:6" x14ac:dyDescent="0.3">
      <c r="A254" s="6" t="s">
        <v>254</v>
      </c>
      <c r="B254">
        <v>1036615312</v>
      </c>
      <c r="C254" s="3">
        <v>2</v>
      </c>
      <c r="D254" s="5" t="str">
        <f t="shared" si="11"/>
        <v>02</v>
      </c>
      <c r="E254" t="str">
        <f>VLOOKUP(B254,'HOGARES-BASELINE'!$B:$I,8,FALSE)</f>
        <v>00010067</v>
      </c>
      <c r="F254" s="6" t="str">
        <f t="shared" si="10"/>
        <v>0001006702</v>
      </c>
    </row>
    <row r="255" spans="1:6" x14ac:dyDescent="0.3">
      <c r="A255" s="6" t="s">
        <v>255</v>
      </c>
      <c r="B255">
        <v>1036615312</v>
      </c>
      <c r="C255" s="3">
        <v>1</v>
      </c>
      <c r="D255" s="5" t="str">
        <f t="shared" si="11"/>
        <v>01</v>
      </c>
      <c r="E255" t="str">
        <f>VLOOKUP(B255,'HOGARES-BASELINE'!$B:$I,8,FALSE)</f>
        <v>00010067</v>
      </c>
      <c r="F255" s="6" t="str">
        <f t="shared" si="10"/>
        <v>0001006701</v>
      </c>
    </row>
    <row r="256" spans="1:6" x14ac:dyDescent="0.3">
      <c r="A256" s="6" t="s">
        <v>256</v>
      </c>
      <c r="B256">
        <v>1036617115</v>
      </c>
      <c r="C256" s="3">
        <v>1</v>
      </c>
      <c r="D256" s="5" t="str">
        <f t="shared" si="11"/>
        <v>01</v>
      </c>
      <c r="E256" t="str">
        <f>VLOOKUP(B256,'HOGARES-BASELINE'!$B:$I,8,FALSE)</f>
        <v>00010068</v>
      </c>
      <c r="F256" s="6" t="str">
        <f t="shared" si="10"/>
        <v>0001006801</v>
      </c>
    </row>
    <row r="257" spans="1:6" x14ac:dyDescent="0.3">
      <c r="A257" s="6" t="s">
        <v>257</v>
      </c>
      <c r="B257">
        <v>1036617115</v>
      </c>
      <c r="C257" s="3">
        <v>2</v>
      </c>
      <c r="D257" s="5" t="str">
        <f t="shared" si="11"/>
        <v>02</v>
      </c>
      <c r="E257" t="str">
        <f>VLOOKUP(B257,'HOGARES-BASELINE'!$B:$I,8,FALSE)</f>
        <v>00010068</v>
      </c>
      <c r="F257" s="6" t="str">
        <f t="shared" si="10"/>
        <v>0001006802</v>
      </c>
    </row>
    <row r="258" spans="1:6" x14ac:dyDescent="0.3">
      <c r="A258" s="6" t="s">
        <v>258</v>
      </c>
      <c r="B258">
        <v>1036617115</v>
      </c>
      <c r="C258" s="3">
        <v>4</v>
      </c>
      <c r="D258" s="5" t="str">
        <f t="shared" si="11"/>
        <v>04</v>
      </c>
      <c r="E258" t="str">
        <f>VLOOKUP(B258,'HOGARES-BASELINE'!$B:$I,8,FALSE)</f>
        <v>00010068</v>
      </c>
      <c r="F258" s="6" t="str">
        <f t="shared" si="10"/>
        <v>0001006804</v>
      </c>
    </row>
    <row r="259" spans="1:6" x14ac:dyDescent="0.3">
      <c r="A259" s="6" t="s">
        <v>259</v>
      </c>
      <c r="B259">
        <v>1036617115</v>
      </c>
      <c r="C259" s="3">
        <v>3</v>
      </c>
      <c r="D259" s="5" t="str">
        <f t="shared" si="11"/>
        <v>03</v>
      </c>
      <c r="E259" t="str">
        <f>VLOOKUP(B259,'HOGARES-BASELINE'!$B:$I,8,FALSE)</f>
        <v>00010068</v>
      </c>
      <c r="F259" s="6" t="str">
        <f t="shared" ref="F259:F322" si="12">_xlfn.CONCAT(E259,D259)</f>
        <v>0001006803</v>
      </c>
    </row>
    <row r="260" spans="1:6" x14ac:dyDescent="0.3">
      <c r="A260" s="6" t="s">
        <v>260</v>
      </c>
      <c r="B260">
        <v>1036631758</v>
      </c>
      <c r="C260" s="3">
        <v>3</v>
      </c>
      <c r="D260" s="5" t="str">
        <f t="shared" si="11"/>
        <v>03</v>
      </c>
      <c r="E260" t="str">
        <f>VLOOKUP(B260,'HOGARES-BASELINE'!$B:$I,8,FALSE)</f>
        <v>00010069</v>
      </c>
      <c r="F260" s="6" t="str">
        <f t="shared" si="12"/>
        <v>0001006903</v>
      </c>
    </row>
    <row r="261" spans="1:6" x14ac:dyDescent="0.3">
      <c r="A261" s="6" t="s">
        <v>261</v>
      </c>
      <c r="B261">
        <v>1036631758</v>
      </c>
      <c r="C261" s="3">
        <v>1</v>
      </c>
      <c r="D261" s="5" t="str">
        <f t="shared" si="11"/>
        <v>01</v>
      </c>
      <c r="E261" t="str">
        <f>VLOOKUP(B261,'HOGARES-BASELINE'!$B:$I,8,FALSE)</f>
        <v>00010069</v>
      </c>
      <c r="F261" s="6" t="str">
        <f t="shared" si="12"/>
        <v>0001006901</v>
      </c>
    </row>
    <row r="262" spans="1:6" x14ac:dyDescent="0.3">
      <c r="A262" s="6" t="s">
        <v>262</v>
      </c>
      <c r="B262">
        <v>1036631758</v>
      </c>
      <c r="C262" s="3">
        <v>2</v>
      </c>
      <c r="D262" s="5" t="str">
        <f t="shared" si="11"/>
        <v>02</v>
      </c>
      <c r="E262" t="str">
        <f>VLOOKUP(B262,'HOGARES-BASELINE'!$B:$I,8,FALSE)</f>
        <v>00010069</v>
      </c>
      <c r="F262" s="6" t="str">
        <f t="shared" si="12"/>
        <v>0001006902</v>
      </c>
    </row>
    <row r="263" spans="1:6" x14ac:dyDescent="0.3">
      <c r="A263" s="6" t="s">
        <v>263</v>
      </c>
      <c r="B263">
        <v>1036631758</v>
      </c>
      <c r="C263" s="3">
        <v>6</v>
      </c>
      <c r="D263" s="5" t="str">
        <f t="shared" si="11"/>
        <v>06</v>
      </c>
      <c r="E263" t="str">
        <f>VLOOKUP(B263,'HOGARES-BASELINE'!$B:$I,8,FALSE)</f>
        <v>00010069</v>
      </c>
      <c r="F263" s="6" t="str">
        <f t="shared" si="12"/>
        <v>0001006906</v>
      </c>
    </row>
    <row r="264" spans="1:6" x14ac:dyDescent="0.3">
      <c r="A264" s="6" t="s">
        <v>264</v>
      </c>
      <c r="B264">
        <v>1036631758</v>
      </c>
      <c r="C264" s="3">
        <v>5</v>
      </c>
      <c r="D264" s="5" t="str">
        <f t="shared" si="11"/>
        <v>05</v>
      </c>
      <c r="E264" t="str">
        <f>VLOOKUP(B264,'HOGARES-BASELINE'!$B:$I,8,FALSE)</f>
        <v>00010069</v>
      </c>
      <c r="F264" s="6" t="str">
        <f t="shared" si="12"/>
        <v>0001006905</v>
      </c>
    </row>
    <row r="265" spans="1:6" x14ac:dyDescent="0.3">
      <c r="A265" s="6" t="s">
        <v>265</v>
      </c>
      <c r="B265">
        <v>1036631758</v>
      </c>
      <c r="C265" s="3">
        <v>4</v>
      </c>
      <c r="D265" s="5" t="str">
        <f t="shared" si="11"/>
        <v>04</v>
      </c>
      <c r="E265" t="str">
        <f>VLOOKUP(B265,'HOGARES-BASELINE'!$B:$I,8,FALSE)</f>
        <v>00010069</v>
      </c>
      <c r="F265" s="6" t="str">
        <f t="shared" si="12"/>
        <v>0001006904</v>
      </c>
    </row>
    <row r="266" spans="1:6" x14ac:dyDescent="0.3">
      <c r="A266" s="6" t="s">
        <v>266</v>
      </c>
      <c r="B266">
        <v>1036934154</v>
      </c>
      <c r="C266" s="3">
        <v>1</v>
      </c>
      <c r="D266" s="5" t="str">
        <f t="shared" si="11"/>
        <v>01</v>
      </c>
      <c r="E266" t="str">
        <f>VLOOKUP(B266,'HOGARES-BASELINE'!$B:$I,8,FALSE)</f>
        <v>01010070</v>
      </c>
      <c r="F266" s="6" t="str">
        <f t="shared" si="12"/>
        <v>0101007001</v>
      </c>
    </row>
    <row r="267" spans="1:6" x14ac:dyDescent="0.3">
      <c r="A267" s="6" t="s">
        <v>267</v>
      </c>
      <c r="B267">
        <v>1037263422</v>
      </c>
      <c r="C267" s="3">
        <v>6</v>
      </c>
      <c r="D267" s="5" t="str">
        <f t="shared" si="11"/>
        <v>06</v>
      </c>
      <c r="E267" t="str">
        <f>VLOOKUP(B267,'HOGARES-BASELINE'!$B:$I,8,FALSE)</f>
        <v>01010071</v>
      </c>
      <c r="F267" s="6" t="str">
        <f t="shared" si="12"/>
        <v>0101007106</v>
      </c>
    </row>
    <row r="268" spans="1:6" x14ac:dyDescent="0.3">
      <c r="A268" s="6" t="s">
        <v>268</v>
      </c>
      <c r="B268">
        <v>1037263422</v>
      </c>
      <c r="C268" s="3">
        <v>3</v>
      </c>
      <c r="D268" s="5" t="str">
        <f t="shared" si="11"/>
        <v>03</v>
      </c>
      <c r="E268" t="str">
        <f>VLOOKUP(B268,'HOGARES-BASELINE'!$B:$I,8,FALSE)</f>
        <v>01010071</v>
      </c>
      <c r="F268" s="6" t="str">
        <f t="shared" si="12"/>
        <v>0101007103</v>
      </c>
    </row>
    <row r="269" spans="1:6" x14ac:dyDescent="0.3">
      <c r="A269" s="6" t="s">
        <v>269</v>
      </c>
      <c r="B269">
        <v>1037263422</v>
      </c>
      <c r="C269" s="3">
        <v>2</v>
      </c>
      <c r="D269" s="5" t="str">
        <f t="shared" si="11"/>
        <v>02</v>
      </c>
      <c r="E269" t="str">
        <f>VLOOKUP(B269,'HOGARES-BASELINE'!$B:$I,8,FALSE)</f>
        <v>01010071</v>
      </c>
      <c r="F269" s="6" t="str">
        <f t="shared" si="12"/>
        <v>0101007102</v>
      </c>
    </row>
    <row r="270" spans="1:6" x14ac:dyDescent="0.3">
      <c r="A270" s="6" t="s">
        <v>270</v>
      </c>
      <c r="B270">
        <v>1037263422</v>
      </c>
      <c r="C270" s="3">
        <v>1</v>
      </c>
      <c r="D270" s="5" t="str">
        <f t="shared" si="11"/>
        <v>01</v>
      </c>
      <c r="E270" t="str">
        <f>VLOOKUP(B270,'HOGARES-BASELINE'!$B:$I,8,FALSE)</f>
        <v>01010071</v>
      </c>
      <c r="F270" s="6" t="str">
        <f t="shared" si="12"/>
        <v>0101007101</v>
      </c>
    </row>
    <row r="271" spans="1:6" x14ac:dyDescent="0.3">
      <c r="A271" s="6" t="s">
        <v>271</v>
      </c>
      <c r="B271">
        <v>1037263422</v>
      </c>
      <c r="C271" s="3">
        <v>4</v>
      </c>
      <c r="D271" s="5" t="str">
        <f t="shared" si="11"/>
        <v>04</v>
      </c>
      <c r="E271" t="str">
        <f>VLOOKUP(B271,'HOGARES-BASELINE'!$B:$I,8,FALSE)</f>
        <v>01010071</v>
      </c>
      <c r="F271" s="6" t="str">
        <f t="shared" si="12"/>
        <v>0101007104</v>
      </c>
    </row>
    <row r="272" spans="1:6" x14ac:dyDescent="0.3">
      <c r="A272" s="6" t="s">
        <v>272</v>
      </c>
      <c r="B272">
        <v>1037263422</v>
      </c>
      <c r="C272" s="3">
        <v>7</v>
      </c>
      <c r="D272" s="5" t="str">
        <f t="shared" si="11"/>
        <v>07</v>
      </c>
      <c r="E272" t="str">
        <f>VLOOKUP(B272,'HOGARES-BASELINE'!$B:$I,8,FALSE)</f>
        <v>01010071</v>
      </c>
      <c r="F272" s="6" t="str">
        <f t="shared" si="12"/>
        <v>0101007107</v>
      </c>
    </row>
    <row r="273" spans="1:6" x14ac:dyDescent="0.3">
      <c r="A273" s="6" t="s">
        <v>273</v>
      </c>
      <c r="B273">
        <v>1037263422</v>
      </c>
      <c r="C273" s="3">
        <v>5</v>
      </c>
      <c r="D273" s="5" t="str">
        <f t="shared" si="11"/>
        <v>05</v>
      </c>
      <c r="E273" t="str">
        <f>VLOOKUP(B273,'HOGARES-BASELINE'!$B:$I,8,FALSE)</f>
        <v>01010071</v>
      </c>
      <c r="F273" s="6" t="str">
        <f t="shared" si="12"/>
        <v>0101007105</v>
      </c>
    </row>
    <row r="274" spans="1:6" x14ac:dyDescent="0.3">
      <c r="A274" s="6" t="s">
        <v>274</v>
      </c>
      <c r="B274">
        <v>10375239</v>
      </c>
      <c r="C274" s="3">
        <v>3</v>
      </c>
      <c r="D274" s="5" t="str">
        <f t="shared" si="11"/>
        <v>03</v>
      </c>
      <c r="E274" t="str">
        <f>VLOOKUP(B274,'HOGARES-BASELINE'!$B:$I,8,FALSE)</f>
        <v>01020072</v>
      </c>
      <c r="F274" s="6" t="str">
        <f t="shared" si="12"/>
        <v>0102007203</v>
      </c>
    </row>
    <row r="275" spans="1:6" x14ac:dyDescent="0.3">
      <c r="A275" s="6" t="s">
        <v>275</v>
      </c>
      <c r="B275">
        <v>10375239</v>
      </c>
      <c r="C275" s="3">
        <v>4</v>
      </c>
      <c r="D275" s="5" t="str">
        <f t="shared" si="11"/>
        <v>04</v>
      </c>
      <c r="E275" t="str">
        <f>VLOOKUP(B275,'HOGARES-BASELINE'!$B:$I,8,FALSE)</f>
        <v>01020072</v>
      </c>
      <c r="F275" s="6" t="str">
        <f t="shared" si="12"/>
        <v>0102007204</v>
      </c>
    </row>
    <row r="276" spans="1:6" x14ac:dyDescent="0.3">
      <c r="A276" s="6" t="s">
        <v>276</v>
      </c>
      <c r="B276">
        <v>10375239</v>
      </c>
      <c r="C276" s="3">
        <v>1</v>
      </c>
      <c r="D276" s="5" t="str">
        <f t="shared" si="11"/>
        <v>01</v>
      </c>
      <c r="E276" t="str">
        <f>VLOOKUP(B276,'HOGARES-BASELINE'!$B:$I,8,FALSE)</f>
        <v>01020072</v>
      </c>
      <c r="F276" s="6" t="str">
        <f t="shared" si="12"/>
        <v>0102007201</v>
      </c>
    </row>
    <row r="277" spans="1:6" x14ac:dyDescent="0.3">
      <c r="A277" s="6" t="s">
        <v>277</v>
      </c>
      <c r="B277">
        <v>10375239</v>
      </c>
      <c r="C277" s="3">
        <v>2</v>
      </c>
      <c r="D277" s="5" t="str">
        <f t="shared" si="11"/>
        <v>02</v>
      </c>
      <c r="E277" t="str">
        <f>VLOOKUP(B277,'HOGARES-BASELINE'!$B:$I,8,FALSE)</f>
        <v>01020072</v>
      </c>
      <c r="F277" s="6" t="str">
        <f t="shared" si="12"/>
        <v>0102007202</v>
      </c>
    </row>
    <row r="278" spans="1:6" x14ac:dyDescent="0.3">
      <c r="A278" s="6" t="s">
        <v>278</v>
      </c>
      <c r="B278">
        <v>10375239</v>
      </c>
      <c r="C278" s="3">
        <v>5</v>
      </c>
      <c r="D278" s="5" t="str">
        <f t="shared" si="11"/>
        <v>05</v>
      </c>
      <c r="E278" t="str">
        <f>VLOOKUP(B278,'HOGARES-BASELINE'!$B:$I,8,FALSE)</f>
        <v>01020072</v>
      </c>
      <c r="F278" s="6" t="str">
        <f t="shared" si="12"/>
        <v>0102007205</v>
      </c>
    </row>
    <row r="279" spans="1:6" x14ac:dyDescent="0.3">
      <c r="A279" s="6" t="s">
        <v>279</v>
      </c>
      <c r="B279">
        <v>1037570230</v>
      </c>
      <c r="C279" s="3">
        <v>1</v>
      </c>
      <c r="D279" s="5" t="str">
        <f t="shared" si="11"/>
        <v>01</v>
      </c>
      <c r="E279" t="str">
        <f>VLOOKUP(B279,'HOGARES-BASELINE'!$B:$I,8,FALSE)</f>
        <v>01010073</v>
      </c>
      <c r="F279" s="6" t="str">
        <f t="shared" si="12"/>
        <v>0101007301</v>
      </c>
    </row>
    <row r="280" spans="1:6" x14ac:dyDescent="0.3">
      <c r="A280" s="6" t="s">
        <v>280</v>
      </c>
      <c r="B280">
        <v>1037584599</v>
      </c>
      <c r="C280" s="3">
        <v>3</v>
      </c>
      <c r="D280" s="5" t="str">
        <f t="shared" si="11"/>
        <v>03</v>
      </c>
      <c r="E280" t="str">
        <f>VLOOKUP(B280,'HOGARES-BASELINE'!$B:$I,8,FALSE)</f>
        <v>00010074</v>
      </c>
      <c r="F280" s="6" t="str">
        <f t="shared" si="12"/>
        <v>0001007403</v>
      </c>
    </row>
    <row r="281" spans="1:6" x14ac:dyDescent="0.3">
      <c r="A281" s="6" t="s">
        <v>281</v>
      </c>
      <c r="B281">
        <v>1037584599</v>
      </c>
      <c r="C281" s="3">
        <v>1</v>
      </c>
      <c r="D281" s="5" t="str">
        <f t="shared" si="11"/>
        <v>01</v>
      </c>
      <c r="E281" t="str">
        <f>VLOOKUP(B281,'HOGARES-BASELINE'!$B:$I,8,FALSE)</f>
        <v>00010074</v>
      </c>
      <c r="F281" s="6" t="str">
        <f t="shared" si="12"/>
        <v>0001007401</v>
      </c>
    </row>
    <row r="282" spans="1:6" x14ac:dyDescent="0.3">
      <c r="A282" s="6" t="s">
        <v>282</v>
      </c>
      <c r="B282">
        <v>1037584599</v>
      </c>
      <c r="C282" s="3">
        <v>4</v>
      </c>
      <c r="D282" s="5" t="str">
        <f t="shared" si="11"/>
        <v>04</v>
      </c>
      <c r="E282" t="str">
        <f>VLOOKUP(B282,'HOGARES-BASELINE'!$B:$I,8,FALSE)</f>
        <v>00010074</v>
      </c>
      <c r="F282" s="6" t="str">
        <f t="shared" si="12"/>
        <v>0001007404</v>
      </c>
    </row>
    <row r="283" spans="1:6" x14ac:dyDescent="0.3">
      <c r="A283" s="6" t="s">
        <v>283</v>
      </c>
      <c r="B283">
        <v>1037584599</v>
      </c>
      <c r="C283" s="3">
        <v>2</v>
      </c>
      <c r="D283" s="5" t="str">
        <f t="shared" si="11"/>
        <v>02</v>
      </c>
      <c r="E283" t="str">
        <f>VLOOKUP(B283,'HOGARES-BASELINE'!$B:$I,8,FALSE)</f>
        <v>00010074</v>
      </c>
      <c r="F283" s="6" t="str">
        <f t="shared" si="12"/>
        <v>0001007402</v>
      </c>
    </row>
    <row r="284" spans="1:6" x14ac:dyDescent="0.3">
      <c r="A284" s="6" t="s">
        <v>284</v>
      </c>
      <c r="B284">
        <v>1037613164</v>
      </c>
      <c r="C284" s="3">
        <v>1</v>
      </c>
      <c r="D284" s="5" t="str">
        <f t="shared" si="11"/>
        <v>01</v>
      </c>
      <c r="E284" t="str">
        <f>VLOOKUP(B284,'HOGARES-BASELINE'!$B:$I,8,FALSE)</f>
        <v>00010075</v>
      </c>
      <c r="F284" s="6" t="str">
        <f t="shared" si="12"/>
        <v>0001007501</v>
      </c>
    </row>
    <row r="285" spans="1:6" x14ac:dyDescent="0.3">
      <c r="A285" s="6" t="s">
        <v>285</v>
      </c>
      <c r="B285">
        <v>1037613164</v>
      </c>
      <c r="C285" s="3">
        <v>2</v>
      </c>
      <c r="D285" s="5" t="str">
        <f t="shared" si="11"/>
        <v>02</v>
      </c>
      <c r="E285" t="str">
        <f>VLOOKUP(B285,'HOGARES-BASELINE'!$B:$I,8,FALSE)</f>
        <v>00010075</v>
      </c>
      <c r="F285" s="6" t="str">
        <f t="shared" si="12"/>
        <v>0001007502</v>
      </c>
    </row>
    <row r="286" spans="1:6" x14ac:dyDescent="0.3">
      <c r="A286" s="6" t="s">
        <v>286</v>
      </c>
      <c r="B286">
        <v>1037613164</v>
      </c>
      <c r="C286" s="3">
        <v>3</v>
      </c>
      <c r="D286" s="5" t="str">
        <f t="shared" si="11"/>
        <v>03</v>
      </c>
      <c r="E286" t="str">
        <f>VLOOKUP(B286,'HOGARES-BASELINE'!$B:$I,8,FALSE)</f>
        <v>00010075</v>
      </c>
      <c r="F286" s="6" t="str">
        <f t="shared" si="12"/>
        <v>0001007503</v>
      </c>
    </row>
    <row r="287" spans="1:6" x14ac:dyDescent="0.3">
      <c r="A287" s="6" t="s">
        <v>287</v>
      </c>
      <c r="B287">
        <v>1039285463</v>
      </c>
      <c r="C287" s="3">
        <v>4</v>
      </c>
      <c r="D287" s="5" t="str">
        <f t="shared" si="11"/>
        <v>04</v>
      </c>
      <c r="E287" t="str">
        <f>VLOOKUP(B287,'HOGARES-BASELINE'!$B:$I,8,FALSE)</f>
        <v>01010076</v>
      </c>
      <c r="F287" s="6" t="str">
        <f t="shared" si="12"/>
        <v>0101007604</v>
      </c>
    </row>
    <row r="288" spans="1:6" x14ac:dyDescent="0.3">
      <c r="A288" s="6" t="s">
        <v>288</v>
      </c>
      <c r="B288">
        <v>1039285463</v>
      </c>
      <c r="C288" s="3">
        <v>3</v>
      </c>
      <c r="D288" s="5" t="str">
        <f t="shared" si="11"/>
        <v>03</v>
      </c>
      <c r="E288" t="str">
        <f>VLOOKUP(B288,'HOGARES-BASELINE'!$B:$I,8,FALSE)</f>
        <v>01010076</v>
      </c>
      <c r="F288" s="6" t="str">
        <f t="shared" si="12"/>
        <v>0101007603</v>
      </c>
    </row>
    <row r="289" spans="1:6" x14ac:dyDescent="0.3">
      <c r="A289" s="6" t="s">
        <v>289</v>
      </c>
      <c r="B289">
        <v>1039285463</v>
      </c>
      <c r="C289" s="3">
        <v>2</v>
      </c>
      <c r="D289" s="5" t="str">
        <f t="shared" si="11"/>
        <v>02</v>
      </c>
      <c r="E289" t="str">
        <f>VLOOKUP(B289,'HOGARES-BASELINE'!$B:$I,8,FALSE)</f>
        <v>01010076</v>
      </c>
      <c r="F289" s="6" t="str">
        <f t="shared" si="12"/>
        <v>0101007602</v>
      </c>
    </row>
    <row r="290" spans="1:6" x14ac:dyDescent="0.3">
      <c r="A290" s="6" t="s">
        <v>290</v>
      </c>
      <c r="B290">
        <v>1039285463</v>
      </c>
      <c r="C290" s="3">
        <v>6</v>
      </c>
      <c r="D290" s="5" t="str">
        <f t="shared" si="11"/>
        <v>06</v>
      </c>
      <c r="E290" t="str">
        <f>VLOOKUP(B290,'HOGARES-BASELINE'!$B:$I,8,FALSE)</f>
        <v>01010076</v>
      </c>
      <c r="F290" s="6" t="str">
        <f t="shared" si="12"/>
        <v>0101007606</v>
      </c>
    </row>
    <row r="291" spans="1:6" x14ac:dyDescent="0.3">
      <c r="A291" s="6" t="s">
        <v>291</v>
      </c>
      <c r="B291">
        <v>1039285463</v>
      </c>
      <c r="C291" s="3">
        <v>1</v>
      </c>
      <c r="D291" s="5" t="str">
        <f t="shared" si="11"/>
        <v>01</v>
      </c>
      <c r="E291" t="str">
        <f>VLOOKUP(B291,'HOGARES-BASELINE'!$B:$I,8,FALSE)</f>
        <v>01010076</v>
      </c>
      <c r="F291" s="6" t="str">
        <f t="shared" si="12"/>
        <v>0101007601</v>
      </c>
    </row>
    <row r="292" spans="1:6" x14ac:dyDescent="0.3">
      <c r="A292" s="6" t="s">
        <v>292</v>
      </c>
      <c r="B292">
        <v>1039285463</v>
      </c>
      <c r="C292" s="3">
        <v>5</v>
      </c>
      <c r="D292" s="5" t="str">
        <f t="shared" si="11"/>
        <v>05</v>
      </c>
      <c r="E292" t="str">
        <f>VLOOKUP(B292,'HOGARES-BASELINE'!$B:$I,8,FALSE)</f>
        <v>01010076</v>
      </c>
      <c r="F292" s="6" t="str">
        <f t="shared" si="12"/>
        <v>0101007605</v>
      </c>
    </row>
    <row r="293" spans="1:6" x14ac:dyDescent="0.3">
      <c r="A293" s="6" t="s">
        <v>293</v>
      </c>
      <c r="B293">
        <v>1039460475</v>
      </c>
      <c r="C293" s="3">
        <v>1</v>
      </c>
      <c r="D293" s="5" t="str">
        <f t="shared" si="11"/>
        <v>01</v>
      </c>
      <c r="E293" t="str">
        <f>VLOOKUP(B293,'HOGARES-BASELINE'!$B:$I,8,FALSE)</f>
        <v>00010077</v>
      </c>
      <c r="F293" s="6" t="str">
        <f t="shared" si="12"/>
        <v>0001007701</v>
      </c>
    </row>
    <row r="294" spans="1:6" x14ac:dyDescent="0.3">
      <c r="A294" s="6" t="s">
        <v>294</v>
      </c>
      <c r="B294">
        <v>1039460475</v>
      </c>
      <c r="C294" s="3">
        <v>3</v>
      </c>
      <c r="D294" s="5" t="str">
        <f t="shared" si="11"/>
        <v>03</v>
      </c>
      <c r="E294" t="str">
        <f>VLOOKUP(B294,'HOGARES-BASELINE'!$B:$I,8,FALSE)</f>
        <v>00010077</v>
      </c>
      <c r="F294" s="6" t="str">
        <f t="shared" si="12"/>
        <v>0001007703</v>
      </c>
    </row>
    <row r="295" spans="1:6" x14ac:dyDescent="0.3">
      <c r="A295" s="6" t="s">
        <v>295</v>
      </c>
      <c r="B295">
        <v>1039460475</v>
      </c>
      <c r="C295" s="3">
        <v>2</v>
      </c>
      <c r="D295" s="5" t="str">
        <f t="shared" si="11"/>
        <v>02</v>
      </c>
      <c r="E295" t="str">
        <f>VLOOKUP(B295,'HOGARES-BASELINE'!$B:$I,8,FALSE)</f>
        <v>00010077</v>
      </c>
      <c r="F295" s="6" t="str">
        <f t="shared" si="12"/>
        <v>0001007702</v>
      </c>
    </row>
    <row r="296" spans="1:6" x14ac:dyDescent="0.3">
      <c r="A296" s="6" t="s">
        <v>296</v>
      </c>
      <c r="B296">
        <v>1040749440</v>
      </c>
      <c r="C296" s="3">
        <v>2</v>
      </c>
      <c r="D296" s="5" t="str">
        <f t="shared" si="11"/>
        <v>02</v>
      </c>
      <c r="E296" t="str">
        <f>VLOOKUP(B296,'HOGARES-BASELINE'!$B:$I,8,FALSE)</f>
        <v>01010078</v>
      </c>
      <c r="F296" s="6" t="str">
        <f t="shared" si="12"/>
        <v>0101007802</v>
      </c>
    </row>
    <row r="297" spans="1:6" x14ac:dyDescent="0.3">
      <c r="A297" s="6" t="s">
        <v>297</v>
      </c>
      <c r="B297">
        <v>1040749440</v>
      </c>
      <c r="C297" s="3">
        <v>3</v>
      </c>
      <c r="D297" s="5" t="str">
        <f t="shared" si="11"/>
        <v>03</v>
      </c>
      <c r="E297" t="str">
        <f>VLOOKUP(B297,'HOGARES-BASELINE'!$B:$I,8,FALSE)</f>
        <v>01010078</v>
      </c>
      <c r="F297" s="6" t="str">
        <f t="shared" si="12"/>
        <v>0101007803</v>
      </c>
    </row>
    <row r="298" spans="1:6" x14ac:dyDescent="0.3">
      <c r="A298" s="6" t="s">
        <v>298</v>
      </c>
      <c r="B298">
        <v>1040749440</v>
      </c>
      <c r="C298" s="3">
        <v>1</v>
      </c>
      <c r="D298" s="5" t="str">
        <f t="shared" si="11"/>
        <v>01</v>
      </c>
      <c r="E298" t="str">
        <f>VLOOKUP(B298,'HOGARES-BASELINE'!$B:$I,8,FALSE)</f>
        <v>01010078</v>
      </c>
      <c r="F298" s="6" t="str">
        <f t="shared" si="12"/>
        <v>0101007801</v>
      </c>
    </row>
    <row r="299" spans="1:6" x14ac:dyDescent="0.3">
      <c r="A299" s="6" t="s">
        <v>299</v>
      </c>
      <c r="B299">
        <v>1042064849</v>
      </c>
      <c r="C299" s="3">
        <v>2</v>
      </c>
      <c r="D299" s="5" t="str">
        <f t="shared" si="11"/>
        <v>02</v>
      </c>
      <c r="E299" t="str">
        <f>VLOOKUP(B299,'HOGARES-BASELINE'!$B:$I,8,FALSE)</f>
        <v>01010079</v>
      </c>
      <c r="F299" s="6" t="str">
        <f t="shared" si="12"/>
        <v>0101007902</v>
      </c>
    </row>
    <row r="300" spans="1:6" x14ac:dyDescent="0.3">
      <c r="A300" s="6" t="s">
        <v>300</v>
      </c>
      <c r="B300">
        <v>1042064849</v>
      </c>
      <c r="C300" s="3">
        <v>4</v>
      </c>
      <c r="D300" s="5" t="str">
        <f t="shared" si="11"/>
        <v>04</v>
      </c>
      <c r="E300" t="str">
        <f>VLOOKUP(B300,'HOGARES-BASELINE'!$B:$I,8,FALSE)</f>
        <v>01010079</v>
      </c>
      <c r="F300" s="6" t="str">
        <f t="shared" si="12"/>
        <v>0101007904</v>
      </c>
    </row>
    <row r="301" spans="1:6" x14ac:dyDescent="0.3">
      <c r="A301" s="6" t="s">
        <v>301</v>
      </c>
      <c r="B301">
        <v>1042064849</v>
      </c>
      <c r="C301" s="3">
        <v>3</v>
      </c>
      <c r="D301" s="5" t="str">
        <f t="shared" si="11"/>
        <v>03</v>
      </c>
      <c r="E301" t="str">
        <f>VLOOKUP(B301,'HOGARES-BASELINE'!$B:$I,8,FALSE)</f>
        <v>01010079</v>
      </c>
      <c r="F301" s="6" t="str">
        <f t="shared" si="12"/>
        <v>0101007903</v>
      </c>
    </row>
    <row r="302" spans="1:6" x14ac:dyDescent="0.3">
      <c r="A302" s="6" t="s">
        <v>302</v>
      </c>
      <c r="B302">
        <v>1042064849</v>
      </c>
      <c r="C302" s="3">
        <v>1</v>
      </c>
      <c r="D302" s="5" t="str">
        <f t="shared" si="11"/>
        <v>01</v>
      </c>
      <c r="E302" t="str">
        <f>VLOOKUP(B302,'HOGARES-BASELINE'!$B:$I,8,FALSE)</f>
        <v>01010079</v>
      </c>
      <c r="F302" s="6" t="str">
        <f t="shared" si="12"/>
        <v>0101007901</v>
      </c>
    </row>
    <row r="303" spans="1:6" x14ac:dyDescent="0.3">
      <c r="A303" s="6" t="s">
        <v>303</v>
      </c>
      <c r="B303">
        <v>1043435114</v>
      </c>
      <c r="C303" s="3">
        <v>1</v>
      </c>
      <c r="D303" s="5" t="str">
        <f t="shared" si="11"/>
        <v>01</v>
      </c>
      <c r="E303" t="str">
        <f>VLOOKUP(B303,'HOGARES-BASELINE'!$B:$I,8,FALSE)</f>
        <v>01030080</v>
      </c>
      <c r="F303" s="6" t="str">
        <f t="shared" si="12"/>
        <v>0103008001</v>
      </c>
    </row>
    <row r="304" spans="1:6" x14ac:dyDescent="0.3">
      <c r="A304" s="6" t="s">
        <v>304</v>
      </c>
      <c r="B304">
        <v>1043435114</v>
      </c>
      <c r="C304" s="3">
        <v>2</v>
      </c>
      <c r="D304" s="5" t="str">
        <f t="shared" si="11"/>
        <v>02</v>
      </c>
      <c r="E304" t="str">
        <f>VLOOKUP(B304,'HOGARES-BASELINE'!$B:$I,8,FALSE)</f>
        <v>01030080</v>
      </c>
      <c r="F304" s="6" t="str">
        <f t="shared" si="12"/>
        <v>0103008002</v>
      </c>
    </row>
    <row r="305" spans="1:6" x14ac:dyDescent="0.3">
      <c r="A305" s="6" t="s">
        <v>305</v>
      </c>
      <c r="B305">
        <v>1043435114</v>
      </c>
      <c r="C305" s="3">
        <v>5</v>
      </c>
      <c r="D305" s="5" t="str">
        <f t="shared" si="11"/>
        <v>05</v>
      </c>
      <c r="E305" t="str">
        <f>VLOOKUP(B305,'HOGARES-BASELINE'!$B:$I,8,FALSE)</f>
        <v>01030080</v>
      </c>
      <c r="F305" s="6" t="str">
        <f t="shared" si="12"/>
        <v>0103008005</v>
      </c>
    </row>
    <row r="306" spans="1:6" x14ac:dyDescent="0.3">
      <c r="A306" s="6" t="s">
        <v>306</v>
      </c>
      <c r="B306">
        <v>1043435114</v>
      </c>
      <c r="C306" s="3">
        <v>3</v>
      </c>
      <c r="D306" s="5" t="str">
        <f t="shared" ref="D306:D369" si="13">_xlfn.CONCAT(0,C306)</f>
        <v>03</v>
      </c>
      <c r="E306" t="str">
        <f>VLOOKUP(B306,'HOGARES-BASELINE'!$B:$I,8,FALSE)</f>
        <v>01030080</v>
      </c>
      <c r="F306" s="6" t="str">
        <f t="shared" si="12"/>
        <v>0103008003</v>
      </c>
    </row>
    <row r="307" spans="1:6" x14ac:dyDescent="0.3">
      <c r="A307" s="6" t="s">
        <v>307</v>
      </c>
      <c r="B307">
        <v>1043435114</v>
      </c>
      <c r="C307" s="3">
        <v>4</v>
      </c>
      <c r="D307" s="5" t="str">
        <f t="shared" si="13"/>
        <v>04</v>
      </c>
      <c r="E307" t="str">
        <f>VLOOKUP(B307,'HOGARES-BASELINE'!$B:$I,8,FALSE)</f>
        <v>01030080</v>
      </c>
      <c r="F307" s="6" t="str">
        <f t="shared" si="12"/>
        <v>0103008004</v>
      </c>
    </row>
    <row r="308" spans="1:6" x14ac:dyDescent="0.3">
      <c r="A308" s="6" t="s">
        <v>308</v>
      </c>
      <c r="B308">
        <v>1043665208</v>
      </c>
      <c r="C308" s="3">
        <v>2</v>
      </c>
      <c r="D308" s="5" t="str">
        <f t="shared" si="13"/>
        <v>02</v>
      </c>
      <c r="E308" t="str">
        <f>VLOOKUP(B308,'HOGARES-BASELINE'!$B:$I,8,FALSE)</f>
        <v>01030081</v>
      </c>
      <c r="F308" s="6" t="str">
        <f t="shared" si="12"/>
        <v>0103008102</v>
      </c>
    </row>
    <row r="309" spans="1:6" x14ac:dyDescent="0.3">
      <c r="A309" s="6" t="s">
        <v>309</v>
      </c>
      <c r="B309">
        <v>1043665208</v>
      </c>
      <c r="C309" s="3">
        <v>1</v>
      </c>
      <c r="D309" s="5" t="str">
        <f t="shared" si="13"/>
        <v>01</v>
      </c>
      <c r="E309" t="str">
        <f>VLOOKUP(B309,'HOGARES-BASELINE'!$B:$I,8,FALSE)</f>
        <v>01030081</v>
      </c>
      <c r="F309" s="6" t="str">
        <f t="shared" si="12"/>
        <v>0103008101</v>
      </c>
    </row>
    <row r="310" spans="1:6" x14ac:dyDescent="0.3">
      <c r="A310" s="6" t="s">
        <v>310</v>
      </c>
      <c r="B310">
        <v>1043873936</v>
      </c>
      <c r="C310" s="3">
        <v>5</v>
      </c>
      <c r="D310" s="5" t="str">
        <f t="shared" si="13"/>
        <v>05</v>
      </c>
      <c r="E310" t="str">
        <f>VLOOKUP(B310,'HOGARES-BASELINE'!$B:$I,8,FALSE)</f>
        <v>00030082</v>
      </c>
      <c r="F310" s="6" t="str">
        <f t="shared" si="12"/>
        <v>0003008205</v>
      </c>
    </row>
    <row r="311" spans="1:6" x14ac:dyDescent="0.3">
      <c r="A311" s="6" t="s">
        <v>311</v>
      </c>
      <c r="B311">
        <v>1043873936</v>
      </c>
      <c r="C311" s="3">
        <v>3</v>
      </c>
      <c r="D311" s="5" t="str">
        <f t="shared" si="13"/>
        <v>03</v>
      </c>
      <c r="E311" t="str">
        <f>VLOOKUP(B311,'HOGARES-BASELINE'!$B:$I,8,FALSE)</f>
        <v>00030082</v>
      </c>
      <c r="F311" s="6" t="str">
        <f t="shared" si="12"/>
        <v>0003008203</v>
      </c>
    </row>
    <row r="312" spans="1:6" x14ac:dyDescent="0.3">
      <c r="A312" s="6" t="s">
        <v>312</v>
      </c>
      <c r="B312">
        <v>1043873936</v>
      </c>
      <c r="C312" s="3">
        <v>2</v>
      </c>
      <c r="D312" s="5" t="str">
        <f t="shared" si="13"/>
        <v>02</v>
      </c>
      <c r="E312" t="str">
        <f>VLOOKUP(B312,'HOGARES-BASELINE'!$B:$I,8,FALSE)</f>
        <v>00030082</v>
      </c>
      <c r="F312" s="6" t="str">
        <f t="shared" si="12"/>
        <v>0003008202</v>
      </c>
    </row>
    <row r="313" spans="1:6" x14ac:dyDescent="0.3">
      <c r="A313" s="6" t="s">
        <v>313</v>
      </c>
      <c r="B313">
        <v>1043873936</v>
      </c>
      <c r="C313" s="3">
        <v>4</v>
      </c>
      <c r="D313" s="5" t="str">
        <f t="shared" si="13"/>
        <v>04</v>
      </c>
      <c r="E313" t="str">
        <f>VLOOKUP(B313,'HOGARES-BASELINE'!$B:$I,8,FALSE)</f>
        <v>00030082</v>
      </c>
      <c r="F313" s="6" t="str">
        <f t="shared" si="12"/>
        <v>0003008204</v>
      </c>
    </row>
    <row r="314" spans="1:6" x14ac:dyDescent="0.3">
      <c r="A314" s="6" t="s">
        <v>314</v>
      </c>
      <c r="B314">
        <v>1043873936</v>
      </c>
      <c r="C314" s="3">
        <v>1</v>
      </c>
      <c r="D314" s="5" t="str">
        <f t="shared" si="13"/>
        <v>01</v>
      </c>
      <c r="E314" t="str">
        <f>VLOOKUP(B314,'HOGARES-BASELINE'!$B:$I,8,FALSE)</f>
        <v>00030082</v>
      </c>
      <c r="F314" s="6" t="str">
        <f t="shared" si="12"/>
        <v>0003008201</v>
      </c>
    </row>
    <row r="315" spans="1:6" x14ac:dyDescent="0.3">
      <c r="A315" s="6" t="s">
        <v>315</v>
      </c>
      <c r="B315">
        <v>1044150889</v>
      </c>
      <c r="C315" s="3">
        <v>1</v>
      </c>
      <c r="D315" s="5" t="str">
        <f t="shared" si="13"/>
        <v>01</v>
      </c>
      <c r="E315" t="str">
        <f>VLOOKUP(B315,'HOGARES-BASELINE'!$B:$I,8,FALSE)</f>
        <v>01010083</v>
      </c>
      <c r="F315" s="6" t="str">
        <f t="shared" si="12"/>
        <v>0101008301</v>
      </c>
    </row>
    <row r="316" spans="1:6" x14ac:dyDescent="0.3">
      <c r="A316" s="6" t="s">
        <v>316</v>
      </c>
      <c r="B316">
        <v>1044618006</v>
      </c>
      <c r="C316" s="3">
        <v>1</v>
      </c>
      <c r="D316" s="5" t="str">
        <f t="shared" si="13"/>
        <v>01</v>
      </c>
      <c r="E316" t="str">
        <f>VLOOKUP(B316,'HOGARES-BASELINE'!$B:$I,8,FALSE)</f>
        <v>00030084</v>
      </c>
      <c r="F316" s="6" t="str">
        <f t="shared" si="12"/>
        <v>0003008401</v>
      </c>
    </row>
    <row r="317" spans="1:6" x14ac:dyDescent="0.3">
      <c r="A317" s="6" t="s">
        <v>317</v>
      </c>
      <c r="B317">
        <v>1044618006</v>
      </c>
      <c r="C317" s="3">
        <v>6</v>
      </c>
      <c r="D317" s="5" t="str">
        <f t="shared" si="13"/>
        <v>06</v>
      </c>
      <c r="E317" t="str">
        <f>VLOOKUP(B317,'HOGARES-BASELINE'!$B:$I,8,FALSE)</f>
        <v>00030084</v>
      </c>
      <c r="F317" s="6" t="str">
        <f t="shared" si="12"/>
        <v>0003008406</v>
      </c>
    </row>
    <row r="318" spans="1:6" x14ac:dyDescent="0.3">
      <c r="A318" s="6" t="s">
        <v>318</v>
      </c>
      <c r="B318">
        <v>1044618006</v>
      </c>
      <c r="C318" s="3">
        <v>2</v>
      </c>
      <c r="D318" s="5" t="str">
        <f t="shared" si="13"/>
        <v>02</v>
      </c>
      <c r="E318" t="str">
        <f>VLOOKUP(B318,'HOGARES-BASELINE'!$B:$I,8,FALSE)</f>
        <v>00030084</v>
      </c>
      <c r="F318" s="6" t="str">
        <f t="shared" si="12"/>
        <v>0003008402</v>
      </c>
    </row>
    <row r="319" spans="1:6" x14ac:dyDescent="0.3">
      <c r="A319" s="6" t="s">
        <v>319</v>
      </c>
      <c r="B319">
        <v>1044618006</v>
      </c>
      <c r="C319" s="3">
        <v>4</v>
      </c>
      <c r="D319" s="5" t="str">
        <f t="shared" si="13"/>
        <v>04</v>
      </c>
      <c r="E319" t="str">
        <f>VLOOKUP(B319,'HOGARES-BASELINE'!$B:$I,8,FALSE)</f>
        <v>00030084</v>
      </c>
      <c r="F319" s="6" t="str">
        <f t="shared" si="12"/>
        <v>0003008404</v>
      </c>
    </row>
    <row r="320" spans="1:6" x14ac:dyDescent="0.3">
      <c r="A320" s="6" t="s">
        <v>320</v>
      </c>
      <c r="B320">
        <v>1044618006</v>
      </c>
      <c r="C320" s="3">
        <v>3</v>
      </c>
      <c r="D320" s="5" t="str">
        <f t="shared" si="13"/>
        <v>03</v>
      </c>
      <c r="E320" t="str">
        <f>VLOOKUP(B320,'HOGARES-BASELINE'!$B:$I,8,FALSE)</f>
        <v>00030084</v>
      </c>
      <c r="F320" s="6" t="str">
        <f t="shared" si="12"/>
        <v>0003008403</v>
      </c>
    </row>
    <row r="321" spans="1:6" x14ac:dyDescent="0.3">
      <c r="A321" s="6" t="s">
        <v>321</v>
      </c>
      <c r="B321">
        <v>1044618006</v>
      </c>
      <c r="C321" s="3">
        <v>5</v>
      </c>
      <c r="D321" s="5" t="str">
        <f t="shared" si="13"/>
        <v>05</v>
      </c>
      <c r="E321" t="str">
        <f>VLOOKUP(B321,'HOGARES-BASELINE'!$B:$I,8,FALSE)</f>
        <v>00030084</v>
      </c>
      <c r="F321" s="6" t="str">
        <f t="shared" si="12"/>
        <v>0003008405</v>
      </c>
    </row>
    <row r="322" spans="1:6" x14ac:dyDescent="0.3">
      <c r="A322" s="6" t="s">
        <v>322</v>
      </c>
      <c r="B322">
        <v>1044618006</v>
      </c>
      <c r="C322" s="3">
        <v>7</v>
      </c>
      <c r="D322" s="5" t="str">
        <f t="shared" si="13"/>
        <v>07</v>
      </c>
      <c r="E322" t="str">
        <f>VLOOKUP(B322,'HOGARES-BASELINE'!$B:$I,8,FALSE)</f>
        <v>00030084</v>
      </c>
      <c r="F322" s="6" t="str">
        <f t="shared" si="12"/>
        <v>0003008407</v>
      </c>
    </row>
    <row r="323" spans="1:6" x14ac:dyDescent="0.3">
      <c r="A323" s="6" t="s">
        <v>323</v>
      </c>
      <c r="B323">
        <v>1045674075</v>
      </c>
      <c r="C323" s="3">
        <v>2</v>
      </c>
      <c r="D323" s="5" t="str">
        <f t="shared" si="13"/>
        <v>02</v>
      </c>
      <c r="E323" t="str">
        <f>VLOOKUP(B323,'HOGARES-BASELINE'!$B:$I,8,FALSE)</f>
        <v>00030085</v>
      </c>
      <c r="F323" s="6" t="str">
        <f t="shared" ref="F323:F386" si="14">_xlfn.CONCAT(E323,D323)</f>
        <v>0003008502</v>
      </c>
    </row>
    <row r="324" spans="1:6" x14ac:dyDescent="0.3">
      <c r="A324" s="6" t="s">
        <v>324</v>
      </c>
      <c r="B324">
        <v>1045674075</v>
      </c>
      <c r="C324" s="3">
        <v>1</v>
      </c>
      <c r="D324" s="5" t="str">
        <f t="shared" si="13"/>
        <v>01</v>
      </c>
      <c r="E324" t="str">
        <f>VLOOKUP(B324,'HOGARES-BASELINE'!$B:$I,8,FALSE)</f>
        <v>00030085</v>
      </c>
      <c r="F324" s="6" t="str">
        <f t="shared" si="14"/>
        <v>0003008501</v>
      </c>
    </row>
    <row r="325" spans="1:6" x14ac:dyDescent="0.3">
      <c r="A325" s="6" t="s">
        <v>325</v>
      </c>
      <c r="B325">
        <v>1045674075</v>
      </c>
      <c r="C325" s="3">
        <v>4</v>
      </c>
      <c r="D325" s="5" t="str">
        <f t="shared" si="13"/>
        <v>04</v>
      </c>
      <c r="E325" t="str">
        <f>VLOOKUP(B325,'HOGARES-BASELINE'!$B:$I,8,FALSE)</f>
        <v>00030085</v>
      </c>
      <c r="F325" s="6" t="str">
        <f t="shared" si="14"/>
        <v>0003008504</v>
      </c>
    </row>
    <row r="326" spans="1:6" x14ac:dyDescent="0.3">
      <c r="A326" s="6" t="s">
        <v>326</v>
      </c>
      <c r="B326">
        <v>1045674075</v>
      </c>
      <c r="C326" s="3">
        <v>3</v>
      </c>
      <c r="D326" s="5" t="str">
        <f t="shared" si="13"/>
        <v>03</v>
      </c>
      <c r="E326" t="str">
        <f>VLOOKUP(B326,'HOGARES-BASELINE'!$B:$I,8,FALSE)</f>
        <v>00030085</v>
      </c>
      <c r="F326" s="6" t="str">
        <f t="shared" si="14"/>
        <v>0003008503</v>
      </c>
    </row>
    <row r="327" spans="1:6" x14ac:dyDescent="0.3">
      <c r="A327" s="6" t="s">
        <v>327</v>
      </c>
      <c r="B327">
        <v>1045675162</v>
      </c>
      <c r="C327" s="3">
        <v>4</v>
      </c>
      <c r="D327" s="5" t="str">
        <f t="shared" si="13"/>
        <v>04</v>
      </c>
      <c r="E327" t="str">
        <f>VLOOKUP(B327,'HOGARES-BASELINE'!$B:$I,8,FALSE)</f>
        <v>00030086</v>
      </c>
      <c r="F327" s="6" t="str">
        <f t="shared" si="14"/>
        <v>0003008604</v>
      </c>
    </row>
    <row r="328" spans="1:6" x14ac:dyDescent="0.3">
      <c r="A328" s="6" t="s">
        <v>328</v>
      </c>
      <c r="B328">
        <v>1045675162</v>
      </c>
      <c r="C328" s="3">
        <v>5</v>
      </c>
      <c r="D328" s="5" t="str">
        <f t="shared" si="13"/>
        <v>05</v>
      </c>
      <c r="E328" t="str">
        <f>VLOOKUP(B328,'HOGARES-BASELINE'!$B:$I,8,FALSE)</f>
        <v>00030086</v>
      </c>
      <c r="F328" s="6" t="str">
        <f t="shared" si="14"/>
        <v>0003008605</v>
      </c>
    </row>
    <row r="329" spans="1:6" x14ac:dyDescent="0.3">
      <c r="A329" s="6" t="s">
        <v>329</v>
      </c>
      <c r="B329">
        <v>1045675162</v>
      </c>
      <c r="C329" s="3">
        <v>1</v>
      </c>
      <c r="D329" s="5" t="str">
        <f t="shared" si="13"/>
        <v>01</v>
      </c>
      <c r="E329" t="str">
        <f>VLOOKUP(B329,'HOGARES-BASELINE'!$B:$I,8,FALSE)</f>
        <v>00030086</v>
      </c>
      <c r="F329" s="6" t="str">
        <f t="shared" si="14"/>
        <v>0003008601</v>
      </c>
    </row>
    <row r="330" spans="1:6" x14ac:dyDescent="0.3">
      <c r="A330" s="6" t="s">
        <v>330</v>
      </c>
      <c r="B330">
        <v>1045675162</v>
      </c>
      <c r="C330" s="3">
        <v>3</v>
      </c>
      <c r="D330" s="5" t="str">
        <f t="shared" si="13"/>
        <v>03</v>
      </c>
      <c r="E330" t="str">
        <f>VLOOKUP(B330,'HOGARES-BASELINE'!$B:$I,8,FALSE)</f>
        <v>00030086</v>
      </c>
      <c r="F330" s="6" t="str">
        <f t="shared" si="14"/>
        <v>0003008603</v>
      </c>
    </row>
    <row r="331" spans="1:6" x14ac:dyDescent="0.3">
      <c r="A331" s="6" t="s">
        <v>331</v>
      </c>
      <c r="B331">
        <v>1045675162</v>
      </c>
      <c r="C331" s="3">
        <v>2</v>
      </c>
      <c r="D331" s="5" t="str">
        <f t="shared" si="13"/>
        <v>02</v>
      </c>
      <c r="E331" t="str">
        <f>VLOOKUP(B331,'HOGARES-BASELINE'!$B:$I,8,FALSE)</f>
        <v>00030086</v>
      </c>
      <c r="F331" s="6" t="str">
        <f t="shared" si="14"/>
        <v>0003008602</v>
      </c>
    </row>
    <row r="332" spans="1:6" x14ac:dyDescent="0.3">
      <c r="A332" s="6" t="s">
        <v>332</v>
      </c>
      <c r="B332">
        <v>1045677797</v>
      </c>
      <c r="C332" s="3">
        <v>1</v>
      </c>
      <c r="D332" s="5" t="str">
        <f t="shared" si="13"/>
        <v>01</v>
      </c>
      <c r="E332" t="str">
        <f>VLOOKUP(B332,'HOGARES-BASELINE'!$B:$I,8,FALSE)</f>
        <v>01030087</v>
      </c>
      <c r="F332" s="6" t="str">
        <f t="shared" si="14"/>
        <v>0103008701</v>
      </c>
    </row>
    <row r="333" spans="1:6" x14ac:dyDescent="0.3">
      <c r="A333" s="6" t="s">
        <v>333</v>
      </c>
      <c r="B333">
        <v>1045677797</v>
      </c>
      <c r="C333" s="3">
        <v>2</v>
      </c>
      <c r="D333" s="5" t="str">
        <f t="shared" si="13"/>
        <v>02</v>
      </c>
      <c r="E333" t="str">
        <f>VLOOKUP(B333,'HOGARES-BASELINE'!$B:$I,8,FALSE)</f>
        <v>01030087</v>
      </c>
      <c r="F333" s="6" t="str">
        <f t="shared" si="14"/>
        <v>0103008702</v>
      </c>
    </row>
    <row r="334" spans="1:6" x14ac:dyDescent="0.3">
      <c r="A334" s="6" t="s">
        <v>334</v>
      </c>
      <c r="B334">
        <v>1045678951</v>
      </c>
      <c r="C334" s="3">
        <v>4</v>
      </c>
      <c r="D334" s="5" t="str">
        <f t="shared" si="13"/>
        <v>04</v>
      </c>
      <c r="E334" t="str">
        <f>VLOOKUP(B334,'HOGARES-BASELINE'!$B:$I,8,FALSE)</f>
        <v>01030088</v>
      </c>
      <c r="F334" s="6" t="str">
        <f t="shared" si="14"/>
        <v>0103008804</v>
      </c>
    </row>
    <row r="335" spans="1:6" x14ac:dyDescent="0.3">
      <c r="A335" s="6" t="s">
        <v>335</v>
      </c>
      <c r="B335">
        <v>1045678951</v>
      </c>
      <c r="C335" s="3">
        <v>2</v>
      </c>
      <c r="D335" s="5" t="str">
        <f t="shared" si="13"/>
        <v>02</v>
      </c>
      <c r="E335" t="str">
        <f>VLOOKUP(B335,'HOGARES-BASELINE'!$B:$I,8,FALSE)</f>
        <v>01030088</v>
      </c>
      <c r="F335" s="6" t="str">
        <f t="shared" si="14"/>
        <v>0103008802</v>
      </c>
    </row>
    <row r="336" spans="1:6" x14ac:dyDescent="0.3">
      <c r="A336" s="6" t="s">
        <v>336</v>
      </c>
      <c r="B336">
        <v>1045678951</v>
      </c>
      <c r="C336" s="3">
        <v>1</v>
      </c>
      <c r="D336" s="5" t="str">
        <f t="shared" si="13"/>
        <v>01</v>
      </c>
      <c r="E336" t="str">
        <f>VLOOKUP(B336,'HOGARES-BASELINE'!$B:$I,8,FALSE)</f>
        <v>01030088</v>
      </c>
      <c r="F336" s="6" t="str">
        <f t="shared" si="14"/>
        <v>0103008801</v>
      </c>
    </row>
    <row r="337" spans="1:6" x14ac:dyDescent="0.3">
      <c r="A337" s="6" t="s">
        <v>337</v>
      </c>
      <c r="B337">
        <v>1045678951</v>
      </c>
      <c r="C337" s="3">
        <v>3</v>
      </c>
      <c r="D337" s="5" t="str">
        <f t="shared" si="13"/>
        <v>03</v>
      </c>
      <c r="E337" t="str">
        <f>VLOOKUP(B337,'HOGARES-BASELINE'!$B:$I,8,FALSE)</f>
        <v>01030088</v>
      </c>
      <c r="F337" s="6" t="str">
        <f t="shared" si="14"/>
        <v>0103008803</v>
      </c>
    </row>
    <row r="338" spans="1:6" x14ac:dyDescent="0.3">
      <c r="A338" s="6" t="s">
        <v>338</v>
      </c>
      <c r="B338">
        <v>1045679578</v>
      </c>
      <c r="C338" s="3">
        <v>1</v>
      </c>
      <c r="D338" s="5" t="str">
        <f t="shared" si="13"/>
        <v>01</v>
      </c>
      <c r="E338" t="str">
        <f>VLOOKUP(B338,'HOGARES-BASELINE'!$B:$I,8,FALSE)</f>
        <v>01030089</v>
      </c>
      <c r="F338" s="6" t="str">
        <f t="shared" si="14"/>
        <v>0103008901</v>
      </c>
    </row>
    <row r="339" spans="1:6" x14ac:dyDescent="0.3">
      <c r="A339" s="6" t="s">
        <v>339</v>
      </c>
      <c r="B339">
        <v>1045683391</v>
      </c>
      <c r="C339" s="3">
        <v>3</v>
      </c>
      <c r="D339" s="5" t="str">
        <f t="shared" si="13"/>
        <v>03</v>
      </c>
      <c r="E339" t="str">
        <f>VLOOKUP(B339,'HOGARES-BASELINE'!$B:$I,8,FALSE)</f>
        <v>01030090</v>
      </c>
      <c r="F339" s="6" t="str">
        <f t="shared" si="14"/>
        <v>0103009003</v>
      </c>
    </row>
    <row r="340" spans="1:6" x14ac:dyDescent="0.3">
      <c r="A340" s="6" t="s">
        <v>340</v>
      </c>
      <c r="B340">
        <v>1045683391</v>
      </c>
      <c r="C340" s="3">
        <v>1</v>
      </c>
      <c r="D340" s="5" t="str">
        <f t="shared" si="13"/>
        <v>01</v>
      </c>
      <c r="E340" t="str">
        <f>VLOOKUP(B340,'HOGARES-BASELINE'!$B:$I,8,FALSE)</f>
        <v>01030090</v>
      </c>
      <c r="F340" s="6" t="str">
        <f t="shared" si="14"/>
        <v>0103009001</v>
      </c>
    </row>
    <row r="341" spans="1:6" x14ac:dyDescent="0.3">
      <c r="A341" s="6" t="s">
        <v>341</v>
      </c>
      <c r="B341">
        <v>1045683391</v>
      </c>
      <c r="C341" s="3">
        <v>2</v>
      </c>
      <c r="D341" s="5" t="str">
        <f t="shared" si="13"/>
        <v>02</v>
      </c>
      <c r="E341" t="str">
        <f>VLOOKUP(B341,'HOGARES-BASELINE'!$B:$I,8,FALSE)</f>
        <v>01030090</v>
      </c>
      <c r="F341" s="6" t="str">
        <f t="shared" si="14"/>
        <v>0103009002</v>
      </c>
    </row>
    <row r="342" spans="1:6" x14ac:dyDescent="0.3">
      <c r="A342" s="6" t="s">
        <v>342</v>
      </c>
      <c r="B342">
        <v>1045684410</v>
      </c>
      <c r="C342" s="3">
        <v>2</v>
      </c>
      <c r="D342" s="5" t="str">
        <f t="shared" si="13"/>
        <v>02</v>
      </c>
      <c r="E342" t="str">
        <f>VLOOKUP(B342,'HOGARES-BASELINE'!$B:$I,8,FALSE)</f>
        <v>01030091</v>
      </c>
      <c r="F342" s="6" t="str">
        <f t="shared" si="14"/>
        <v>0103009102</v>
      </c>
    </row>
    <row r="343" spans="1:6" x14ac:dyDescent="0.3">
      <c r="A343" s="6" t="s">
        <v>343</v>
      </c>
      <c r="B343">
        <v>1045684410</v>
      </c>
      <c r="C343" s="3">
        <v>1</v>
      </c>
      <c r="D343" s="5" t="str">
        <f t="shared" si="13"/>
        <v>01</v>
      </c>
      <c r="E343" t="str">
        <f>VLOOKUP(B343,'HOGARES-BASELINE'!$B:$I,8,FALSE)</f>
        <v>01030091</v>
      </c>
      <c r="F343" s="6" t="str">
        <f t="shared" si="14"/>
        <v>0103009101</v>
      </c>
    </row>
    <row r="344" spans="1:6" x14ac:dyDescent="0.3">
      <c r="A344" s="6" t="s">
        <v>344</v>
      </c>
      <c r="B344">
        <v>1045685911</v>
      </c>
      <c r="C344" s="3">
        <v>3</v>
      </c>
      <c r="D344" s="5" t="str">
        <f t="shared" si="13"/>
        <v>03</v>
      </c>
      <c r="E344" t="str">
        <f>VLOOKUP(B344,'HOGARES-BASELINE'!$B:$I,8,FALSE)</f>
        <v>01030092</v>
      </c>
      <c r="F344" s="6" t="str">
        <f t="shared" si="14"/>
        <v>0103009203</v>
      </c>
    </row>
    <row r="345" spans="1:6" x14ac:dyDescent="0.3">
      <c r="A345" s="6" t="s">
        <v>345</v>
      </c>
      <c r="B345">
        <v>1045685911</v>
      </c>
      <c r="C345" s="3">
        <v>2</v>
      </c>
      <c r="D345" s="5" t="str">
        <f t="shared" si="13"/>
        <v>02</v>
      </c>
      <c r="E345" t="str">
        <f>VLOOKUP(B345,'HOGARES-BASELINE'!$B:$I,8,FALSE)</f>
        <v>01030092</v>
      </c>
      <c r="F345" s="6" t="str">
        <f t="shared" si="14"/>
        <v>0103009202</v>
      </c>
    </row>
    <row r="346" spans="1:6" x14ac:dyDescent="0.3">
      <c r="A346" s="6" t="s">
        <v>346</v>
      </c>
      <c r="B346">
        <v>1045685911</v>
      </c>
      <c r="C346" s="3">
        <v>1</v>
      </c>
      <c r="D346" s="5" t="str">
        <f t="shared" si="13"/>
        <v>01</v>
      </c>
      <c r="E346" t="str">
        <f>VLOOKUP(B346,'HOGARES-BASELINE'!$B:$I,8,FALSE)</f>
        <v>01030092</v>
      </c>
      <c r="F346" s="6" t="str">
        <f t="shared" si="14"/>
        <v>0103009201</v>
      </c>
    </row>
    <row r="347" spans="1:6" x14ac:dyDescent="0.3">
      <c r="A347" s="6" t="s">
        <v>347</v>
      </c>
      <c r="B347">
        <v>1045691917</v>
      </c>
      <c r="C347" s="3">
        <v>1</v>
      </c>
      <c r="D347" s="5" t="str">
        <f t="shared" si="13"/>
        <v>01</v>
      </c>
      <c r="E347" t="str">
        <f>VLOOKUP(B347,'HOGARES-BASELINE'!$B:$I,8,FALSE)</f>
        <v>01030093</v>
      </c>
      <c r="F347" s="6" t="str">
        <f t="shared" si="14"/>
        <v>0103009301</v>
      </c>
    </row>
    <row r="348" spans="1:6" x14ac:dyDescent="0.3">
      <c r="A348" s="6" t="s">
        <v>348</v>
      </c>
      <c r="B348">
        <v>1045691917</v>
      </c>
      <c r="C348" s="3">
        <v>2</v>
      </c>
      <c r="D348" s="5" t="str">
        <f t="shared" si="13"/>
        <v>02</v>
      </c>
      <c r="E348" t="str">
        <f>VLOOKUP(B348,'HOGARES-BASELINE'!$B:$I,8,FALSE)</f>
        <v>01030093</v>
      </c>
      <c r="F348" s="6" t="str">
        <f t="shared" si="14"/>
        <v>0103009302</v>
      </c>
    </row>
    <row r="349" spans="1:6" x14ac:dyDescent="0.3">
      <c r="A349" s="6" t="s">
        <v>349</v>
      </c>
      <c r="B349">
        <v>1045724437</v>
      </c>
      <c r="C349" s="3">
        <v>1</v>
      </c>
      <c r="D349" s="5" t="str">
        <f t="shared" si="13"/>
        <v>01</v>
      </c>
      <c r="E349" t="str">
        <f>VLOOKUP(B349,'HOGARES-BASELINE'!$B:$I,8,FALSE)</f>
        <v>01030094</v>
      </c>
      <c r="F349" s="6" t="str">
        <f t="shared" si="14"/>
        <v>0103009401</v>
      </c>
    </row>
    <row r="350" spans="1:6" x14ac:dyDescent="0.3">
      <c r="A350" s="6" t="s">
        <v>350</v>
      </c>
      <c r="B350">
        <v>1045724437</v>
      </c>
      <c r="C350" s="3">
        <v>4</v>
      </c>
      <c r="D350" s="5" t="str">
        <f t="shared" si="13"/>
        <v>04</v>
      </c>
      <c r="E350" t="str">
        <f>VLOOKUP(B350,'HOGARES-BASELINE'!$B:$I,8,FALSE)</f>
        <v>01030094</v>
      </c>
      <c r="F350" s="6" t="str">
        <f t="shared" si="14"/>
        <v>0103009404</v>
      </c>
    </row>
    <row r="351" spans="1:6" x14ac:dyDescent="0.3">
      <c r="A351" s="6" t="s">
        <v>351</v>
      </c>
      <c r="B351">
        <v>1045724437</v>
      </c>
      <c r="C351" s="3">
        <v>3</v>
      </c>
      <c r="D351" s="5" t="str">
        <f t="shared" si="13"/>
        <v>03</v>
      </c>
      <c r="E351" t="str">
        <f>VLOOKUP(B351,'HOGARES-BASELINE'!$B:$I,8,FALSE)</f>
        <v>01030094</v>
      </c>
      <c r="F351" s="6" t="str">
        <f t="shared" si="14"/>
        <v>0103009403</v>
      </c>
    </row>
    <row r="352" spans="1:6" x14ac:dyDescent="0.3">
      <c r="A352" s="6" t="s">
        <v>352</v>
      </c>
      <c r="B352">
        <v>1045724437</v>
      </c>
      <c r="C352" s="3">
        <v>2</v>
      </c>
      <c r="D352" s="5" t="str">
        <f t="shared" si="13"/>
        <v>02</v>
      </c>
      <c r="E352" t="str">
        <f>VLOOKUP(B352,'HOGARES-BASELINE'!$B:$I,8,FALSE)</f>
        <v>01030094</v>
      </c>
      <c r="F352" s="6" t="str">
        <f t="shared" si="14"/>
        <v>0103009402</v>
      </c>
    </row>
    <row r="353" spans="1:6" x14ac:dyDescent="0.3">
      <c r="A353" s="6" t="s">
        <v>353</v>
      </c>
      <c r="B353">
        <v>1045731398</v>
      </c>
      <c r="C353" s="3">
        <v>2</v>
      </c>
      <c r="D353" s="5" t="str">
        <f t="shared" si="13"/>
        <v>02</v>
      </c>
      <c r="E353" t="str">
        <f>VLOOKUP(B353,'HOGARES-BASELINE'!$B:$I,8,FALSE)</f>
        <v>01030095</v>
      </c>
      <c r="F353" s="6" t="str">
        <f t="shared" si="14"/>
        <v>0103009502</v>
      </c>
    </row>
    <row r="354" spans="1:6" x14ac:dyDescent="0.3">
      <c r="A354" s="6" t="s">
        <v>354</v>
      </c>
      <c r="B354">
        <v>1045731398</v>
      </c>
      <c r="C354" s="3">
        <v>1</v>
      </c>
      <c r="D354" s="5" t="str">
        <f t="shared" si="13"/>
        <v>01</v>
      </c>
      <c r="E354" t="str">
        <f>VLOOKUP(B354,'HOGARES-BASELINE'!$B:$I,8,FALSE)</f>
        <v>01030095</v>
      </c>
      <c r="F354" s="6" t="str">
        <f t="shared" si="14"/>
        <v>0103009501</v>
      </c>
    </row>
    <row r="355" spans="1:6" x14ac:dyDescent="0.3">
      <c r="A355" s="6" t="s">
        <v>355</v>
      </c>
      <c r="B355">
        <v>1045731398</v>
      </c>
      <c r="C355" s="3">
        <v>3</v>
      </c>
      <c r="D355" s="5" t="str">
        <f t="shared" si="13"/>
        <v>03</v>
      </c>
      <c r="E355" t="str">
        <f>VLOOKUP(B355,'HOGARES-BASELINE'!$B:$I,8,FALSE)</f>
        <v>01030095</v>
      </c>
      <c r="F355" s="6" t="str">
        <f t="shared" si="14"/>
        <v>0103009503</v>
      </c>
    </row>
    <row r="356" spans="1:6" x14ac:dyDescent="0.3">
      <c r="A356" s="6" t="s">
        <v>356</v>
      </c>
      <c r="B356">
        <v>1045741495</v>
      </c>
      <c r="C356" s="3">
        <v>4</v>
      </c>
      <c r="D356" s="5" t="str">
        <f t="shared" si="13"/>
        <v>04</v>
      </c>
      <c r="E356" t="str">
        <f>VLOOKUP(B356,'HOGARES-BASELINE'!$B:$I,8,FALSE)</f>
        <v>01030096</v>
      </c>
      <c r="F356" s="6" t="str">
        <f t="shared" si="14"/>
        <v>0103009604</v>
      </c>
    </row>
    <row r="357" spans="1:6" x14ac:dyDescent="0.3">
      <c r="A357" s="6" t="s">
        <v>357</v>
      </c>
      <c r="B357">
        <v>1045741495</v>
      </c>
      <c r="C357" s="3">
        <v>2</v>
      </c>
      <c r="D357" s="5" t="str">
        <f t="shared" si="13"/>
        <v>02</v>
      </c>
      <c r="E357" t="str">
        <f>VLOOKUP(B357,'HOGARES-BASELINE'!$B:$I,8,FALSE)</f>
        <v>01030096</v>
      </c>
      <c r="F357" s="6" t="str">
        <f t="shared" si="14"/>
        <v>0103009602</v>
      </c>
    </row>
    <row r="358" spans="1:6" x14ac:dyDescent="0.3">
      <c r="A358" s="6" t="s">
        <v>358</v>
      </c>
      <c r="B358">
        <v>1045741495</v>
      </c>
      <c r="C358" s="3">
        <v>3</v>
      </c>
      <c r="D358" s="5" t="str">
        <f t="shared" si="13"/>
        <v>03</v>
      </c>
      <c r="E358" t="str">
        <f>VLOOKUP(B358,'HOGARES-BASELINE'!$B:$I,8,FALSE)</f>
        <v>01030096</v>
      </c>
      <c r="F358" s="6" t="str">
        <f t="shared" si="14"/>
        <v>0103009603</v>
      </c>
    </row>
    <row r="359" spans="1:6" x14ac:dyDescent="0.3">
      <c r="A359" s="6" t="s">
        <v>359</v>
      </c>
      <c r="B359">
        <v>1045741495</v>
      </c>
      <c r="C359" s="3">
        <v>5</v>
      </c>
      <c r="D359" s="5" t="str">
        <f t="shared" si="13"/>
        <v>05</v>
      </c>
      <c r="E359" t="str">
        <f>VLOOKUP(B359,'HOGARES-BASELINE'!$B:$I,8,FALSE)</f>
        <v>01030096</v>
      </c>
      <c r="F359" s="6" t="str">
        <f t="shared" si="14"/>
        <v>0103009605</v>
      </c>
    </row>
    <row r="360" spans="1:6" x14ac:dyDescent="0.3">
      <c r="A360" s="6" t="s">
        <v>360</v>
      </c>
      <c r="B360">
        <v>1045741495</v>
      </c>
      <c r="C360" s="3">
        <v>1</v>
      </c>
      <c r="D360" s="5" t="str">
        <f t="shared" si="13"/>
        <v>01</v>
      </c>
      <c r="E360" t="str">
        <f>VLOOKUP(B360,'HOGARES-BASELINE'!$B:$I,8,FALSE)</f>
        <v>01030096</v>
      </c>
      <c r="F360" s="6" t="str">
        <f t="shared" si="14"/>
        <v>0103009601</v>
      </c>
    </row>
    <row r="361" spans="1:6" x14ac:dyDescent="0.3">
      <c r="A361" s="6" t="s">
        <v>361</v>
      </c>
      <c r="B361">
        <v>1045743889</v>
      </c>
      <c r="C361" s="3">
        <v>2</v>
      </c>
      <c r="D361" s="5" t="str">
        <f t="shared" si="13"/>
        <v>02</v>
      </c>
      <c r="E361" t="str">
        <f>VLOOKUP(B361,'HOGARES-BASELINE'!$B:$I,8,FALSE)</f>
        <v>01030097</v>
      </c>
      <c r="F361" s="6" t="str">
        <f t="shared" si="14"/>
        <v>0103009702</v>
      </c>
    </row>
    <row r="362" spans="1:6" x14ac:dyDescent="0.3">
      <c r="A362" s="6" t="s">
        <v>362</v>
      </c>
      <c r="B362">
        <v>1045743889</v>
      </c>
      <c r="C362" s="3">
        <v>3</v>
      </c>
      <c r="D362" s="5" t="str">
        <f t="shared" si="13"/>
        <v>03</v>
      </c>
      <c r="E362" t="str">
        <f>VLOOKUP(B362,'HOGARES-BASELINE'!$B:$I,8,FALSE)</f>
        <v>01030097</v>
      </c>
      <c r="F362" s="6" t="str">
        <f t="shared" si="14"/>
        <v>0103009703</v>
      </c>
    </row>
    <row r="363" spans="1:6" x14ac:dyDescent="0.3">
      <c r="A363" s="6" t="s">
        <v>363</v>
      </c>
      <c r="B363">
        <v>1045743889</v>
      </c>
      <c r="C363" s="3">
        <v>4</v>
      </c>
      <c r="D363" s="5" t="str">
        <f t="shared" si="13"/>
        <v>04</v>
      </c>
      <c r="E363" t="str">
        <f>VLOOKUP(B363,'HOGARES-BASELINE'!$B:$I,8,FALSE)</f>
        <v>01030097</v>
      </c>
      <c r="F363" s="6" t="str">
        <f t="shared" si="14"/>
        <v>0103009704</v>
      </c>
    </row>
    <row r="364" spans="1:6" x14ac:dyDescent="0.3">
      <c r="A364" s="6" t="s">
        <v>364</v>
      </c>
      <c r="B364">
        <v>1045743889</v>
      </c>
      <c r="C364" s="3">
        <v>1</v>
      </c>
      <c r="D364" s="5" t="str">
        <f t="shared" si="13"/>
        <v>01</v>
      </c>
      <c r="E364" t="str">
        <f>VLOOKUP(B364,'HOGARES-BASELINE'!$B:$I,8,FALSE)</f>
        <v>01030097</v>
      </c>
      <c r="F364" s="6" t="str">
        <f t="shared" si="14"/>
        <v>0103009701</v>
      </c>
    </row>
    <row r="365" spans="1:6" x14ac:dyDescent="0.3">
      <c r="A365" s="6" t="s">
        <v>365</v>
      </c>
      <c r="B365">
        <v>1045746691</v>
      </c>
      <c r="C365" s="3">
        <v>2</v>
      </c>
      <c r="D365" s="5" t="str">
        <f t="shared" si="13"/>
        <v>02</v>
      </c>
      <c r="E365" t="str">
        <f>VLOOKUP(B365,'HOGARES-BASELINE'!$B:$I,8,FALSE)</f>
        <v>01030098</v>
      </c>
      <c r="F365" s="6" t="str">
        <f t="shared" si="14"/>
        <v>0103009802</v>
      </c>
    </row>
    <row r="366" spans="1:6" x14ac:dyDescent="0.3">
      <c r="A366" s="6" t="s">
        <v>366</v>
      </c>
      <c r="B366">
        <v>1045746691</v>
      </c>
      <c r="C366" s="3">
        <v>5</v>
      </c>
      <c r="D366" s="5" t="str">
        <f t="shared" si="13"/>
        <v>05</v>
      </c>
      <c r="E366" t="str">
        <f>VLOOKUP(B366,'HOGARES-BASELINE'!$B:$I,8,FALSE)</f>
        <v>01030098</v>
      </c>
      <c r="F366" s="6" t="str">
        <f t="shared" si="14"/>
        <v>0103009805</v>
      </c>
    </row>
    <row r="367" spans="1:6" x14ac:dyDescent="0.3">
      <c r="A367" s="6" t="s">
        <v>367</v>
      </c>
      <c r="B367">
        <v>1045746691</v>
      </c>
      <c r="C367" s="3">
        <v>3</v>
      </c>
      <c r="D367" s="5" t="str">
        <f t="shared" si="13"/>
        <v>03</v>
      </c>
      <c r="E367" t="str">
        <f>VLOOKUP(B367,'HOGARES-BASELINE'!$B:$I,8,FALSE)</f>
        <v>01030098</v>
      </c>
      <c r="F367" s="6" t="str">
        <f t="shared" si="14"/>
        <v>0103009803</v>
      </c>
    </row>
    <row r="368" spans="1:6" x14ac:dyDescent="0.3">
      <c r="A368" s="6" t="s">
        <v>368</v>
      </c>
      <c r="B368">
        <v>1045746691</v>
      </c>
      <c r="C368" s="3">
        <v>1</v>
      </c>
      <c r="D368" s="5" t="str">
        <f t="shared" si="13"/>
        <v>01</v>
      </c>
      <c r="E368" t="str">
        <f>VLOOKUP(B368,'HOGARES-BASELINE'!$B:$I,8,FALSE)</f>
        <v>01030098</v>
      </c>
      <c r="F368" s="6" t="str">
        <f t="shared" si="14"/>
        <v>0103009801</v>
      </c>
    </row>
    <row r="369" spans="1:6" x14ac:dyDescent="0.3">
      <c r="A369" s="6" t="s">
        <v>369</v>
      </c>
      <c r="B369">
        <v>1045746691</v>
      </c>
      <c r="C369" s="3">
        <v>4</v>
      </c>
      <c r="D369" s="5" t="str">
        <f t="shared" si="13"/>
        <v>04</v>
      </c>
      <c r="E369" t="str">
        <f>VLOOKUP(B369,'HOGARES-BASELINE'!$B:$I,8,FALSE)</f>
        <v>01030098</v>
      </c>
      <c r="F369" s="6" t="str">
        <f t="shared" si="14"/>
        <v>0103009804</v>
      </c>
    </row>
    <row r="370" spans="1:6" x14ac:dyDescent="0.3">
      <c r="A370" s="6" t="s">
        <v>370</v>
      </c>
      <c r="B370">
        <v>1045748346</v>
      </c>
      <c r="C370" s="3">
        <v>1</v>
      </c>
      <c r="D370" s="5" t="str">
        <f t="shared" ref="D370:D433" si="15">_xlfn.CONCAT(0,C370)</f>
        <v>01</v>
      </c>
      <c r="E370" t="str">
        <f>VLOOKUP(B370,'HOGARES-BASELINE'!$B:$I,8,FALSE)</f>
        <v>01030099</v>
      </c>
      <c r="F370" s="6" t="str">
        <f t="shared" si="14"/>
        <v>0103009901</v>
      </c>
    </row>
    <row r="371" spans="1:6" x14ac:dyDescent="0.3">
      <c r="A371" s="6" t="s">
        <v>371</v>
      </c>
      <c r="B371">
        <v>1045748346</v>
      </c>
      <c r="C371" s="3">
        <v>3</v>
      </c>
      <c r="D371" s="5" t="str">
        <f t="shared" si="15"/>
        <v>03</v>
      </c>
      <c r="E371" t="str">
        <f>VLOOKUP(B371,'HOGARES-BASELINE'!$B:$I,8,FALSE)</f>
        <v>01030099</v>
      </c>
      <c r="F371" s="6" t="str">
        <f t="shared" si="14"/>
        <v>0103009903</v>
      </c>
    </row>
    <row r="372" spans="1:6" x14ac:dyDescent="0.3">
      <c r="A372" s="6" t="s">
        <v>372</v>
      </c>
      <c r="B372">
        <v>1045748346</v>
      </c>
      <c r="C372" s="3">
        <v>2</v>
      </c>
      <c r="D372" s="5" t="str">
        <f t="shared" si="15"/>
        <v>02</v>
      </c>
      <c r="E372" t="str">
        <f>VLOOKUP(B372,'HOGARES-BASELINE'!$B:$I,8,FALSE)</f>
        <v>01030099</v>
      </c>
      <c r="F372" s="6" t="str">
        <f t="shared" si="14"/>
        <v>0103009902</v>
      </c>
    </row>
    <row r="373" spans="1:6" x14ac:dyDescent="0.3">
      <c r="A373" s="6" t="s">
        <v>373</v>
      </c>
      <c r="B373">
        <v>1045759593</v>
      </c>
      <c r="C373" s="3">
        <v>2</v>
      </c>
      <c r="D373" s="5" t="str">
        <f t="shared" si="15"/>
        <v>02</v>
      </c>
      <c r="E373" t="str">
        <f>VLOOKUP(B373,'HOGARES-BASELINE'!$B:$I,8,FALSE)</f>
        <v>01030100</v>
      </c>
      <c r="F373" s="6" t="str">
        <f t="shared" si="14"/>
        <v>0103010002</v>
      </c>
    </row>
    <row r="374" spans="1:6" x14ac:dyDescent="0.3">
      <c r="A374" s="6" t="s">
        <v>374</v>
      </c>
      <c r="B374">
        <v>1045759593</v>
      </c>
      <c r="C374" s="3">
        <v>4</v>
      </c>
      <c r="D374" s="5" t="str">
        <f t="shared" si="15"/>
        <v>04</v>
      </c>
      <c r="E374" t="str">
        <f>VLOOKUP(B374,'HOGARES-BASELINE'!$B:$I,8,FALSE)</f>
        <v>01030100</v>
      </c>
      <c r="F374" s="6" t="str">
        <f t="shared" si="14"/>
        <v>0103010004</v>
      </c>
    </row>
    <row r="375" spans="1:6" x14ac:dyDescent="0.3">
      <c r="A375" s="6" t="s">
        <v>375</v>
      </c>
      <c r="B375">
        <v>1045759593</v>
      </c>
      <c r="C375" s="3">
        <v>3</v>
      </c>
      <c r="D375" s="5" t="str">
        <f t="shared" si="15"/>
        <v>03</v>
      </c>
      <c r="E375" t="str">
        <f>VLOOKUP(B375,'HOGARES-BASELINE'!$B:$I,8,FALSE)</f>
        <v>01030100</v>
      </c>
      <c r="F375" s="6" t="str">
        <f t="shared" si="14"/>
        <v>0103010003</v>
      </c>
    </row>
    <row r="376" spans="1:6" x14ac:dyDescent="0.3">
      <c r="A376" s="6" t="s">
        <v>376</v>
      </c>
      <c r="B376">
        <v>1045759593</v>
      </c>
      <c r="C376" s="3">
        <v>1</v>
      </c>
      <c r="D376" s="5" t="str">
        <f t="shared" si="15"/>
        <v>01</v>
      </c>
      <c r="E376" t="str">
        <f>VLOOKUP(B376,'HOGARES-BASELINE'!$B:$I,8,FALSE)</f>
        <v>01030100</v>
      </c>
      <c r="F376" s="6" t="str">
        <f t="shared" si="14"/>
        <v>0103010001</v>
      </c>
    </row>
    <row r="377" spans="1:6" x14ac:dyDescent="0.3">
      <c r="A377" s="6" t="s">
        <v>377</v>
      </c>
      <c r="B377">
        <v>1046697166</v>
      </c>
      <c r="C377" s="3">
        <v>2</v>
      </c>
      <c r="D377" s="5" t="str">
        <f t="shared" si="15"/>
        <v>02</v>
      </c>
      <c r="E377" t="str">
        <f>VLOOKUP(B377,'HOGARES-BASELINE'!$B:$I,8,FALSE)</f>
        <v>00030101</v>
      </c>
      <c r="F377" s="6" t="str">
        <f t="shared" si="14"/>
        <v>0003010102</v>
      </c>
    </row>
    <row r="378" spans="1:6" x14ac:dyDescent="0.3">
      <c r="A378" s="6" t="s">
        <v>378</v>
      </c>
      <c r="B378">
        <v>1046697166</v>
      </c>
      <c r="C378" s="3">
        <v>1</v>
      </c>
      <c r="D378" s="5" t="str">
        <f t="shared" si="15"/>
        <v>01</v>
      </c>
      <c r="E378" t="str">
        <f>VLOOKUP(B378,'HOGARES-BASELINE'!$B:$I,8,FALSE)</f>
        <v>00030101</v>
      </c>
      <c r="F378" s="6" t="str">
        <f t="shared" si="14"/>
        <v>0003010101</v>
      </c>
    </row>
    <row r="379" spans="1:6" x14ac:dyDescent="0.3">
      <c r="A379" s="6" t="s">
        <v>379</v>
      </c>
      <c r="B379">
        <v>1046697166</v>
      </c>
      <c r="C379" s="3">
        <v>3</v>
      </c>
      <c r="D379" s="5" t="str">
        <f t="shared" si="15"/>
        <v>03</v>
      </c>
      <c r="E379" t="str">
        <f>VLOOKUP(B379,'HOGARES-BASELINE'!$B:$I,8,FALSE)</f>
        <v>00030101</v>
      </c>
      <c r="F379" s="6" t="str">
        <f t="shared" si="14"/>
        <v>0003010103</v>
      </c>
    </row>
    <row r="380" spans="1:6" x14ac:dyDescent="0.3">
      <c r="A380" s="6" t="s">
        <v>380</v>
      </c>
      <c r="B380">
        <v>1046697166</v>
      </c>
      <c r="C380" s="3">
        <v>4</v>
      </c>
      <c r="D380" s="5" t="str">
        <f t="shared" si="15"/>
        <v>04</v>
      </c>
      <c r="E380" t="str">
        <f>VLOOKUP(B380,'HOGARES-BASELINE'!$B:$I,8,FALSE)</f>
        <v>00030101</v>
      </c>
      <c r="F380" s="6" t="str">
        <f t="shared" si="14"/>
        <v>0003010104</v>
      </c>
    </row>
    <row r="381" spans="1:6" x14ac:dyDescent="0.3">
      <c r="A381" s="6" t="s">
        <v>381</v>
      </c>
      <c r="B381">
        <v>1046702906</v>
      </c>
      <c r="C381" s="3">
        <v>1</v>
      </c>
      <c r="D381" s="5" t="str">
        <f t="shared" si="15"/>
        <v>01</v>
      </c>
      <c r="E381" t="str">
        <f>VLOOKUP(B381,'HOGARES-BASELINE'!$B:$I,8,FALSE)</f>
        <v>00030102</v>
      </c>
      <c r="F381" s="6" t="str">
        <f t="shared" si="14"/>
        <v>0003010201</v>
      </c>
    </row>
    <row r="382" spans="1:6" x14ac:dyDescent="0.3">
      <c r="A382" s="6" t="s">
        <v>382</v>
      </c>
      <c r="B382">
        <v>1046702906</v>
      </c>
      <c r="C382" s="3">
        <v>4</v>
      </c>
      <c r="D382" s="5" t="str">
        <f t="shared" si="15"/>
        <v>04</v>
      </c>
      <c r="E382" t="str">
        <f>VLOOKUP(B382,'HOGARES-BASELINE'!$B:$I,8,FALSE)</f>
        <v>00030102</v>
      </c>
      <c r="F382" s="6" t="str">
        <f t="shared" si="14"/>
        <v>0003010204</v>
      </c>
    </row>
    <row r="383" spans="1:6" x14ac:dyDescent="0.3">
      <c r="A383" s="6" t="s">
        <v>383</v>
      </c>
      <c r="B383">
        <v>1046702906</v>
      </c>
      <c r="C383" s="3">
        <v>5</v>
      </c>
      <c r="D383" s="5" t="str">
        <f t="shared" si="15"/>
        <v>05</v>
      </c>
      <c r="E383" t="str">
        <f>VLOOKUP(B383,'HOGARES-BASELINE'!$B:$I,8,FALSE)</f>
        <v>00030102</v>
      </c>
      <c r="F383" s="6" t="str">
        <f t="shared" si="14"/>
        <v>0003010205</v>
      </c>
    </row>
    <row r="384" spans="1:6" x14ac:dyDescent="0.3">
      <c r="A384" s="6" t="s">
        <v>384</v>
      </c>
      <c r="B384">
        <v>1046702906</v>
      </c>
      <c r="C384" s="3">
        <v>2</v>
      </c>
      <c r="D384" s="5" t="str">
        <f t="shared" si="15"/>
        <v>02</v>
      </c>
      <c r="E384" t="str">
        <f>VLOOKUP(B384,'HOGARES-BASELINE'!$B:$I,8,FALSE)</f>
        <v>00030102</v>
      </c>
      <c r="F384" s="6" t="str">
        <f t="shared" si="14"/>
        <v>0003010202</v>
      </c>
    </row>
    <row r="385" spans="1:6" x14ac:dyDescent="0.3">
      <c r="A385" s="6" t="s">
        <v>385</v>
      </c>
      <c r="B385">
        <v>1046702906</v>
      </c>
      <c r="C385" s="3">
        <v>3</v>
      </c>
      <c r="D385" s="5" t="str">
        <f t="shared" si="15"/>
        <v>03</v>
      </c>
      <c r="E385" t="str">
        <f>VLOOKUP(B385,'HOGARES-BASELINE'!$B:$I,8,FALSE)</f>
        <v>00030102</v>
      </c>
      <c r="F385" s="6" t="str">
        <f t="shared" si="14"/>
        <v>0003010203</v>
      </c>
    </row>
    <row r="386" spans="1:6" x14ac:dyDescent="0.3">
      <c r="A386" s="6" t="s">
        <v>386</v>
      </c>
      <c r="B386">
        <v>1047048484</v>
      </c>
      <c r="C386" s="3">
        <v>1</v>
      </c>
      <c r="D386" s="5" t="str">
        <f t="shared" si="15"/>
        <v>01</v>
      </c>
      <c r="E386" t="str">
        <f>VLOOKUP(B386,'HOGARES-BASELINE'!$B:$I,8,FALSE)</f>
        <v>01030103</v>
      </c>
      <c r="F386" s="6" t="str">
        <f t="shared" si="14"/>
        <v>0103010301</v>
      </c>
    </row>
    <row r="387" spans="1:6" x14ac:dyDescent="0.3">
      <c r="A387" s="6" t="s">
        <v>387</v>
      </c>
      <c r="B387">
        <v>1047048484</v>
      </c>
      <c r="C387" s="3">
        <v>2</v>
      </c>
      <c r="D387" s="5" t="str">
        <f t="shared" si="15"/>
        <v>02</v>
      </c>
      <c r="E387" t="str">
        <f>VLOOKUP(B387,'HOGARES-BASELINE'!$B:$I,8,FALSE)</f>
        <v>01030103</v>
      </c>
      <c r="F387" s="6" t="str">
        <f t="shared" ref="F387:F450" si="16">_xlfn.CONCAT(E387,D387)</f>
        <v>0103010302</v>
      </c>
    </row>
    <row r="388" spans="1:6" x14ac:dyDescent="0.3">
      <c r="A388" s="6" t="s">
        <v>388</v>
      </c>
      <c r="B388">
        <v>1047048484</v>
      </c>
      <c r="C388" s="3">
        <v>3</v>
      </c>
      <c r="D388" s="5" t="str">
        <f t="shared" si="15"/>
        <v>03</v>
      </c>
      <c r="E388" t="str">
        <f>VLOOKUP(B388,'HOGARES-BASELINE'!$B:$I,8,FALSE)</f>
        <v>01030103</v>
      </c>
      <c r="F388" s="6" t="str">
        <f t="shared" si="16"/>
        <v>0103010303</v>
      </c>
    </row>
    <row r="389" spans="1:6" x14ac:dyDescent="0.3">
      <c r="A389" s="6" t="s">
        <v>389</v>
      </c>
      <c r="B389">
        <v>1047217469</v>
      </c>
      <c r="C389" s="3">
        <v>1</v>
      </c>
      <c r="D389" s="5" t="str">
        <f t="shared" si="15"/>
        <v>01</v>
      </c>
      <c r="E389" t="str">
        <f>VLOOKUP(B389,'HOGARES-BASELINE'!$B:$I,8,FALSE)</f>
        <v>00030104</v>
      </c>
      <c r="F389" s="6" t="str">
        <f t="shared" si="16"/>
        <v>0003010401</v>
      </c>
    </row>
    <row r="390" spans="1:6" x14ac:dyDescent="0.3">
      <c r="A390" s="6" t="s">
        <v>390</v>
      </c>
      <c r="B390">
        <v>1047217469</v>
      </c>
      <c r="C390" s="3">
        <v>8</v>
      </c>
      <c r="D390" s="5" t="str">
        <f t="shared" si="15"/>
        <v>08</v>
      </c>
      <c r="E390" t="str">
        <f>VLOOKUP(B390,'HOGARES-BASELINE'!$B:$I,8,FALSE)</f>
        <v>00030104</v>
      </c>
      <c r="F390" s="6" t="str">
        <f t="shared" si="16"/>
        <v>0003010408</v>
      </c>
    </row>
    <row r="391" spans="1:6" x14ac:dyDescent="0.3">
      <c r="A391" s="6" t="s">
        <v>391</v>
      </c>
      <c r="B391">
        <v>1047217469</v>
      </c>
      <c r="C391" s="3">
        <v>5</v>
      </c>
      <c r="D391" s="5" t="str">
        <f t="shared" si="15"/>
        <v>05</v>
      </c>
      <c r="E391" t="str">
        <f>VLOOKUP(B391,'HOGARES-BASELINE'!$B:$I,8,FALSE)</f>
        <v>00030104</v>
      </c>
      <c r="F391" s="6" t="str">
        <f t="shared" si="16"/>
        <v>0003010405</v>
      </c>
    </row>
    <row r="392" spans="1:6" x14ac:dyDescent="0.3">
      <c r="A392" s="6" t="s">
        <v>392</v>
      </c>
      <c r="B392">
        <v>1047217469</v>
      </c>
      <c r="C392" s="3">
        <v>3</v>
      </c>
      <c r="D392" s="5" t="str">
        <f t="shared" si="15"/>
        <v>03</v>
      </c>
      <c r="E392" t="str">
        <f>VLOOKUP(B392,'HOGARES-BASELINE'!$B:$I,8,FALSE)</f>
        <v>00030104</v>
      </c>
      <c r="F392" s="6" t="str">
        <f t="shared" si="16"/>
        <v>0003010403</v>
      </c>
    </row>
    <row r="393" spans="1:6" x14ac:dyDescent="0.3">
      <c r="A393" s="6" t="s">
        <v>393</v>
      </c>
      <c r="B393">
        <v>1047217469</v>
      </c>
      <c r="C393" s="3">
        <v>2</v>
      </c>
      <c r="D393" s="5" t="str">
        <f t="shared" si="15"/>
        <v>02</v>
      </c>
      <c r="E393" t="str">
        <f>VLOOKUP(B393,'HOGARES-BASELINE'!$B:$I,8,FALSE)</f>
        <v>00030104</v>
      </c>
      <c r="F393" s="6" t="str">
        <f t="shared" si="16"/>
        <v>0003010402</v>
      </c>
    </row>
    <row r="394" spans="1:6" x14ac:dyDescent="0.3">
      <c r="A394" s="6" t="s">
        <v>394</v>
      </c>
      <c r="B394">
        <v>1047217469</v>
      </c>
      <c r="C394" s="3">
        <v>4</v>
      </c>
      <c r="D394" s="5" t="str">
        <f t="shared" si="15"/>
        <v>04</v>
      </c>
      <c r="E394" t="str">
        <f>VLOOKUP(B394,'HOGARES-BASELINE'!$B:$I,8,FALSE)</f>
        <v>00030104</v>
      </c>
      <c r="F394" s="6" t="str">
        <f t="shared" si="16"/>
        <v>0003010404</v>
      </c>
    </row>
    <row r="395" spans="1:6" x14ac:dyDescent="0.3">
      <c r="A395" s="6" t="s">
        <v>395</v>
      </c>
      <c r="B395">
        <v>1047217469</v>
      </c>
      <c r="C395" s="3">
        <v>6</v>
      </c>
      <c r="D395" s="5" t="str">
        <f t="shared" si="15"/>
        <v>06</v>
      </c>
      <c r="E395" t="str">
        <f>VLOOKUP(B395,'HOGARES-BASELINE'!$B:$I,8,FALSE)</f>
        <v>00030104</v>
      </c>
      <c r="F395" s="6" t="str">
        <f t="shared" si="16"/>
        <v>0003010406</v>
      </c>
    </row>
    <row r="396" spans="1:6" x14ac:dyDescent="0.3">
      <c r="A396" s="6" t="s">
        <v>396</v>
      </c>
      <c r="B396">
        <v>1047217469</v>
      </c>
      <c r="C396" s="3">
        <v>7</v>
      </c>
      <c r="D396" s="5" t="str">
        <f t="shared" si="15"/>
        <v>07</v>
      </c>
      <c r="E396" t="str">
        <f>VLOOKUP(B396,'HOGARES-BASELINE'!$B:$I,8,FALSE)</f>
        <v>00030104</v>
      </c>
      <c r="F396" s="6" t="str">
        <f t="shared" si="16"/>
        <v>0003010407</v>
      </c>
    </row>
    <row r="397" spans="1:6" x14ac:dyDescent="0.3">
      <c r="A397" s="6" t="s">
        <v>397</v>
      </c>
      <c r="B397">
        <v>1047221609</v>
      </c>
      <c r="C397" s="3">
        <v>1</v>
      </c>
      <c r="D397" s="5" t="str">
        <f t="shared" si="15"/>
        <v>01</v>
      </c>
      <c r="E397" t="str">
        <f>VLOOKUP(B397,'HOGARES-BASELINE'!$B:$I,8,FALSE)</f>
        <v>01030105</v>
      </c>
      <c r="F397" s="6" t="str">
        <f t="shared" si="16"/>
        <v>0103010501</v>
      </c>
    </row>
    <row r="398" spans="1:6" x14ac:dyDescent="0.3">
      <c r="A398" s="6" t="s">
        <v>398</v>
      </c>
      <c r="B398">
        <v>1047221609</v>
      </c>
      <c r="C398" s="3">
        <v>2</v>
      </c>
      <c r="D398" s="5" t="str">
        <f t="shared" si="15"/>
        <v>02</v>
      </c>
      <c r="E398" t="str">
        <f>VLOOKUP(B398,'HOGARES-BASELINE'!$B:$I,8,FALSE)</f>
        <v>01030105</v>
      </c>
      <c r="F398" s="6" t="str">
        <f t="shared" si="16"/>
        <v>0103010502</v>
      </c>
    </row>
    <row r="399" spans="1:6" x14ac:dyDescent="0.3">
      <c r="A399" s="6" t="s">
        <v>399</v>
      </c>
      <c r="B399">
        <v>1047221609</v>
      </c>
      <c r="C399" s="3">
        <v>3</v>
      </c>
      <c r="D399" s="5" t="str">
        <f t="shared" si="15"/>
        <v>03</v>
      </c>
      <c r="E399" t="str">
        <f>VLOOKUP(B399,'HOGARES-BASELINE'!$B:$I,8,FALSE)</f>
        <v>01030105</v>
      </c>
      <c r="F399" s="6" t="str">
        <f t="shared" si="16"/>
        <v>0103010503</v>
      </c>
    </row>
    <row r="400" spans="1:6" x14ac:dyDescent="0.3">
      <c r="A400" s="6" t="s">
        <v>400</v>
      </c>
      <c r="B400">
        <v>1047221609</v>
      </c>
      <c r="C400" s="3">
        <v>4</v>
      </c>
      <c r="D400" s="5" t="str">
        <f t="shared" si="15"/>
        <v>04</v>
      </c>
      <c r="E400" t="str">
        <f>VLOOKUP(B400,'HOGARES-BASELINE'!$B:$I,8,FALSE)</f>
        <v>01030105</v>
      </c>
      <c r="F400" s="6" t="str">
        <f t="shared" si="16"/>
        <v>0103010504</v>
      </c>
    </row>
    <row r="401" spans="1:6" x14ac:dyDescent="0.3">
      <c r="A401" s="6" t="s">
        <v>401</v>
      </c>
      <c r="B401">
        <v>1047222969</v>
      </c>
      <c r="C401" s="3">
        <v>1</v>
      </c>
      <c r="D401" s="5" t="str">
        <f t="shared" si="15"/>
        <v>01</v>
      </c>
      <c r="E401" t="str">
        <f>VLOOKUP(B401,'HOGARES-BASELINE'!$B:$I,8,FALSE)</f>
        <v>00030106</v>
      </c>
      <c r="F401" s="6" t="str">
        <f t="shared" si="16"/>
        <v>0003010601</v>
      </c>
    </row>
    <row r="402" spans="1:6" x14ac:dyDescent="0.3">
      <c r="A402" s="6" t="s">
        <v>402</v>
      </c>
      <c r="B402">
        <v>1047222969</v>
      </c>
      <c r="C402" s="3">
        <v>2</v>
      </c>
      <c r="D402" s="5" t="str">
        <f t="shared" si="15"/>
        <v>02</v>
      </c>
      <c r="E402" t="str">
        <f>VLOOKUP(B402,'HOGARES-BASELINE'!$B:$I,8,FALSE)</f>
        <v>00030106</v>
      </c>
      <c r="F402" s="6" t="str">
        <f t="shared" si="16"/>
        <v>0003010602</v>
      </c>
    </row>
    <row r="403" spans="1:6" x14ac:dyDescent="0.3">
      <c r="A403" s="6" t="s">
        <v>403</v>
      </c>
      <c r="B403">
        <v>1047222969</v>
      </c>
      <c r="C403" s="3">
        <v>3</v>
      </c>
      <c r="D403" s="5" t="str">
        <f t="shared" si="15"/>
        <v>03</v>
      </c>
      <c r="E403" t="str">
        <f>VLOOKUP(B403,'HOGARES-BASELINE'!$B:$I,8,FALSE)</f>
        <v>00030106</v>
      </c>
      <c r="F403" s="6" t="str">
        <f t="shared" si="16"/>
        <v>0003010603</v>
      </c>
    </row>
    <row r="404" spans="1:6" x14ac:dyDescent="0.3">
      <c r="A404" s="6" t="s">
        <v>404</v>
      </c>
      <c r="B404">
        <v>1047223166</v>
      </c>
      <c r="C404" s="3">
        <v>1</v>
      </c>
      <c r="D404" s="5" t="str">
        <f t="shared" si="15"/>
        <v>01</v>
      </c>
      <c r="E404" t="str">
        <f>VLOOKUP(B404,'HOGARES-BASELINE'!$B:$I,8,FALSE)</f>
        <v>01030107</v>
      </c>
      <c r="F404" s="6" t="str">
        <f t="shared" si="16"/>
        <v>0103010701</v>
      </c>
    </row>
    <row r="405" spans="1:6" x14ac:dyDescent="0.3">
      <c r="A405" s="6" t="s">
        <v>405</v>
      </c>
      <c r="B405">
        <v>1047223166</v>
      </c>
      <c r="C405" s="3">
        <v>3</v>
      </c>
      <c r="D405" s="5" t="str">
        <f t="shared" si="15"/>
        <v>03</v>
      </c>
      <c r="E405" t="str">
        <f>VLOOKUP(B405,'HOGARES-BASELINE'!$B:$I,8,FALSE)</f>
        <v>01030107</v>
      </c>
      <c r="F405" s="6" t="str">
        <f t="shared" si="16"/>
        <v>0103010703</v>
      </c>
    </row>
    <row r="406" spans="1:6" x14ac:dyDescent="0.3">
      <c r="A406" s="6" t="s">
        <v>406</v>
      </c>
      <c r="B406">
        <v>1047223166</v>
      </c>
      <c r="C406" s="3">
        <v>4</v>
      </c>
      <c r="D406" s="5" t="str">
        <f t="shared" si="15"/>
        <v>04</v>
      </c>
      <c r="E406" t="str">
        <f>VLOOKUP(B406,'HOGARES-BASELINE'!$B:$I,8,FALSE)</f>
        <v>01030107</v>
      </c>
      <c r="F406" s="6" t="str">
        <f t="shared" si="16"/>
        <v>0103010704</v>
      </c>
    </row>
    <row r="407" spans="1:6" x14ac:dyDescent="0.3">
      <c r="A407" s="6" t="s">
        <v>407</v>
      </c>
      <c r="B407">
        <v>1047223166</v>
      </c>
      <c r="C407" s="3">
        <v>2</v>
      </c>
      <c r="D407" s="5" t="str">
        <f t="shared" si="15"/>
        <v>02</v>
      </c>
      <c r="E407" t="str">
        <f>VLOOKUP(B407,'HOGARES-BASELINE'!$B:$I,8,FALSE)</f>
        <v>01030107</v>
      </c>
      <c r="F407" s="6" t="str">
        <f t="shared" si="16"/>
        <v>0103010702</v>
      </c>
    </row>
    <row r="408" spans="1:6" x14ac:dyDescent="0.3">
      <c r="A408" s="6" t="s">
        <v>408</v>
      </c>
      <c r="B408">
        <v>1047223432</v>
      </c>
      <c r="C408" s="3">
        <v>1</v>
      </c>
      <c r="D408" s="5" t="str">
        <f t="shared" si="15"/>
        <v>01</v>
      </c>
      <c r="E408" t="str">
        <f>VLOOKUP(B408,'HOGARES-BASELINE'!$B:$I,8,FALSE)</f>
        <v>00030108</v>
      </c>
      <c r="F408" s="6" t="str">
        <f t="shared" si="16"/>
        <v>0003010801</v>
      </c>
    </row>
    <row r="409" spans="1:6" x14ac:dyDescent="0.3">
      <c r="A409" s="6" t="s">
        <v>409</v>
      </c>
      <c r="B409">
        <v>1047223432</v>
      </c>
      <c r="C409" s="3">
        <v>2</v>
      </c>
      <c r="D409" s="5" t="str">
        <f t="shared" si="15"/>
        <v>02</v>
      </c>
      <c r="E409" t="str">
        <f>VLOOKUP(B409,'HOGARES-BASELINE'!$B:$I,8,FALSE)</f>
        <v>00030108</v>
      </c>
      <c r="F409" s="6" t="str">
        <f t="shared" si="16"/>
        <v>0003010802</v>
      </c>
    </row>
    <row r="410" spans="1:6" x14ac:dyDescent="0.3">
      <c r="A410" s="6" t="s">
        <v>410</v>
      </c>
      <c r="B410">
        <v>1047223432</v>
      </c>
      <c r="C410" s="3">
        <v>3</v>
      </c>
      <c r="D410" s="5" t="str">
        <f t="shared" si="15"/>
        <v>03</v>
      </c>
      <c r="E410" t="str">
        <f>VLOOKUP(B410,'HOGARES-BASELINE'!$B:$I,8,FALSE)</f>
        <v>00030108</v>
      </c>
      <c r="F410" s="6" t="str">
        <f t="shared" si="16"/>
        <v>0003010803</v>
      </c>
    </row>
    <row r="411" spans="1:6" x14ac:dyDescent="0.3">
      <c r="A411" s="6" t="s">
        <v>411</v>
      </c>
      <c r="B411">
        <v>1047226056</v>
      </c>
      <c r="C411" s="3">
        <v>3</v>
      </c>
      <c r="D411" s="5" t="str">
        <f t="shared" si="15"/>
        <v>03</v>
      </c>
      <c r="E411" t="str">
        <f>VLOOKUP(B411,'HOGARES-BASELINE'!$B:$I,8,FALSE)</f>
        <v>01030109</v>
      </c>
      <c r="F411" s="6" t="str">
        <f t="shared" si="16"/>
        <v>0103010903</v>
      </c>
    </row>
    <row r="412" spans="1:6" x14ac:dyDescent="0.3">
      <c r="A412" s="6" t="s">
        <v>412</v>
      </c>
      <c r="B412">
        <v>1047226056</v>
      </c>
      <c r="C412" s="3">
        <v>2</v>
      </c>
      <c r="D412" s="5" t="str">
        <f t="shared" si="15"/>
        <v>02</v>
      </c>
      <c r="E412" t="str">
        <f>VLOOKUP(B412,'HOGARES-BASELINE'!$B:$I,8,FALSE)</f>
        <v>01030109</v>
      </c>
      <c r="F412" s="6" t="str">
        <f t="shared" si="16"/>
        <v>0103010902</v>
      </c>
    </row>
    <row r="413" spans="1:6" x14ac:dyDescent="0.3">
      <c r="A413" s="6" t="s">
        <v>413</v>
      </c>
      <c r="B413">
        <v>1047226056</v>
      </c>
      <c r="C413" s="3">
        <v>4</v>
      </c>
      <c r="D413" s="5" t="str">
        <f t="shared" si="15"/>
        <v>04</v>
      </c>
      <c r="E413" t="str">
        <f>VLOOKUP(B413,'HOGARES-BASELINE'!$B:$I,8,FALSE)</f>
        <v>01030109</v>
      </c>
      <c r="F413" s="6" t="str">
        <f t="shared" si="16"/>
        <v>0103010904</v>
      </c>
    </row>
    <row r="414" spans="1:6" x14ac:dyDescent="0.3">
      <c r="A414" s="6" t="s">
        <v>414</v>
      </c>
      <c r="B414">
        <v>1047226056</v>
      </c>
      <c r="C414" s="3">
        <v>1</v>
      </c>
      <c r="D414" s="5" t="str">
        <f t="shared" si="15"/>
        <v>01</v>
      </c>
      <c r="E414" t="str">
        <f>VLOOKUP(B414,'HOGARES-BASELINE'!$B:$I,8,FALSE)</f>
        <v>01030109</v>
      </c>
      <c r="F414" s="6" t="str">
        <f t="shared" si="16"/>
        <v>0103010901</v>
      </c>
    </row>
    <row r="415" spans="1:6" x14ac:dyDescent="0.3">
      <c r="A415" s="6" t="s">
        <v>415</v>
      </c>
      <c r="B415">
        <v>10472271</v>
      </c>
      <c r="C415" s="3">
        <v>1</v>
      </c>
      <c r="D415" s="5" t="str">
        <f t="shared" si="15"/>
        <v>01</v>
      </c>
      <c r="E415" t="str">
        <f>VLOOKUP(B415,'HOGARES-BASELINE'!$B:$I,8,FALSE)</f>
        <v>01020110</v>
      </c>
      <c r="F415" s="6" t="str">
        <f t="shared" si="16"/>
        <v>0102011001</v>
      </c>
    </row>
    <row r="416" spans="1:6" x14ac:dyDescent="0.3">
      <c r="A416" s="6" t="s">
        <v>416</v>
      </c>
      <c r="B416">
        <v>1047227573</v>
      </c>
      <c r="C416" s="3">
        <v>1</v>
      </c>
      <c r="D416" s="5" t="str">
        <f t="shared" si="15"/>
        <v>01</v>
      </c>
      <c r="E416" t="str">
        <f>VLOOKUP(B416,'HOGARES-BASELINE'!$B:$I,8,FALSE)</f>
        <v>01030111</v>
      </c>
      <c r="F416" s="6" t="str">
        <f t="shared" si="16"/>
        <v>0103011101</v>
      </c>
    </row>
    <row r="417" spans="1:6" x14ac:dyDescent="0.3">
      <c r="A417" s="6" t="s">
        <v>417</v>
      </c>
      <c r="B417">
        <v>1047227573</v>
      </c>
      <c r="C417" s="3">
        <v>3</v>
      </c>
      <c r="D417" s="5" t="str">
        <f t="shared" si="15"/>
        <v>03</v>
      </c>
      <c r="E417" t="str">
        <f>VLOOKUP(B417,'HOGARES-BASELINE'!$B:$I,8,FALSE)</f>
        <v>01030111</v>
      </c>
      <c r="F417" s="6" t="str">
        <f t="shared" si="16"/>
        <v>0103011103</v>
      </c>
    </row>
    <row r="418" spans="1:6" x14ac:dyDescent="0.3">
      <c r="A418" s="6" t="s">
        <v>418</v>
      </c>
      <c r="B418">
        <v>1047227573</v>
      </c>
      <c r="C418" s="3">
        <v>2</v>
      </c>
      <c r="D418" s="5" t="str">
        <f t="shared" si="15"/>
        <v>02</v>
      </c>
      <c r="E418" t="str">
        <f>VLOOKUP(B418,'HOGARES-BASELINE'!$B:$I,8,FALSE)</f>
        <v>01030111</v>
      </c>
      <c r="F418" s="6" t="str">
        <f t="shared" si="16"/>
        <v>0103011102</v>
      </c>
    </row>
    <row r="419" spans="1:6" x14ac:dyDescent="0.3">
      <c r="A419" s="6" t="s">
        <v>419</v>
      </c>
      <c r="B419">
        <v>1047227573</v>
      </c>
      <c r="C419" s="3">
        <v>4</v>
      </c>
      <c r="D419" s="5" t="str">
        <f t="shared" si="15"/>
        <v>04</v>
      </c>
      <c r="E419" t="str">
        <f>VLOOKUP(B419,'HOGARES-BASELINE'!$B:$I,8,FALSE)</f>
        <v>01030111</v>
      </c>
      <c r="F419" s="6" t="str">
        <f t="shared" si="16"/>
        <v>0103011104</v>
      </c>
    </row>
    <row r="420" spans="1:6" x14ac:dyDescent="0.3">
      <c r="A420" s="6" t="s">
        <v>420</v>
      </c>
      <c r="B420">
        <v>1048220109</v>
      </c>
      <c r="C420" s="3">
        <v>4</v>
      </c>
      <c r="D420" s="5" t="str">
        <f t="shared" si="15"/>
        <v>04</v>
      </c>
      <c r="E420" t="str">
        <f>VLOOKUP(B420,'HOGARES-BASELINE'!$B:$I,8,FALSE)</f>
        <v>01030112</v>
      </c>
      <c r="F420" s="6" t="str">
        <f t="shared" si="16"/>
        <v>0103011204</v>
      </c>
    </row>
    <row r="421" spans="1:6" x14ac:dyDescent="0.3">
      <c r="A421" s="6" t="s">
        <v>421</v>
      </c>
      <c r="B421">
        <v>1048220109</v>
      </c>
      <c r="C421" s="3">
        <v>2</v>
      </c>
      <c r="D421" s="5" t="str">
        <f t="shared" si="15"/>
        <v>02</v>
      </c>
      <c r="E421" t="str">
        <f>VLOOKUP(B421,'HOGARES-BASELINE'!$B:$I,8,FALSE)</f>
        <v>01030112</v>
      </c>
      <c r="F421" s="6" t="str">
        <f t="shared" si="16"/>
        <v>0103011202</v>
      </c>
    </row>
    <row r="422" spans="1:6" x14ac:dyDescent="0.3">
      <c r="A422" s="6" t="s">
        <v>422</v>
      </c>
      <c r="B422">
        <v>1048220109</v>
      </c>
      <c r="C422" s="3">
        <v>1</v>
      </c>
      <c r="D422" s="5" t="str">
        <f t="shared" si="15"/>
        <v>01</v>
      </c>
      <c r="E422" t="str">
        <f>VLOOKUP(B422,'HOGARES-BASELINE'!$B:$I,8,FALSE)</f>
        <v>01030112</v>
      </c>
      <c r="F422" s="6" t="str">
        <f t="shared" si="16"/>
        <v>0103011201</v>
      </c>
    </row>
    <row r="423" spans="1:6" x14ac:dyDescent="0.3">
      <c r="A423" s="6" t="s">
        <v>423</v>
      </c>
      <c r="B423">
        <v>1048220109</v>
      </c>
      <c r="C423" s="3">
        <v>3</v>
      </c>
      <c r="D423" s="5" t="str">
        <f t="shared" si="15"/>
        <v>03</v>
      </c>
      <c r="E423" t="str">
        <f>VLOOKUP(B423,'HOGARES-BASELINE'!$B:$I,8,FALSE)</f>
        <v>01030112</v>
      </c>
      <c r="F423" s="6" t="str">
        <f t="shared" si="16"/>
        <v>0103011203</v>
      </c>
    </row>
    <row r="424" spans="1:6" x14ac:dyDescent="0.3">
      <c r="A424" s="6" t="s">
        <v>424</v>
      </c>
      <c r="B424">
        <v>1051360142</v>
      </c>
      <c r="C424" s="3">
        <v>2</v>
      </c>
      <c r="D424" s="5" t="str">
        <f t="shared" si="15"/>
        <v>02</v>
      </c>
      <c r="E424" t="str">
        <f>VLOOKUP(B424,'HOGARES-BASELINE'!$B:$I,8,FALSE)</f>
        <v>00030113</v>
      </c>
      <c r="F424" s="6" t="str">
        <f t="shared" si="16"/>
        <v>0003011302</v>
      </c>
    </row>
    <row r="425" spans="1:6" x14ac:dyDescent="0.3">
      <c r="A425" s="6" t="s">
        <v>425</v>
      </c>
      <c r="B425">
        <v>1051360142</v>
      </c>
      <c r="C425" s="3">
        <v>3</v>
      </c>
      <c r="D425" s="5" t="str">
        <f t="shared" si="15"/>
        <v>03</v>
      </c>
      <c r="E425" t="str">
        <f>VLOOKUP(B425,'HOGARES-BASELINE'!$B:$I,8,FALSE)</f>
        <v>00030113</v>
      </c>
      <c r="F425" s="6" t="str">
        <f t="shared" si="16"/>
        <v>0003011303</v>
      </c>
    </row>
    <row r="426" spans="1:6" x14ac:dyDescent="0.3">
      <c r="A426" s="6" t="s">
        <v>426</v>
      </c>
      <c r="B426">
        <v>1051360142</v>
      </c>
      <c r="C426" s="3">
        <v>4</v>
      </c>
      <c r="D426" s="5" t="str">
        <f t="shared" si="15"/>
        <v>04</v>
      </c>
      <c r="E426" t="str">
        <f>VLOOKUP(B426,'HOGARES-BASELINE'!$B:$I,8,FALSE)</f>
        <v>00030113</v>
      </c>
      <c r="F426" s="6" t="str">
        <f t="shared" si="16"/>
        <v>0003011304</v>
      </c>
    </row>
    <row r="427" spans="1:6" x14ac:dyDescent="0.3">
      <c r="A427" s="6" t="s">
        <v>427</v>
      </c>
      <c r="B427">
        <v>1051360142</v>
      </c>
      <c r="C427" s="3">
        <v>1</v>
      </c>
      <c r="D427" s="5" t="str">
        <f t="shared" si="15"/>
        <v>01</v>
      </c>
      <c r="E427" t="str">
        <f>VLOOKUP(B427,'HOGARES-BASELINE'!$B:$I,8,FALSE)</f>
        <v>00030113</v>
      </c>
      <c r="F427" s="6" t="str">
        <f t="shared" si="16"/>
        <v>0003011301</v>
      </c>
    </row>
    <row r="428" spans="1:6" x14ac:dyDescent="0.3">
      <c r="A428" s="6" t="s">
        <v>428</v>
      </c>
      <c r="B428">
        <v>1059044849</v>
      </c>
      <c r="C428" s="3">
        <v>4</v>
      </c>
      <c r="D428" s="5" t="str">
        <f t="shared" si="15"/>
        <v>04</v>
      </c>
      <c r="E428" t="str">
        <f>VLOOKUP(B428,'HOGARES-BASELINE'!$B:$I,8,FALSE)</f>
        <v>01020114</v>
      </c>
      <c r="F428" s="6" t="str">
        <f t="shared" si="16"/>
        <v>0102011404</v>
      </c>
    </row>
    <row r="429" spans="1:6" x14ac:dyDescent="0.3">
      <c r="A429" s="6" t="s">
        <v>429</v>
      </c>
      <c r="B429">
        <v>1059044849</v>
      </c>
      <c r="C429" s="3">
        <v>3</v>
      </c>
      <c r="D429" s="5" t="str">
        <f t="shared" si="15"/>
        <v>03</v>
      </c>
      <c r="E429" t="str">
        <f>VLOOKUP(B429,'HOGARES-BASELINE'!$B:$I,8,FALSE)</f>
        <v>01020114</v>
      </c>
      <c r="F429" s="6" t="str">
        <f t="shared" si="16"/>
        <v>0102011403</v>
      </c>
    </row>
    <row r="430" spans="1:6" x14ac:dyDescent="0.3">
      <c r="A430" s="6" t="s">
        <v>430</v>
      </c>
      <c r="B430">
        <v>1059044849</v>
      </c>
      <c r="C430" s="3">
        <v>2</v>
      </c>
      <c r="D430" s="5" t="str">
        <f t="shared" si="15"/>
        <v>02</v>
      </c>
      <c r="E430" t="str">
        <f>VLOOKUP(B430,'HOGARES-BASELINE'!$B:$I,8,FALSE)</f>
        <v>01020114</v>
      </c>
      <c r="F430" s="6" t="str">
        <f t="shared" si="16"/>
        <v>0102011402</v>
      </c>
    </row>
    <row r="431" spans="1:6" x14ac:dyDescent="0.3">
      <c r="A431" s="6" t="s">
        <v>431</v>
      </c>
      <c r="B431">
        <v>1059044849</v>
      </c>
      <c r="C431" s="3">
        <v>1</v>
      </c>
      <c r="D431" s="5" t="str">
        <f t="shared" si="15"/>
        <v>01</v>
      </c>
      <c r="E431" t="str">
        <f>VLOOKUP(B431,'HOGARES-BASELINE'!$B:$I,8,FALSE)</f>
        <v>01020114</v>
      </c>
      <c r="F431" s="6" t="str">
        <f t="shared" si="16"/>
        <v>0102011401</v>
      </c>
    </row>
    <row r="432" spans="1:6" x14ac:dyDescent="0.3">
      <c r="A432" s="6" t="s">
        <v>432</v>
      </c>
      <c r="B432">
        <v>1059044885</v>
      </c>
      <c r="C432" s="3">
        <v>2</v>
      </c>
      <c r="D432" s="5" t="str">
        <f t="shared" si="15"/>
        <v>02</v>
      </c>
      <c r="E432" t="str">
        <f>VLOOKUP(B432,'HOGARES-BASELINE'!$B:$I,8,FALSE)</f>
        <v>01020115</v>
      </c>
      <c r="F432" s="6" t="str">
        <f t="shared" si="16"/>
        <v>0102011502</v>
      </c>
    </row>
    <row r="433" spans="1:6" x14ac:dyDescent="0.3">
      <c r="A433" s="6" t="s">
        <v>433</v>
      </c>
      <c r="B433">
        <v>1059044885</v>
      </c>
      <c r="C433" s="3">
        <v>1</v>
      </c>
      <c r="D433" s="5" t="str">
        <f t="shared" si="15"/>
        <v>01</v>
      </c>
      <c r="E433" t="str">
        <f>VLOOKUP(B433,'HOGARES-BASELINE'!$B:$I,8,FALSE)</f>
        <v>01020115</v>
      </c>
      <c r="F433" s="6" t="str">
        <f t="shared" si="16"/>
        <v>0102011501</v>
      </c>
    </row>
    <row r="434" spans="1:6" x14ac:dyDescent="0.3">
      <c r="A434" s="6" t="s">
        <v>434</v>
      </c>
      <c r="B434">
        <v>1059044885</v>
      </c>
      <c r="C434" s="3">
        <v>3</v>
      </c>
      <c r="D434" s="5" t="str">
        <f t="shared" ref="D434:D497" si="17">_xlfn.CONCAT(0,C434)</f>
        <v>03</v>
      </c>
      <c r="E434" t="str">
        <f>VLOOKUP(B434,'HOGARES-BASELINE'!$B:$I,8,FALSE)</f>
        <v>01020115</v>
      </c>
      <c r="F434" s="6" t="str">
        <f t="shared" si="16"/>
        <v>0102011503</v>
      </c>
    </row>
    <row r="435" spans="1:6" x14ac:dyDescent="0.3">
      <c r="A435" s="6" t="s">
        <v>435</v>
      </c>
      <c r="B435">
        <v>1059044885</v>
      </c>
      <c r="C435" s="3">
        <v>4</v>
      </c>
      <c r="D435" s="5" t="str">
        <f t="shared" si="17"/>
        <v>04</v>
      </c>
      <c r="E435" t="str">
        <f>VLOOKUP(B435,'HOGARES-BASELINE'!$B:$I,8,FALSE)</f>
        <v>01020115</v>
      </c>
      <c r="F435" s="6" t="str">
        <f t="shared" si="16"/>
        <v>0102011504</v>
      </c>
    </row>
    <row r="436" spans="1:6" x14ac:dyDescent="0.3">
      <c r="A436" s="6" t="s">
        <v>436</v>
      </c>
      <c r="B436">
        <v>1059986053</v>
      </c>
      <c r="C436" s="3">
        <v>1</v>
      </c>
      <c r="D436" s="5" t="str">
        <f t="shared" si="17"/>
        <v>01</v>
      </c>
      <c r="E436" t="str">
        <f>VLOOKUP(B436,'HOGARES-BASELINE'!$B:$I,8,FALSE)</f>
        <v>01020116</v>
      </c>
      <c r="F436" s="6" t="str">
        <f t="shared" si="16"/>
        <v>0102011601</v>
      </c>
    </row>
    <row r="437" spans="1:6" x14ac:dyDescent="0.3">
      <c r="A437" s="6" t="s">
        <v>437</v>
      </c>
      <c r="B437">
        <v>1059986053</v>
      </c>
      <c r="C437" s="3">
        <v>5</v>
      </c>
      <c r="D437" s="5" t="str">
        <f t="shared" si="17"/>
        <v>05</v>
      </c>
      <c r="E437" t="str">
        <f>VLOOKUP(B437,'HOGARES-BASELINE'!$B:$I,8,FALSE)</f>
        <v>01020116</v>
      </c>
      <c r="F437" s="6" t="str">
        <f t="shared" si="16"/>
        <v>0102011605</v>
      </c>
    </row>
    <row r="438" spans="1:6" x14ac:dyDescent="0.3">
      <c r="A438" s="6" t="s">
        <v>438</v>
      </c>
      <c r="B438">
        <v>1059986053</v>
      </c>
      <c r="C438" s="3">
        <v>4</v>
      </c>
      <c r="D438" s="5" t="str">
        <f t="shared" si="17"/>
        <v>04</v>
      </c>
      <c r="E438" t="str">
        <f>VLOOKUP(B438,'HOGARES-BASELINE'!$B:$I,8,FALSE)</f>
        <v>01020116</v>
      </c>
      <c r="F438" s="6" t="str">
        <f t="shared" si="16"/>
        <v>0102011604</v>
      </c>
    </row>
    <row r="439" spans="1:6" x14ac:dyDescent="0.3">
      <c r="A439" s="6" t="s">
        <v>439</v>
      </c>
      <c r="B439">
        <v>1059986053</v>
      </c>
      <c r="C439" s="3">
        <v>2</v>
      </c>
      <c r="D439" s="5" t="str">
        <f t="shared" si="17"/>
        <v>02</v>
      </c>
      <c r="E439" t="str">
        <f>VLOOKUP(B439,'HOGARES-BASELINE'!$B:$I,8,FALSE)</f>
        <v>01020116</v>
      </c>
      <c r="F439" s="6" t="str">
        <f t="shared" si="16"/>
        <v>0102011602</v>
      </c>
    </row>
    <row r="440" spans="1:6" x14ac:dyDescent="0.3">
      <c r="A440" s="6" t="s">
        <v>440</v>
      </c>
      <c r="B440">
        <v>1059986053</v>
      </c>
      <c r="C440" s="3">
        <v>3</v>
      </c>
      <c r="D440" s="5" t="str">
        <f t="shared" si="17"/>
        <v>03</v>
      </c>
      <c r="E440" t="str">
        <f>VLOOKUP(B440,'HOGARES-BASELINE'!$B:$I,8,FALSE)</f>
        <v>01020116</v>
      </c>
      <c r="F440" s="6" t="str">
        <f t="shared" si="16"/>
        <v>0102011603</v>
      </c>
    </row>
    <row r="441" spans="1:6" x14ac:dyDescent="0.3">
      <c r="A441" s="6" t="s">
        <v>441</v>
      </c>
      <c r="B441">
        <v>1060102242</v>
      </c>
      <c r="C441" s="3">
        <v>3</v>
      </c>
      <c r="D441" s="5" t="str">
        <f t="shared" si="17"/>
        <v>03</v>
      </c>
      <c r="E441" t="str">
        <f>VLOOKUP(B441,'HOGARES-BASELINE'!$B:$I,8,FALSE)</f>
        <v>01020117</v>
      </c>
      <c r="F441" s="6" t="str">
        <f t="shared" si="16"/>
        <v>0102011703</v>
      </c>
    </row>
    <row r="442" spans="1:6" x14ac:dyDescent="0.3">
      <c r="A442" s="6" t="s">
        <v>442</v>
      </c>
      <c r="B442">
        <v>1060102242</v>
      </c>
      <c r="C442" s="3">
        <v>2</v>
      </c>
      <c r="D442" s="5" t="str">
        <f t="shared" si="17"/>
        <v>02</v>
      </c>
      <c r="E442" t="str">
        <f>VLOOKUP(B442,'HOGARES-BASELINE'!$B:$I,8,FALSE)</f>
        <v>01020117</v>
      </c>
      <c r="F442" s="6" t="str">
        <f t="shared" si="16"/>
        <v>0102011702</v>
      </c>
    </row>
    <row r="443" spans="1:6" x14ac:dyDescent="0.3">
      <c r="A443" s="6" t="s">
        <v>443</v>
      </c>
      <c r="B443">
        <v>1060102242</v>
      </c>
      <c r="C443" s="3">
        <v>1</v>
      </c>
      <c r="D443" s="5" t="str">
        <f t="shared" si="17"/>
        <v>01</v>
      </c>
      <c r="E443" t="str">
        <f>VLOOKUP(B443,'HOGARES-BASELINE'!$B:$I,8,FALSE)</f>
        <v>01020117</v>
      </c>
      <c r="F443" s="6" t="str">
        <f t="shared" si="16"/>
        <v>0102011701</v>
      </c>
    </row>
    <row r="444" spans="1:6" x14ac:dyDescent="0.3">
      <c r="A444" s="6" t="s">
        <v>444</v>
      </c>
      <c r="B444">
        <v>1060102242</v>
      </c>
      <c r="C444" s="3">
        <v>4</v>
      </c>
      <c r="D444" s="5" t="str">
        <f t="shared" si="17"/>
        <v>04</v>
      </c>
      <c r="E444" t="str">
        <f>VLOOKUP(B444,'HOGARES-BASELINE'!$B:$I,8,FALSE)</f>
        <v>01020117</v>
      </c>
      <c r="F444" s="6" t="str">
        <f t="shared" si="16"/>
        <v>0102011704</v>
      </c>
    </row>
    <row r="445" spans="1:6" x14ac:dyDescent="0.3">
      <c r="A445" s="6" t="s">
        <v>445</v>
      </c>
      <c r="B445">
        <v>1061433798</v>
      </c>
      <c r="C445" s="3">
        <v>2</v>
      </c>
      <c r="D445" s="5" t="str">
        <f t="shared" si="17"/>
        <v>02</v>
      </c>
      <c r="E445" t="str">
        <f>VLOOKUP(B445,'HOGARES-BASELINE'!$B:$I,8,FALSE)</f>
        <v>01020118</v>
      </c>
      <c r="F445" s="6" t="str">
        <f t="shared" si="16"/>
        <v>0102011802</v>
      </c>
    </row>
    <row r="446" spans="1:6" x14ac:dyDescent="0.3">
      <c r="A446" s="6" t="s">
        <v>446</v>
      </c>
      <c r="B446">
        <v>1061433798</v>
      </c>
      <c r="C446" s="3">
        <v>3</v>
      </c>
      <c r="D446" s="5" t="str">
        <f t="shared" si="17"/>
        <v>03</v>
      </c>
      <c r="E446" t="str">
        <f>VLOOKUP(B446,'HOGARES-BASELINE'!$B:$I,8,FALSE)</f>
        <v>01020118</v>
      </c>
      <c r="F446" s="6" t="str">
        <f t="shared" si="16"/>
        <v>0102011803</v>
      </c>
    </row>
    <row r="447" spans="1:6" x14ac:dyDescent="0.3">
      <c r="A447" s="6" t="s">
        <v>447</v>
      </c>
      <c r="B447">
        <v>1061433798</v>
      </c>
      <c r="C447" s="3">
        <v>1</v>
      </c>
      <c r="D447" s="5" t="str">
        <f t="shared" si="17"/>
        <v>01</v>
      </c>
      <c r="E447" t="str">
        <f>VLOOKUP(B447,'HOGARES-BASELINE'!$B:$I,8,FALSE)</f>
        <v>01020118</v>
      </c>
      <c r="F447" s="6" t="str">
        <f t="shared" si="16"/>
        <v>0102011801</v>
      </c>
    </row>
    <row r="448" spans="1:6" x14ac:dyDescent="0.3">
      <c r="A448" s="6" t="s">
        <v>448</v>
      </c>
      <c r="B448">
        <v>1061433798</v>
      </c>
      <c r="C448" s="3">
        <v>5</v>
      </c>
      <c r="D448" s="5" t="str">
        <f t="shared" si="17"/>
        <v>05</v>
      </c>
      <c r="E448" t="str">
        <f>VLOOKUP(B448,'HOGARES-BASELINE'!$B:$I,8,FALSE)</f>
        <v>01020118</v>
      </c>
      <c r="F448" s="6" t="str">
        <f t="shared" si="16"/>
        <v>0102011805</v>
      </c>
    </row>
    <row r="449" spans="1:6" x14ac:dyDescent="0.3">
      <c r="A449" s="6" t="s">
        <v>449</v>
      </c>
      <c r="B449">
        <v>1061433798</v>
      </c>
      <c r="C449" s="3">
        <v>4</v>
      </c>
      <c r="D449" s="5" t="str">
        <f t="shared" si="17"/>
        <v>04</v>
      </c>
      <c r="E449" t="str">
        <f>VLOOKUP(B449,'HOGARES-BASELINE'!$B:$I,8,FALSE)</f>
        <v>01020118</v>
      </c>
      <c r="F449" s="6" t="str">
        <f t="shared" si="16"/>
        <v>0102011804</v>
      </c>
    </row>
    <row r="450" spans="1:6" x14ac:dyDescent="0.3">
      <c r="A450" s="6" t="s">
        <v>450</v>
      </c>
      <c r="B450">
        <v>1062297779</v>
      </c>
      <c r="C450" s="3">
        <v>1</v>
      </c>
      <c r="D450" s="5" t="str">
        <f t="shared" si="17"/>
        <v>01</v>
      </c>
      <c r="E450" t="str">
        <f>VLOOKUP(B450,'HOGARES-BASELINE'!$B:$I,8,FALSE)</f>
        <v>01020119</v>
      </c>
      <c r="F450" s="6" t="str">
        <f t="shared" si="16"/>
        <v>0102011901</v>
      </c>
    </row>
    <row r="451" spans="1:6" x14ac:dyDescent="0.3">
      <c r="A451" s="6" t="s">
        <v>451</v>
      </c>
      <c r="B451">
        <v>1062297779</v>
      </c>
      <c r="C451" s="3">
        <v>4</v>
      </c>
      <c r="D451" s="5" t="str">
        <f t="shared" si="17"/>
        <v>04</v>
      </c>
      <c r="E451" t="str">
        <f>VLOOKUP(B451,'HOGARES-BASELINE'!$B:$I,8,FALSE)</f>
        <v>01020119</v>
      </c>
      <c r="F451" s="6" t="str">
        <f t="shared" ref="F451:F514" si="18">_xlfn.CONCAT(E451,D451)</f>
        <v>0102011904</v>
      </c>
    </row>
    <row r="452" spans="1:6" x14ac:dyDescent="0.3">
      <c r="A452" s="6" t="s">
        <v>452</v>
      </c>
      <c r="B452">
        <v>1062297779</v>
      </c>
      <c r="C452" s="3">
        <v>2</v>
      </c>
      <c r="D452" s="5" t="str">
        <f t="shared" si="17"/>
        <v>02</v>
      </c>
      <c r="E452" t="str">
        <f>VLOOKUP(B452,'HOGARES-BASELINE'!$B:$I,8,FALSE)</f>
        <v>01020119</v>
      </c>
      <c r="F452" s="6" t="str">
        <f t="shared" si="18"/>
        <v>0102011902</v>
      </c>
    </row>
    <row r="453" spans="1:6" x14ac:dyDescent="0.3">
      <c r="A453" s="6" t="s">
        <v>453</v>
      </c>
      <c r="B453">
        <v>1062297779</v>
      </c>
      <c r="C453" s="3">
        <v>6</v>
      </c>
      <c r="D453" s="5" t="str">
        <f t="shared" si="17"/>
        <v>06</v>
      </c>
      <c r="E453" t="str">
        <f>VLOOKUP(B453,'HOGARES-BASELINE'!$B:$I,8,FALSE)</f>
        <v>01020119</v>
      </c>
      <c r="F453" s="6" t="str">
        <f t="shared" si="18"/>
        <v>0102011906</v>
      </c>
    </row>
    <row r="454" spans="1:6" x14ac:dyDescent="0.3">
      <c r="A454" s="6" t="s">
        <v>454</v>
      </c>
      <c r="B454">
        <v>1062297779</v>
      </c>
      <c r="C454" s="3">
        <v>5</v>
      </c>
      <c r="D454" s="5" t="str">
        <f t="shared" si="17"/>
        <v>05</v>
      </c>
      <c r="E454" t="str">
        <f>VLOOKUP(B454,'HOGARES-BASELINE'!$B:$I,8,FALSE)</f>
        <v>01020119</v>
      </c>
      <c r="F454" s="6" t="str">
        <f t="shared" si="18"/>
        <v>0102011905</v>
      </c>
    </row>
    <row r="455" spans="1:6" x14ac:dyDescent="0.3">
      <c r="A455" s="6" t="s">
        <v>455</v>
      </c>
      <c r="B455">
        <v>1062297779</v>
      </c>
      <c r="C455" s="3">
        <v>3</v>
      </c>
      <c r="D455" s="5" t="str">
        <f t="shared" si="17"/>
        <v>03</v>
      </c>
      <c r="E455" t="str">
        <f>VLOOKUP(B455,'HOGARES-BASELINE'!$B:$I,8,FALSE)</f>
        <v>01020119</v>
      </c>
      <c r="F455" s="6" t="str">
        <f t="shared" si="18"/>
        <v>0102011903</v>
      </c>
    </row>
    <row r="456" spans="1:6" x14ac:dyDescent="0.3">
      <c r="A456" s="6" t="s">
        <v>456</v>
      </c>
      <c r="B456">
        <v>1063282279</v>
      </c>
      <c r="C456" s="3">
        <v>4</v>
      </c>
      <c r="D456" s="5" t="str">
        <f t="shared" si="17"/>
        <v>04</v>
      </c>
      <c r="E456" t="str">
        <f>VLOOKUP(B456,'HOGARES-BASELINE'!$B:$I,8,FALSE)</f>
        <v>00030120</v>
      </c>
      <c r="F456" s="6" t="str">
        <f t="shared" si="18"/>
        <v>0003012004</v>
      </c>
    </row>
    <row r="457" spans="1:6" x14ac:dyDescent="0.3">
      <c r="A457" s="6" t="s">
        <v>457</v>
      </c>
      <c r="B457">
        <v>1063282279</v>
      </c>
      <c r="C457" s="3">
        <v>5</v>
      </c>
      <c r="D457" s="5" t="str">
        <f t="shared" si="17"/>
        <v>05</v>
      </c>
      <c r="E457" t="str">
        <f>VLOOKUP(B457,'HOGARES-BASELINE'!$B:$I,8,FALSE)</f>
        <v>00030120</v>
      </c>
      <c r="F457" s="6" t="str">
        <f t="shared" si="18"/>
        <v>0003012005</v>
      </c>
    </row>
    <row r="458" spans="1:6" x14ac:dyDescent="0.3">
      <c r="A458" s="6" t="s">
        <v>458</v>
      </c>
      <c r="B458">
        <v>1063282279</v>
      </c>
      <c r="C458" s="3">
        <v>1</v>
      </c>
      <c r="D458" s="5" t="str">
        <f t="shared" si="17"/>
        <v>01</v>
      </c>
      <c r="E458" t="str">
        <f>VLOOKUP(B458,'HOGARES-BASELINE'!$B:$I,8,FALSE)</f>
        <v>00030120</v>
      </c>
      <c r="F458" s="6" t="str">
        <f t="shared" si="18"/>
        <v>0003012001</v>
      </c>
    </row>
    <row r="459" spans="1:6" x14ac:dyDescent="0.3">
      <c r="A459" s="6" t="s">
        <v>459</v>
      </c>
      <c r="B459">
        <v>1063282279</v>
      </c>
      <c r="C459" s="3">
        <v>3</v>
      </c>
      <c r="D459" s="5" t="str">
        <f t="shared" si="17"/>
        <v>03</v>
      </c>
      <c r="E459" t="str">
        <f>VLOOKUP(B459,'HOGARES-BASELINE'!$B:$I,8,FALSE)</f>
        <v>00030120</v>
      </c>
      <c r="F459" s="6" t="str">
        <f t="shared" si="18"/>
        <v>0003012003</v>
      </c>
    </row>
    <row r="460" spans="1:6" x14ac:dyDescent="0.3">
      <c r="A460" s="6" t="s">
        <v>460</v>
      </c>
      <c r="B460">
        <v>1063282279</v>
      </c>
      <c r="C460" s="3">
        <v>6</v>
      </c>
      <c r="D460" s="5" t="str">
        <f t="shared" si="17"/>
        <v>06</v>
      </c>
      <c r="E460" t="str">
        <f>VLOOKUP(B460,'HOGARES-BASELINE'!$B:$I,8,FALSE)</f>
        <v>00030120</v>
      </c>
      <c r="F460" s="6" t="str">
        <f t="shared" si="18"/>
        <v>0003012006</v>
      </c>
    </row>
    <row r="461" spans="1:6" x14ac:dyDescent="0.3">
      <c r="A461" s="6" t="s">
        <v>461</v>
      </c>
      <c r="B461">
        <v>1063282279</v>
      </c>
      <c r="C461" s="3">
        <v>2</v>
      </c>
      <c r="D461" s="5" t="str">
        <f t="shared" si="17"/>
        <v>02</v>
      </c>
      <c r="E461" t="str">
        <f>VLOOKUP(B461,'HOGARES-BASELINE'!$B:$I,8,FALSE)</f>
        <v>00030120</v>
      </c>
      <c r="F461" s="6" t="str">
        <f t="shared" si="18"/>
        <v>0003012002</v>
      </c>
    </row>
    <row r="462" spans="1:6" x14ac:dyDescent="0.3">
      <c r="A462" s="6" t="s">
        <v>462</v>
      </c>
      <c r="B462">
        <v>1067094968</v>
      </c>
      <c r="C462" s="3">
        <v>3</v>
      </c>
      <c r="D462" s="5" t="str">
        <f t="shared" si="17"/>
        <v>03</v>
      </c>
      <c r="E462" t="str">
        <f>VLOOKUP(B462,'HOGARES-BASELINE'!$B:$I,8,FALSE)</f>
        <v>01010121</v>
      </c>
      <c r="F462" s="6" t="str">
        <f t="shared" si="18"/>
        <v>0101012103</v>
      </c>
    </row>
    <row r="463" spans="1:6" x14ac:dyDescent="0.3">
      <c r="A463" s="6" t="s">
        <v>463</v>
      </c>
      <c r="B463">
        <v>1067094968</v>
      </c>
      <c r="C463" s="3">
        <v>2</v>
      </c>
      <c r="D463" s="5" t="str">
        <f t="shared" si="17"/>
        <v>02</v>
      </c>
      <c r="E463" t="str">
        <f>VLOOKUP(B463,'HOGARES-BASELINE'!$B:$I,8,FALSE)</f>
        <v>01010121</v>
      </c>
      <c r="F463" s="6" t="str">
        <f t="shared" si="18"/>
        <v>0101012102</v>
      </c>
    </row>
    <row r="464" spans="1:6" x14ac:dyDescent="0.3">
      <c r="A464" s="6" t="s">
        <v>464</v>
      </c>
      <c r="B464">
        <v>1067094968</v>
      </c>
      <c r="C464" s="3">
        <v>4</v>
      </c>
      <c r="D464" s="5" t="str">
        <f t="shared" si="17"/>
        <v>04</v>
      </c>
      <c r="E464" t="str">
        <f>VLOOKUP(B464,'HOGARES-BASELINE'!$B:$I,8,FALSE)</f>
        <v>01010121</v>
      </c>
      <c r="F464" s="6" t="str">
        <f t="shared" si="18"/>
        <v>0101012104</v>
      </c>
    </row>
    <row r="465" spans="1:6" x14ac:dyDescent="0.3">
      <c r="A465" s="6" t="s">
        <v>465</v>
      </c>
      <c r="B465">
        <v>1067094968</v>
      </c>
      <c r="C465" s="3">
        <v>1</v>
      </c>
      <c r="D465" s="5" t="str">
        <f t="shared" si="17"/>
        <v>01</v>
      </c>
      <c r="E465" t="str">
        <f>VLOOKUP(B465,'HOGARES-BASELINE'!$B:$I,8,FALSE)</f>
        <v>01010121</v>
      </c>
      <c r="F465" s="6" t="str">
        <f t="shared" si="18"/>
        <v>0101012101</v>
      </c>
    </row>
    <row r="466" spans="1:6" x14ac:dyDescent="0.3">
      <c r="A466" s="6" t="s">
        <v>466</v>
      </c>
      <c r="B466">
        <v>1067461300</v>
      </c>
      <c r="C466" s="3">
        <v>1</v>
      </c>
      <c r="D466" s="5" t="str">
        <f t="shared" si="17"/>
        <v>01</v>
      </c>
      <c r="E466" t="str">
        <f>VLOOKUP(B466,'HOGARES-BASELINE'!$B:$I,8,FALSE)</f>
        <v>01020122</v>
      </c>
      <c r="F466" s="6" t="str">
        <f t="shared" si="18"/>
        <v>0102012201</v>
      </c>
    </row>
    <row r="467" spans="1:6" x14ac:dyDescent="0.3">
      <c r="A467" s="6" t="s">
        <v>467</v>
      </c>
      <c r="B467">
        <v>1067461300</v>
      </c>
      <c r="C467" s="3">
        <v>2</v>
      </c>
      <c r="D467" s="5" t="str">
        <f t="shared" si="17"/>
        <v>02</v>
      </c>
      <c r="E467" t="str">
        <f>VLOOKUP(B467,'HOGARES-BASELINE'!$B:$I,8,FALSE)</f>
        <v>01020122</v>
      </c>
      <c r="F467" s="6" t="str">
        <f t="shared" si="18"/>
        <v>0102012202</v>
      </c>
    </row>
    <row r="468" spans="1:6" x14ac:dyDescent="0.3">
      <c r="A468" s="6" t="s">
        <v>468</v>
      </c>
      <c r="B468">
        <v>1067461300</v>
      </c>
      <c r="C468" s="3">
        <v>3</v>
      </c>
      <c r="D468" s="5" t="str">
        <f t="shared" si="17"/>
        <v>03</v>
      </c>
      <c r="E468" t="str">
        <f>VLOOKUP(B468,'HOGARES-BASELINE'!$B:$I,8,FALSE)</f>
        <v>01020122</v>
      </c>
      <c r="F468" s="6" t="str">
        <f t="shared" si="18"/>
        <v>0102012203</v>
      </c>
    </row>
    <row r="469" spans="1:6" x14ac:dyDescent="0.3">
      <c r="A469" s="6" t="s">
        <v>469</v>
      </c>
      <c r="B469">
        <v>10741712</v>
      </c>
      <c r="C469" s="3">
        <v>5</v>
      </c>
      <c r="D469" s="5" t="str">
        <f t="shared" si="17"/>
        <v>05</v>
      </c>
      <c r="E469" t="str">
        <f>VLOOKUP(B469,'HOGARES-BASELINE'!$B:$I,8,FALSE)</f>
        <v>01020123</v>
      </c>
      <c r="F469" s="6" t="str">
        <f t="shared" si="18"/>
        <v>0102012305</v>
      </c>
    </row>
    <row r="470" spans="1:6" x14ac:dyDescent="0.3">
      <c r="A470" s="6" t="s">
        <v>470</v>
      </c>
      <c r="B470">
        <v>10741712</v>
      </c>
      <c r="C470" s="3">
        <v>2</v>
      </c>
      <c r="D470" s="5" t="str">
        <f t="shared" si="17"/>
        <v>02</v>
      </c>
      <c r="E470" t="str">
        <f>VLOOKUP(B470,'HOGARES-BASELINE'!$B:$I,8,FALSE)</f>
        <v>01020123</v>
      </c>
      <c r="F470" s="6" t="str">
        <f t="shared" si="18"/>
        <v>0102012302</v>
      </c>
    </row>
    <row r="471" spans="1:6" x14ac:dyDescent="0.3">
      <c r="A471" s="6" t="s">
        <v>471</v>
      </c>
      <c r="B471">
        <v>10741712</v>
      </c>
      <c r="C471" s="3">
        <v>4</v>
      </c>
      <c r="D471" s="5" t="str">
        <f t="shared" si="17"/>
        <v>04</v>
      </c>
      <c r="E471" t="str">
        <f>VLOOKUP(B471,'HOGARES-BASELINE'!$B:$I,8,FALSE)</f>
        <v>01020123</v>
      </c>
      <c r="F471" s="6" t="str">
        <f t="shared" si="18"/>
        <v>0102012304</v>
      </c>
    </row>
    <row r="472" spans="1:6" x14ac:dyDescent="0.3">
      <c r="A472" s="6" t="s">
        <v>472</v>
      </c>
      <c r="B472">
        <v>10741712</v>
      </c>
      <c r="C472" s="3">
        <v>1</v>
      </c>
      <c r="D472" s="5" t="str">
        <f t="shared" si="17"/>
        <v>01</v>
      </c>
      <c r="E472" t="str">
        <f>VLOOKUP(B472,'HOGARES-BASELINE'!$B:$I,8,FALSE)</f>
        <v>01020123</v>
      </c>
      <c r="F472" s="6" t="str">
        <f t="shared" si="18"/>
        <v>0102012301</v>
      </c>
    </row>
    <row r="473" spans="1:6" x14ac:dyDescent="0.3">
      <c r="A473" s="6" t="s">
        <v>473</v>
      </c>
      <c r="B473">
        <v>10741712</v>
      </c>
      <c r="C473" s="3">
        <v>3</v>
      </c>
      <c r="D473" s="5" t="str">
        <f t="shared" si="17"/>
        <v>03</v>
      </c>
      <c r="E473" t="str">
        <f>VLOOKUP(B473,'HOGARES-BASELINE'!$B:$I,8,FALSE)</f>
        <v>01020123</v>
      </c>
      <c r="F473" s="6" t="str">
        <f t="shared" si="18"/>
        <v>0102012303</v>
      </c>
    </row>
    <row r="474" spans="1:6" x14ac:dyDescent="0.3">
      <c r="A474" s="6" t="s">
        <v>474</v>
      </c>
      <c r="B474">
        <v>1080835928</v>
      </c>
      <c r="C474" s="3">
        <v>2</v>
      </c>
      <c r="D474" s="5" t="str">
        <f t="shared" si="17"/>
        <v>02</v>
      </c>
      <c r="E474" t="str">
        <f>VLOOKUP(B474,'HOGARES-BASELINE'!$B:$I,8,FALSE)</f>
        <v>01020124</v>
      </c>
      <c r="F474" s="6" t="str">
        <f t="shared" si="18"/>
        <v>0102012402</v>
      </c>
    </row>
    <row r="475" spans="1:6" x14ac:dyDescent="0.3">
      <c r="A475" s="6" t="s">
        <v>475</v>
      </c>
      <c r="B475">
        <v>1080835928</v>
      </c>
      <c r="C475" s="3">
        <v>1</v>
      </c>
      <c r="D475" s="5" t="str">
        <f t="shared" si="17"/>
        <v>01</v>
      </c>
      <c r="E475" t="str">
        <f>VLOOKUP(B475,'HOGARES-BASELINE'!$B:$I,8,FALSE)</f>
        <v>01020124</v>
      </c>
      <c r="F475" s="6" t="str">
        <f t="shared" si="18"/>
        <v>0102012401</v>
      </c>
    </row>
    <row r="476" spans="1:6" x14ac:dyDescent="0.3">
      <c r="A476" s="6" t="s">
        <v>476</v>
      </c>
      <c r="B476">
        <v>1080835928</v>
      </c>
      <c r="C476" s="3">
        <v>4</v>
      </c>
      <c r="D476" s="5" t="str">
        <f t="shared" si="17"/>
        <v>04</v>
      </c>
      <c r="E476" t="str">
        <f>VLOOKUP(B476,'HOGARES-BASELINE'!$B:$I,8,FALSE)</f>
        <v>01020124</v>
      </c>
      <c r="F476" s="6" t="str">
        <f t="shared" si="18"/>
        <v>0102012404</v>
      </c>
    </row>
    <row r="477" spans="1:6" x14ac:dyDescent="0.3">
      <c r="A477" s="6" t="s">
        <v>477</v>
      </c>
      <c r="B477">
        <v>1080835928</v>
      </c>
      <c r="C477" s="3">
        <v>3</v>
      </c>
      <c r="D477" s="5" t="str">
        <f t="shared" si="17"/>
        <v>03</v>
      </c>
      <c r="E477" t="str">
        <f>VLOOKUP(B477,'HOGARES-BASELINE'!$B:$I,8,FALSE)</f>
        <v>01020124</v>
      </c>
      <c r="F477" s="6" t="str">
        <f t="shared" si="18"/>
        <v>0102012403</v>
      </c>
    </row>
    <row r="478" spans="1:6" x14ac:dyDescent="0.3">
      <c r="A478" s="6" t="s">
        <v>478</v>
      </c>
      <c r="B478">
        <v>10885223</v>
      </c>
      <c r="C478" s="3">
        <v>1</v>
      </c>
      <c r="D478" s="5" t="str">
        <f t="shared" si="17"/>
        <v>01</v>
      </c>
      <c r="E478" t="str">
        <f>VLOOKUP(B478,'HOGARES-BASELINE'!$B:$I,8,FALSE)</f>
        <v>00030125</v>
      </c>
      <c r="F478" s="6" t="str">
        <f t="shared" si="18"/>
        <v>0003012501</v>
      </c>
    </row>
    <row r="479" spans="1:6" x14ac:dyDescent="0.3">
      <c r="A479" s="6" t="s">
        <v>479</v>
      </c>
      <c r="B479">
        <v>1101200056</v>
      </c>
      <c r="C479" s="3">
        <v>3</v>
      </c>
      <c r="D479" s="5" t="str">
        <f t="shared" si="17"/>
        <v>03</v>
      </c>
      <c r="E479" t="str">
        <f>VLOOKUP(B479,'HOGARES-BASELINE'!$B:$I,8,FALSE)</f>
        <v>00030126</v>
      </c>
      <c r="F479" s="6" t="str">
        <f t="shared" si="18"/>
        <v>0003012603</v>
      </c>
    </row>
    <row r="480" spans="1:6" x14ac:dyDescent="0.3">
      <c r="A480" s="6" t="s">
        <v>480</v>
      </c>
      <c r="B480">
        <v>1101200056</v>
      </c>
      <c r="C480" s="3">
        <v>5</v>
      </c>
      <c r="D480" s="5" t="str">
        <f t="shared" si="17"/>
        <v>05</v>
      </c>
      <c r="E480" t="str">
        <f>VLOOKUP(B480,'HOGARES-BASELINE'!$B:$I,8,FALSE)</f>
        <v>00030126</v>
      </c>
      <c r="F480" s="6" t="str">
        <f t="shared" si="18"/>
        <v>0003012605</v>
      </c>
    </row>
    <row r="481" spans="1:6" x14ac:dyDescent="0.3">
      <c r="A481" s="6" t="s">
        <v>481</v>
      </c>
      <c r="B481">
        <v>1101200056</v>
      </c>
      <c r="C481" s="3">
        <v>4</v>
      </c>
      <c r="D481" s="5" t="str">
        <f t="shared" si="17"/>
        <v>04</v>
      </c>
      <c r="E481" t="str">
        <f>VLOOKUP(B481,'HOGARES-BASELINE'!$B:$I,8,FALSE)</f>
        <v>00030126</v>
      </c>
      <c r="F481" s="6" t="str">
        <f t="shared" si="18"/>
        <v>0003012604</v>
      </c>
    </row>
    <row r="482" spans="1:6" x14ac:dyDescent="0.3">
      <c r="A482" s="6" t="s">
        <v>482</v>
      </c>
      <c r="B482">
        <v>1101200056</v>
      </c>
      <c r="C482" s="3">
        <v>1</v>
      </c>
      <c r="D482" s="5" t="str">
        <f t="shared" si="17"/>
        <v>01</v>
      </c>
      <c r="E482" t="str">
        <f>VLOOKUP(B482,'HOGARES-BASELINE'!$B:$I,8,FALSE)</f>
        <v>00030126</v>
      </c>
      <c r="F482" s="6" t="str">
        <f t="shared" si="18"/>
        <v>0003012601</v>
      </c>
    </row>
    <row r="483" spans="1:6" x14ac:dyDescent="0.3">
      <c r="A483" s="6" t="s">
        <v>483</v>
      </c>
      <c r="B483">
        <v>1101200056</v>
      </c>
      <c r="C483" s="3">
        <v>2</v>
      </c>
      <c r="D483" s="5" t="str">
        <f t="shared" si="17"/>
        <v>02</v>
      </c>
      <c r="E483" t="str">
        <f>VLOOKUP(B483,'HOGARES-BASELINE'!$B:$I,8,FALSE)</f>
        <v>00030126</v>
      </c>
      <c r="F483" s="6" t="str">
        <f t="shared" si="18"/>
        <v>0003012602</v>
      </c>
    </row>
    <row r="484" spans="1:6" x14ac:dyDescent="0.3">
      <c r="A484" s="6" t="s">
        <v>484</v>
      </c>
      <c r="B484">
        <v>1107036712</v>
      </c>
      <c r="C484" s="3">
        <v>1</v>
      </c>
      <c r="D484" s="5" t="str">
        <f t="shared" si="17"/>
        <v>01</v>
      </c>
      <c r="E484" t="str">
        <f>VLOOKUP(B484,'HOGARES-BASELINE'!$B:$I,8,FALSE)</f>
        <v>01020127</v>
      </c>
      <c r="F484" s="6" t="str">
        <f t="shared" si="18"/>
        <v>0102012701</v>
      </c>
    </row>
    <row r="485" spans="1:6" x14ac:dyDescent="0.3">
      <c r="A485" s="6" t="s">
        <v>485</v>
      </c>
      <c r="B485">
        <v>1107038099</v>
      </c>
      <c r="C485" s="3">
        <v>1</v>
      </c>
      <c r="D485" s="5" t="str">
        <f t="shared" si="17"/>
        <v>01</v>
      </c>
      <c r="E485" t="str">
        <f>VLOOKUP(B485,'HOGARES-BASELINE'!$B:$I,8,FALSE)</f>
        <v>01020128</v>
      </c>
      <c r="F485" s="6" t="str">
        <f t="shared" si="18"/>
        <v>0102012801</v>
      </c>
    </row>
    <row r="486" spans="1:6" x14ac:dyDescent="0.3">
      <c r="A486" s="6" t="s">
        <v>486</v>
      </c>
      <c r="B486">
        <v>1107062248</v>
      </c>
      <c r="C486" s="3">
        <v>3</v>
      </c>
      <c r="D486" s="5" t="str">
        <f t="shared" si="17"/>
        <v>03</v>
      </c>
      <c r="E486" t="str">
        <f>VLOOKUP(B486,'HOGARES-BASELINE'!$B:$I,8,FALSE)</f>
        <v>01020129</v>
      </c>
      <c r="F486" s="6" t="str">
        <f t="shared" si="18"/>
        <v>0102012903</v>
      </c>
    </row>
    <row r="487" spans="1:6" x14ac:dyDescent="0.3">
      <c r="A487" s="6" t="s">
        <v>487</v>
      </c>
      <c r="B487">
        <v>1107062248</v>
      </c>
      <c r="C487" s="3">
        <v>5</v>
      </c>
      <c r="D487" s="5" t="str">
        <f t="shared" si="17"/>
        <v>05</v>
      </c>
      <c r="E487" t="str">
        <f>VLOOKUP(B487,'HOGARES-BASELINE'!$B:$I,8,FALSE)</f>
        <v>01020129</v>
      </c>
      <c r="F487" s="6" t="str">
        <f t="shared" si="18"/>
        <v>0102012905</v>
      </c>
    </row>
    <row r="488" spans="1:6" x14ac:dyDescent="0.3">
      <c r="A488" s="6" t="s">
        <v>488</v>
      </c>
      <c r="B488">
        <v>1107062248</v>
      </c>
      <c r="C488" s="3">
        <v>4</v>
      </c>
      <c r="D488" s="5" t="str">
        <f t="shared" si="17"/>
        <v>04</v>
      </c>
      <c r="E488" t="str">
        <f>VLOOKUP(B488,'HOGARES-BASELINE'!$B:$I,8,FALSE)</f>
        <v>01020129</v>
      </c>
      <c r="F488" s="6" t="str">
        <f t="shared" si="18"/>
        <v>0102012904</v>
      </c>
    </row>
    <row r="489" spans="1:6" x14ac:dyDescent="0.3">
      <c r="A489" s="6" t="s">
        <v>489</v>
      </c>
      <c r="B489">
        <v>1107062248</v>
      </c>
      <c r="C489" s="3">
        <v>2</v>
      </c>
      <c r="D489" s="5" t="str">
        <f t="shared" si="17"/>
        <v>02</v>
      </c>
      <c r="E489" t="str">
        <f>VLOOKUP(B489,'HOGARES-BASELINE'!$B:$I,8,FALSE)</f>
        <v>01020129</v>
      </c>
      <c r="F489" s="6" t="str">
        <f t="shared" si="18"/>
        <v>0102012902</v>
      </c>
    </row>
    <row r="490" spans="1:6" x14ac:dyDescent="0.3">
      <c r="A490" s="6" t="s">
        <v>490</v>
      </c>
      <c r="B490">
        <v>1107062248</v>
      </c>
      <c r="C490" s="3">
        <v>1</v>
      </c>
      <c r="D490" s="5" t="str">
        <f t="shared" si="17"/>
        <v>01</v>
      </c>
      <c r="E490" t="str">
        <f>VLOOKUP(B490,'HOGARES-BASELINE'!$B:$I,8,FALSE)</f>
        <v>01020129</v>
      </c>
      <c r="F490" s="6" t="str">
        <f t="shared" si="18"/>
        <v>0102012901</v>
      </c>
    </row>
    <row r="491" spans="1:6" x14ac:dyDescent="0.3">
      <c r="A491" s="6" t="s">
        <v>491</v>
      </c>
      <c r="B491">
        <v>1107077651</v>
      </c>
      <c r="C491" s="3">
        <v>3</v>
      </c>
      <c r="D491" s="5" t="str">
        <f t="shared" si="17"/>
        <v>03</v>
      </c>
      <c r="E491" t="str">
        <f>VLOOKUP(B491,'HOGARES-BASELINE'!$B:$I,8,FALSE)</f>
        <v>00020130</v>
      </c>
      <c r="F491" s="6" t="str">
        <f t="shared" si="18"/>
        <v>0002013003</v>
      </c>
    </row>
    <row r="492" spans="1:6" x14ac:dyDescent="0.3">
      <c r="A492" s="6" t="s">
        <v>492</v>
      </c>
      <c r="B492">
        <v>1107077651</v>
      </c>
      <c r="C492" s="3">
        <v>2</v>
      </c>
      <c r="D492" s="5" t="str">
        <f t="shared" si="17"/>
        <v>02</v>
      </c>
      <c r="E492" t="str">
        <f>VLOOKUP(B492,'HOGARES-BASELINE'!$B:$I,8,FALSE)</f>
        <v>00020130</v>
      </c>
      <c r="F492" s="6" t="str">
        <f t="shared" si="18"/>
        <v>0002013002</v>
      </c>
    </row>
    <row r="493" spans="1:6" x14ac:dyDescent="0.3">
      <c r="A493" s="6" t="s">
        <v>493</v>
      </c>
      <c r="B493">
        <v>1107077651</v>
      </c>
      <c r="C493" s="3">
        <v>1</v>
      </c>
      <c r="D493" s="5" t="str">
        <f t="shared" si="17"/>
        <v>01</v>
      </c>
      <c r="E493" t="str">
        <f>VLOOKUP(B493,'HOGARES-BASELINE'!$B:$I,8,FALSE)</f>
        <v>00020130</v>
      </c>
      <c r="F493" s="6" t="str">
        <f t="shared" si="18"/>
        <v>0002013001</v>
      </c>
    </row>
    <row r="494" spans="1:6" x14ac:dyDescent="0.3">
      <c r="A494" s="6" t="s">
        <v>494</v>
      </c>
      <c r="B494">
        <v>1107082402</v>
      </c>
      <c r="C494" s="3">
        <v>2</v>
      </c>
      <c r="D494" s="5" t="str">
        <f t="shared" si="17"/>
        <v>02</v>
      </c>
      <c r="E494" t="str">
        <f>VLOOKUP(B494,'HOGARES-BASELINE'!$B:$I,8,FALSE)</f>
        <v>01020131</v>
      </c>
      <c r="F494" s="6" t="str">
        <f t="shared" si="18"/>
        <v>0102013102</v>
      </c>
    </row>
    <row r="495" spans="1:6" x14ac:dyDescent="0.3">
      <c r="A495" s="6" t="s">
        <v>495</v>
      </c>
      <c r="B495">
        <v>1107082402</v>
      </c>
      <c r="C495" s="3">
        <v>1</v>
      </c>
      <c r="D495" s="5" t="str">
        <f t="shared" si="17"/>
        <v>01</v>
      </c>
      <c r="E495" t="str">
        <f>VLOOKUP(B495,'HOGARES-BASELINE'!$B:$I,8,FALSE)</f>
        <v>01020131</v>
      </c>
      <c r="F495" s="6" t="str">
        <f t="shared" si="18"/>
        <v>0102013101</v>
      </c>
    </row>
    <row r="496" spans="1:6" x14ac:dyDescent="0.3">
      <c r="A496" s="6" t="s">
        <v>496</v>
      </c>
      <c r="B496">
        <v>1107082402</v>
      </c>
      <c r="C496" s="3">
        <v>3</v>
      </c>
      <c r="D496" s="5" t="str">
        <f t="shared" si="17"/>
        <v>03</v>
      </c>
      <c r="E496" t="str">
        <f>VLOOKUP(B496,'HOGARES-BASELINE'!$B:$I,8,FALSE)</f>
        <v>01020131</v>
      </c>
      <c r="F496" s="6" t="str">
        <f t="shared" si="18"/>
        <v>0102013103</v>
      </c>
    </row>
    <row r="497" spans="1:6" x14ac:dyDescent="0.3">
      <c r="A497" s="6" t="s">
        <v>497</v>
      </c>
      <c r="B497">
        <v>1107090332</v>
      </c>
      <c r="C497" s="3">
        <v>1</v>
      </c>
      <c r="D497" s="5" t="str">
        <f t="shared" si="17"/>
        <v>01</v>
      </c>
      <c r="E497" t="str">
        <f>VLOOKUP(B497,'HOGARES-BASELINE'!$B:$I,8,FALSE)</f>
        <v>00020132</v>
      </c>
      <c r="F497" s="6" t="str">
        <f t="shared" si="18"/>
        <v>0002013201</v>
      </c>
    </row>
    <row r="498" spans="1:6" x14ac:dyDescent="0.3">
      <c r="A498" s="6" t="s">
        <v>498</v>
      </c>
      <c r="B498">
        <v>1107096112</v>
      </c>
      <c r="C498" s="3">
        <v>4</v>
      </c>
      <c r="D498" s="5" t="str">
        <f t="shared" ref="D498:D561" si="19">_xlfn.CONCAT(0,C498)</f>
        <v>04</v>
      </c>
      <c r="E498" t="str">
        <f>VLOOKUP(B498,'HOGARES-BASELINE'!$B:$I,8,FALSE)</f>
        <v>00020133</v>
      </c>
      <c r="F498" s="6" t="str">
        <f t="shared" si="18"/>
        <v>0002013304</v>
      </c>
    </row>
    <row r="499" spans="1:6" x14ac:dyDescent="0.3">
      <c r="A499" s="6" t="s">
        <v>499</v>
      </c>
      <c r="B499">
        <v>1107096112</v>
      </c>
      <c r="C499" s="3">
        <v>2</v>
      </c>
      <c r="D499" s="5" t="str">
        <f t="shared" si="19"/>
        <v>02</v>
      </c>
      <c r="E499" t="str">
        <f>VLOOKUP(B499,'HOGARES-BASELINE'!$B:$I,8,FALSE)</f>
        <v>00020133</v>
      </c>
      <c r="F499" s="6" t="str">
        <f t="shared" si="18"/>
        <v>0002013302</v>
      </c>
    </row>
    <row r="500" spans="1:6" x14ac:dyDescent="0.3">
      <c r="A500" s="6" t="s">
        <v>500</v>
      </c>
      <c r="B500">
        <v>1107096112</v>
      </c>
      <c r="C500" s="3">
        <v>1</v>
      </c>
      <c r="D500" s="5" t="str">
        <f t="shared" si="19"/>
        <v>01</v>
      </c>
      <c r="E500" t="str">
        <f>VLOOKUP(B500,'HOGARES-BASELINE'!$B:$I,8,FALSE)</f>
        <v>00020133</v>
      </c>
      <c r="F500" s="6" t="str">
        <f t="shared" si="18"/>
        <v>0002013301</v>
      </c>
    </row>
    <row r="501" spans="1:6" x14ac:dyDescent="0.3">
      <c r="A501" s="6" t="s">
        <v>501</v>
      </c>
      <c r="B501">
        <v>1107096112</v>
      </c>
      <c r="C501" s="3">
        <v>3</v>
      </c>
      <c r="D501" s="5" t="str">
        <f t="shared" si="19"/>
        <v>03</v>
      </c>
      <c r="E501" t="str">
        <f>VLOOKUP(B501,'HOGARES-BASELINE'!$B:$I,8,FALSE)</f>
        <v>00020133</v>
      </c>
      <c r="F501" s="6" t="str">
        <f t="shared" si="18"/>
        <v>0002013303</v>
      </c>
    </row>
    <row r="502" spans="1:6" x14ac:dyDescent="0.3">
      <c r="A502" s="6" t="s">
        <v>502</v>
      </c>
      <c r="B502">
        <v>1107101692</v>
      </c>
      <c r="C502" s="3">
        <v>2</v>
      </c>
      <c r="D502" s="5" t="str">
        <f t="shared" si="19"/>
        <v>02</v>
      </c>
      <c r="E502" t="str">
        <f>VLOOKUP(B502,'HOGARES-BASELINE'!$B:$I,8,FALSE)</f>
        <v>01020134</v>
      </c>
      <c r="F502" s="6" t="str">
        <f t="shared" si="18"/>
        <v>0102013402</v>
      </c>
    </row>
    <row r="503" spans="1:6" x14ac:dyDescent="0.3">
      <c r="A503" s="6" t="s">
        <v>503</v>
      </c>
      <c r="B503">
        <v>1107101692</v>
      </c>
      <c r="C503" s="3">
        <v>3</v>
      </c>
      <c r="D503" s="5" t="str">
        <f t="shared" si="19"/>
        <v>03</v>
      </c>
      <c r="E503" t="str">
        <f>VLOOKUP(B503,'HOGARES-BASELINE'!$B:$I,8,FALSE)</f>
        <v>01020134</v>
      </c>
      <c r="F503" s="6" t="str">
        <f t="shared" si="18"/>
        <v>0102013403</v>
      </c>
    </row>
    <row r="504" spans="1:6" x14ac:dyDescent="0.3">
      <c r="A504" s="6" t="s">
        <v>504</v>
      </c>
      <c r="B504">
        <v>1107101692</v>
      </c>
      <c r="C504" s="3">
        <v>1</v>
      </c>
      <c r="D504" s="5" t="str">
        <f t="shared" si="19"/>
        <v>01</v>
      </c>
      <c r="E504" t="str">
        <f>VLOOKUP(B504,'HOGARES-BASELINE'!$B:$I,8,FALSE)</f>
        <v>01020134</v>
      </c>
      <c r="F504" s="6" t="str">
        <f t="shared" si="18"/>
        <v>0102013401</v>
      </c>
    </row>
    <row r="505" spans="1:6" x14ac:dyDescent="0.3">
      <c r="A505" s="6" t="s">
        <v>505</v>
      </c>
      <c r="B505">
        <v>1107511494</v>
      </c>
      <c r="C505" s="3">
        <v>1</v>
      </c>
      <c r="D505" s="5" t="str">
        <f t="shared" si="19"/>
        <v>01</v>
      </c>
      <c r="E505" t="str">
        <f>VLOOKUP(B505,'HOGARES-BASELINE'!$B:$I,8,FALSE)</f>
        <v>00020135</v>
      </c>
      <c r="F505" s="6" t="str">
        <f t="shared" si="18"/>
        <v>0002013501</v>
      </c>
    </row>
    <row r="506" spans="1:6" x14ac:dyDescent="0.3">
      <c r="A506" s="6" t="s">
        <v>506</v>
      </c>
      <c r="B506">
        <v>1107511973</v>
      </c>
      <c r="C506" s="3">
        <v>3</v>
      </c>
      <c r="D506" s="5" t="str">
        <f t="shared" si="19"/>
        <v>03</v>
      </c>
      <c r="E506" t="str">
        <f>VLOOKUP(B506,'HOGARES-BASELINE'!$B:$I,8,FALSE)</f>
        <v>00020136</v>
      </c>
      <c r="F506" s="6" t="str">
        <f t="shared" si="18"/>
        <v>0002013603</v>
      </c>
    </row>
    <row r="507" spans="1:6" x14ac:dyDescent="0.3">
      <c r="A507" s="6" t="s">
        <v>507</v>
      </c>
      <c r="B507">
        <v>1107511973</v>
      </c>
      <c r="C507" s="3">
        <v>2</v>
      </c>
      <c r="D507" s="5" t="str">
        <f t="shared" si="19"/>
        <v>02</v>
      </c>
      <c r="E507" t="str">
        <f>VLOOKUP(B507,'HOGARES-BASELINE'!$B:$I,8,FALSE)</f>
        <v>00020136</v>
      </c>
      <c r="F507" s="6" t="str">
        <f t="shared" si="18"/>
        <v>0002013602</v>
      </c>
    </row>
    <row r="508" spans="1:6" x14ac:dyDescent="0.3">
      <c r="A508" s="6" t="s">
        <v>508</v>
      </c>
      <c r="B508">
        <v>1107511973</v>
      </c>
      <c r="C508" s="3">
        <v>1</v>
      </c>
      <c r="D508" s="5" t="str">
        <f t="shared" si="19"/>
        <v>01</v>
      </c>
      <c r="E508" t="str">
        <f>VLOOKUP(B508,'HOGARES-BASELINE'!$B:$I,8,FALSE)</f>
        <v>00020136</v>
      </c>
      <c r="F508" s="6" t="str">
        <f t="shared" si="18"/>
        <v>0002013601</v>
      </c>
    </row>
    <row r="509" spans="1:6" x14ac:dyDescent="0.3">
      <c r="A509" s="6" t="s">
        <v>509</v>
      </c>
      <c r="B509">
        <v>1107528203</v>
      </c>
      <c r="C509" s="3">
        <v>2</v>
      </c>
      <c r="D509" s="5" t="str">
        <f t="shared" si="19"/>
        <v>02</v>
      </c>
      <c r="E509" t="str">
        <f>VLOOKUP(B509,'HOGARES-BASELINE'!$B:$I,8,FALSE)</f>
        <v>01020137</v>
      </c>
      <c r="F509" s="6" t="str">
        <f t="shared" si="18"/>
        <v>0102013702</v>
      </c>
    </row>
    <row r="510" spans="1:6" x14ac:dyDescent="0.3">
      <c r="A510" s="6" t="s">
        <v>510</v>
      </c>
      <c r="B510">
        <v>1107528203</v>
      </c>
      <c r="C510" s="3">
        <v>1</v>
      </c>
      <c r="D510" s="5" t="str">
        <f t="shared" si="19"/>
        <v>01</v>
      </c>
      <c r="E510" t="str">
        <f>VLOOKUP(B510,'HOGARES-BASELINE'!$B:$I,8,FALSE)</f>
        <v>01020137</v>
      </c>
      <c r="F510" s="6" t="str">
        <f t="shared" si="18"/>
        <v>0102013701</v>
      </c>
    </row>
    <row r="511" spans="1:6" x14ac:dyDescent="0.3">
      <c r="A511" s="6" t="s">
        <v>511</v>
      </c>
      <c r="B511">
        <v>1107528203</v>
      </c>
      <c r="C511" s="3">
        <v>3</v>
      </c>
      <c r="D511" s="5" t="str">
        <f t="shared" si="19"/>
        <v>03</v>
      </c>
      <c r="E511" t="str">
        <f>VLOOKUP(B511,'HOGARES-BASELINE'!$B:$I,8,FALSE)</f>
        <v>01020137</v>
      </c>
      <c r="F511" s="6" t="str">
        <f t="shared" si="18"/>
        <v>0102013703</v>
      </c>
    </row>
    <row r="512" spans="1:6" x14ac:dyDescent="0.3">
      <c r="A512" s="6" t="s">
        <v>512</v>
      </c>
      <c r="B512">
        <v>1108641125</v>
      </c>
      <c r="C512" s="3">
        <v>4</v>
      </c>
      <c r="D512" s="5" t="str">
        <f t="shared" si="19"/>
        <v>04</v>
      </c>
      <c r="E512" t="str">
        <f>VLOOKUP(B512,'HOGARES-BASELINE'!$B:$I,8,FALSE)</f>
        <v>00020138</v>
      </c>
      <c r="F512" s="6" t="str">
        <f t="shared" si="18"/>
        <v>0002013804</v>
      </c>
    </row>
    <row r="513" spans="1:6" x14ac:dyDescent="0.3">
      <c r="A513" s="6" t="s">
        <v>513</v>
      </c>
      <c r="B513">
        <v>1108641125</v>
      </c>
      <c r="C513" s="3">
        <v>2</v>
      </c>
      <c r="D513" s="5" t="str">
        <f t="shared" si="19"/>
        <v>02</v>
      </c>
      <c r="E513" t="str">
        <f>VLOOKUP(B513,'HOGARES-BASELINE'!$B:$I,8,FALSE)</f>
        <v>00020138</v>
      </c>
      <c r="F513" s="6" t="str">
        <f t="shared" si="18"/>
        <v>0002013802</v>
      </c>
    </row>
    <row r="514" spans="1:6" x14ac:dyDescent="0.3">
      <c r="A514" s="6" t="s">
        <v>514</v>
      </c>
      <c r="B514">
        <v>1108641125</v>
      </c>
      <c r="C514" s="3">
        <v>5</v>
      </c>
      <c r="D514" s="5" t="str">
        <f t="shared" si="19"/>
        <v>05</v>
      </c>
      <c r="E514" t="str">
        <f>VLOOKUP(B514,'HOGARES-BASELINE'!$B:$I,8,FALSE)</f>
        <v>00020138</v>
      </c>
      <c r="F514" s="6" t="str">
        <f t="shared" si="18"/>
        <v>0002013805</v>
      </c>
    </row>
    <row r="515" spans="1:6" x14ac:dyDescent="0.3">
      <c r="A515" s="6" t="s">
        <v>515</v>
      </c>
      <c r="B515">
        <v>1108641125</v>
      </c>
      <c r="C515" s="3">
        <v>1</v>
      </c>
      <c r="D515" s="5" t="str">
        <f t="shared" si="19"/>
        <v>01</v>
      </c>
      <c r="E515" t="str">
        <f>VLOOKUP(B515,'HOGARES-BASELINE'!$B:$I,8,FALSE)</f>
        <v>00020138</v>
      </c>
      <c r="F515" s="6" t="str">
        <f t="shared" ref="F515:F578" si="20">_xlfn.CONCAT(E515,D515)</f>
        <v>0002013801</v>
      </c>
    </row>
    <row r="516" spans="1:6" x14ac:dyDescent="0.3">
      <c r="A516" s="6" t="s">
        <v>516</v>
      </c>
      <c r="B516">
        <v>1108641125</v>
      </c>
      <c r="C516" s="3">
        <v>3</v>
      </c>
      <c r="D516" s="5" t="str">
        <f t="shared" si="19"/>
        <v>03</v>
      </c>
      <c r="E516" t="str">
        <f>VLOOKUP(B516,'HOGARES-BASELINE'!$B:$I,8,FALSE)</f>
        <v>00020138</v>
      </c>
      <c r="F516" s="6" t="str">
        <f t="shared" si="20"/>
        <v>0002013803</v>
      </c>
    </row>
    <row r="517" spans="1:6" x14ac:dyDescent="0.3">
      <c r="A517" s="6" t="s">
        <v>517</v>
      </c>
      <c r="B517">
        <v>1112459228</v>
      </c>
      <c r="C517" s="3">
        <v>2</v>
      </c>
      <c r="D517" s="5" t="str">
        <f t="shared" si="19"/>
        <v>02</v>
      </c>
      <c r="E517" t="str">
        <f>VLOOKUP(B517,'HOGARES-BASELINE'!$B:$I,8,FALSE)</f>
        <v>01020139</v>
      </c>
      <c r="F517" s="6" t="str">
        <f t="shared" si="20"/>
        <v>0102013902</v>
      </c>
    </row>
    <row r="518" spans="1:6" x14ac:dyDescent="0.3">
      <c r="A518" s="6" t="s">
        <v>518</v>
      </c>
      <c r="B518">
        <v>1112459228</v>
      </c>
      <c r="C518" s="3">
        <v>3</v>
      </c>
      <c r="D518" s="5" t="str">
        <f t="shared" si="19"/>
        <v>03</v>
      </c>
      <c r="E518" t="str">
        <f>VLOOKUP(B518,'HOGARES-BASELINE'!$B:$I,8,FALSE)</f>
        <v>01020139</v>
      </c>
      <c r="F518" s="6" t="str">
        <f t="shared" si="20"/>
        <v>0102013903</v>
      </c>
    </row>
    <row r="519" spans="1:6" x14ac:dyDescent="0.3">
      <c r="A519" s="6" t="s">
        <v>519</v>
      </c>
      <c r="B519">
        <v>1112459228</v>
      </c>
      <c r="C519" s="3">
        <v>1</v>
      </c>
      <c r="D519" s="5" t="str">
        <f t="shared" si="19"/>
        <v>01</v>
      </c>
      <c r="E519" t="str">
        <f>VLOOKUP(B519,'HOGARES-BASELINE'!$B:$I,8,FALSE)</f>
        <v>01020139</v>
      </c>
      <c r="F519" s="6" t="str">
        <f t="shared" si="20"/>
        <v>0102013901</v>
      </c>
    </row>
    <row r="520" spans="1:6" x14ac:dyDescent="0.3">
      <c r="A520" s="6" t="s">
        <v>520</v>
      </c>
      <c r="B520">
        <v>1112460885</v>
      </c>
      <c r="C520" s="3">
        <v>1</v>
      </c>
      <c r="D520" s="5" t="str">
        <f t="shared" si="19"/>
        <v>01</v>
      </c>
      <c r="E520" t="str">
        <f>VLOOKUP(B520,'HOGARES-BASELINE'!$B:$I,8,FALSE)</f>
        <v>01020140</v>
      </c>
      <c r="F520" s="6" t="str">
        <f t="shared" si="20"/>
        <v>0102014001</v>
      </c>
    </row>
    <row r="521" spans="1:6" x14ac:dyDescent="0.3">
      <c r="A521" s="6" t="s">
        <v>521</v>
      </c>
      <c r="B521">
        <v>1112460885</v>
      </c>
      <c r="C521" s="3">
        <v>4</v>
      </c>
      <c r="D521" s="5" t="str">
        <f t="shared" si="19"/>
        <v>04</v>
      </c>
      <c r="E521" t="str">
        <f>VLOOKUP(B521,'HOGARES-BASELINE'!$B:$I,8,FALSE)</f>
        <v>01020140</v>
      </c>
      <c r="F521" s="6" t="str">
        <f t="shared" si="20"/>
        <v>0102014004</v>
      </c>
    </row>
    <row r="522" spans="1:6" x14ac:dyDescent="0.3">
      <c r="A522" s="6" t="s">
        <v>522</v>
      </c>
      <c r="B522">
        <v>1112460885</v>
      </c>
      <c r="C522" s="3">
        <v>2</v>
      </c>
      <c r="D522" s="5" t="str">
        <f t="shared" si="19"/>
        <v>02</v>
      </c>
      <c r="E522" t="str">
        <f>VLOOKUP(B522,'HOGARES-BASELINE'!$B:$I,8,FALSE)</f>
        <v>01020140</v>
      </c>
      <c r="F522" s="6" t="str">
        <f t="shared" si="20"/>
        <v>0102014002</v>
      </c>
    </row>
    <row r="523" spans="1:6" x14ac:dyDescent="0.3">
      <c r="A523" s="6" t="s">
        <v>523</v>
      </c>
      <c r="B523">
        <v>1112460885</v>
      </c>
      <c r="C523" s="3">
        <v>3</v>
      </c>
      <c r="D523" s="5" t="str">
        <f t="shared" si="19"/>
        <v>03</v>
      </c>
      <c r="E523" t="str">
        <f>VLOOKUP(B523,'HOGARES-BASELINE'!$B:$I,8,FALSE)</f>
        <v>01020140</v>
      </c>
      <c r="F523" s="6" t="str">
        <f t="shared" si="20"/>
        <v>0102014003</v>
      </c>
    </row>
    <row r="524" spans="1:6" x14ac:dyDescent="0.3">
      <c r="A524" s="6" t="s">
        <v>524</v>
      </c>
      <c r="B524">
        <v>1112464691</v>
      </c>
      <c r="C524" s="3">
        <v>1</v>
      </c>
      <c r="D524" s="5" t="str">
        <f t="shared" si="19"/>
        <v>01</v>
      </c>
      <c r="E524" t="str">
        <f>VLOOKUP(B524,'HOGARES-BASELINE'!$B:$I,8,FALSE)</f>
        <v>01020141</v>
      </c>
      <c r="F524" s="6" t="str">
        <f t="shared" si="20"/>
        <v>0102014101</v>
      </c>
    </row>
    <row r="525" spans="1:6" x14ac:dyDescent="0.3">
      <c r="A525" s="6" t="s">
        <v>525</v>
      </c>
      <c r="B525">
        <v>1112464691</v>
      </c>
      <c r="C525" s="3">
        <v>2</v>
      </c>
      <c r="D525" s="5" t="str">
        <f t="shared" si="19"/>
        <v>02</v>
      </c>
      <c r="E525" t="str">
        <f>VLOOKUP(B525,'HOGARES-BASELINE'!$B:$I,8,FALSE)</f>
        <v>01020141</v>
      </c>
      <c r="F525" s="6" t="str">
        <f t="shared" si="20"/>
        <v>0102014102</v>
      </c>
    </row>
    <row r="526" spans="1:6" x14ac:dyDescent="0.3">
      <c r="A526" s="6" t="s">
        <v>526</v>
      </c>
      <c r="B526">
        <v>1112464691</v>
      </c>
      <c r="C526" s="3">
        <v>3</v>
      </c>
      <c r="D526" s="5" t="str">
        <f t="shared" si="19"/>
        <v>03</v>
      </c>
      <c r="E526" t="str">
        <f>VLOOKUP(B526,'HOGARES-BASELINE'!$B:$I,8,FALSE)</f>
        <v>01020141</v>
      </c>
      <c r="F526" s="6" t="str">
        <f t="shared" si="20"/>
        <v>0102014103</v>
      </c>
    </row>
    <row r="527" spans="1:6" x14ac:dyDescent="0.3">
      <c r="A527" s="6" t="s">
        <v>527</v>
      </c>
      <c r="B527">
        <v>1112473004</v>
      </c>
      <c r="C527" s="3">
        <v>3</v>
      </c>
      <c r="D527" s="5" t="str">
        <f t="shared" si="19"/>
        <v>03</v>
      </c>
      <c r="E527" t="str">
        <f>VLOOKUP(B527,'HOGARES-BASELINE'!$B:$I,8,FALSE)</f>
        <v>00020142</v>
      </c>
      <c r="F527" s="6" t="str">
        <f t="shared" si="20"/>
        <v>0002014203</v>
      </c>
    </row>
    <row r="528" spans="1:6" x14ac:dyDescent="0.3">
      <c r="A528" s="6" t="s">
        <v>528</v>
      </c>
      <c r="B528">
        <v>1112473004</v>
      </c>
      <c r="C528" s="3">
        <v>4</v>
      </c>
      <c r="D528" s="5" t="str">
        <f t="shared" si="19"/>
        <v>04</v>
      </c>
      <c r="E528" t="str">
        <f>VLOOKUP(B528,'HOGARES-BASELINE'!$B:$I,8,FALSE)</f>
        <v>00020142</v>
      </c>
      <c r="F528" s="6" t="str">
        <f t="shared" si="20"/>
        <v>0002014204</v>
      </c>
    </row>
    <row r="529" spans="1:6" x14ac:dyDescent="0.3">
      <c r="A529" s="6" t="s">
        <v>529</v>
      </c>
      <c r="B529">
        <v>1112473004</v>
      </c>
      <c r="C529" s="3">
        <v>2</v>
      </c>
      <c r="D529" s="5" t="str">
        <f t="shared" si="19"/>
        <v>02</v>
      </c>
      <c r="E529" t="str">
        <f>VLOOKUP(B529,'HOGARES-BASELINE'!$B:$I,8,FALSE)</f>
        <v>00020142</v>
      </c>
      <c r="F529" s="6" t="str">
        <f t="shared" si="20"/>
        <v>0002014202</v>
      </c>
    </row>
    <row r="530" spans="1:6" x14ac:dyDescent="0.3">
      <c r="A530" s="6" t="s">
        <v>530</v>
      </c>
      <c r="B530">
        <v>1112473004</v>
      </c>
      <c r="C530" s="3">
        <v>1</v>
      </c>
      <c r="D530" s="5" t="str">
        <f t="shared" si="19"/>
        <v>01</v>
      </c>
      <c r="E530" t="str">
        <f>VLOOKUP(B530,'HOGARES-BASELINE'!$B:$I,8,FALSE)</f>
        <v>00020142</v>
      </c>
      <c r="F530" s="6" t="str">
        <f t="shared" si="20"/>
        <v>0002014201</v>
      </c>
    </row>
    <row r="531" spans="1:6" x14ac:dyDescent="0.3">
      <c r="A531" s="6" t="s">
        <v>531</v>
      </c>
      <c r="B531">
        <v>1114729169</v>
      </c>
      <c r="C531" s="3">
        <v>1</v>
      </c>
      <c r="D531" s="5" t="str">
        <f t="shared" si="19"/>
        <v>01</v>
      </c>
      <c r="E531" t="str">
        <f>VLOOKUP(B531,'HOGARES-BASELINE'!$B:$I,8,FALSE)</f>
        <v>01020143</v>
      </c>
      <c r="F531" s="6" t="str">
        <f t="shared" si="20"/>
        <v>0102014301</v>
      </c>
    </row>
    <row r="532" spans="1:6" x14ac:dyDescent="0.3">
      <c r="A532" s="6" t="s">
        <v>532</v>
      </c>
      <c r="B532">
        <v>1114729169</v>
      </c>
      <c r="C532" s="3">
        <v>4</v>
      </c>
      <c r="D532" s="5" t="str">
        <f t="shared" si="19"/>
        <v>04</v>
      </c>
      <c r="E532" t="str">
        <f>VLOOKUP(B532,'HOGARES-BASELINE'!$B:$I,8,FALSE)</f>
        <v>01020143</v>
      </c>
      <c r="F532" s="6" t="str">
        <f t="shared" si="20"/>
        <v>0102014304</v>
      </c>
    </row>
    <row r="533" spans="1:6" x14ac:dyDescent="0.3">
      <c r="A533" s="6" t="s">
        <v>533</v>
      </c>
      <c r="B533">
        <v>1114729169</v>
      </c>
      <c r="C533" s="3">
        <v>2</v>
      </c>
      <c r="D533" s="5" t="str">
        <f t="shared" si="19"/>
        <v>02</v>
      </c>
      <c r="E533" t="str">
        <f>VLOOKUP(B533,'HOGARES-BASELINE'!$B:$I,8,FALSE)</f>
        <v>01020143</v>
      </c>
      <c r="F533" s="6" t="str">
        <f t="shared" si="20"/>
        <v>0102014302</v>
      </c>
    </row>
    <row r="534" spans="1:6" x14ac:dyDescent="0.3">
      <c r="A534" s="6" t="s">
        <v>534</v>
      </c>
      <c r="B534">
        <v>1114729169</v>
      </c>
      <c r="C534" s="3">
        <v>3</v>
      </c>
      <c r="D534" s="5" t="str">
        <f t="shared" si="19"/>
        <v>03</v>
      </c>
      <c r="E534" t="str">
        <f>VLOOKUP(B534,'HOGARES-BASELINE'!$B:$I,8,FALSE)</f>
        <v>01020143</v>
      </c>
      <c r="F534" s="6" t="str">
        <f t="shared" si="20"/>
        <v>0102014303</v>
      </c>
    </row>
    <row r="535" spans="1:6" x14ac:dyDescent="0.3">
      <c r="A535" s="6" t="s">
        <v>535</v>
      </c>
      <c r="B535">
        <v>1114729169</v>
      </c>
      <c r="C535" s="3">
        <v>5</v>
      </c>
      <c r="D535" s="5" t="str">
        <f t="shared" si="19"/>
        <v>05</v>
      </c>
      <c r="E535" t="str">
        <f>VLOOKUP(B535,'HOGARES-BASELINE'!$B:$I,8,FALSE)</f>
        <v>01020143</v>
      </c>
      <c r="F535" s="6" t="str">
        <f t="shared" si="20"/>
        <v>0102014305</v>
      </c>
    </row>
    <row r="536" spans="1:6" x14ac:dyDescent="0.3">
      <c r="A536" s="6" t="s">
        <v>536</v>
      </c>
      <c r="B536">
        <v>1114731315</v>
      </c>
      <c r="C536" s="3">
        <v>1</v>
      </c>
      <c r="D536" s="5" t="str">
        <f t="shared" si="19"/>
        <v>01</v>
      </c>
      <c r="E536" t="str">
        <f>VLOOKUP(B536,'HOGARES-BASELINE'!$B:$I,8,FALSE)</f>
        <v>00020144</v>
      </c>
      <c r="F536" s="6" t="str">
        <f t="shared" si="20"/>
        <v>0002014401</v>
      </c>
    </row>
    <row r="537" spans="1:6" x14ac:dyDescent="0.3">
      <c r="A537" s="6" t="s">
        <v>537</v>
      </c>
      <c r="B537">
        <v>1114731315</v>
      </c>
      <c r="C537" s="3">
        <v>3</v>
      </c>
      <c r="D537" s="5" t="str">
        <f t="shared" si="19"/>
        <v>03</v>
      </c>
      <c r="E537" t="str">
        <f>VLOOKUP(B537,'HOGARES-BASELINE'!$B:$I,8,FALSE)</f>
        <v>00020144</v>
      </c>
      <c r="F537" s="6" t="str">
        <f t="shared" si="20"/>
        <v>0002014403</v>
      </c>
    </row>
    <row r="538" spans="1:6" x14ac:dyDescent="0.3">
      <c r="A538" s="6" t="s">
        <v>538</v>
      </c>
      <c r="B538">
        <v>1114731315</v>
      </c>
      <c r="C538" s="3">
        <v>2</v>
      </c>
      <c r="D538" s="5" t="str">
        <f t="shared" si="19"/>
        <v>02</v>
      </c>
      <c r="E538" t="str">
        <f>VLOOKUP(B538,'HOGARES-BASELINE'!$B:$I,8,FALSE)</f>
        <v>00020144</v>
      </c>
      <c r="F538" s="6" t="str">
        <f t="shared" si="20"/>
        <v>0002014402</v>
      </c>
    </row>
    <row r="539" spans="1:6" x14ac:dyDescent="0.3">
      <c r="A539" s="6" t="s">
        <v>539</v>
      </c>
      <c r="B539">
        <v>1114731315</v>
      </c>
      <c r="C539" s="3">
        <v>7</v>
      </c>
      <c r="D539" s="5" t="str">
        <f t="shared" si="19"/>
        <v>07</v>
      </c>
      <c r="E539" t="str">
        <f>VLOOKUP(B539,'HOGARES-BASELINE'!$B:$I,8,FALSE)</f>
        <v>00020144</v>
      </c>
      <c r="F539" s="6" t="str">
        <f t="shared" si="20"/>
        <v>0002014407</v>
      </c>
    </row>
    <row r="540" spans="1:6" x14ac:dyDescent="0.3">
      <c r="A540" s="6" t="s">
        <v>540</v>
      </c>
      <c r="B540">
        <v>1114731315</v>
      </c>
      <c r="C540" s="3">
        <v>6</v>
      </c>
      <c r="D540" s="5" t="str">
        <f t="shared" si="19"/>
        <v>06</v>
      </c>
      <c r="E540" t="str">
        <f>VLOOKUP(B540,'HOGARES-BASELINE'!$B:$I,8,FALSE)</f>
        <v>00020144</v>
      </c>
      <c r="F540" s="6" t="str">
        <f t="shared" si="20"/>
        <v>0002014406</v>
      </c>
    </row>
    <row r="541" spans="1:6" x14ac:dyDescent="0.3">
      <c r="A541" s="6" t="s">
        <v>541</v>
      </c>
      <c r="B541">
        <v>1114731315</v>
      </c>
      <c r="C541" s="3">
        <v>4</v>
      </c>
      <c r="D541" s="5" t="str">
        <f t="shared" si="19"/>
        <v>04</v>
      </c>
      <c r="E541" t="str">
        <f>VLOOKUP(B541,'HOGARES-BASELINE'!$B:$I,8,FALSE)</f>
        <v>00020144</v>
      </c>
      <c r="F541" s="6" t="str">
        <f t="shared" si="20"/>
        <v>0002014404</v>
      </c>
    </row>
    <row r="542" spans="1:6" x14ac:dyDescent="0.3">
      <c r="A542" s="6" t="s">
        <v>542</v>
      </c>
      <c r="B542">
        <v>1114731315</v>
      </c>
      <c r="C542" s="3">
        <v>5</v>
      </c>
      <c r="D542" s="5" t="str">
        <f t="shared" si="19"/>
        <v>05</v>
      </c>
      <c r="E542" t="str">
        <f>VLOOKUP(B542,'HOGARES-BASELINE'!$B:$I,8,FALSE)</f>
        <v>00020144</v>
      </c>
      <c r="F542" s="6" t="str">
        <f t="shared" si="20"/>
        <v>0002014405</v>
      </c>
    </row>
    <row r="543" spans="1:6" x14ac:dyDescent="0.3">
      <c r="A543" s="6" t="s">
        <v>543</v>
      </c>
      <c r="B543">
        <v>1118256990</v>
      </c>
      <c r="C543" s="3">
        <v>2</v>
      </c>
      <c r="D543" s="5" t="str">
        <f t="shared" si="19"/>
        <v>02</v>
      </c>
      <c r="E543" t="str">
        <f>VLOOKUP(B543,'HOGARES-BASELINE'!$B:$I,8,FALSE)</f>
        <v>01020145</v>
      </c>
      <c r="F543" s="6" t="str">
        <f t="shared" si="20"/>
        <v>0102014502</v>
      </c>
    </row>
    <row r="544" spans="1:6" x14ac:dyDescent="0.3">
      <c r="A544" s="6" t="s">
        <v>544</v>
      </c>
      <c r="B544">
        <v>1118256990</v>
      </c>
      <c r="C544" s="3">
        <v>3</v>
      </c>
      <c r="D544" s="5" t="str">
        <f t="shared" si="19"/>
        <v>03</v>
      </c>
      <c r="E544" t="str">
        <f>VLOOKUP(B544,'HOGARES-BASELINE'!$B:$I,8,FALSE)</f>
        <v>01020145</v>
      </c>
      <c r="F544" s="6" t="str">
        <f t="shared" si="20"/>
        <v>0102014503</v>
      </c>
    </row>
    <row r="545" spans="1:6" x14ac:dyDescent="0.3">
      <c r="A545" s="6" t="s">
        <v>545</v>
      </c>
      <c r="B545">
        <v>1118256990</v>
      </c>
      <c r="C545" s="3">
        <v>1</v>
      </c>
      <c r="D545" s="5" t="str">
        <f t="shared" si="19"/>
        <v>01</v>
      </c>
      <c r="E545" t="str">
        <f>VLOOKUP(B545,'HOGARES-BASELINE'!$B:$I,8,FALSE)</f>
        <v>01020145</v>
      </c>
      <c r="F545" s="6" t="str">
        <f t="shared" si="20"/>
        <v>0102014501</v>
      </c>
    </row>
    <row r="546" spans="1:6" x14ac:dyDescent="0.3">
      <c r="A546" s="6" t="s">
        <v>546</v>
      </c>
      <c r="B546">
        <v>1128165897</v>
      </c>
      <c r="C546" s="3">
        <v>1</v>
      </c>
      <c r="D546" s="5" t="str">
        <f t="shared" si="19"/>
        <v>01</v>
      </c>
      <c r="E546" t="str">
        <f>VLOOKUP(B546,'HOGARES-BASELINE'!$B:$I,8,FALSE)</f>
        <v>00030146</v>
      </c>
      <c r="F546" s="6" t="str">
        <f t="shared" si="20"/>
        <v>0003014601</v>
      </c>
    </row>
    <row r="547" spans="1:6" x14ac:dyDescent="0.3">
      <c r="A547" s="6" t="s">
        <v>547</v>
      </c>
      <c r="B547">
        <v>1128165897</v>
      </c>
      <c r="C547" s="3">
        <v>2</v>
      </c>
      <c r="D547" s="5" t="str">
        <f t="shared" si="19"/>
        <v>02</v>
      </c>
      <c r="E547" t="str">
        <f>VLOOKUP(B547,'HOGARES-BASELINE'!$B:$I,8,FALSE)</f>
        <v>00030146</v>
      </c>
      <c r="F547" s="6" t="str">
        <f t="shared" si="20"/>
        <v>0003014602</v>
      </c>
    </row>
    <row r="548" spans="1:6" x14ac:dyDescent="0.3">
      <c r="A548" s="6" t="s">
        <v>548</v>
      </c>
      <c r="B548">
        <v>1128271580</v>
      </c>
      <c r="C548" s="3">
        <v>1</v>
      </c>
      <c r="D548" s="5" t="str">
        <f t="shared" si="19"/>
        <v>01</v>
      </c>
      <c r="E548" t="str">
        <f>VLOOKUP(B548,'HOGARES-BASELINE'!$B:$I,8,FALSE)</f>
        <v>01010147</v>
      </c>
      <c r="F548" s="6" t="str">
        <f t="shared" si="20"/>
        <v>0101014701</v>
      </c>
    </row>
    <row r="549" spans="1:6" x14ac:dyDescent="0.3">
      <c r="A549" s="6" t="s">
        <v>549</v>
      </c>
      <c r="B549">
        <v>1128271580</v>
      </c>
      <c r="C549" s="3">
        <v>5</v>
      </c>
      <c r="D549" s="5" t="str">
        <f t="shared" si="19"/>
        <v>05</v>
      </c>
      <c r="E549" t="str">
        <f>VLOOKUP(B549,'HOGARES-BASELINE'!$B:$I,8,FALSE)</f>
        <v>01010147</v>
      </c>
      <c r="F549" s="6" t="str">
        <f t="shared" si="20"/>
        <v>0101014705</v>
      </c>
    </row>
    <row r="550" spans="1:6" x14ac:dyDescent="0.3">
      <c r="A550" s="6" t="s">
        <v>550</v>
      </c>
      <c r="B550">
        <v>1128271580</v>
      </c>
      <c r="C550" s="3">
        <v>3</v>
      </c>
      <c r="D550" s="5" t="str">
        <f t="shared" si="19"/>
        <v>03</v>
      </c>
      <c r="E550" t="str">
        <f>VLOOKUP(B550,'HOGARES-BASELINE'!$B:$I,8,FALSE)</f>
        <v>01010147</v>
      </c>
      <c r="F550" s="6" t="str">
        <f t="shared" si="20"/>
        <v>0101014703</v>
      </c>
    </row>
    <row r="551" spans="1:6" x14ac:dyDescent="0.3">
      <c r="A551" s="6" t="s">
        <v>551</v>
      </c>
      <c r="B551">
        <v>1128271580</v>
      </c>
      <c r="C551" s="3">
        <v>2</v>
      </c>
      <c r="D551" s="5" t="str">
        <f t="shared" si="19"/>
        <v>02</v>
      </c>
      <c r="E551" t="str">
        <f>VLOOKUP(B551,'HOGARES-BASELINE'!$B:$I,8,FALSE)</f>
        <v>01010147</v>
      </c>
      <c r="F551" s="6" t="str">
        <f t="shared" si="20"/>
        <v>0101014702</v>
      </c>
    </row>
    <row r="552" spans="1:6" x14ac:dyDescent="0.3">
      <c r="A552" s="6" t="s">
        <v>552</v>
      </c>
      <c r="B552">
        <v>1128271580</v>
      </c>
      <c r="C552" s="3">
        <v>4</v>
      </c>
      <c r="D552" s="5" t="str">
        <f t="shared" si="19"/>
        <v>04</v>
      </c>
      <c r="E552" t="str">
        <f>VLOOKUP(B552,'HOGARES-BASELINE'!$B:$I,8,FALSE)</f>
        <v>01010147</v>
      </c>
      <c r="F552" s="6" t="str">
        <f t="shared" si="20"/>
        <v>0101014704</v>
      </c>
    </row>
    <row r="553" spans="1:6" x14ac:dyDescent="0.3">
      <c r="A553" s="6" t="s">
        <v>553</v>
      </c>
      <c r="B553">
        <v>1128407663</v>
      </c>
      <c r="C553" s="3">
        <v>1</v>
      </c>
      <c r="D553" s="5" t="str">
        <f t="shared" si="19"/>
        <v>01</v>
      </c>
      <c r="E553" t="str">
        <f>VLOOKUP(B553,'HOGARES-BASELINE'!$B:$I,8,FALSE)</f>
        <v>00010148</v>
      </c>
      <c r="F553" s="6" t="str">
        <f t="shared" si="20"/>
        <v>0001014801</v>
      </c>
    </row>
    <row r="554" spans="1:6" x14ac:dyDescent="0.3">
      <c r="A554" s="6" t="s">
        <v>554</v>
      </c>
      <c r="B554">
        <v>1128407663</v>
      </c>
      <c r="C554" s="3">
        <v>2</v>
      </c>
      <c r="D554" s="5" t="str">
        <f t="shared" si="19"/>
        <v>02</v>
      </c>
      <c r="E554" t="str">
        <f>VLOOKUP(B554,'HOGARES-BASELINE'!$B:$I,8,FALSE)</f>
        <v>00010148</v>
      </c>
      <c r="F554" s="6" t="str">
        <f t="shared" si="20"/>
        <v>0001014802</v>
      </c>
    </row>
    <row r="555" spans="1:6" x14ac:dyDescent="0.3">
      <c r="A555" s="6" t="s">
        <v>555</v>
      </c>
      <c r="B555">
        <v>1128424631</v>
      </c>
      <c r="C555" s="3">
        <v>2</v>
      </c>
      <c r="D555" s="5" t="str">
        <f t="shared" si="19"/>
        <v>02</v>
      </c>
      <c r="E555" t="str">
        <f>VLOOKUP(B555,'HOGARES-BASELINE'!$B:$I,8,FALSE)</f>
        <v>00010149</v>
      </c>
      <c r="F555" s="6" t="str">
        <f t="shared" si="20"/>
        <v>0001014902</v>
      </c>
    </row>
    <row r="556" spans="1:6" x14ac:dyDescent="0.3">
      <c r="A556" s="6" t="s">
        <v>556</v>
      </c>
      <c r="B556">
        <v>1128424631</v>
      </c>
      <c r="C556" s="3">
        <v>1</v>
      </c>
      <c r="D556" s="5" t="str">
        <f t="shared" si="19"/>
        <v>01</v>
      </c>
      <c r="E556" t="str">
        <f>VLOOKUP(B556,'HOGARES-BASELINE'!$B:$I,8,FALSE)</f>
        <v>00010149</v>
      </c>
      <c r="F556" s="6" t="str">
        <f t="shared" si="20"/>
        <v>0001014901</v>
      </c>
    </row>
    <row r="557" spans="1:6" x14ac:dyDescent="0.3">
      <c r="A557" s="6" t="s">
        <v>557</v>
      </c>
      <c r="B557">
        <v>1128424714</v>
      </c>
      <c r="C557" s="3">
        <v>1</v>
      </c>
      <c r="D557" s="5" t="str">
        <f t="shared" si="19"/>
        <v>01</v>
      </c>
      <c r="E557" t="str">
        <f>VLOOKUP(B557,'HOGARES-BASELINE'!$B:$I,8,FALSE)</f>
        <v>00010150</v>
      </c>
      <c r="F557" s="6" t="str">
        <f t="shared" si="20"/>
        <v>0001015001</v>
      </c>
    </row>
    <row r="558" spans="1:6" x14ac:dyDescent="0.3">
      <c r="A558" s="6" t="s">
        <v>558</v>
      </c>
      <c r="B558">
        <v>1128424714</v>
      </c>
      <c r="C558" s="3">
        <v>2</v>
      </c>
      <c r="D558" s="5" t="str">
        <f t="shared" si="19"/>
        <v>02</v>
      </c>
      <c r="E558" t="str">
        <f>VLOOKUP(B558,'HOGARES-BASELINE'!$B:$I,8,FALSE)</f>
        <v>00010150</v>
      </c>
      <c r="F558" s="6" t="str">
        <f t="shared" si="20"/>
        <v>0001015002</v>
      </c>
    </row>
    <row r="559" spans="1:6" x14ac:dyDescent="0.3">
      <c r="A559" s="6" t="s">
        <v>559</v>
      </c>
      <c r="B559">
        <v>1128427798</v>
      </c>
      <c r="C559" s="3">
        <v>5</v>
      </c>
      <c r="D559" s="5" t="str">
        <f t="shared" si="19"/>
        <v>05</v>
      </c>
      <c r="E559" t="str">
        <f>VLOOKUP(B559,'HOGARES-BASELINE'!$B:$I,8,FALSE)</f>
        <v>00010151</v>
      </c>
      <c r="F559" s="6" t="str">
        <f t="shared" si="20"/>
        <v>0001015105</v>
      </c>
    </row>
    <row r="560" spans="1:6" x14ac:dyDescent="0.3">
      <c r="A560" s="6" t="s">
        <v>560</v>
      </c>
      <c r="B560">
        <v>1128427798</v>
      </c>
      <c r="C560" s="3">
        <v>4</v>
      </c>
      <c r="D560" s="5" t="str">
        <f t="shared" si="19"/>
        <v>04</v>
      </c>
      <c r="E560" t="str">
        <f>VLOOKUP(B560,'HOGARES-BASELINE'!$B:$I,8,FALSE)</f>
        <v>00010151</v>
      </c>
      <c r="F560" s="6" t="str">
        <f t="shared" si="20"/>
        <v>0001015104</v>
      </c>
    </row>
    <row r="561" spans="1:6" x14ac:dyDescent="0.3">
      <c r="A561" s="6" t="s">
        <v>561</v>
      </c>
      <c r="B561">
        <v>1128427798</v>
      </c>
      <c r="C561" s="3">
        <v>6</v>
      </c>
      <c r="D561" s="5" t="str">
        <f t="shared" si="19"/>
        <v>06</v>
      </c>
      <c r="E561" t="str">
        <f>VLOOKUP(B561,'HOGARES-BASELINE'!$B:$I,8,FALSE)</f>
        <v>00010151</v>
      </c>
      <c r="F561" s="6" t="str">
        <f t="shared" si="20"/>
        <v>0001015106</v>
      </c>
    </row>
    <row r="562" spans="1:6" x14ac:dyDescent="0.3">
      <c r="A562" s="6" t="s">
        <v>562</v>
      </c>
      <c r="B562">
        <v>1128427798</v>
      </c>
      <c r="C562" s="3">
        <v>3</v>
      </c>
      <c r="D562" s="5" t="str">
        <f t="shared" ref="D562:D625" si="21">_xlfn.CONCAT(0,C562)</f>
        <v>03</v>
      </c>
      <c r="E562" t="str">
        <f>VLOOKUP(B562,'HOGARES-BASELINE'!$B:$I,8,FALSE)</f>
        <v>00010151</v>
      </c>
      <c r="F562" s="6" t="str">
        <f t="shared" si="20"/>
        <v>0001015103</v>
      </c>
    </row>
    <row r="563" spans="1:6" x14ac:dyDescent="0.3">
      <c r="A563" s="6" t="s">
        <v>563</v>
      </c>
      <c r="B563">
        <v>1128427798</v>
      </c>
      <c r="C563" s="3">
        <v>2</v>
      </c>
      <c r="D563" s="5" t="str">
        <f t="shared" si="21"/>
        <v>02</v>
      </c>
      <c r="E563" t="str">
        <f>VLOOKUP(B563,'HOGARES-BASELINE'!$B:$I,8,FALSE)</f>
        <v>00010151</v>
      </c>
      <c r="F563" s="6" t="str">
        <f t="shared" si="20"/>
        <v>0001015102</v>
      </c>
    </row>
    <row r="564" spans="1:6" x14ac:dyDescent="0.3">
      <c r="A564" s="6" t="s">
        <v>564</v>
      </c>
      <c r="B564">
        <v>1128427798</v>
      </c>
      <c r="C564" s="3">
        <v>1</v>
      </c>
      <c r="D564" s="5" t="str">
        <f t="shared" si="21"/>
        <v>01</v>
      </c>
      <c r="E564" t="str">
        <f>VLOOKUP(B564,'HOGARES-BASELINE'!$B:$I,8,FALSE)</f>
        <v>00010151</v>
      </c>
      <c r="F564" s="6" t="str">
        <f t="shared" si="20"/>
        <v>0001015101</v>
      </c>
    </row>
    <row r="565" spans="1:6" x14ac:dyDescent="0.3">
      <c r="A565" s="6" t="s">
        <v>565</v>
      </c>
      <c r="B565">
        <v>1128437441</v>
      </c>
      <c r="C565" s="3">
        <v>1</v>
      </c>
      <c r="D565" s="5" t="str">
        <f t="shared" si="21"/>
        <v>01</v>
      </c>
      <c r="E565" t="str">
        <f>VLOOKUP(B565,'HOGARES-BASELINE'!$B:$I,8,FALSE)</f>
        <v>00010152</v>
      </c>
      <c r="F565" s="6" t="str">
        <f t="shared" si="20"/>
        <v>0001015201</v>
      </c>
    </row>
    <row r="566" spans="1:6" x14ac:dyDescent="0.3">
      <c r="A566" s="6" t="s">
        <v>566</v>
      </c>
      <c r="B566">
        <v>1128437441</v>
      </c>
      <c r="C566" s="3">
        <v>2</v>
      </c>
      <c r="D566" s="5" t="str">
        <f t="shared" si="21"/>
        <v>02</v>
      </c>
      <c r="E566" t="str">
        <f>VLOOKUP(B566,'HOGARES-BASELINE'!$B:$I,8,FALSE)</f>
        <v>00010152</v>
      </c>
      <c r="F566" s="6" t="str">
        <f t="shared" si="20"/>
        <v>0001015202</v>
      </c>
    </row>
    <row r="567" spans="1:6" x14ac:dyDescent="0.3">
      <c r="A567" s="6" t="s">
        <v>567</v>
      </c>
      <c r="B567">
        <v>1128437636</v>
      </c>
      <c r="C567" s="3">
        <v>1</v>
      </c>
      <c r="D567" s="5" t="str">
        <f t="shared" si="21"/>
        <v>01</v>
      </c>
      <c r="E567" t="str">
        <f>VLOOKUP(B567,'HOGARES-BASELINE'!$B:$I,8,FALSE)</f>
        <v>00010153</v>
      </c>
      <c r="F567" s="6" t="str">
        <f t="shared" si="20"/>
        <v>0001015301</v>
      </c>
    </row>
    <row r="568" spans="1:6" x14ac:dyDescent="0.3">
      <c r="A568" s="6" t="s">
        <v>568</v>
      </c>
      <c r="B568">
        <v>1128437636</v>
      </c>
      <c r="C568" s="3">
        <v>3</v>
      </c>
      <c r="D568" s="5" t="str">
        <f t="shared" si="21"/>
        <v>03</v>
      </c>
      <c r="E568" t="str">
        <f>VLOOKUP(B568,'HOGARES-BASELINE'!$B:$I,8,FALSE)</f>
        <v>00010153</v>
      </c>
      <c r="F568" s="6" t="str">
        <f t="shared" si="20"/>
        <v>0001015303</v>
      </c>
    </row>
    <row r="569" spans="1:6" x14ac:dyDescent="0.3">
      <c r="A569" s="6" t="s">
        <v>569</v>
      </c>
      <c r="B569">
        <v>1128437636</v>
      </c>
      <c r="C569" s="3">
        <v>4</v>
      </c>
      <c r="D569" s="5" t="str">
        <f t="shared" si="21"/>
        <v>04</v>
      </c>
      <c r="E569" t="str">
        <f>VLOOKUP(B569,'HOGARES-BASELINE'!$B:$I,8,FALSE)</f>
        <v>00010153</v>
      </c>
      <c r="F569" s="6" t="str">
        <f t="shared" si="20"/>
        <v>0001015304</v>
      </c>
    </row>
    <row r="570" spans="1:6" x14ac:dyDescent="0.3">
      <c r="A570" s="6" t="s">
        <v>570</v>
      </c>
      <c r="B570">
        <v>1128437636</v>
      </c>
      <c r="C570" s="3">
        <v>2</v>
      </c>
      <c r="D570" s="5" t="str">
        <f t="shared" si="21"/>
        <v>02</v>
      </c>
      <c r="E570" t="str">
        <f>VLOOKUP(B570,'HOGARES-BASELINE'!$B:$I,8,FALSE)</f>
        <v>00010153</v>
      </c>
      <c r="F570" s="6" t="str">
        <f t="shared" si="20"/>
        <v>0001015302</v>
      </c>
    </row>
    <row r="571" spans="1:6" x14ac:dyDescent="0.3">
      <c r="A571" s="6" t="s">
        <v>571</v>
      </c>
      <c r="B571">
        <v>1128437636</v>
      </c>
      <c r="C571" s="3">
        <v>5</v>
      </c>
      <c r="D571" s="5" t="str">
        <f t="shared" si="21"/>
        <v>05</v>
      </c>
      <c r="E571" t="str">
        <f>VLOOKUP(B571,'HOGARES-BASELINE'!$B:$I,8,FALSE)</f>
        <v>00010153</v>
      </c>
      <c r="F571" s="6" t="str">
        <f t="shared" si="20"/>
        <v>0001015305</v>
      </c>
    </row>
    <row r="572" spans="1:6" x14ac:dyDescent="0.3">
      <c r="A572" s="6" t="s">
        <v>572</v>
      </c>
      <c r="B572">
        <v>1128481612</v>
      </c>
      <c r="C572" s="3">
        <v>2</v>
      </c>
      <c r="D572" s="5" t="str">
        <f t="shared" si="21"/>
        <v>02</v>
      </c>
      <c r="E572" t="str">
        <f>VLOOKUP(B572,'HOGARES-BASELINE'!$B:$I,8,FALSE)</f>
        <v>00010154</v>
      </c>
      <c r="F572" s="6" t="str">
        <f t="shared" si="20"/>
        <v>0001015402</v>
      </c>
    </row>
    <row r="573" spans="1:6" x14ac:dyDescent="0.3">
      <c r="A573" s="6" t="s">
        <v>573</v>
      </c>
      <c r="B573">
        <v>1128481612</v>
      </c>
      <c r="C573" s="3">
        <v>5</v>
      </c>
      <c r="D573" s="5" t="str">
        <f t="shared" si="21"/>
        <v>05</v>
      </c>
      <c r="E573" t="str">
        <f>VLOOKUP(B573,'HOGARES-BASELINE'!$B:$I,8,FALSE)</f>
        <v>00010154</v>
      </c>
      <c r="F573" s="6" t="str">
        <f t="shared" si="20"/>
        <v>0001015405</v>
      </c>
    </row>
    <row r="574" spans="1:6" x14ac:dyDescent="0.3">
      <c r="A574" s="6" t="s">
        <v>574</v>
      </c>
      <c r="B574">
        <v>1128481612</v>
      </c>
      <c r="C574" s="3">
        <v>4</v>
      </c>
      <c r="D574" s="5" t="str">
        <f t="shared" si="21"/>
        <v>04</v>
      </c>
      <c r="E574" t="str">
        <f>VLOOKUP(B574,'HOGARES-BASELINE'!$B:$I,8,FALSE)</f>
        <v>00010154</v>
      </c>
      <c r="F574" s="6" t="str">
        <f t="shared" si="20"/>
        <v>0001015404</v>
      </c>
    </row>
    <row r="575" spans="1:6" x14ac:dyDescent="0.3">
      <c r="A575" s="6" t="s">
        <v>575</v>
      </c>
      <c r="B575">
        <v>1128481612</v>
      </c>
      <c r="C575" s="3">
        <v>1</v>
      </c>
      <c r="D575" s="5" t="str">
        <f t="shared" si="21"/>
        <v>01</v>
      </c>
      <c r="E575" t="str">
        <f>VLOOKUP(B575,'HOGARES-BASELINE'!$B:$I,8,FALSE)</f>
        <v>00010154</v>
      </c>
      <c r="F575" s="6" t="str">
        <f t="shared" si="20"/>
        <v>0001015401</v>
      </c>
    </row>
    <row r="576" spans="1:6" x14ac:dyDescent="0.3">
      <c r="A576" s="6" t="s">
        <v>576</v>
      </c>
      <c r="B576">
        <v>1128481612</v>
      </c>
      <c r="C576" s="3">
        <v>3</v>
      </c>
      <c r="D576" s="5" t="str">
        <f t="shared" si="21"/>
        <v>03</v>
      </c>
      <c r="E576" t="str">
        <f>VLOOKUP(B576,'HOGARES-BASELINE'!$B:$I,8,FALSE)</f>
        <v>00010154</v>
      </c>
      <c r="F576" s="6" t="str">
        <f t="shared" si="20"/>
        <v>0001015403</v>
      </c>
    </row>
    <row r="577" spans="1:6" x14ac:dyDescent="0.3">
      <c r="A577" s="6" t="s">
        <v>577</v>
      </c>
      <c r="B577">
        <v>1129487310</v>
      </c>
      <c r="C577" s="3">
        <v>2</v>
      </c>
      <c r="D577" s="5" t="str">
        <f t="shared" si="21"/>
        <v>02</v>
      </c>
      <c r="E577" t="str">
        <f>VLOOKUP(B577,'HOGARES-BASELINE'!$B:$I,8,FALSE)</f>
        <v>01030155</v>
      </c>
      <c r="F577" s="6" t="str">
        <f t="shared" si="20"/>
        <v>0103015502</v>
      </c>
    </row>
    <row r="578" spans="1:6" x14ac:dyDescent="0.3">
      <c r="A578" s="6" t="s">
        <v>578</v>
      </c>
      <c r="B578">
        <v>1129487310</v>
      </c>
      <c r="C578" s="3">
        <v>1</v>
      </c>
      <c r="D578" s="5" t="str">
        <f t="shared" si="21"/>
        <v>01</v>
      </c>
      <c r="E578" t="str">
        <f>VLOOKUP(B578,'HOGARES-BASELINE'!$B:$I,8,FALSE)</f>
        <v>01030155</v>
      </c>
      <c r="F578" s="6" t="str">
        <f t="shared" si="20"/>
        <v>0103015501</v>
      </c>
    </row>
    <row r="579" spans="1:6" x14ac:dyDescent="0.3">
      <c r="A579" s="6" t="s">
        <v>579</v>
      </c>
      <c r="B579">
        <v>1129497775</v>
      </c>
      <c r="C579" s="3">
        <v>6</v>
      </c>
      <c r="D579" s="5" t="str">
        <f t="shared" si="21"/>
        <v>06</v>
      </c>
      <c r="E579" t="str">
        <f>VLOOKUP(B579,'HOGARES-BASELINE'!$B:$I,8,FALSE)</f>
        <v>01030156</v>
      </c>
      <c r="F579" s="6" t="str">
        <f t="shared" ref="F579:F642" si="22">_xlfn.CONCAT(E579,D579)</f>
        <v>0103015606</v>
      </c>
    </row>
    <row r="580" spans="1:6" x14ac:dyDescent="0.3">
      <c r="A580" s="6" t="s">
        <v>580</v>
      </c>
      <c r="B580">
        <v>1129497775</v>
      </c>
      <c r="C580" s="3">
        <v>3</v>
      </c>
      <c r="D580" s="5" t="str">
        <f t="shared" si="21"/>
        <v>03</v>
      </c>
      <c r="E580" t="str">
        <f>VLOOKUP(B580,'HOGARES-BASELINE'!$B:$I,8,FALSE)</f>
        <v>01030156</v>
      </c>
      <c r="F580" s="6" t="str">
        <f t="shared" si="22"/>
        <v>0103015603</v>
      </c>
    </row>
    <row r="581" spans="1:6" x14ac:dyDescent="0.3">
      <c r="A581" s="6" t="s">
        <v>581</v>
      </c>
      <c r="B581">
        <v>1129497775</v>
      </c>
      <c r="C581" s="3">
        <v>7</v>
      </c>
      <c r="D581" s="5" t="str">
        <f t="shared" si="21"/>
        <v>07</v>
      </c>
      <c r="E581" t="str">
        <f>VLOOKUP(B581,'HOGARES-BASELINE'!$B:$I,8,FALSE)</f>
        <v>01030156</v>
      </c>
      <c r="F581" s="6" t="str">
        <f t="shared" si="22"/>
        <v>0103015607</v>
      </c>
    </row>
    <row r="582" spans="1:6" x14ac:dyDescent="0.3">
      <c r="A582" s="6" t="s">
        <v>582</v>
      </c>
      <c r="B582">
        <v>1129497775</v>
      </c>
      <c r="C582" s="3">
        <v>2</v>
      </c>
      <c r="D582" s="5" t="str">
        <f t="shared" si="21"/>
        <v>02</v>
      </c>
      <c r="E582" t="str">
        <f>VLOOKUP(B582,'HOGARES-BASELINE'!$B:$I,8,FALSE)</f>
        <v>01030156</v>
      </c>
      <c r="F582" s="6" t="str">
        <f t="shared" si="22"/>
        <v>0103015602</v>
      </c>
    </row>
    <row r="583" spans="1:6" x14ac:dyDescent="0.3">
      <c r="A583" s="6" t="s">
        <v>583</v>
      </c>
      <c r="B583">
        <v>1129497775</v>
      </c>
      <c r="C583" s="3">
        <v>1</v>
      </c>
      <c r="D583" s="5" t="str">
        <f t="shared" si="21"/>
        <v>01</v>
      </c>
      <c r="E583" t="str">
        <f>VLOOKUP(B583,'HOGARES-BASELINE'!$B:$I,8,FALSE)</f>
        <v>01030156</v>
      </c>
      <c r="F583" s="6" t="str">
        <f t="shared" si="22"/>
        <v>0103015601</v>
      </c>
    </row>
    <row r="584" spans="1:6" x14ac:dyDescent="0.3">
      <c r="A584" s="6" t="s">
        <v>584</v>
      </c>
      <c r="B584">
        <v>1129497775</v>
      </c>
      <c r="C584" s="3">
        <v>4</v>
      </c>
      <c r="D584" s="5" t="str">
        <f t="shared" si="21"/>
        <v>04</v>
      </c>
      <c r="E584" t="str">
        <f>VLOOKUP(B584,'HOGARES-BASELINE'!$B:$I,8,FALSE)</f>
        <v>01030156</v>
      </c>
      <c r="F584" s="6" t="str">
        <f t="shared" si="22"/>
        <v>0103015604</v>
      </c>
    </row>
    <row r="585" spans="1:6" x14ac:dyDescent="0.3">
      <c r="A585" s="6" t="s">
        <v>585</v>
      </c>
      <c r="B585">
        <v>1129497775</v>
      </c>
      <c r="C585" s="3">
        <v>5</v>
      </c>
      <c r="D585" s="5" t="str">
        <f t="shared" si="21"/>
        <v>05</v>
      </c>
      <c r="E585" t="str">
        <f>VLOOKUP(B585,'HOGARES-BASELINE'!$B:$I,8,FALSE)</f>
        <v>01030156</v>
      </c>
      <c r="F585" s="6" t="str">
        <f t="shared" si="22"/>
        <v>0103015605</v>
      </c>
    </row>
    <row r="586" spans="1:6" x14ac:dyDescent="0.3">
      <c r="A586" s="6" t="s">
        <v>586</v>
      </c>
      <c r="B586">
        <v>1129498810</v>
      </c>
      <c r="C586" s="3">
        <v>3</v>
      </c>
      <c r="D586" s="5" t="str">
        <f t="shared" si="21"/>
        <v>03</v>
      </c>
      <c r="E586" t="str">
        <f>VLOOKUP(B586,'HOGARES-BASELINE'!$B:$I,8,FALSE)</f>
        <v>01030157</v>
      </c>
      <c r="F586" s="6" t="str">
        <f t="shared" si="22"/>
        <v>0103015703</v>
      </c>
    </row>
    <row r="587" spans="1:6" x14ac:dyDescent="0.3">
      <c r="A587" s="6" t="s">
        <v>587</v>
      </c>
      <c r="B587">
        <v>1129498810</v>
      </c>
      <c r="C587" s="3">
        <v>4</v>
      </c>
      <c r="D587" s="5" t="str">
        <f t="shared" si="21"/>
        <v>04</v>
      </c>
      <c r="E587" t="str">
        <f>VLOOKUP(B587,'HOGARES-BASELINE'!$B:$I,8,FALSE)</f>
        <v>01030157</v>
      </c>
      <c r="F587" s="6" t="str">
        <f t="shared" si="22"/>
        <v>0103015704</v>
      </c>
    </row>
    <row r="588" spans="1:6" x14ac:dyDescent="0.3">
      <c r="A588" s="6" t="s">
        <v>588</v>
      </c>
      <c r="B588">
        <v>1129498810</v>
      </c>
      <c r="C588" s="3">
        <v>2</v>
      </c>
      <c r="D588" s="5" t="str">
        <f t="shared" si="21"/>
        <v>02</v>
      </c>
      <c r="E588" t="str">
        <f>VLOOKUP(B588,'HOGARES-BASELINE'!$B:$I,8,FALSE)</f>
        <v>01030157</v>
      </c>
      <c r="F588" s="6" t="str">
        <f t="shared" si="22"/>
        <v>0103015702</v>
      </c>
    </row>
    <row r="589" spans="1:6" x14ac:dyDescent="0.3">
      <c r="A589" s="6" t="s">
        <v>589</v>
      </c>
      <c r="B589">
        <v>1129498810</v>
      </c>
      <c r="C589" s="3">
        <v>1</v>
      </c>
      <c r="D589" s="5" t="str">
        <f t="shared" si="21"/>
        <v>01</v>
      </c>
      <c r="E589" t="str">
        <f>VLOOKUP(B589,'HOGARES-BASELINE'!$B:$I,8,FALSE)</f>
        <v>01030157</v>
      </c>
      <c r="F589" s="6" t="str">
        <f t="shared" si="22"/>
        <v>0103015701</v>
      </c>
    </row>
    <row r="590" spans="1:6" x14ac:dyDescent="0.3">
      <c r="A590" s="6" t="s">
        <v>590</v>
      </c>
      <c r="B590">
        <v>1129504681</v>
      </c>
      <c r="C590" s="3">
        <v>1</v>
      </c>
      <c r="D590" s="5" t="str">
        <f t="shared" si="21"/>
        <v>01</v>
      </c>
      <c r="E590" t="str">
        <f>VLOOKUP(B590,'HOGARES-BASELINE'!$B:$I,8,FALSE)</f>
        <v>00030158</v>
      </c>
      <c r="F590" s="6" t="str">
        <f t="shared" si="22"/>
        <v>0003015801</v>
      </c>
    </row>
    <row r="591" spans="1:6" x14ac:dyDescent="0.3">
      <c r="A591" s="6" t="s">
        <v>591</v>
      </c>
      <c r="B591">
        <v>1129504681</v>
      </c>
      <c r="C591" s="3">
        <v>3</v>
      </c>
      <c r="D591" s="5" t="str">
        <f t="shared" si="21"/>
        <v>03</v>
      </c>
      <c r="E591" t="str">
        <f>VLOOKUP(B591,'HOGARES-BASELINE'!$B:$I,8,FALSE)</f>
        <v>00030158</v>
      </c>
      <c r="F591" s="6" t="str">
        <f t="shared" si="22"/>
        <v>0003015803</v>
      </c>
    </row>
    <row r="592" spans="1:6" x14ac:dyDescent="0.3">
      <c r="A592" s="6" t="s">
        <v>592</v>
      </c>
      <c r="B592">
        <v>1129504681</v>
      </c>
      <c r="C592" s="3">
        <v>4</v>
      </c>
      <c r="D592" s="5" t="str">
        <f t="shared" si="21"/>
        <v>04</v>
      </c>
      <c r="E592" t="str">
        <f>VLOOKUP(B592,'HOGARES-BASELINE'!$B:$I,8,FALSE)</f>
        <v>00030158</v>
      </c>
      <c r="F592" s="6" t="str">
        <f t="shared" si="22"/>
        <v>0003015804</v>
      </c>
    </row>
    <row r="593" spans="1:6" x14ac:dyDescent="0.3">
      <c r="A593" s="6" t="s">
        <v>593</v>
      </c>
      <c r="B593">
        <v>1129504681</v>
      </c>
      <c r="C593" s="3">
        <v>2</v>
      </c>
      <c r="D593" s="5" t="str">
        <f t="shared" si="21"/>
        <v>02</v>
      </c>
      <c r="E593" t="str">
        <f>VLOOKUP(B593,'HOGARES-BASELINE'!$B:$I,8,FALSE)</f>
        <v>00030158</v>
      </c>
      <c r="F593" s="6" t="str">
        <f t="shared" si="22"/>
        <v>0003015802</v>
      </c>
    </row>
    <row r="594" spans="1:6" x14ac:dyDescent="0.3">
      <c r="A594" s="6" t="s">
        <v>594</v>
      </c>
      <c r="B594">
        <v>1129510023</v>
      </c>
      <c r="C594" s="3">
        <v>4</v>
      </c>
      <c r="D594" s="5" t="str">
        <f t="shared" si="21"/>
        <v>04</v>
      </c>
      <c r="E594" t="str">
        <f>VLOOKUP(B594,'HOGARES-BASELINE'!$B:$I,8,FALSE)</f>
        <v>00030159</v>
      </c>
      <c r="F594" s="6" t="str">
        <f t="shared" si="22"/>
        <v>0003015904</v>
      </c>
    </row>
    <row r="595" spans="1:6" x14ac:dyDescent="0.3">
      <c r="A595" s="6" t="s">
        <v>595</v>
      </c>
      <c r="B595">
        <v>1129510023</v>
      </c>
      <c r="C595" s="3">
        <v>2</v>
      </c>
      <c r="D595" s="5" t="str">
        <f t="shared" si="21"/>
        <v>02</v>
      </c>
      <c r="E595" t="str">
        <f>VLOOKUP(B595,'HOGARES-BASELINE'!$B:$I,8,FALSE)</f>
        <v>00030159</v>
      </c>
      <c r="F595" s="6" t="str">
        <f t="shared" si="22"/>
        <v>0003015902</v>
      </c>
    </row>
    <row r="596" spans="1:6" x14ac:dyDescent="0.3">
      <c r="A596" s="6" t="s">
        <v>596</v>
      </c>
      <c r="B596">
        <v>1129510023</v>
      </c>
      <c r="C596" s="3">
        <v>1</v>
      </c>
      <c r="D596" s="5" t="str">
        <f t="shared" si="21"/>
        <v>01</v>
      </c>
      <c r="E596" t="str">
        <f>VLOOKUP(B596,'HOGARES-BASELINE'!$B:$I,8,FALSE)</f>
        <v>00030159</v>
      </c>
      <c r="F596" s="6" t="str">
        <f t="shared" si="22"/>
        <v>0003015901</v>
      </c>
    </row>
    <row r="597" spans="1:6" x14ac:dyDescent="0.3">
      <c r="A597" s="6" t="s">
        <v>597</v>
      </c>
      <c r="B597">
        <v>1129510023</v>
      </c>
      <c r="C597" s="3">
        <v>3</v>
      </c>
      <c r="D597" s="5" t="str">
        <f t="shared" si="21"/>
        <v>03</v>
      </c>
      <c r="E597" t="str">
        <f>VLOOKUP(B597,'HOGARES-BASELINE'!$B:$I,8,FALSE)</f>
        <v>00030159</v>
      </c>
      <c r="F597" s="6" t="str">
        <f t="shared" si="22"/>
        <v>0003015903</v>
      </c>
    </row>
    <row r="598" spans="1:6" x14ac:dyDescent="0.3">
      <c r="A598" s="6" t="s">
        <v>598</v>
      </c>
      <c r="B598">
        <v>1129510023</v>
      </c>
      <c r="C598" s="3">
        <v>5</v>
      </c>
      <c r="D598" s="5" t="str">
        <f t="shared" si="21"/>
        <v>05</v>
      </c>
      <c r="E598" t="str">
        <f>VLOOKUP(B598,'HOGARES-BASELINE'!$B:$I,8,FALSE)</f>
        <v>00030159</v>
      </c>
      <c r="F598" s="6" t="str">
        <f t="shared" si="22"/>
        <v>0003015905</v>
      </c>
    </row>
    <row r="599" spans="1:6" x14ac:dyDescent="0.3">
      <c r="A599" s="6" t="s">
        <v>599</v>
      </c>
      <c r="B599">
        <v>1129514883</v>
      </c>
      <c r="C599" s="3">
        <v>3</v>
      </c>
      <c r="D599" s="5" t="str">
        <f t="shared" si="21"/>
        <v>03</v>
      </c>
      <c r="E599" t="str">
        <f>VLOOKUP(B599,'HOGARES-BASELINE'!$B:$I,8,FALSE)</f>
        <v>00030160</v>
      </c>
      <c r="F599" s="6" t="str">
        <f t="shared" si="22"/>
        <v>0003016003</v>
      </c>
    </row>
    <row r="600" spans="1:6" x14ac:dyDescent="0.3">
      <c r="A600" s="6" t="s">
        <v>600</v>
      </c>
      <c r="B600">
        <v>1129514883</v>
      </c>
      <c r="C600" s="3">
        <v>2</v>
      </c>
      <c r="D600" s="5" t="str">
        <f t="shared" si="21"/>
        <v>02</v>
      </c>
      <c r="E600" t="str">
        <f>VLOOKUP(B600,'HOGARES-BASELINE'!$B:$I,8,FALSE)</f>
        <v>00030160</v>
      </c>
      <c r="F600" s="6" t="str">
        <f t="shared" si="22"/>
        <v>0003016002</v>
      </c>
    </row>
    <row r="601" spans="1:6" x14ac:dyDescent="0.3">
      <c r="A601" s="6" t="s">
        <v>601</v>
      </c>
      <c r="B601">
        <v>1129514883</v>
      </c>
      <c r="C601" s="3">
        <v>1</v>
      </c>
      <c r="D601" s="5" t="str">
        <f t="shared" si="21"/>
        <v>01</v>
      </c>
      <c r="E601" t="str">
        <f>VLOOKUP(B601,'HOGARES-BASELINE'!$B:$I,8,FALSE)</f>
        <v>00030160</v>
      </c>
      <c r="F601" s="6" t="str">
        <f t="shared" si="22"/>
        <v>0003016001</v>
      </c>
    </row>
    <row r="602" spans="1:6" x14ac:dyDescent="0.3">
      <c r="A602" s="6" t="s">
        <v>602</v>
      </c>
      <c r="B602">
        <v>1129514883</v>
      </c>
      <c r="C602" s="3">
        <v>4</v>
      </c>
      <c r="D602" s="5" t="str">
        <f t="shared" si="21"/>
        <v>04</v>
      </c>
      <c r="E602" t="str">
        <f>VLOOKUP(B602,'HOGARES-BASELINE'!$B:$I,8,FALSE)</f>
        <v>00030160</v>
      </c>
      <c r="F602" s="6" t="str">
        <f t="shared" si="22"/>
        <v>0003016004</v>
      </c>
    </row>
    <row r="603" spans="1:6" x14ac:dyDescent="0.3">
      <c r="A603" s="6" t="s">
        <v>603</v>
      </c>
      <c r="B603">
        <v>1129519478</v>
      </c>
      <c r="C603" s="3">
        <v>3</v>
      </c>
      <c r="D603" s="5" t="str">
        <f t="shared" si="21"/>
        <v>03</v>
      </c>
      <c r="E603" t="str">
        <f>VLOOKUP(B603,'HOGARES-BASELINE'!$B:$I,8,FALSE)</f>
        <v>00030161</v>
      </c>
      <c r="F603" s="6" t="str">
        <f t="shared" si="22"/>
        <v>0003016103</v>
      </c>
    </row>
    <row r="604" spans="1:6" x14ac:dyDescent="0.3">
      <c r="A604" s="6" t="s">
        <v>604</v>
      </c>
      <c r="B604">
        <v>1129519478</v>
      </c>
      <c r="C604" s="3">
        <v>1</v>
      </c>
      <c r="D604" s="5" t="str">
        <f t="shared" si="21"/>
        <v>01</v>
      </c>
      <c r="E604" t="str">
        <f>VLOOKUP(B604,'HOGARES-BASELINE'!$B:$I,8,FALSE)</f>
        <v>00030161</v>
      </c>
      <c r="F604" s="6" t="str">
        <f t="shared" si="22"/>
        <v>0003016101</v>
      </c>
    </row>
    <row r="605" spans="1:6" x14ac:dyDescent="0.3">
      <c r="A605" s="6" t="s">
        <v>605</v>
      </c>
      <c r="B605">
        <v>1129519478</v>
      </c>
      <c r="C605" s="3">
        <v>2</v>
      </c>
      <c r="D605" s="5" t="str">
        <f t="shared" si="21"/>
        <v>02</v>
      </c>
      <c r="E605" t="str">
        <f>VLOOKUP(B605,'HOGARES-BASELINE'!$B:$I,8,FALSE)</f>
        <v>00030161</v>
      </c>
      <c r="F605" s="6" t="str">
        <f t="shared" si="22"/>
        <v>0003016102</v>
      </c>
    </row>
    <row r="606" spans="1:6" x14ac:dyDescent="0.3">
      <c r="A606" s="6" t="s">
        <v>606</v>
      </c>
      <c r="B606">
        <v>1129520081</v>
      </c>
      <c r="C606" s="3">
        <v>4</v>
      </c>
      <c r="D606" s="5" t="str">
        <f t="shared" si="21"/>
        <v>04</v>
      </c>
      <c r="E606" t="str">
        <f>VLOOKUP(B606,'HOGARES-BASELINE'!$B:$I,8,FALSE)</f>
        <v>01030162</v>
      </c>
      <c r="F606" s="6" t="str">
        <f t="shared" si="22"/>
        <v>0103016204</v>
      </c>
    </row>
    <row r="607" spans="1:6" x14ac:dyDescent="0.3">
      <c r="A607" s="6" t="s">
        <v>607</v>
      </c>
      <c r="B607">
        <v>1129520081</v>
      </c>
      <c r="C607" s="3">
        <v>1</v>
      </c>
      <c r="D607" s="5" t="str">
        <f t="shared" si="21"/>
        <v>01</v>
      </c>
      <c r="E607" t="str">
        <f>VLOOKUP(B607,'HOGARES-BASELINE'!$B:$I,8,FALSE)</f>
        <v>01030162</v>
      </c>
      <c r="F607" s="6" t="str">
        <f t="shared" si="22"/>
        <v>0103016201</v>
      </c>
    </row>
    <row r="608" spans="1:6" x14ac:dyDescent="0.3">
      <c r="A608" s="6" t="s">
        <v>608</v>
      </c>
      <c r="B608">
        <v>1129520081</v>
      </c>
      <c r="C608" s="3">
        <v>3</v>
      </c>
      <c r="D608" s="5" t="str">
        <f t="shared" si="21"/>
        <v>03</v>
      </c>
      <c r="E608" t="str">
        <f>VLOOKUP(B608,'HOGARES-BASELINE'!$B:$I,8,FALSE)</f>
        <v>01030162</v>
      </c>
      <c r="F608" s="6" t="str">
        <f t="shared" si="22"/>
        <v>0103016203</v>
      </c>
    </row>
    <row r="609" spans="1:6" x14ac:dyDescent="0.3">
      <c r="A609" s="6" t="s">
        <v>609</v>
      </c>
      <c r="B609">
        <v>1129520081</v>
      </c>
      <c r="C609" s="3">
        <v>2</v>
      </c>
      <c r="D609" s="5" t="str">
        <f t="shared" si="21"/>
        <v>02</v>
      </c>
      <c r="E609" t="str">
        <f>VLOOKUP(B609,'HOGARES-BASELINE'!$B:$I,8,FALSE)</f>
        <v>01030162</v>
      </c>
      <c r="F609" s="6" t="str">
        <f t="shared" si="22"/>
        <v>0103016202</v>
      </c>
    </row>
    <row r="610" spans="1:6" x14ac:dyDescent="0.3">
      <c r="A610" s="6" t="s">
        <v>610</v>
      </c>
      <c r="B610">
        <v>1129543553</v>
      </c>
      <c r="C610" s="3">
        <v>1</v>
      </c>
      <c r="D610" s="5" t="str">
        <f t="shared" si="21"/>
        <v>01</v>
      </c>
      <c r="E610" t="str">
        <f>VLOOKUP(B610,'HOGARES-BASELINE'!$B:$I,8,FALSE)</f>
        <v>00030163</v>
      </c>
      <c r="F610" s="6" t="str">
        <f t="shared" si="22"/>
        <v>0003016301</v>
      </c>
    </row>
    <row r="611" spans="1:6" x14ac:dyDescent="0.3">
      <c r="A611" s="6" t="s">
        <v>611</v>
      </c>
      <c r="B611">
        <v>1129543553</v>
      </c>
      <c r="C611" s="3">
        <v>4</v>
      </c>
      <c r="D611" s="5" t="str">
        <f t="shared" si="21"/>
        <v>04</v>
      </c>
      <c r="E611" t="str">
        <f>VLOOKUP(B611,'HOGARES-BASELINE'!$B:$I,8,FALSE)</f>
        <v>00030163</v>
      </c>
      <c r="F611" s="6" t="str">
        <f t="shared" si="22"/>
        <v>0003016304</v>
      </c>
    </row>
    <row r="612" spans="1:6" x14ac:dyDescent="0.3">
      <c r="A612" s="6" t="s">
        <v>612</v>
      </c>
      <c r="B612">
        <v>1129543553</v>
      </c>
      <c r="C612" s="3">
        <v>3</v>
      </c>
      <c r="D612" s="5" t="str">
        <f t="shared" si="21"/>
        <v>03</v>
      </c>
      <c r="E612" t="str">
        <f>VLOOKUP(B612,'HOGARES-BASELINE'!$B:$I,8,FALSE)</f>
        <v>00030163</v>
      </c>
      <c r="F612" s="6" t="str">
        <f t="shared" si="22"/>
        <v>0003016303</v>
      </c>
    </row>
    <row r="613" spans="1:6" x14ac:dyDescent="0.3">
      <c r="A613" s="6" t="s">
        <v>613</v>
      </c>
      <c r="B613">
        <v>1129543553</v>
      </c>
      <c r="C613" s="3">
        <v>2</v>
      </c>
      <c r="D613" s="5" t="str">
        <f t="shared" si="21"/>
        <v>02</v>
      </c>
      <c r="E613" t="str">
        <f>VLOOKUP(B613,'HOGARES-BASELINE'!$B:$I,8,FALSE)</f>
        <v>00030163</v>
      </c>
      <c r="F613" s="6" t="str">
        <f t="shared" si="22"/>
        <v>0003016302</v>
      </c>
    </row>
    <row r="614" spans="1:6" x14ac:dyDescent="0.3">
      <c r="A614" s="6" t="s">
        <v>614</v>
      </c>
      <c r="B614">
        <v>1129565229</v>
      </c>
      <c r="C614" s="3">
        <v>3</v>
      </c>
      <c r="D614" s="5" t="str">
        <f t="shared" si="21"/>
        <v>03</v>
      </c>
      <c r="E614" t="str">
        <f>VLOOKUP(B614,'HOGARES-BASELINE'!$B:$I,8,FALSE)</f>
        <v>00030164</v>
      </c>
      <c r="F614" s="6" t="str">
        <f t="shared" si="22"/>
        <v>0003016403</v>
      </c>
    </row>
    <row r="615" spans="1:6" x14ac:dyDescent="0.3">
      <c r="A615" s="6" t="s">
        <v>615</v>
      </c>
      <c r="B615">
        <v>1129565229</v>
      </c>
      <c r="C615" s="3">
        <v>1</v>
      </c>
      <c r="D615" s="5" t="str">
        <f t="shared" si="21"/>
        <v>01</v>
      </c>
      <c r="E615" t="str">
        <f>VLOOKUP(B615,'HOGARES-BASELINE'!$B:$I,8,FALSE)</f>
        <v>00030164</v>
      </c>
      <c r="F615" s="6" t="str">
        <f t="shared" si="22"/>
        <v>0003016401</v>
      </c>
    </row>
    <row r="616" spans="1:6" x14ac:dyDescent="0.3">
      <c r="A616" s="6" t="s">
        <v>616</v>
      </c>
      <c r="B616">
        <v>1129565229</v>
      </c>
      <c r="C616" s="3">
        <v>2</v>
      </c>
      <c r="D616" s="5" t="str">
        <f t="shared" si="21"/>
        <v>02</v>
      </c>
      <c r="E616" t="str">
        <f>VLOOKUP(B616,'HOGARES-BASELINE'!$B:$I,8,FALSE)</f>
        <v>00030164</v>
      </c>
      <c r="F616" s="6" t="str">
        <f t="shared" si="22"/>
        <v>0003016402</v>
      </c>
    </row>
    <row r="617" spans="1:6" x14ac:dyDescent="0.3">
      <c r="A617" s="6" t="s">
        <v>617</v>
      </c>
      <c r="B617">
        <v>1129566300</v>
      </c>
      <c r="C617" s="3">
        <v>1</v>
      </c>
      <c r="D617" s="5" t="str">
        <f t="shared" si="21"/>
        <v>01</v>
      </c>
      <c r="E617" t="str">
        <f>VLOOKUP(B617,'HOGARES-BASELINE'!$B:$I,8,FALSE)</f>
        <v>01030165</v>
      </c>
      <c r="F617" s="6" t="str">
        <f t="shared" si="22"/>
        <v>0103016501</v>
      </c>
    </row>
    <row r="618" spans="1:6" x14ac:dyDescent="0.3">
      <c r="A618" s="6" t="s">
        <v>618</v>
      </c>
      <c r="B618">
        <v>1129566300</v>
      </c>
      <c r="C618" s="3">
        <v>2</v>
      </c>
      <c r="D618" s="5" t="str">
        <f t="shared" si="21"/>
        <v>02</v>
      </c>
      <c r="E618" t="str">
        <f>VLOOKUP(B618,'HOGARES-BASELINE'!$B:$I,8,FALSE)</f>
        <v>01030165</v>
      </c>
      <c r="F618" s="6" t="str">
        <f t="shared" si="22"/>
        <v>0103016502</v>
      </c>
    </row>
    <row r="619" spans="1:6" x14ac:dyDescent="0.3">
      <c r="A619" s="6" t="s">
        <v>619</v>
      </c>
      <c r="B619">
        <v>1129566300</v>
      </c>
      <c r="C619" s="3">
        <v>3</v>
      </c>
      <c r="D619" s="5" t="str">
        <f t="shared" si="21"/>
        <v>03</v>
      </c>
      <c r="E619" t="str">
        <f>VLOOKUP(B619,'HOGARES-BASELINE'!$B:$I,8,FALSE)</f>
        <v>01030165</v>
      </c>
      <c r="F619" s="6" t="str">
        <f t="shared" si="22"/>
        <v>0103016503</v>
      </c>
    </row>
    <row r="620" spans="1:6" x14ac:dyDescent="0.3">
      <c r="A620" s="6" t="s">
        <v>620</v>
      </c>
      <c r="B620">
        <v>1129583301</v>
      </c>
      <c r="C620" s="3">
        <v>2</v>
      </c>
      <c r="D620" s="5" t="str">
        <f t="shared" si="21"/>
        <v>02</v>
      </c>
      <c r="E620" t="str">
        <f>VLOOKUP(B620,'HOGARES-BASELINE'!$B:$I,8,FALSE)</f>
        <v>00030166</v>
      </c>
      <c r="F620" s="6" t="str">
        <f t="shared" si="22"/>
        <v>0003016602</v>
      </c>
    </row>
    <row r="621" spans="1:6" x14ac:dyDescent="0.3">
      <c r="A621" s="6" t="s">
        <v>621</v>
      </c>
      <c r="B621">
        <v>1129583301</v>
      </c>
      <c r="C621" s="3">
        <v>1</v>
      </c>
      <c r="D621" s="5" t="str">
        <f t="shared" si="21"/>
        <v>01</v>
      </c>
      <c r="E621" t="str">
        <f>VLOOKUP(B621,'HOGARES-BASELINE'!$B:$I,8,FALSE)</f>
        <v>00030166</v>
      </c>
      <c r="F621" s="6" t="str">
        <f t="shared" si="22"/>
        <v>0003016601</v>
      </c>
    </row>
    <row r="622" spans="1:6" x14ac:dyDescent="0.3">
      <c r="A622" s="6" t="s">
        <v>622</v>
      </c>
      <c r="B622">
        <v>1130590826</v>
      </c>
      <c r="C622" s="3">
        <v>1</v>
      </c>
      <c r="D622" s="5" t="str">
        <f t="shared" si="21"/>
        <v>01</v>
      </c>
      <c r="E622" t="str">
        <f>VLOOKUP(B622,'HOGARES-BASELINE'!$B:$I,8,FALSE)</f>
        <v>01020167</v>
      </c>
      <c r="F622" s="6" t="str">
        <f t="shared" si="22"/>
        <v>0102016701</v>
      </c>
    </row>
    <row r="623" spans="1:6" x14ac:dyDescent="0.3">
      <c r="A623" s="6" t="s">
        <v>623</v>
      </c>
      <c r="B623">
        <v>1130590826</v>
      </c>
      <c r="C623" s="3">
        <v>2</v>
      </c>
      <c r="D623" s="5" t="str">
        <f t="shared" si="21"/>
        <v>02</v>
      </c>
      <c r="E623" t="str">
        <f>VLOOKUP(B623,'HOGARES-BASELINE'!$B:$I,8,FALSE)</f>
        <v>01020167</v>
      </c>
      <c r="F623" s="6" t="str">
        <f t="shared" si="22"/>
        <v>0102016702</v>
      </c>
    </row>
    <row r="624" spans="1:6" x14ac:dyDescent="0.3">
      <c r="A624" s="6" t="s">
        <v>624</v>
      </c>
      <c r="B624">
        <v>1130590826</v>
      </c>
      <c r="C624" s="3">
        <v>4</v>
      </c>
      <c r="D624" s="5" t="str">
        <f t="shared" si="21"/>
        <v>04</v>
      </c>
      <c r="E624" t="str">
        <f>VLOOKUP(B624,'HOGARES-BASELINE'!$B:$I,8,FALSE)</f>
        <v>01020167</v>
      </c>
      <c r="F624" s="6" t="str">
        <f t="shared" si="22"/>
        <v>0102016704</v>
      </c>
    </row>
    <row r="625" spans="1:6" x14ac:dyDescent="0.3">
      <c r="A625" s="6" t="s">
        <v>625</v>
      </c>
      <c r="B625">
        <v>1130590826</v>
      </c>
      <c r="C625" s="3">
        <v>3</v>
      </c>
      <c r="D625" s="5" t="str">
        <f t="shared" si="21"/>
        <v>03</v>
      </c>
      <c r="E625" t="str">
        <f>VLOOKUP(B625,'HOGARES-BASELINE'!$B:$I,8,FALSE)</f>
        <v>01020167</v>
      </c>
      <c r="F625" s="6" t="str">
        <f t="shared" si="22"/>
        <v>0102016703</v>
      </c>
    </row>
    <row r="626" spans="1:6" x14ac:dyDescent="0.3">
      <c r="A626" s="6" t="s">
        <v>626</v>
      </c>
      <c r="B626">
        <v>1130591575</v>
      </c>
      <c r="C626" s="3">
        <v>2</v>
      </c>
      <c r="D626" s="5" t="str">
        <f t="shared" ref="D626:D689" si="23">_xlfn.CONCAT(0,C626)</f>
        <v>02</v>
      </c>
      <c r="E626" t="str">
        <f>VLOOKUP(B626,'HOGARES-BASELINE'!$B:$I,8,FALSE)</f>
        <v>01020168</v>
      </c>
      <c r="F626" s="6" t="str">
        <f t="shared" si="22"/>
        <v>0102016802</v>
      </c>
    </row>
    <row r="627" spans="1:6" x14ac:dyDescent="0.3">
      <c r="A627" s="6" t="s">
        <v>627</v>
      </c>
      <c r="B627">
        <v>1130591575</v>
      </c>
      <c r="C627" s="3">
        <v>1</v>
      </c>
      <c r="D627" s="5" t="str">
        <f t="shared" si="23"/>
        <v>01</v>
      </c>
      <c r="E627" t="str">
        <f>VLOOKUP(B627,'HOGARES-BASELINE'!$B:$I,8,FALSE)</f>
        <v>01020168</v>
      </c>
      <c r="F627" s="6" t="str">
        <f t="shared" si="22"/>
        <v>0102016801</v>
      </c>
    </row>
    <row r="628" spans="1:6" x14ac:dyDescent="0.3">
      <c r="A628" s="6" t="s">
        <v>628</v>
      </c>
      <c r="B628">
        <v>1130591575</v>
      </c>
      <c r="C628" s="3">
        <v>3</v>
      </c>
      <c r="D628" s="5" t="str">
        <f t="shared" si="23"/>
        <v>03</v>
      </c>
      <c r="E628" t="str">
        <f>VLOOKUP(B628,'HOGARES-BASELINE'!$B:$I,8,FALSE)</f>
        <v>01020168</v>
      </c>
      <c r="F628" s="6" t="str">
        <f t="shared" si="22"/>
        <v>0102016803</v>
      </c>
    </row>
    <row r="629" spans="1:6" x14ac:dyDescent="0.3">
      <c r="A629" s="6" t="s">
        <v>629</v>
      </c>
      <c r="B629">
        <v>1130594662</v>
      </c>
      <c r="C629" s="3">
        <v>1</v>
      </c>
      <c r="D629" s="5" t="str">
        <f t="shared" si="23"/>
        <v>01</v>
      </c>
      <c r="E629" t="str">
        <f>VLOOKUP(B629,'HOGARES-BASELINE'!$B:$I,8,FALSE)</f>
        <v>00020169</v>
      </c>
      <c r="F629" s="6" t="str">
        <f t="shared" si="22"/>
        <v>0002016901</v>
      </c>
    </row>
    <row r="630" spans="1:6" x14ac:dyDescent="0.3">
      <c r="A630" s="6" t="s">
        <v>630</v>
      </c>
      <c r="B630">
        <v>1130598844</v>
      </c>
      <c r="C630" s="3">
        <v>2</v>
      </c>
      <c r="D630" s="5" t="str">
        <f t="shared" si="23"/>
        <v>02</v>
      </c>
      <c r="E630" t="str">
        <f>VLOOKUP(B630,'HOGARES-BASELINE'!$B:$I,8,FALSE)</f>
        <v>00020170</v>
      </c>
      <c r="F630" s="6" t="str">
        <f t="shared" si="22"/>
        <v>0002017002</v>
      </c>
    </row>
    <row r="631" spans="1:6" x14ac:dyDescent="0.3">
      <c r="A631" s="6" t="s">
        <v>631</v>
      </c>
      <c r="B631">
        <v>1130598844</v>
      </c>
      <c r="C631" s="3">
        <v>1</v>
      </c>
      <c r="D631" s="5" t="str">
        <f t="shared" si="23"/>
        <v>01</v>
      </c>
      <c r="E631" t="str">
        <f>VLOOKUP(B631,'HOGARES-BASELINE'!$B:$I,8,FALSE)</f>
        <v>00020170</v>
      </c>
      <c r="F631" s="6" t="str">
        <f t="shared" si="22"/>
        <v>0002017001</v>
      </c>
    </row>
    <row r="632" spans="1:6" x14ac:dyDescent="0.3">
      <c r="A632" s="6" t="s">
        <v>632</v>
      </c>
      <c r="B632">
        <v>1130598844</v>
      </c>
      <c r="C632" s="3">
        <v>3</v>
      </c>
      <c r="D632" s="5" t="str">
        <f t="shared" si="23"/>
        <v>03</v>
      </c>
      <c r="E632" t="str">
        <f>VLOOKUP(B632,'HOGARES-BASELINE'!$B:$I,8,FALSE)</f>
        <v>00020170</v>
      </c>
      <c r="F632" s="6" t="str">
        <f t="shared" si="22"/>
        <v>0002017003</v>
      </c>
    </row>
    <row r="633" spans="1:6" x14ac:dyDescent="0.3">
      <c r="A633" s="6" t="s">
        <v>633</v>
      </c>
      <c r="B633">
        <v>1130599678</v>
      </c>
      <c r="C633" s="3">
        <v>1</v>
      </c>
      <c r="D633" s="5" t="str">
        <f t="shared" si="23"/>
        <v>01</v>
      </c>
      <c r="E633" t="str">
        <f>VLOOKUP(B633,'HOGARES-BASELINE'!$B:$I,8,FALSE)</f>
        <v>00020171</v>
      </c>
      <c r="F633" s="6" t="str">
        <f t="shared" si="22"/>
        <v>0002017101</v>
      </c>
    </row>
    <row r="634" spans="1:6" x14ac:dyDescent="0.3">
      <c r="A634" s="6" t="s">
        <v>634</v>
      </c>
      <c r="B634">
        <v>1130599678</v>
      </c>
      <c r="C634" s="3">
        <v>3</v>
      </c>
      <c r="D634" s="5" t="str">
        <f t="shared" si="23"/>
        <v>03</v>
      </c>
      <c r="E634" t="str">
        <f>VLOOKUP(B634,'HOGARES-BASELINE'!$B:$I,8,FALSE)</f>
        <v>00020171</v>
      </c>
      <c r="F634" s="6" t="str">
        <f t="shared" si="22"/>
        <v>0002017103</v>
      </c>
    </row>
    <row r="635" spans="1:6" x14ac:dyDescent="0.3">
      <c r="A635" s="6" t="s">
        <v>635</v>
      </c>
      <c r="B635">
        <v>1130599678</v>
      </c>
      <c r="C635" s="3">
        <v>2</v>
      </c>
      <c r="D635" s="5" t="str">
        <f t="shared" si="23"/>
        <v>02</v>
      </c>
      <c r="E635" t="str">
        <f>VLOOKUP(B635,'HOGARES-BASELINE'!$B:$I,8,FALSE)</f>
        <v>00020171</v>
      </c>
      <c r="F635" s="6" t="str">
        <f t="shared" si="22"/>
        <v>0002017102</v>
      </c>
    </row>
    <row r="636" spans="1:6" x14ac:dyDescent="0.3">
      <c r="A636" s="6" t="s">
        <v>636</v>
      </c>
      <c r="B636">
        <v>1130602891</v>
      </c>
      <c r="C636" s="3">
        <v>1</v>
      </c>
      <c r="D636" s="5" t="str">
        <f t="shared" si="23"/>
        <v>01</v>
      </c>
      <c r="E636" t="str">
        <f>VLOOKUP(B636,'HOGARES-BASELINE'!$B:$I,8,FALSE)</f>
        <v>00020172</v>
      </c>
      <c r="F636" s="6" t="str">
        <f t="shared" si="22"/>
        <v>0002017201</v>
      </c>
    </row>
    <row r="637" spans="1:6" x14ac:dyDescent="0.3">
      <c r="A637" s="6" t="s">
        <v>637</v>
      </c>
      <c r="B637">
        <v>1130602891</v>
      </c>
      <c r="C637" s="3">
        <v>2</v>
      </c>
      <c r="D637" s="5" t="str">
        <f t="shared" si="23"/>
        <v>02</v>
      </c>
      <c r="E637" t="str">
        <f>VLOOKUP(B637,'HOGARES-BASELINE'!$B:$I,8,FALSE)</f>
        <v>00020172</v>
      </c>
      <c r="F637" s="6" t="str">
        <f t="shared" si="22"/>
        <v>0002017202</v>
      </c>
    </row>
    <row r="638" spans="1:6" x14ac:dyDescent="0.3">
      <c r="A638" s="6" t="s">
        <v>638</v>
      </c>
      <c r="B638">
        <v>1130609656</v>
      </c>
      <c r="C638" s="3">
        <v>5</v>
      </c>
      <c r="D638" s="5" t="str">
        <f t="shared" si="23"/>
        <v>05</v>
      </c>
      <c r="E638" t="str">
        <f>VLOOKUP(B638,'HOGARES-BASELINE'!$B:$I,8,FALSE)</f>
        <v>01020173</v>
      </c>
      <c r="F638" s="6" t="str">
        <f t="shared" si="22"/>
        <v>0102017305</v>
      </c>
    </row>
    <row r="639" spans="1:6" x14ac:dyDescent="0.3">
      <c r="A639" s="6" t="s">
        <v>639</v>
      </c>
      <c r="B639">
        <v>1130609656</v>
      </c>
      <c r="C639" s="3">
        <v>2</v>
      </c>
      <c r="D639" s="5" t="str">
        <f t="shared" si="23"/>
        <v>02</v>
      </c>
      <c r="E639" t="str">
        <f>VLOOKUP(B639,'HOGARES-BASELINE'!$B:$I,8,FALSE)</f>
        <v>01020173</v>
      </c>
      <c r="F639" s="6" t="str">
        <f t="shared" si="22"/>
        <v>0102017302</v>
      </c>
    </row>
    <row r="640" spans="1:6" x14ac:dyDescent="0.3">
      <c r="A640" s="6" t="s">
        <v>640</v>
      </c>
      <c r="B640">
        <v>1130609656</v>
      </c>
      <c r="C640" s="3">
        <v>1</v>
      </c>
      <c r="D640" s="5" t="str">
        <f t="shared" si="23"/>
        <v>01</v>
      </c>
      <c r="E640" t="str">
        <f>VLOOKUP(B640,'HOGARES-BASELINE'!$B:$I,8,FALSE)</f>
        <v>01020173</v>
      </c>
      <c r="F640" s="6" t="str">
        <f t="shared" si="22"/>
        <v>0102017301</v>
      </c>
    </row>
    <row r="641" spans="1:6" x14ac:dyDescent="0.3">
      <c r="A641" s="6" t="s">
        <v>641</v>
      </c>
      <c r="B641">
        <v>1130609656</v>
      </c>
      <c r="C641" s="3">
        <v>3</v>
      </c>
      <c r="D641" s="5" t="str">
        <f t="shared" si="23"/>
        <v>03</v>
      </c>
      <c r="E641" t="str">
        <f>VLOOKUP(B641,'HOGARES-BASELINE'!$B:$I,8,FALSE)</f>
        <v>01020173</v>
      </c>
      <c r="F641" s="6" t="str">
        <f t="shared" si="22"/>
        <v>0102017303</v>
      </c>
    </row>
    <row r="642" spans="1:6" x14ac:dyDescent="0.3">
      <c r="A642" s="6" t="s">
        <v>642</v>
      </c>
      <c r="B642">
        <v>1130609656</v>
      </c>
      <c r="C642" s="3">
        <v>4</v>
      </c>
      <c r="D642" s="5" t="str">
        <f t="shared" si="23"/>
        <v>04</v>
      </c>
      <c r="E642" t="str">
        <f>VLOOKUP(B642,'HOGARES-BASELINE'!$B:$I,8,FALSE)</f>
        <v>01020173</v>
      </c>
      <c r="F642" s="6" t="str">
        <f t="shared" si="22"/>
        <v>0102017304</v>
      </c>
    </row>
    <row r="643" spans="1:6" x14ac:dyDescent="0.3">
      <c r="A643" s="6" t="s">
        <v>643</v>
      </c>
      <c r="B643">
        <v>1130611960</v>
      </c>
      <c r="C643" s="3">
        <v>1</v>
      </c>
      <c r="D643" s="5" t="str">
        <f t="shared" si="23"/>
        <v>01</v>
      </c>
      <c r="E643" t="str">
        <f>VLOOKUP(B643,'HOGARES-BASELINE'!$B:$I,8,FALSE)</f>
        <v>01020174</v>
      </c>
      <c r="F643" s="6" t="str">
        <f t="shared" ref="F643:F706" si="24">_xlfn.CONCAT(E643,D643)</f>
        <v>0102017401</v>
      </c>
    </row>
    <row r="644" spans="1:6" x14ac:dyDescent="0.3">
      <c r="A644" s="6" t="s">
        <v>644</v>
      </c>
      <c r="B644">
        <v>1130611960</v>
      </c>
      <c r="C644" s="3">
        <v>3</v>
      </c>
      <c r="D644" s="5" t="str">
        <f t="shared" si="23"/>
        <v>03</v>
      </c>
      <c r="E644" t="str">
        <f>VLOOKUP(B644,'HOGARES-BASELINE'!$B:$I,8,FALSE)</f>
        <v>01020174</v>
      </c>
      <c r="F644" s="6" t="str">
        <f t="shared" si="24"/>
        <v>0102017403</v>
      </c>
    </row>
    <row r="645" spans="1:6" x14ac:dyDescent="0.3">
      <c r="A645" s="6" t="s">
        <v>645</v>
      </c>
      <c r="B645">
        <v>1130611960</v>
      </c>
      <c r="C645" s="3">
        <v>2</v>
      </c>
      <c r="D645" s="5" t="str">
        <f t="shared" si="23"/>
        <v>02</v>
      </c>
      <c r="E645" t="str">
        <f>VLOOKUP(B645,'HOGARES-BASELINE'!$B:$I,8,FALSE)</f>
        <v>01020174</v>
      </c>
      <c r="F645" s="6" t="str">
        <f t="shared" si="24"/>
        <v>0102017402</v>
      </c>
    </row>
    <row r="646" spans="1:6" x14ac:dyDescent="0.3">
      <c r="A646" s="6" t="s">
        <v>646</v>
      </c>
      <c r="B646">
        <v>1130612532</v>
      </c>
      <c r="C646" s="3">
        <v>3</v>
      </c>
      <c r="D646" s="5" t="str">
        <f t="shared" si="23"/>
        <v>03</v>
      </c>
      <c r="E646" t="str">
        <f>VLOOKUP(B646,'HOGARES-BASELINE'!$B:$I,8,FALSE)</f>
        <v>00020175</v>
      </c>
      <c r="F646" s="6" t="str">
        <f t="shared" si="24"/>
        <v>0002017503</v>
      </c>
    </row>
    <row r="647" spans="1:6" x14ac:dyDescent="0.3">
      <c r="A647" s="6" t="s">
        <v>647</v>
      </c>
      <c r="B647">
        <v>1130612532</v>
      </c>
      <c r="C647" s="3">
        <v>1</v>
      </c>
      <c r="D647" s="5" t="str">
        <f t="shared" si="23"/>
        <v>01</v>
      </c>
      <c r="E647" t="str">
        <f>VLOOKUP(B647,'HOGARES-BASELINE'!$B:$I,8,FALSE)</f>
        <v>00020175</v>
      </c>
      <c r="F647" s="6" t="str">
        <f t="shared" si="24"/>
        <v>0002017501</v>
      </c>
    </row>
    <row r="648" spans="1:6" x14ac:dyDescent="0.3">
      <c r="A648" s="6" t="s">
        <v>648</v>
      </c>
      <c r="B648">
        <v>1130612532</v>
      </c>
      <c r="C648" s="3">
        <v>2</v>
      </c>
      <c r="D648" s="5" t="str">
        <f t="shared" si="23"/>
        <v>02</v>
      </c>
      <c r="E648" t="str">
        <f>VLOOKUP(B648,'HOGARES-BASELINE'!$B:$I,8,FALSE)</f>
        <v>00020175</v>
      </c>
      <c r="F648" s="6" t="str">
        <f t="shared" si="24"/>
        <v>0002017502</v>
      </c>
    </row>
    <row r="649" spans="1:6" x14ac:dyDescent="0.3">
      <c r="A649" s="6" t="s">
        <v>649</v>
      </c>
      <c r="B649">
        <v>1130612532</v>
      </c>
      <c r="C649" s="3">
        <v>4</v>
      </c>
      <c r="D649" s="5" t="str">
        <f t="shared" si="23"/>
        <v>04</v>
      </c>
      <c r="E649" t="str">
        <f>VLOOKUP(B649,'HOGARES-BASELINE'!$B:$I,8,FALSE)</f>
        <v>00020175</v>
      </c>
      <c r="F649" s="6" t="str">
        <f t="shared" si="24"/>
        <v>0002017504</v>
      </c>
    </row>
    <row r="650" spans="1:6" x14ac:dyDescent="0.3">
      <c r="A650" s="6" t="s">
        <v>650</v>
      </c>
      <c r="B650">
        <v>1130614058</v>
      </c>
      <c r="C650" s="3">
        <v>2</v>
      </c>
      <c r="D650" s="5" t="str">
        <f t="shared" si="23"/>
        <v>02</v>
      </c>
      <c r="E650" t="str">
        <f>VLOOKUP(B650,'HOGARES-BASELINE'!$B:$I,8,FALSE)</f>
        <v>00020176</v>
      </c>
      <c r="F650" s="6" t="str">
        <f t="shared" si="24"/>
        <v>0002017602</v>
      </c>
    </row>
    <row r="651" spans="1:6" x14ac:dyDescent="0.3">
      <c r="A651" s="6" t="s">
        <v>651</v>
      </c>
      <c r="B651">
        <v>1130614058</v>
      </c>
      <c r="C651" s="3">
        <v>1</v>
      </c>
      <c r="D651" s="5" t="str">
        <f t="shared" si="23"/>
        <v>01</v>
      </c>
      <c r="E651" t="str">
        <f>VLOOKUP(B651,'HOGARES-BASELINE'!$B:$I,8,FALSE)</f>
        <v>00020176</v>
      </c>
      <c r="F651" s="6" t="str">
        <f t="shared" si="24"/>
        <v>0002017601</v>
      </c>
    </row>
    <row r="652" spans="1:6" x14ac:dyDescent="0.3">
      <c r="A652" s="6" t="s">
        <v>652</v>
      </c>
      <c r="B652">
        <v>1130614058</v>
      </c>
      <c r="C652" s="3">
        <v>3</v>
      </c>
      <c r="D652" s="5" t="str">
        <f t="shared" si="23"/>
        <v>03</v>
      </c>
      <c r="E652" t="str">
        <f>VLOOKUP(B652,'HOGARES-BASELINE'!$B:$I,8,FALSE)</f>
        <v>00020176</v>
      </c>
      <c r="F652" s="6" t="str">
        <f t="shared" si="24"/>
        <v>0002017603</v>
      </c>
    </row>
    <row r="653" spans="1:6" x14ac:dyDescent="0.3">
      <c r="A653" s="6" t="s">
        <v>653</v>
      </c>
      <c r="B653">
        <v>1130621848</v>
      </c>
      <c r="C653" s="3">
        <v>2</v>
      </c>
      <c r="D653" s="5" t="str">
        <f t="shared" si="23"/>
        <v>02</v>
      </c>
      <c r="E653" t="str">
        <f>VLOOKUP(B653,'HOGARES-BASELINE'!$B:$I,8,FALSE)</f>
        <v>01020177</v>
      </c>
      <c r="F653" s="6" t="str">
        <f t="shared" si="24"/>
        <v>0102017702</v>
      </c>
    </row>
    <row r="654" spans="1:6" x14ac:dyDescent="0.3">
      <c r="A654" s="6" t="s">
        <v>654</v>
      </c>
      <c r="B654">
        <v>1130621848</v>
      </c>
      <c r="C654" s="3">
        <v>1</v>
      </c>
      <c r="D654" s="5" t="str">
        <f t="shared" si="23"/>
        <v>01</v>
      </c>
      <c r="E654" t="str">
        <f>VLOOKUP(B654,'HOGARES-BASELINE'!$B:$I,8,FALSE)</f>
        <v>01020177</v>
      </c>
      <c r="F654" s="6" t="str">
        <f t="shared" si="24"/>
        <v>0102017701</v>
      </c>
    </row>
    <row r="655" spans="1:6" x14ac:dyDescent="0.3">
      <c r="A655" s="6" t="s">
        <v>655</v>
      </c>
      <c r="B655">
        <v>1130668655</v>
      </c>
      <c r="C655" s="3">
        <v>1</v>
      </c>
      <c r="D655" s="5" t="str">
        <f t="shared" si="23"/>
        <v>01</v>
      </c>
      <c r="E655" t="str">
        <f>VLOOKUP(B655,'HOGARES-BASELINE'!$B:$I,8,FALSE)</f>
        <v>01020178</v>
      </c>
      <c r="F655" s="6" t="str">
        <f t="shared" si="24"/>
        <v>0102017801</v>
      </c>
    </row>
    <row r="656" spans="1:6" x14ac:dyDescent="0.3">
      <c r="A656" s="6" t="s">
        <v>656</v>
      </c>
      <c r="B656">
        <v>1130668655</v>
      </c>
      <c r="C656" s="3">
        <v>2</v>
      </c>
      <c r="D656" s="5" t="str">
        <f t="shared" si="23"/>
        <v>02</v>
      </c>
      <c r="E656" t="str">
        <f>VLOOKUP(B656,'HOGARES-BASELINE'!$B:$I,8,FALSE)</f>
        <v>01020178</v>
      </c>
      <c r="F656" s="6" t="str">
        <f t="shared" si="24"/>
        <v>0102017802</v>
      </c>
    </row>
    <row r="657" spans="1:6" x14ac:dyDescent="0.3">
      <c r="A657" s="6" t="s">
        <v>657</v>
      </c>
      <c r="B657">
        <v>1130668655</v>
      </c>
      <c r="C657" s="3">
        <v>3</v>
      </c>
      <c r="D657" s="5" t="str">
        <f t="shared" si="23"/>
        <v>03</v>
      </c>
      <c r="E657" t="str">
        <f>VLOOKUP(B657,'HOGARES-BASELINE'!$B:$I,8,FALSE)</f>
        <v>01020178</v>
      </c>
      <c r="F657" s="6" t="str">
        <f t="shared" si="24"/>
        <v>0102017803</v>
      </c>
    </row>
    <row r="658" spans="1:6" x14ac:dyDescent="0.3">
      <c r="A658" s="6" t="s">
        <v>658</v>
      </c>
      <c r="B658">
        <v>1136060053</v>
      </c>
      <c r="C658" s="3">
        <v>1</v>
      </c>
      <c r="D658" s="5" t="str">
        <f t="shared" si="23"/>
        <v>01</v>
      </c>
      <c r="E658" t="str">
        <f>VLOOKUP(B658,'HOGARES-BASELINE'!$B:$I,8,FALSE)</f>
        <v>01020179</v>
      </c>
      <c r="F658" s="6" t="str">
        <f t="shared" si="24"/>
        <v>0102017901</v>
      </c>
    </row>
    <row r="659" spans="1:6" x14ac:dyDescent="0.3">
      <c r="A659" s="6" t="s">
        <v>659</v>
      </c>
      <c r="B659">
        <v>1136060053</v>
      </c>
      <c r="C659" s="3">
        <v>3</v>
      </c>
      <c r="D659" s="5" t="str">
        <f t="shared" si="23"/>
        <v>03</v>
      </c>
      <c r="E659" t="str">
        <f>VLOOKUP(B659,'HOGARES-BASELINE'!$B:$I,8,FALSE)</f>
        <v>01020179</v>
      </c>
      <c r="F659" s="6" t="str">
        <f t="shared" si="24"/>
        <v>0102017903</v>
      </c>
    </row>
    <row r="660" spans="1:6" x14ac:dyDescent="0.3">
      <c r="A660" s="6" t="s">
        <v>660</v>
      </c>
      <c r="B660">
        <v>1136060053</v>
      </c>
      <c r="C660" s="3">
        <v>2</v>
      </c>
      <c r="D660" s="5" t="str">
        <f t="shared" si="23"/>
        <v>02</v>
      </c>
      <c r="E660" t="str">
        <f>VLOOKUP(B660,'HOGARES-BASELINE'!$B:$I,8,FALSE)</f>
        <v>01020179</v>
      </c>
      <c r="F660" s="6" t="str">
        <f t="shared" si="24"/>
        <v>0102017902</v>
      </c>
    </row>
    <row r="661" spans="1:6" x14ac:dyDescent="0.3">
      <c r="A661" s="6" t="s">
        <v>661</v>
      </c>
      <c r="B661">
        <v>1140822745</v>
      </c>
      <c r="C661" s="3">
        <v>1</v>
      </c>
      <c r="D661" s="5" t="str">
        <f t="shared" si="23"/>
        <v>01</v>
      </c>
      <c r="E661" t="str">
        <f>VLOOKUP(B661,'HOGARES-BASELINE'!$B:$I,8,FALSE)</f>
        <v>01030180</v>
      </c>
      <c r="F661" s="6" t="str">
        <f t="shared" si="24"/>
        <v>0103018001</v>
      </c>
    </row>
    <row r="662" spans="1:6" x14ac:dyDescent="0.3">
      <c r="A662" s="6" t="s">
        <v>662</v>
      </c>
      <c r="B662">
        <v>1140822745</v>
      </c>
      <c r="C662" s="3">
        <v>2</v>
      </c>
      <c r="D662" s="5" t="str">
        <f t="shared" si="23"/>
        <v>02</v>
      </c>
      <c r="E662" t="str">
        <f>VLOOKUP(B662,'HOGARES-BASELINE'!$B:$I,8,FALSE)</f>
        <v>01030180</v>
      </c>
      <c r="F662" s="6" t="str">
        <f t="shared" si="24"/>
        <v>0103018002</v>
      </c>
    </row>
    <row r="663" spans="1:6" x14ac:dyDescent="0.3">
      <c r="A663" s="6" t="s">
        <v>663</v>
      </c>
      <c r="B663">
        <v>1140837632</v>
      </c>
      <c r="C663" s="3">
        <v>2</v>
      </c>
      <c r="D663" s="5" t="str">
        <f t="shared" si="23"/>
        <v>02</v>
      </c>
      <c r="E663" t="str">
        <f>VLOOKUP(B663,'HOGARES-BASELINE'!$B:$I,8,FALSE)</f>
        <v>01030181</v>
      </c>
      <c r="F663" s="6" t="str">
        <f t="shared" si="24"/>
        <v>0103018102</v>
      </c>
    </row>
    <row r="664" spans="1:6" x14ac:dyDescent="0.3">
      <c r="A664" s="6" t="s">
        <v>664</v>
      </c>
      <c r="B664">
        <v>1140837632</v>
      </c>
      <c r="C664" s="3">
        <v>3</v>
      </c>
      <c r="D664" s="5" t="str">
        <f t="shared" si="23"/>
        <v>03</v>
      </c>
      <c r="E664" t="str">
        <f>VLOOKUP(B664,'HOGARES-BASELINE'!$B:$I,8,FALSE)</f>
        <v>01030181</v>
      </c>
      <c r="F664" s="6" t="str">
        <f t="shared" si="24"/>
        <v>0103018103</v>
      </c>
    </row>
    <row r="665" spans="1:6" x14ac:dyDescent="0.3">
      <c r="A665" s="6" t="s">
        <v>665</v>
      </c>
      <c r="B665">
        <v>1140837632</v>
      </c>
      <c r="C665" s="3">
        <v>4</v>
      </c>
      <c r="D665" s="5" t="str">
        <f t="shared" si="23"/>
        <v>04</v>
      </c>
      <c r="E665" t="str">
        <f>VLOOKUP(B665,'HOGARES-BASELINE'!$B:$I,8,FALSE)</f>
        <v>01030181</v>
      </c>
      <c r="F665" s="6" t="str">
        <f t="shared" si="24"/>
        <v>0103018104</v>
      </c>
    </row>
    <row r="666" spans="1:6" x14ac:dyDescent="0.3">
      <c r="A666" s="6" t="s">
        <v>666</v>
      </c>
      <c r="B666">
        <v>1140837632</v>
      </c>
      <c r="C666" s="3">
        <v>1</v>
      </c>
      <c r="D666" s="5" t="str">
        <f t="shared" si="23"/>
        <v>01</v>
      </c>
      <c r="E666" t="str">
        <f>VLOOKUP(B666,'HOGARES-BASELINE'!$B:$I,8,FALSE)</f>
        <v>01030181</v>
      </c>
      <c r="F666" s="6" t="str">
        <f t="shared" si="24"/>
        <v>0103018101</v>
      </c>
    </row>
    <row r="667" spans="1:6" x14ac:dyDescent="0.3">
      <c r="A667" s="6" t="s">
        <v>667</v>
      </c>
      <c r="B667">
        <v>1143115892</v>
      </c>
      <c r="C667" s="3">
        <v>2</v>
      </c>
      <c r="D667" s="5" t="str">
        <f t="shared" si="23"/>
        <v>02</v>
      </c>
      <c r="E667" t="str">
        <f>VLOOKUP(B667,'HOGARES-BASELINE'!$B:$I,8,FALSE)</f>
        <v>00030182</v>
      </c>
      <c r="F667" s="6" t="str">
        <f t="shared" si="24"/>
        <v>0003018202</v>
      </c>
    </row>
    <row r="668" spans="1:6" x14ac:dyDescent="0.3">
      <c r="A668" s="6" t="s">
        <v>668</v>
      </c>
      <c r="B668">
        <v>1143115892</v>
      </c>
      <c r="C668" s="3">
        <v>3</v>
      </c>
      <c r="D668" s="5" t="str">
        <f t="shared" si="23"/>
        <v>03</v>
      </c>
      <c r="E668" t="str">
        <f>VLOOKUP(B668,'HOGARES-BASELINE'!$B:$I,8,FALSE)</f>
        <v>00030182</v>
      </c>
      <c r="F668" s="6" t="str">
        <f t="shared" si="24"/>
        <v>0003018203</v>
      </c>
    </row>
    <row r="669" spans="1:6" x14ac:dyDescent="0.3">
      <c r="A669" s="6" t="s">
        <v>669</v>
      </c>
      <c r="B669">
        <v>1143115892</v>
      </c>
      <c r="C669" s="3">
        <v>1</v>
      </c>
      <c r="D669" s="5" t="str">
        <f t="shared" si="23"/>
        <v>01</v>
      </c>
      <c r="E669" t="str">
        <f>VLOOKUP(B669,'HOGARES-BASELINE'!$B:$I,8,FALSE)</f>
        <v>00030182</v>
      </c>
      <c r="F669" s="6" t="str">
        <f t="shared" si="24"/>
        <v>0003018201</v>
      </c>
    </row>
    <row r="670" spans="1:6" x14ac:dyDescent="0.3">
      <c r="A670" s="6" t="s">
        <v>670</v>
      </c>
      <c r="B670">
        <v>1143121744</v>
      </c>
      <c r="C670" s="3">
        <v>2</v>
      </c>
      <c r="D670" s="5" t="str">
        <f t="shared" si="23"/>
        <v>02</v>
      </c>
      <c r="E670" t="str">
        <f>VLOOKUP(B670,'HOGARES-BASELINE'!$B:$I,8,FALSE)</f>
        <v>00030183</v>
      </c>
      <c r="F670" s="6" t="str">
        <f t="shared" si="24"/>
        <v>0003018302</v>
      </c>
    </row>
    <row r="671" spans="1:6" x14ac:dyDescent="0.3">
      <c r="A671" s="6" t="s">
        <v>671</v>
      </c>
      <c r="B671">
        <v>1143121744</v>
      </c>
      <c r="C671" s="3">
        <v>3</v>
      </c>
      <c r="D671" s="5" t="str">
        <f t="shared" si="23"/>
        <v>03</v>
      </c>
      <c r="E671" t="str">
        <f>VLOOKUP(B671,'HOGARES-BASELINE'!$B:$I,8,FALSE)</f>
        <v>00030183</v>
      </c>
      <c r="F671" s="6" t="str">
        <f t="shared" si="24"/>
        <v>0003018303</v>
      </c>
    </row>
    <row r="672" spans="1:6" x14ac:dyDescent="0.3">
      <c r="A672" s="6" t="s">
        <v>672</v>
      </c>
      <c r="B672">
        <v>1143121744</v>
      </c>
      <c r="C672" s="3">
        <v>1</v>
      </c>
      <c r="D672" s="5" t="str">
        <f t="shared" si="23"/>
        <v>01</v>
      </c>
      <c r="E672" t="str">
        <f>VLOOKUP(B672,'HOGARES-BASELINE'!$B:$I,8,FALSE)</f>
        <v>00030183</v>
      </c>
      <c r="F672" s="6" t="str">
        <f t="shared" si="24"/>
        <v>0003018301</v>
      </c>
    </row>
    <row r="673" spans="1:6" x14ac:dyDescent="0.3">
      <c r="A673" s="6" t="s">
        <v>673</v>
      </c>
      <c r="B673">
        <v>1143122394</v>
      </c>
      <c r="C673" s="3">
        <v>4</v>
      </c>
      <c r="D673" s="5" t="str">
        <f t="shared" si="23"/>
        <v>04</v>
      </c>
      <c r="E673" t="str">
        <f>VLOOKUP(B673,'HOGARES-BASELINE'!$B:$I,8,FALSE)</f>
        <v>00030184</v>
      </c>
      <c r="F673" s="6" t="str">
        <f t="shared" si="24"/>
        <v>0003018404</v>
      </c>
    </row>
    <row r="674" spans="1:6" x14ac:dyDescent="0.3">
      <c r="A674" s="6" t="s">
        <v>674</v>
      </c>
      <c r="B674">
        <v>1143122394</v>
      </c>
      <c r="C674" s="3">
        <v>2</v>
      </c>
      <c r="D674" s="5" t="str">
        <f t="shared" si="23"/>
        <v>02</v>
      </c>
      <c r="E674" t="str">
        <f>VLOOKUP(B674,'HOGARES-BASELINE'!$B:$I,8,FALSE)</f>
        <v>00030184</v>
      </c>
      <c r="F674" s="6" t="str">
        <f t="shared" si="24"/>
        <v>0003018402</v>
      </c>
    </row>
    <row r="675" spans="1:6" x14ac:dyDescent="0.3">
      <c r="A675" s="6" t="s">
        <v>675</v>
      </c>
      <c r="B675">
        <v>1143122394</v>
      </c>
      <c r="C675" s="3">
        <v>1</v>
      </c>
      <c r="D675" s="5" t="str">
        <f t="shared" si="23"/>
        <v>01</v>
      </c>
      <c r="E675" t="str">
        <f>VLOOKUP(B675,'HOGARES-BASELINE'!$B:$I,8,FALSE)</f>
        <v>00030184</v>
      </c>
      <c r="F675" s="6" t="str">
        <f t="shared" si="24"/>
        <v>0003018401</v>
      </c>
    </row>
    <row r="676" spans="1:6" x14ac:dyDescent="0.3">
      <c r="A676" s="6" t="s">
        <v>676</v>
      </c>
      <c r="B676">
        <v>1143122394</v>
      </c>
      <c r="C676" s="3">
        <v>3</v>
      </c>
      <c r="D676" s="5" t="str">
        <f t="shared" si="23"/>
        <v>03</v>
      </c>
      <c r="E676" t="str">
        <f>VLOOKUP(B676,'HOGARES-BASELINE'!$B:$I,8,FALSE)</f>
        <v>00030184</v>
      </c>
      <c r="F676" s="6" t="str">
        <f t="shared" si="24"/>
        <v>0003018403</v>
      </c>
    </row>
    <row r="677" spans="1:6" x14ac:dyDescent="0.3">
      <c r="A677" s="6" t="s">
        <v>677</v>
      </c>
      <c r="B677">
        <v>1143125383</v>
      </c>
      <c r="C677" s="3">
        <v>1</v>
      </c>
      <c r="D677" s="5" t="str">
        <f t="shared" si="23"/>
        <v>01</v>
      </c>
      <c r="E677" t="str">
        <f>VLOOKUP(B677,'HOGARES-BASELINE'!$B:$I,8,FALSE)</f>
        <v>00030185</v>
      </c>
      <c r="F677" s="6" t="str">
        <f t="shared" si="24"/>
        <v>0003018501</v>
      </c>
    </row>
    <row r="678" spans="1:6" x14ac:dyDescent="0.3">
      <c r="A678" s="6" t="s">
        <v>678</v>
      </c>
      <c r="B678">
        <v>1143125383</v>
      </c>
      <c r="C678" s="3">
        <v>3</v>
      </c>
      <c r="D678" s="5" t="str">
        <f t="shared" si="23"/>
        <v>03</v>
      </c>
      <c r="E678" t="str">
        <f>VLOOKUP(B678,'HOGARES-BASELINE'!$B:$I,8,FALSE)</f>
        <v>00030185</v>
      </c>
      <c r="F678" s="6" t="str">
        <f t="shared" si="24"/>
        <v>0003018503</v>
      </c>
    </row>
    <row r="679" spans="1:6" x14ac:dyDescent="0.3">
      <c r="A679" s="6" t="s">
        <v>679</v>
      </c>
      <c r="B679">
        <v>1143125383</v>
      </c>
      <c r="C679" s="3">
        <v>4</v>
      </c>
      <c r="D679" s="5" t="str">
        <f t="shared" si="23"/>
        <v>04</v>
      </c>
      <c r="E679" t="str">
        <f>VLOOKUP(B679,'HOGARES-BASELINE'!$B:$I,8,FALSE)</f>
        <v>00030185</v>
      </c>
      <c r="F679" s="6" t="str">
        <f t="shared" si="24"/>
        <v>0003018504</v>
      </c>
    </row>
    <row r="680" spans="1:6" x14ac:dyDescent="0.3">
      <c r="A680" s="6" t="s">
        <v>680</v>
      </c>
      <c r="B680">
        <v>1143125383</v>
      </c>
      <c r="C680" s="3">
        <v>2</v>
      </c>
      <c r="D680" s="5" t="str">
        <f t="shared" si="23"/>
        <v>02</v>
      </c>
      <c r="E680" t="str">
        <f>VLOOKUP(B680,'HOGARES-BASELINE'!$B:$I,8,FALSE)</f>
        <v>00030185</v>
      </c>
      <c r="F680" s="6" t="str">
        <f t="shared" si="24"/>
        <v>0003018502</v>
      </c>
    </row>
    <row r="681" spans="1:6" x14ac:dyDescent="0.3">
      <c r="A681" s="6" t="s">
        <v>681</v>
      </c>
      <c r="B681">
        <v>1143125383</v>
      </c>
      <c r="C681" s="3">
        <v>5</v>
      </c>
      <c r="D681" s="5" t="str">
        <f t="shared" si="23"/>
        <v>05</v>
      </c>
      <c r="E681" t="str">
        <f>VLOOKUP(B681,'HOGARES-BASELINE'!$B:$I,8,FALSE)</f>
        <v>00030185</v>
      </c>
      <c r="F681" s="6" t="str">
        <f t="shared" si="24"/>
        <v>0003018505</v>
      </c>
    </row>
    <row r="682" spans="1:6" x14ac:dyDescent="0.3">
      <c r="A682" s="6" t="s">
        <v>682</v>
      </c>
      <c r="B682">
        <v>1143138306</v>
      </c>
      <c r="C682" s="3">
        <v>1</v>
      </c>
      <c r="D682" s="5" t="str">
        <f t="shared" si="23"/>
        <v>01</v>
      </c>
      <c r="E682" t="str">
        <f>VLOOKUP(B682,'HOGARES-BASELINE'!$B:$I,8,FALSE)</f>
        <v>00030186</v>
      </c>
      <c r="F682" s="6" t="str">
        <f t="shared" si="24"/>
        <v>0003018601</v>
      </c>
    </row>
    <row r="683" spans="1:6" x14ac:dyDescent="0.3">
      <c r="A683" s="6" t="s">
        <v>683</v>
      </c>
      <c r="B683">
        <v>1143138306</v>
      </c>
      <c r="C683" s="3">
        <v>2</v>
      </c>
      <c r="D683" s="5" t="str">
        <f t="shared" si="23"/>
        <v>02</v>
      </c>
      <c r="E683" t="str">
        <f>VLOOKUP(B683,'HOGARES-BASELINE'!$B:$I,8,FALSE)</f>
        <v>00030186</v>
      </c>
      <c r="F683" s="6" t="str">
        <f t="shared" si="24"/>
        <v>0003018602</v>
      </c>
    </row>
    <row r="684" spans="1:6" x14ac:dyDescent="0.3">
      <c r="A684" s="6" t="s">
        <v>684</v>
      </c>
      <c r="B684">
        <v>1143138306</v>
      </c>
      <c r="C684" s="3">
        <v>3</v>
      </c>
      <c r="D684" s="5" t="str">
        <f t="shared" si="23"/>
        <v>03</v>
      </c>
      <c r="E684" t="str">
        <f>VLOOKUP(B684,'HOGARES-BASELINE'!$B:$I,8,FALSE)</f>
        <v>00030186</v>
      </c>
      <c r="F684" s="6" t="str">
        <f t="shared" si="24"/>
        <v>0003018603</v>
      </c>
    </row>
    <row r="685" spans="1:6" x14ac:dyDescent="0.3">
      <c r="A685" s="6" t="s">
        <v>685</v>
      </c>
      <c r="B685">
        <v>1143224673</v>
      </c>
      <c r="C685" s="3">
        <v>3</v>
      </c>
      <c r="D685" s="5" t="str">
        <f t="shared" si="23"/>
        <v>03</v>
      </c>
      <c r="E685" t="str">
        <f>VLOOKUP(B685,'HOGARES-BASELINE'!$B:$I,8,FALSE)</f>
        <v>01030187</v>
      </c>
      <c r="F685" s="6" t="str">
        <f t="shared" si="24"/>
        <v>0103018703</v>
      </c>
    </row>
    <row r="686" spans="1:6" x14ac:dyDescent="0.3">
      <c r="A686" s="6" t="s">
        <v>686</v>
      </c>
      <c r="B686">
        <v>1143224673</v>
      </c>
      <c r="C686" s="3">
        <v>2</v>
      </c>
      <c r="D686" s="5" t="str">
        <f t="shared" si="23"/>
        <v>02</v>
      </c>
      <c r="E686" t="str">
        <f>VLOOKUP(B686,'HOGARES-BASELINE'!$B:$I,8,FALSE)</f>
        <v>01030187</v>
      </c>
      <c r="F686" s="6" t="str">
        <f t="shared" si="24"/>
        <v>0103018702</v>
      </c>
    </row>
    <row r="687" spans="1:6" x14ac:dyDescent="0.3">
      <c r="A687" s="6" t="s">
        <v>687</v>
      </c>
      <c r="B687">
        <v>1143224673</v>
      </c>
      <c r="C687" s="3">
        <v>1</v>
      </c>
      <c r="D687" s="5" t="str">
        <f t="shared" si="23"/>
        <v>01</v>
      </c>
      <c r="E687" t="str">
        <f>VLOOKUP(B687,'HOGARES-BASELINE'!$B:$I,8,FALSE)</f>
        <v>01030187</v>
      </c>
      <c r="F687" s="6" t="str">
        <f t="shared" si="24"/>
        <v>0103018701</v>
      </c>
    </row>
    <row r="688" spans="1:6" x14ac:dyDescent="0.3">
      <c r="A688" s="6" t="s">
        <v>688</v>
      </c>
      <c r="B688">
        <v>1143224673</v>
      </c>
      <c r="C688" s="3">
        <v>4</v>
      </c>
      <c r="D688" s="5" t="str">
        <f t="shared" si="23"/>
        <v>04</v>
      </c>
      <c r="E688" t="str">
        <f>VLOOKUP(B688,'HOGARES-BASELINE'!$B:$I,8,FALSE)</f>
        <v>01030187</v>
      </c>
      <c r="F688" s="6" t="str">
        <f t="shared" si="24"/>
        <v>0103018704</v>
      </c>
    </row>
    <row r="689" spans="1:6" x14ac:dyDescent="0.3">
      <c r="A689" s="6" t="s">
        <v>689</v>
      </c>
      <c r="B689">
        <v>1143224673</v>
      </c>
      <c r="C689" s="3">
        <v>5</v>
      </c>
      <c r="D689" s="5" t="str">
        <f t="shared" si="23"/>
        <v>05</v>
      </c>
      <c r="E689" t="str">
        <f>VLOOKUP(B689,'HOGARES-BASELINE'!$B:$I,8,FALSE)</f>
        <v>01030187</v>
      </c>
      <c r="F689" s="6" t="str">
        <f t="shared" si="24"/>
        <v>0103018705</v>
      </c>
    </row>
    <row r="690" spans="1:6" x14ac:dyDescent="0.3">
      <c r="A690" s="6" t="s">
        <v>690</v>
      </c>
      <c r="B690">
        <v>1143229612</v>
      </c>
      <c r="C690" s="3">
        <v>2</v>
      </c>
      <c r="D690" s="5" t="str">
        <f t="shared" ref="D690:D728" si="25">_xlfn.CONCAT(0,C690)</f>
        <v>02</v>
      </c>
      <c r="E690" t="str">
        <f>VLOOKUP(B690,'HOGARES-BASELINE'!$B:$I,8,FALSE)</f>
        <v>01030188</v>
      </c>
      <c r="F690" s="6" t="str">
        <f t="shared" si="24"/>
        <v>0103018802</v>
      </c>
    </row>
    <row r="691" spans="1:6" x14ac:dyDescent="0.3">
      <c r="A691" s="6" t="s">
        <v>691</v>
      </c>
      <c r="B691">
        <v>1143229612</v>
      </c>
      <c r="C691" s="3">
        <v>1</v>
      </c>
      <c r="D691" s="5" t="str">
        <f t="shared" si="25"/>
        <v>01</v>
      </c>
      <c r="E691" t="str">
        <f>VLOOKUP(B691,'HOGARES-BASELINE'!$B:$I,8,FALSE)</f>
        <v>01030188</v>
      </c>
      <c r="F691" s="6" t="str">
        <f t="shared" si="24"/>
        <v>0103018801</v>
      </c>
    </row>
    <row r="692" spans="1:6" x14ac:dyDescent="0.3">
      <c r="A692" s="6" t="s">
        <v>692</v>
      </c>
      <c r="B692">
        <v>1143229612</v>
      </c>
      <c r="C692" s="3">
        <v>3</v>
      </c>
      <c r="D692" s="5" t="str">
        <f t="shared" si="25"/>
        <v>03</v>
      </c>
      <c r="E692" t="str">
        <f>VLOOKUP(B692,'HOGARES-BASELINE'!$B:$I,8,FALSE)</f>
        <v>01030188</v>
      </c>
      <c r="F692" s="6" t="str">
        <f t="shared" si="24"/>
        <v>0103018803</v>
      </c>
    </row>
    <row r="693" spans="1:6" x14ac:dyDescent="0.3">
      <c r="A693" s="6" t="s">
        <v>693</v>
      </c>
      <c r="B693">
        <v>1143229612</v>
      </c>
      <c r="C693" s="3">
        <v>4</v>
      </c>
      <c r="D693" s="5" t="str">
        <f t="shared" si="25"/>
        <v>04</v>
      </c>
      <c r="E693" t="str">
        <f>VLOOKUP(B693,'HOGARES-BASELINE'!$B:$I,8,FALSE)</f>
        <v>01030188</v>
      </c>
      <c r="F693" s="6" t="str">
        <f t="shared" si="24"/>
        <v>0103018804</v>
      </c>
    </row>
    <row r="694" spans="1:6" x14ac:dyDescent="0.3">
      <c r="A694" s="6" t="s">
        <v>694</v>
      </c>
      <c r="B694">
        <v>1143243433</v>
      </c>
      <c r="C694" s="3">
        <v>3</v>
      </c>
      <c r="D694" s="5" t="str">
        <f t="shared" si="25"/>
        <v>03</v>
      </c>
      <c r="E694" t="str">
        <f>VLOOKUP(B694,'HOGARES-BASELINE'!$B:$I,8,FALSE)</f>
        <v>01030189</v>
      </c>
      <c r="F694" s="6" t="str">
        <f t="shared" si="24"/>
        <v>0103018903</v>
      </c>
    </row>
    <row r="695" spans="1:6" x14ac:dyDescent="0.3">
      <c r="A695" s="6" t="s">
        <v>695</v>
      </c>
      <c r="B695">
        <v>1143243433</v>
      </c>
      <c r="C695" s="3">
        <v>7</v>
      </c>
      <c r="D695" s="5" t="str">
        <f t="shared" si="25"/>
        <v>07</v>
      </c>
      <c r="E695" t="str">
        <f>VLOOKUP(B695,'HOGARES-BASELINE'!$B:$I,8,FALSE)</f>
        <v>01030189</v>
      </c>
      <c r="F695" s="6" t="str">
        <f t="shared" si="24"/>
        <v>0103018907</v>
      </c>
    </row>
    <row r="696" spans="1:6" x14ac:dyDescent="0.3">
      <c r="A696" s="6" t="s">
        <v>696</v>
      </c>
      <c r="B696">
        <v>1143243433</v>
      </c>
      <c r="C696" s="3">
        <v>1</v>
      </c>
      <c r="D696" s="5" t="str">
        <f t="shared" si="25"/>
        <v>01</v>
      </c>
      <c r="E696" t="str">
        <f>VLOOKUP(B696,'HOGARES-BASELINE'!$B:$I,8,FALSE)</f>
        <v>01030189</v>
      </c>
      <c r="F696" s="6" t="str">
        <f t="shared" si="24"/>
        <v>0103018901</v>
      </c>
    </row>
    <row r="697" spans="1:6" x14ac:dyDescent="0.3">
      <c r="A697" s="6" t="s">
        <v>697</v>
      </c>
      <c r="B697">
        <v>1143243433</v>
      </c>
      <c r="C697" s="3">
        <v>5</v>
      </c>
      <c r="D697" s="5" t="str">
        <f t="shared" si="25"/>
        <v>05</v>
      </c>
      <c r="E697" t="str">
        <f>VLOOKUP(B697,'HOGARES-BASELINE'!$B:$I,8,FALSE)</f>
        <v>01030189</v>
      </c>
      <c r="F697" s="6" t="str">
        <f t="shared" si="24"/>
        <v>0103018905</v>
      </c>
    </row>
    <row r="698" spans="1:6" x14ac:dyDescent="0.3">
      <c r="A698" s="6" t="s">
        <v>698</v>
      </c>
      <c r="B698">
        <v>1143243433</v>
      </c>
      <c r="C698" s="3">
        <v>4</v>
      </c>
      <c r="D698" s="5" t="str">
        <f t="shared" si="25"/>
        <v>04</v>
      </c>
      <c r="E698" t="str">
        <f>VLOOKUP(B698,'HOGARES-BASELINE'!$B:$I,8,FALSE)</f>
        <v>01030189</v>
      </c>
      <c r="F698" s="6" t="str">
        <f t="shared" si="24"/>
        <v>0103018904</v>
      </c>
    </row>
    <row r="699" spans="1:6" x14ac:dyDescent="0.3">
      <c r="A699" s="6" t="s">
        <v>699</v>
      </c>
      <c r="B699">
        <v>1143243433</v>
      </c>
      <c r="C699" s="3">
        <v>2</v>
      </c>
      <c r="D699" s="5" t="str">
        <f t="shared" si="25"/>
        <v>02</v>
      </c>
      <c r="E699" t="str">
        <f>VLOOKUP(B699,'HOGARES-BASELINE'!$B:$I,8,FALSE)</f>
        <v>01030189</v>
      </c>
      <c r="F699" s="6" t="str">
        <f t="shared" si="24"/>
        <v>0103018902</v>
      </c>
    </row>
    <row r="700" spans="1:6" x14ac:dyDescent="0.3">
      <c r="A700" s="6" t="s">
        <v>700</v>
      </c>
      <c r="B700">
        <v>1143243433</v>
      </c>
      <c r="C700" s="3">
        <v>8</v>
      </c>
      <c r="D700" s="5" t="str">
        <f t="shared" si="25"/>
        <v>08</v>
      </c>
      <c r="E700" t="str">
        <f>VLOOKUP(B700,'HOGARES-BASELINE'!$B:$I,8,FALSE)</f>
        <v>01030189</v>
      </c>
      <c r="F700" s="6" t="str">
        <f t="shared" si="24"/>
        <v>0103018908</v>
      </c>
    </row>
    <row r="701" spans="1:6" x14ac:dyDescent="0.3">
      <c r="A701" s="6" t="s">
        <v>701</v>
      </c>
      <c r="B701">
        <v>1143243433</v>
      </c>
      <c r="C701" s="3">
        <v>6</v>
      </c>
      <c r="D701" s="5" t="str">
        <f t="shared" si="25"/>
        <v>06</v>
      </c>
      <c r="E701" t="str">
        <f>VLOOKUP(B701,'HOGARES-BASELINE'!$B:$I,8,FALSE)</f>
        <v>01030189</v>
      </c>
      <c r="F701" s="6" t="str">
        <f t="shared" si="24"/>
        <v>0103018906</v>
      </c>
    </row>
    <row r="702" spans="1:6" x14ac:dyDescent="0.3">
      <c r="A702" s="6" t="s">
        <v>702</v>
      </c>
      <c r="B702">
        <v>1143246211</v>
      </c>
      <c r="C702" s="3">
        <v>2</v>
      </c>
      <c r="D702" s="5" t="str">
        <f t="shared" si="25"/>
        <v>02</v>
      </c>
      <c r="E702" t="str">
        <f>VLOOKUP(B702,'HOGARES-BASELINE'!$B:$I,8,FALSE)</f>
        <v>01030190</v>
      </c>
      <c r="F702" s="6" t="str">
        <f t="shared" si="24"/>
        <v>0103019002</v>
      </c>
    </row>
    <row r="703" spans="1:6" x14ac:dyDescent="0.3">
      <c r="A703" s="6" t="s">
        <v>703</v>
      </c>
      <c r="B703">
        <v>1143246211</v>
      </c>
      <c r="C703" s="3">
        <v>4</v>
      </c>
      <c r="D703" s="5" t="str">
        <f t="shared" si="25"/>
        <v>04</v>
      </c>
      <c r="E703" t="str">
        <f>VLOOKUP(B703,'HOGARES-BASELINE'!$B:$I,8,FALSE)</f>
        <v>01030190</v>
      </c>
      <c r="F703" s="6" t="str">
        <f t="shared" si="24"/>
        <v>0103019004</v>
      </c>
    </row>
    <row r="704" spans="1:6" x14ac:dyDescent="0.3">
      <c r="A704" s="6" t="s">
        <v>704</v>
      </c>
      <c r="B704">
        <v>1143246211</v>
      </c>
      <c r="C704" s="3">
        <v>3</v>
      </c>
      <c r="D704" s="5" t="str">
        <f t="shared" si="25"/>
        <v>03</v>
      </c>
      <c r="E704" t="str">
        <f>VLOOKUP(B704,'HOGARES-BASELINE'!$B:$I,8,FALSE)</f>
        <v>01030190</v>
      </c>
      <c r="F704" s="6" t="str">
        <f t="shared" si="24"/>
        <v>0103019003</v>
      </c>
    </row>
    <row r="705" spans="1:6" x14ac:dyDescent="0.3">
      <c r="A705" s="6" t="s">
        <v>705</v>
      </c>
      <c r="B705">
        <v>1143246211</v>
      </c>
      <c r="C705" s="3">
        <v>1</v>
      </c>
      <c r="D705" s="5" t="str">
        <f t="shared" si="25"/>
        <v>01</v>
      </c>
      <c r="E705" t="str">
        <f>VLOOKUP(B705,'HOGARES-BASELINE'!$B:$I,8,FALSE)</f>
        <v>01030190</v>
      </c>
      <c r="F705" s="6" t="str">
        <f t="shared" si="24"/>
        <v>0103019001</v>
      </c>
    </row>
    <row r="706" spans="1:6" x14ac:dyDescent="0.3">
      <c r="A706" s="6" t="s">
        <v>706</v>
      </c>
      <c r="B706">
        <v>1143247447</v>
      </c>
      <c r="C706" s="3">
        <v>2</v>
      </c>
      <c r="D706" s="5" t="str">
        <f t="shared" si="25"/>
        <v>02</v>
      </c>
      <c r="E706" t="str">
        <f>VLOOKUP(B706,'HOGARES-BASELINE'!$B:$I,8,FALSE)</f>
        <v>01030191</v>
      </c>
      <c r="F706" s="6" t="str">
        <f t="shared" si="24"/>
        <v>0103019102</v>
      </c>
    </row>
    <row r="707" spans="1:6" x14ac:dyDescent="0.3">
      <c r="A707" s="6" t="s">
        <v>707</v>
      </c>
      <c r="B707">
        <v>1143247447</v>
      </c>
      <c r="C707" s="3">
        <v>3</v>
      </c>
      <c r="D707" s="5" t="str">
        <f t="shared" si="25"/>
        <v>03</v>
      </c>
      <c r="E707" t="str">
        <f>VLOOKUP(B707,'HOGARES-BASELINE'!$B:$I,8,FALSE)</f>
        <v>01030191</v>
      </c>
      <c r="F707" s="6" t="str">
        <f t="shared" ref="F707:F770" si="26">_xlfn.CONCAT(E707,D707)</f>
        <v>0103019103</v>
      </c>
    </row>
    <row r="708" spans="1:6" x14ac:dyDescent="0.3">
      <c r="A708" s="6" t="s">
        <v>708</v>
      </c>
      <c r="B708">
        <v>1143247447</v>
      </c>
      <c r="C708" s="3">
        <v>4</v>
      </c>
      <c r="D708" s="5" t="str">
        <f t="shared" si="25"/>
        <v>04</v>
      </c>
      <c r="E708" t="str">
        <f>VLOOKUP(B708,'HOGARES-BASELINE'!$B:$I,8,FALSE)</f>
        <v>01030191</v>
      </c>
      <c r="F708" s="6" t="str">
        <f t="shared" si="26"/>
        <v>0103019104</v>
      </c>
    </row>
    <row r="709" spans="1:6" x14ac:dyDescent="0.3">
      <c r="A709" s="6" t="s">
        <v>709</v>
      </c>
      <c r="B709">
        <v>1143247447</v>
      </c>
      <c r="C709" s="3">
        <v>1</v>
      </c>
      <c r="D709" s="5" t="str">
        <f t="shared" si="25"/>
        <v>01</v>
      </c>
      <c r="E709" t="str">
        <f>VLOOKUP(B709,'HOGARES-BASELINE'!$B:$I,8,FALSE)</f>
        <v>01030191</v>
      </c>
      <c r="F709" s="6" t="str">
        <f t="shared" si="26"/>
        <v>0103019101</v>
      </c>
    </row>
    <row r="710" spans="1:6" x14ac:dyDescent="0.3">
      <c r="A710" s="6" t="s">
        <v>710</v>
      </c>
      <c r="B710">
        <v>1143259102</v>
      </c>
      <c r="C710" s="3">
        <v>1</v>
      </c>
      <c r="D710" s="5" t="str">
        <f t="shared" si="25"/>
        <v>01</v>
      </c>
      <c r="E710" t="str">
        <f>VLOOKUP(B710,'HOGARES-BASELINE'!$B:$I,8,FALSE)</f>
        <v>01030192</v>
      </c>
      <c r="F710" s="6" t="str">
        <f t="shared" si="26"/>
        <v>0103019201</v>
      </c>
    </row>
    <row r="711" spans="1:6" x14ac:dyDescent="0.3">
      <c r="A711" s="6" t="s">
        <v>711</v>
      </c>
      <c r="B711">
        <v>1143259102</v>
      </c>
      <c r="C711" s="3">
        <v>3</v>
      </c>
      <c r="D711" s="5" t="str">
        <f t="shared" si="25"/>
        <v>03</v>
      </c>
      <c r="E711" t="str">
        <f>VLOOKUP(B711,'HOGARES-BASELINE'!$B:$I,8,FALSE)</f>
        <v>01030192</v>
      </c>
      <c r="F711" s="6" t="str">
        <f t="shared" si="26"/>
        <v>0103019203</v>
      </c>
    </row>
    <row r="712" spans="1:6" x14ac:dyDescent="0.3">
      <c r="A712" s="6" t="s">
        <v>712</v>
      </c>
      <c r="B712">
        <v>1143259102</v>
      </c>
      <c r="C712" s="3">
        <v>2</v>
      </c>
      <c r="D712" s="5" t="str">
        <f t="shared" si="25"/>
        <v>02</v>
      </c>
      <c r="E712" t="str">
        <f>VLOOKUP(B712,'HOGARES-BASELINE'!$B:$I,8,FALSE)</f>
        <v>01030192</v>
      </c>
      <c r="F712" s="6" t="str">
        <f t="shared" si="26"/>
        <v>0103019202</v>
      </c>
    </row>
    <row r="713" spans="1:6" x14ac:dyDescent="0.3">
      <c r="A713" s="6" t="s">
        <v>713</v>
      </c>
      <c r="B713">
        <v>1143259102</v>
      </c>
      <c r="C713" s="3">
        <v>4</v>
      </c>
      <c r="D713" s="5" t="str">
        <f t="shared" si="25"/>
        <v>04</v>
      </c>
      <c r="E713" t="str">
        <f>VLOOKUP(B713,'HOGARES-BASELINE'!$B:$I,8,FALSE)</f>
        <v>01030192</v>
      </c>
      <c r="F713" s="6" t="str">
        <f t="shared" si="26"/>
        <v>0103019204</v>
      </c>
    </row>
    <row r="714" spans="1:6" x14ac:dyDescent="0.3">
      <c r="A714" s="6" t="s">
        <v>714</v>
      </c>
      <c r="B714">
        <v>1143429421</v>
      </c>
      <c r="C714" s="3">
        <v>1</v>
      </c>
      <c r="D714" s="5" t="str">
        <f t="shared" si="25"/>
        <v>01</v>
      </c>
      <c r="E714" t="str">
        <f>VLOOKUP(B714,'HOGARES-BASELINE'!$B:$I,8,FALSE)</f>
        <v>00030193</v>
      </c>
      <c r="F714" s="6" t="str">
        <f t="shared" si="26"/>
        <v>0003019301</v>
      </c>
    </row>
    <row r="715" spans="1:6" x14ac:dyDescent="0.3">
      <c r="A715" s="6" t="s">
        <v>715</v>
      </c>
      <c r="B715">
        <v>1143429421</v>
      </c>
      <c r="C715" s="3">
        <v>3</v>
      </c>
      <c r="D715" s="5" t="str">
        <f t="shared" si="25"/>
        <v>03</v>
      </c>
      <c r="E715" t="str">
        <f>VLOOKUP(B715,'HOGARES-BASELINE'!$B:$I,8,FALSE)</f>
        <v>00030193</v>
      </c>
      <c r="F715" s="6" t="str">
        <f t="shared" si="26"/>
        <v>0003019303</v>
      </c>
    </row>
    <row r="716" spans="1:6" x14ac:dyDescent="0.3">
      <c r="A716" s="6" t="s">
        <v>716</v>
      </c>
      <c r="B716">
        <v>1143429421</v>
      </c>
      <c r="C716" s="3">
        <v>4</v>
      </c>
      <c r="D716" s="5" t="str">
        <f t="shared" si="25"/>
        <v>04</v>
      </c>
      <c r="E716" t="str">
        <f>VLOOKUP(B716,'HOGARES-BASELINE'!$B:$I,8,FALSE)</f>
        <v>00030193</v>
      </c>
      <c r="F716" s="6" t="str">
        <f t="shared" si="26"/>
        <v>0003019304</v>
      </c>
    </row>
    <row r="717" spans="1:6" x14ac:dyDescent="0.3">
      <c r="A717" s="6" t="s">
        <v>717</v>
      </c>
      <c r="B717">
        <v>1143429421</v>
      </c>
      <c r="C717" s="3">
        <v>2</v>
      </c>
      <c r="D717" s="5" t="str">
        <f t="shared" si="25"/>
        <v>02</v>
      </c>
      <c r="E717" t="str">
        <f>VLOOKUP(B717,'HOGARES-BASELINE'!$B:$I,8,FALSE)</f>
        <v>00030193</v>
      </c>
      <c r="F717" s="6" t="str">
        <f t="shared" si="26"/>
        <v>0003019302</v>
      </c>
    </row>
    <row r="718" spans="1:6" x14ac:dyDescent="0.3">
      <c r="A718" s="6" t="s">
        <v>718</v>
      </c>
      <c r="B718">
        <v>1143429421</v>
      </c>
      <c r="C718" s="3">
        <v>5</v>
      </c>
      <c r="D718" s="5" t="str">
        <f t="shared" si="25"/>
        <v>05</v>
      </c>
      <c r="E718" t="str">
        <f>VLOOKUP(B718,'HOGARES-BASELINE'!$B:$I,8,FALSE)</f>
        <v>00030193</v>
      </c>
      <c r="F718" s="6" t="str">
        <f t="shared" si="26"/>
        <v>0003019305</v>
      </c>
    </row>
    <row r="719" spans="1:6" x14ac:dyDescent="0.3">
      <c r="A719" s="6" t="s">
        <v>719</v>
      </c>
      <c r="B719">
        <v>1143830506</v>
      </c>
      <c r="C719" s="3">
        <v>4</v>
      </c>
      <c r="D719" s="5" t="str">
        <f t="shared" si="25"/>
        <v>04</v>
      </c>
      <c r="E719" t="str">
        <f>VLOOKUP(B719,'HOGARES-BASELINE'!$B:$I,8,FALSE)</f>
        <v>01020194</v>
      </c>
      <c r="F719" s="6" t="str">
        <f t="shared" si="26"/>
        <v>0102019404</v>
      </c>
    </row>
    <row r="720" spans="1:6" x14ac:dyDescent="0.3">
      <c r="A720" s="6" t="s">
        <v>720</v>
      </c>
      <c r="B720">
        <v>1143830506</v>
      </c>
      <c r="C720" s="3">
        <v>3</v>
      </c>
      <c r="D720" s="5" t="str">
        <f t="shared" si="25"/>
        <v>03</v>
      </c>
      <c r="E720" t="str">
        <f>VLOOKUP(B720,'HOGARES-BASELINE'!$B:$I,8,FALSE)</f>
        <v>01020194</v>
      </c>
      <c r="F720" s="6" t="str">
        <f t="shared" si="26"/>
        <v>0102019403</v>
      </c>
    </row>
    <row r="721" spans="1:6" x14ac:dyDescent="0.3">
      <c r="A721" s="6" t="s">
        <v>721</v>
      </c>
      <c r="B721">
        <v>1143830506</v>
      </c>
      <c r="C721" s="3">
        <v>1</v>
      </c>
      <c r="D721" s="5" t="str">
        <f t="shared" si="25"/>
        <v>01</v>
      </c>
      <c r="E721" t="str">
        <f>VLOOKUP(B721,'HOGARES-BASELINE'!$B:$I,8,FALSE)</f>
        <v>01020194</v>
      </c>
      <c r="F721" s="6" t="str">
        <f t="shared" si="26"/>
        <v>0102019401</v>
      </c>
    </row>
    <row r="722" spans="1:6" x14ac:dyDescent="0.3">
      <c r="A722" s="6" t="s">
        <v>722</v>
      </c>
      <c r="B722">
        <v>1143830506</v>
      </c>
      <c r="C722" s="3">
        <v>2</v>
      </c>
      <c r="D722" s="5" t="str">
        <f t="shared" si="25"/>
        <v>02</v>
      </c>
      <c r="E722" t="str">
        <f>VLOOKUP(B722,'HOGARES-BASELINE'!$B:$I,8,FALSE)</f>
        <v>01020194</v>
      </c>
      <c r="F722" s="6" t="str">
        <f t="shared" si="26"/>
        <v>0102019402</v>
      </c>
    </row>
    <row r="723" spans="1:6" x14ac:dyDescent="0.3">
      <c r="A723" s="6" t="s">
        <v>723</v>
      </c>
      <c r="B723">
        <v>1143831016</v>
      </c>
      <c r="C723" s="3">
        <v>6</v>
      </c>
      <c r="D723" s="5" t="str">
        <f t="shared" si="25"/>
        <v>06</v>
      </c>
      <c r="E723" t="str">
        <f>VLOOKUP(B723,'HOGARES-BASELINE'!$B:$I,8,FALSE)</f>
        <v>01020195</v>
      </c>
      <c r="F723" s="6" t="str">
        <f t="shared" si="26"/>
        <v>0102019506</v>
      </c>
    </row>
    <row r="724" spans="1:6" x14ac:dyDescent="0.3">
      <c r="A724" s="6" t="s">
        <v>724</v>
      </c>
      <c r="B724">
        <v>1143831016</v>
      </c>
      <c r="C724" s="3">
        <v>9</v>
      </c>
      <c r="D724" s="5" t="str">
        <f t="shared" si="25"/>
        <v>09</v>
      </c>
      <c r="E724" t="str">
        <f>VLOOKUP(B724,'HOGARES-BASELINE'!$B:$I,8,FALSE)</f>
        <v>01020195</v>
      </c>
      <c r="F724" s="6" t="str">
        <f t="shared" si="26"/>
        <v>0102019509</v>
      </c>
    </row>
    <row r="725" spans="1:6" x14ac:dyDescent="0.3">
      <c r="A725" s="6" t="s">
        <v>725</v>
      </c>
      <c r="B725">
        <v>1143831016</v>
      </c>
      <c r="C725" s="3">
        <v>8</v>
      </c>
      <c r="D725" s="5" t="str">
        <f t="shared" si="25"/>
        <v>08</v>
      </c>
      <c r="E725" t="str">
        <f>VLOOKUP(B725,'HOGARES-BASELINE'!$B:$I,8,FALSE)</f>
        <v>01020195</v>
      </c>
      <c r="F725" s="6" t="str">
        <f t="shared" si="26"/>
        <v>0102019508</v>
      </c>
    </row>
    <row r="726" spans="1:6" x14ac:dyDescent="0.3">
      <c r="A726" s="6" t="s">
        <v>726</v>
      </c>
      <c r="B726">
        <v>1143831016</v>
      </c>
      <c r="C726" s="3">
        <v>3</v>
      </c>
      <c r="D726" s="5" t="str">
        <f t="shared" si="25"/>
        <v>03</v>
      </c>
      <c r="E726" t="str">
        <f>VLOOKUP(B726,'HOGARES-BASELINE'!$B:$I,8,FALSE)</f>
        <v>01020195</v>
      </c>
      <c r="F726" s="6" t="str">
        <f t="shared" si="26"/>
        <v>0102019503</v>
      </c>
    </row>
    <row r="727" spans="1:6" x14ac:dyDescent="0.3">
      <c r="A727" s="6" t="s">
        <v>727</v>
      </c>
      <c r="B727">
        <v>1143831016</v>
      </c>
      <c r="C727" s="3">
        <v>7</v>
      </c>
      <c r="D727" s="5" t="str">
        <f t="shared" si="25"/>
        <v>07</v>
      </c>
      <c r="E727" t="str">
        <f>VLOOKUP(B727,'HOGARES-BASELINE'!$B:$I,8,FALSE)</f>
        <v>01020195</v>
      </c>
      <c r="F727" s="6" t="str">
        <f t="shared" si="26"/>
        <v>0102019507</v>
      </c>
    </row>
    <row r="728" spans="1:6" x14ac:dyDescent="0.3">
      <c r="A728" s="6" t="s">
        <v>728</v>
      </c>
      <c r="B728">
        <v>1143831016</v>
      </c>
      <c r="C728" s="3">
        <v>1</v>
      </c>
      <c r="D728" s="5" t="str">
        <f t="shared" si="25"/>
        <v>01</v>
      </c>
      <c r="E728" t="str">
        <f>VLOOKUP(B728,'HOGARES-BASELINE'!$B:$I,8,FALSE)</f>
        <v>01020195</v>
      </c>
      <c r="F728" s="6" t="str">
        <f t="shared" si="26"/>
        <v>0102019501</v>
      </c>
    </row>
    <row r="729" spans="1:6" x14ac:dyDescent="0.3">
      <c r="A729" s="6" t="s">
        <v>729</v>
      </c>
      <c r="B729">
        <v>1143831016</v>
      </c>
      <c r="C729" s="3">
        <v>10</v>
      </c>
      <c r="D729" s="2">
        <f>C729</f>
        <v>10</v>
      </c>
      <c r="E729" t="str">
        <f>VLOOKUP(B729,'HOGARES-BASELINE'!$B:$I,8,FALSE)</f>
        <v>01020195</v>
      </c>
      <c r="F729" s="6" t="str">
        <f t="shared" si="26"/>
        <v>0102019510</v>
      </c>
    </row>
    <row r="730" spans="1:6" x14ac:dyDescent="0.3">
      <c r="A730" s="6" t="s">
        <v>730</v>
      </c>
      <c r="B730">
        <v>1143831016</v>
      </c>
      <c r="C730" s="3">
        <v>2</v>
      </c>
      <c r="D730" s="5" t="str">
        <f t="shared" ref="D730:D793" si="27">_xlfn.CONCAT(0,C730)</f>
        <v>02</v>
      </c>
      <c r="E730" t="str">
        <f>VLOOKUP(B730,'HOGARES-BASELINE'!$B:$I,8,FALSE)</f>
        <v>01020195</v>
      </c>
      <c r="F730" s="6" t="str">
        <f t="shared" si="26"/>
        <v>0102019502</v>
      </c>
    </row>
    <row r="731" spans="1:6" x14ac:dyDescent="0.3">
      <c r="A731" s="6" t="s">
        <v>731</v>
      </c>
      <c r="B731">
        <v>1143831016</v>
      </c>
      <c r="C731" s="3">
        <v>4</v>
      </c>
      <c r="D731" s="5" t="str">
        <f t="shared" si="27"/>
        <v>04</v>
      </c>
      <c r="E731" t="str">
        <f>VLOOKUP(B731,'HOGARES-BASELINE'!$B:$I,8,FALSE)</f>
        <v>01020195</v>
      </c>
      <c r="F731" s="6" t="str">
        <f t="shared" si="26"/>
        <v>0102019504</v>
      </c>
    </row>
    <row r="732" spans="1:6" x14ac:dyDescent="0.3">
      <c r="A732" s="6" t="s">
        <v>732</v>
      </c>
      <c r="B732">
        <v>1143831016</v>
      </c>
      <c r="C732" s="3">
        <v>5</v>
      </c>
      <c r="D732" s="5" t="str">
        <f t="shared" si="27"/>
        <v>05</v>
      </c>
      <c r="E732" t="str">
        <f>VLOOKUP(B732,'HOGARES-BASELINE'!$B:$I,8,FALSE)</f>
        <v>01020195</v>
      </c>
      <c r="F732" s="6" t="str">
        <f t="shared" si="26"/>
        <v>0102019505</v>
      </c>
    </row>
    <row r="733" spans="1:6" x14ac:dyDescent="0.3">
      <c r="A733" s="6" t="s">
        <v>733</v>
      </c>
      <c r="B733">
        <v>1143831802</v>
      </c>
      <c r="C733" s="3">
        <v>1</v>
      </c>
      <c r="D733" s="5" t="str">
        <f t="shared" si="27"/>
        <v>01</v>
      </c>
      <c r="E733" t="str">
        <f>VLOOKUP(B733,'HOGARES-BASELINE'!$B:$I,8,FALSE)</f>
        <v>00020196</v>
      </c>
      <c r="F733" s="6" t="str">
        <f t="shared" si="26"/>
        <v>0002019601</v>
      </c>
    </row>
    <row r="734" spans="1:6" x14ac:dyDescent="0.3">
      <c r="A734" s="6" t="s">
        <v>734</v>
      </c>
      <c r="B734">
        <v>1143831802</v>
      </c>
      <c r="C734" s="3">
        <v>2</v>
      </c>
      <c r="D734" s="5" t="str">
        <f t="shared" si="27"/>
        <v>02</v>
      </c>
      <c r="E734" t="str">
        <f>VLOOKUP(B734,'HOGARES-BASELINE'!$B:$I,8,FALSE)</f>
        <v>00020196</v>
      </c>
      <c r="F734" s="6" t="str">
        <f t="shared" si="26"/>
        <v>0002019602</v>
      </c>
    </row>
    <row r="735" spans="1:6" x14ac:dyDescent="0.3">
      <c r="A735" s="6" t="s">
        <v>735</v>
      </c>
      <c r="B735">
        <v>1143831857</v>
      </c>
      <c r="C735" s="3">
        <v>2</v>
      </c>
      <c r="D735" s="5" t="str">
        <f t="shared" si="27"/>
        <v>02</v>
      </c>
      <c r="E735" t="str">
        <f>VLOOKUP(B735,'HOGARES-BASELINE'!$B:$I,8,FALSE)</f>
        <v>00020197</v>
      </c>
      <c r="F735" s="6" t="str">
        <f t="shared" si="26"/>
        <v>0002019702</v>
      </c>
    </row>
    <row r="736" spans="1:6" x14ac:dyDescent="0.3">
      <c r="A736" s="6" t="s">
        <v>736</v>
      </c>
      <c r="B736">
        <v>1143831857</v>
      </c>
      <c r="C736" s="3">
        <v>3</v>
      </c>
      <c r="D736" s="5" t="str">
        <f t="shared" si="27"/>
        <v>03</v>
      </c>
      <c r="E736" t="str">
        <f>VLOOKUP(B736,'HOGARES-BASELINE'!$B:$I,8,FALSE)</f>
        <v>00020197</v>
      </c>
      <c r="F736" s="6" t="str">
        <f t="shared" si="26"/>
        <v>0002019703</v>
      </c>
    </row>
    <row r="737" spans="1:6" x14ac:dyDescent="0.3">
      <c r="A737" s="6" t="s">
        <v>737</v>
      </c>
      <c r="B737">
        <v>1143831857</v>
      </c>
      <c r="C737" s="3">
        <v>4</v>
      </c>
      <c r="D737" s="5" t="str">
        <f t="shared" si="27"/>
        <v>04</v>
      </c>
      <c r="E737" t="str">
        <f>VLOOKUP(B737,'HOGARES-BASELINE'!$B:$I,8,FALSE)</f>
        <v>00020197</v>
      </c>
      <c r="F737" s="6" t="str">
        <f t="shared" si="26"/>
        <v>0002019704</v>
      </c>
    </row>
    <row r="738" spans="1:6" x14ac:dyDescent="0.3">
      <c r="A738" s="6" t="s">
        <v>738</v>
      </c>
      <c r="B738">
        <v>1143831857</v>
      </c>
      <c r="C738" s="3">
        <v>1</v>
      </c>
      <c r="D738" s="5" t="str">
        <f t="shared" si="27"/>
        <v>01</v>
      </c>
      <c r="E738" t="str">
        <f>VLOOKUP(B738,'HOGARES-BASELINE'!$B:$I,8,FALSE)</f>
        <v>00020197</v>
      </c>
      <c r="F738" s="6" t="str">
        <f t="shared" si="26"/>
        <v>0002019701</v>
      </c>
    </row>
    <row r="739" spans="1:6" x14ac:dyDescent="0.3">
      <c r="A739" s="6" t="s">
        <v>739</v>
      </c>
      <c r="B739">
        <v>1143833310</v>
      </c>
      <c r="C739" s="3">
        <v>4</v>
      </c>
      <c r="D739" s="5" t="str">
        <f t="shared" si="27"/>
        <v>04</v>
      </c>
      <c r="E739" t="str">
        <f>VLOOKUP(B739,'HOGARES-BASELINE'!$B:$I,8,FALSE)</f>
        <v>00020198</v>
      </c>
      <c r="F739" s="6" t="str">
        <f t="shared" si="26"/>
        <v>0002019804</v>
      </c>
    </row>
    <row r="740" spans="1:6" x14ac:dyDescent="0.3">
      <c r="A740" s="6" t="s">
        <v>740</v>
      </c>
      <c r="B740">
        <v>1143833310</v>
      </c>
      <c r="C740" s="3">
        <v>3</v>
      </c>
      <c r="D740" s="5" t="str">
        <f t="shared" si="27"/>
        <v>03</v>
      </c>
      <c r="E740" t="str">
        <f>VLOOKUP(B740,'HOGARES-BASELINE'!$B:$I,8,FALSE)</f>
        <v>00020198</v>
      </c>
      <c r="F740" s="6" t="str">
        <f t="shared" si="26"/>
        <v>0002019803</v>
      </c>
    </row>
    <row r="741" spans="1:6" x14ac:dyDescent="0.3">
      <c r="A741" s="6" t="s">
        <v>741</v>
      </c>
      <c r="B741">
        <v>1143833310</v>
      </c>
      <c r="C741" s="3">
        <v>2</v>
      </c>
      <c r="D741" s="5" t="str">
        <f t="shared" si="27"/>
        <v>02</v>
      </c>
      <c r="E741" t="str">
        <f>VLOOKUP(B741,'HOGARES-BASELINE'!$B:$I,8,FALSE)</f>
        <v>00020198</v>
      </c>
      <c r="F741" s="6" t="str">
        <f t="shared" si="26"/>
        <v>0002019802</v>
      </c>
    </row>
    <row r="742" spans="1:6" x14ac:dyDescent="0.3">
      <c r="A742" s="6" t="s">
        <v>742</v>
      </c>
      <c r="B742">
        <v>1143833310</v>
      </c>
      <c r="C742" s="3">
        <v>1</v>
      </c>
      <c r="D742" s="5" t="str">
        <f t="shared" si="27"/>
        <v>01</v>
      </c>
      <c r="E742" t="str">
        <f>VLOOKUP(B742,'HOGARES-BASELINE'!$B:$I,8,FALSE)</f>
        <v>00020198</v>
      </c>
      <c r="F742" s="6" t="str">
        <f t="shared" si="26"/>
        <v>0002019801</v>
      </c>
    </row>
    <row r="743" spans="1:6" x14ac:dyDescent="0.3">
      <c r="A743" s="6" t="s">
        <v>743</v>
      </c>
      <c r="B743">
        <v>1143833310</v>
      </c>
      <c r="C743" s="3">
        <v>5</v>
      </c>
      <c r="D743" s="5" t="str">
        <f t="shared" si="27"/>
        <v>05</v>
      </c>
      <c r="E743" t="str">
        <f>VLOOKUP(B743,'HOGARES-BASELINE'!$B:$I,8,FALSE)</f>
        <v>00020198</v>
      </c>
      <c r="F743" s="6" t="str">
        <f t="shared" si="26"/>
        <v>0002019805</v>
      </c>
    </row>
    <row r="744" spans="1:6" x14ac:dyDescent="0.3">
      <c r="A744" s="6" t="s">
        <v>744</v>
      </c>
      <c r="B744">
        <v>1143834208</v>
      </c>
      <c r="C744" s="3">
        <v>3</v>
      </c>
      <c r="D744" s="5" t="str">
        <f t="shared" si="27"/>
        <v>03</v>
      </c>
      <c r="E744" t="str">
        <f>VLOOKUP(B744,'HOGARES-BASELINE'!$B:$I,8,FALSE)</f>
        <v>00020199</v>
      </c>
      <c r="F744" s="6" t="str">
        <f t="shared" si="26"/>
        <v>0002019903</v>
      </c>
    </row>
    <row r="745" spans="1:6" x14ac:dyDescent="0.3">
      <c r="A745" s="6" t="s">
        <v>745</v>
      </c>
      <c r="B745">
        <v>1143834208</v>
      </c>
      <c r="C745" s="3">
        <v>2</v>
      </c>
      <c r="D745" s="5" t="str">
        <f t="shared" si="27"/>
        <v>02</v>
      </c>
      <c r="E745" t="str">
        <f>VLOOKUP(B745,'HOGARES-BASELINE'!$B:$I,8,FALSE)</f>
        <v>00020199</v>
      </c>
      <c r="F745" s="6" t="str">
        <f t="shared" si="26"/>
        <v>0002019902</v>
      </c>
    </row>
    <row r="746" spans="1:6" x14ac:dyDescent="0.3">
      <c r="A746" s="6" t="s">
        <v>746</v>
      </c>
      <c r="B746">
        <v>1143834208</v>
      </c>
      <c r="C746" s="3">
        <v>4</v>
      </c>
      <c r="D746" s="5" t="str">
        <f t="shared" si="27"/>
        <v>04</v>
      </c>
      <c r="E746" t="str">
        <f>VLOOKUP(B746,'HOGARES-BASELINE'!$B:$I,8,FALSE)</f>
        <v>00020199</v>
      </c>
      <c r="F746" s="6" t="str">
        <f t="shared" si="26"/>
        <v>0002019904</v>
      </c>
    </row>
    <row r="747" spans="1:6" x14ac:dyDescent="0.3">
      <c r="A747" s="6" t="s">
        <v>747</v>
      </c>
      <c r="B747">
        <v>1143834208</v>
      </c>
      <c r="C747" s="3">
        <v>1</v>
      </c>
      <c r="D747" s="5" t="str">
        <f t="shared" si="27"/>
        <v>01</v>
      </c>
      <c r="E747" t="str">
        <f>VLOOKUP(B747,'HOGARES-BASELINE'!$B:$I,8,FALSE)</f>
        <v>00020199</v>
      </c>
      <c r="F747" s="6" t="str">
        <f t="shared" si="26"/>
        <v>0002019901</v>
      </c>
    </row>
    <row r="748" spans="1:6" x14ac:dyDescent="0.3">
      <c r="A748" s="6" t="s">
        <v>748</v>
      </c>
      <c r="B748">
        <v>1143838084</v>
      </c>
      <c r="C748" s="3">
        <v>3</v>
      </c>
      <c r="D748" s="5" t="str">
        <f t="shared" si="27"/>
        <v>03</v>
      </c>
      <c r="E748" t="str">
        <f>VLOOKUP(B748,'HOGARES-BASELINE'!$B:$I,8,FALSE)</f>
        <v>00020200</v>
      </c>
      <c r="F748" s="6" t="str">
        <f t="shared" si="26"/>
        <v>0002020003</v>
      </c>
    </row>
    <row r="749" spans="1:6" x14ac:dyDescent="0.3">
      <c r="A749" s="6" t="s">
        <v>749</v>
      </c>
      <c r="B749">
        <v>1143838084</v>
      </c>
      <c r="C749" s="3">
        <v>4</v>
      </c>
      <c r="D749" s="5" t="str">
        <f t="shared" si="27"/>
        <v>04</v>
      </c>
      <c r="E749" t="str">
        <f>VLOOKUP(B749,'HOGARES-BASELINE'!$B:$I,8,FALSE)</f>
        <v>00020200</v>
      </c>
      <c r="F749" s="6" t="str">
        <f t="shared" si="26"/>
        <v>0002020004</v>
      </c>
    </row>
    <row r="750" spans="1:6" x14ac:dyDescent="0.3">
      <c r="A750" s="6" t="s">
        <v>750</v>
      </c>
      <c r="B750">
        <v>1143838084</v>
      </c>
      <c r="C750" s="3">
        <v>5</v>
      </c>
      <c r="D750" s="5" t="str">
        <f t="shared" si="27"/>
        <v>05</v>
      </c>
      <c r="E750" t="str">
        <f>VLOOKUP(B750,'HOGARES-BASELINE'!$B:$I,8,FALSE)</f>
        <v>00020200</v>
      </c>
      <c r="F750" s="6" t="str">
        <f t="shared" si="26"/>
        <v>0002020005</v>
      </c>
    </row>
    <row r="751" spans="1:6" x14ac:dyDescent="0.3">
      <c r="A751" s="6" t="s">
        <v>751</v>
      </c>
      <c r="B751">
        <v>1143838084</v>
      </c>
      <c r="C751" s="3">
        <v>2</v>
      </c>
      <c r="D751" s="5" t="str">
        <f t="shared" si="27"/>
        <v>02</v>
      </c>
      <c r="E751" t="str">
        <f>VLOOKUP(B751,'HOGARES-BASELINE'!$B:$I,8,FALSE)</f>
        <v>00020200</v>
      </c>
      <c r="F751" s="6" t="str">
        <f t="shared" si="26"/>
        <v>0002020002</v>
      </c>
    </row>
    <row r="752" spans="1:6" x14ac:dyDescent="0.3">
      <c r="A752" s="6" t="s">
        <v>752</v>
      </c>
      <c r="B752">
        <v>1143838084</v>
      </c>
      <c r="C752" s="3">
        <v>1</v>
      </c>
      <c r="D752" s="5" t="str">
        <f t="shared" si="27"/>
        <v>01</v>
      </c>
      <c r="E752" t="str">
        <f>VLOOKUP(B752,'HOGARES-BASELINE'!$B:$I,8,FALSE)</f>
        <v>00020200</v>
      </c>
      <c r="F752" s="6" t="str">
        <f t="shared" si="26"/>
        <v>0002020001</v>
      </c>
    </row>
    <row r="753" spans="1:6" x14ac:dyDescent="0.3">
      <c r="A753" s="6" t="s">
        <v>753</v>
      </c>
      <c r="B753">
        <v>1143841537</v>
      </c>
      <c r="C753" s="3">
        <v>2</v>
      </c>
      <c r="D753" s="5" t="str">
        <f t="shared" si="27"/>
        <v>02</v>
      </c>
      <c r="E753" t="str">
        <f>VLOOKUP(B753,'HOGARES-BASELINE'!$B:$I,8,FALSE)</f>
        <v>01020201</v>
      </c>
      <c r="F753" s="6" t="str">
        <f t="shared" si="26"/>
        <v>0102020102</v>
      </c>
    </row>
    <row r="754" spans="1:6" x14ac:dyDescent="0.3">
      <c r="A754" s="6" t="s">
        <v>754</v>
      </c>
      <c r="B754">
        <v>1143841537</v>
      </c>
      <c r="C754" s="3">
        <v>1</v>
      </c>
      <c r="D754" s="5" t="str">
        <f t="shared" si="27"/>
        <v>01</v>
      </c>
      <c r="E754" t="str">
        <f>VLOOKUP(B754,'HOGARES-BASELINE'!$B:$I,8,FALSE)</f>
        <v>01020201</v>
      </c>
      <c r="F754" s="6" t="str">
        <f t="shared" si="26"/>
        <v>0102020101</v>
      </c>
    </row>
    <row r="755" spans="1:6" x14ac:dyDescent="0.3">
      <c r="A755" s="6" t="s">
        <v>755</v>
      </c>
      <c r="B755">
        <v>1143841537</v>
      </c>
      <c r="C755" s="3">
        <v>3</v>
      </c>
      <c r="D755" s="5" t="str">
        <f t="shared" si="27"/>
        <v>03</v>
      </c>
      <c r="E755" t="str">
        <f>VLOOKUP(B755,'HOGARES-BASELINE'!$B:$I,8,FALSE)</f>
        <v>01020201</v>
      </c>
      <c r="F755" s="6" t="str">
        <f t="shared" si="26"/>
        <v>0102020103</v>
      </c>
    </row>
    <row r="756" spans="1:6" x14ac:dyDescent="0.3">
      <c r="A756" s="6" t="s">
        <v>756</v>
      </c>
      <c r="B756">
        <v>1143841537</v>
      </c>
      <c r="C756" s="3">
        <v>4</v>
      </c>
      <c r="D756" s="5" t="str">
        <f t="shared" si="27"/>
        <v>04</v>
      </c>
      <c r="E756" t="str">
        <f>VLOOKUP(B756,'HOGARES-BASELINE'!$B:$I,8,FALSE)</f>
        <v>01020201</v>
      </c>
      <c r="F756" s="6" t="str">
        <f t="shared" si="26"/>
        <v>0102020104</v>
      </c>
    </row>
    <row r="757" spans="1:6" x14ac:dyDescent="0.3">
      <c r="A757" s="6" t="s">
        <v>757</v>
      </c>
      <c r="B757">
        <v>1143841673</v>
      </c>
      <c r="C757" s="3">
        <v>2</v>
      </c>
      <c r="D757" s="5" t="str">
        <f t="shared" si="27"/>
        <v>02</v>
      </c>
      <c r="E757" t="str">
        <f>VLOOKUP(B757,'HOGARES-BASELINE'!$B:$I,8,FALSE)</f>
        <v>00020202</v>
      </c>
      <c r="F757" s="6" t="str">
        <f t="shared" si="26"/>
        <v>0002020202</v>
      </c>
    </row>
    <row r="758" spans="1:6" x14ac:dyDescent="0.3">
      <c r="A758" s="6" t="s">
        <v>758</v>
      </c>
      <c r="B758">
        <v>1143841673</v>
      </c>
      <c r="C758" s="3">
        <v>3</v>
      </c>
      <c r="D758" s="5" t="str">
        <f t="shared" si="27"/>
        <v>03</v>
      </c>
      <c r="E758" t="str">
        <f>VLOOKUP(B758,'HOGARES-BASELINE'!$B:$I,8,FALSE)</f>
        <v>00020202</v>
      </c>
      <c r="F758" s="6" t="str">
        <f t="shared" si="26"/>
        <v>0002020203</v>
      </c>
    </row>
    <row r="759" spans="1:6" x14ac:dyDescent="0.3">
      <c r="A759" s="6" t="s">
        <v>759</v>
      </c>
      <c r="B759">
        <v>1143841673</v>
      </c>
      <c r="C759" s="3">
        <v>1</v>
      </c>
      <c r="D759" s="5" t="str">
        <f t="shared" si="27"/>
        <v>01</v>
      </c>
      <c r="E759" t="str">
        <f>VLOOKUP(B759,'HOGARES-BASELINE'!$B:$I,8,FALSE)</f>
        <v>00020202</v>
      </c>
      <c r="F759" s="6" t="str">
        <f t="shared" si="26"/>
        <v>0002020201</v>
      </c>
    </row>
    <row r="760" spans="1:6" x14ac:dyDescent="0.3">
      <c r="A760" s="6" t="s">
        <v>760</v>
      </c>
      <c r="B760">
        <v>1143843397</v>
      </c>
      <c r="C760" s="3">
        <v>3</v>
      </c>
      <c r="D760" s="5" t="str">
        <f t="shared" si="27"/>
        <v>03</v>
      </c>
      <c r="E760" t="str">
        <f>VLOOKUP(B760,'HOGARES-BASELINE'!$B:$I,8,FALSE)</f>
        <v>00020203</v>
      </c>
      <c r="F760" s="6" t="str">
        <f t="shared" si="26"/>
        <v>0002020303</v>
      </c>
    </row>
    <row r="761" spans="1:6" x14ac:dyDescent="0.3">
      <c r="A761" s="6" t="s">
        <v>761</v>
      </c>
      <c r="B761">
        <v>1143843397</v>
      </c>
      <c r="C761" s="3">
        <v>2</v>
      </c>
      <c r="D761" s="5" t="str">
        <f t="shared" si="27"/>
        <v>02</v>
      </c>
      <c r="E761" t="str">
        <f>VLOOKUP(B761,'HOGARES-BASELINE'!$B:$I,8,FALSE)</f>
        <v>00020203</v>
      </c>
      <c r="F761" s="6" t="str">
        <f t="shared" si="26"/>
        <v>0002020302</v>
      </c>
    </row>
    <row r="762" spans="1:6" x14ac:dyDescent="0.3">
      <c r="A762" s="6" t="s">
        <v>762</v>
      </c>
      <c r="B762">
        <v>1143843397</v>
      </c>
      <c r="C762" s="3">
        <v>1</v>
      </c>
      <c r="D762" s="5" t="str">
        <f t="shared" si="27"/>
        <v>01</v>
      </c>
      <c r="E762" t="str">
        <f>VLOOKUP(B762,'HOGARES-BASELINE'!$B:$I,8,FALSE)</f>
        <v>00020203</v>
      </c>
      <c r="F762" s="6" t="str">
        <f t="shared" si="26"/>
        <v>0002020301</v>
      </c>
    </row>
    <row r="763" spans="1:6" x14ac:dyDescent="0.3">
      <c r="A763" s="6" t="s">
        <v>763</v>
      </c>
      <c r="B763">
        <v>1143845493</v>
      </c>
      <c r="C763" s="3">
        <v>2</v>
      </c>
      <c r="D763" s="5" t="str">
        <f t="shared" si="27"/>
        <v>02</v>
      </c>
      <c r="E763" t="str">
        <f>VLOOKUP(B763,'HOGARES-BASELINE'!$B:$I,8,FALSE)</f>
        <v>01020204</v>
      </c>
      <c r="F763" s="6" t="str">
        <f t="shared" si="26"/>
        <v>0102020402</v>
      </c>
    </row>
    <row r="764" spans="1:6" x14ac:dyDescent="0.3">
      <c r="A764" s="6" t="s">
        <v>764</v>
      </c>
      <c r="B764">
        <v>1143845493</v>
      </c>
      <c r="C764" s="3">
        <v>1</v>
      </c>
      <c r="D764" s="5" t="str">
        <f t="shared" si="27"/>
        <v>01</v>
      </c>
      <c r="E764" t="str">
        <f>VLOOKUP(B764,'HOGARES-BASELINE'!$B:$I,8,FALSE)</f>
        <v>01020204</v>
      </c>
      <c r="F764" s="6" t="str">
        <f t="shared" si="26"/>
        <v>0102020401</v>
      </c>
    </row>
    <row r="765" spans="1:6" x14ac:dyDescent="0.3">
      <c r="A765" s="6" t="s">
        <v>765</v>
      </c>
      <c r="B765">
        <v>1143845493</v>
      </c>
      <c r="C765" s="3">
        <v>3</v>
      </c>
      <c r="D765" s="5" t="str">
        <f t="shared" si="27"/>
        <v>03</v>
      </c>
      <c r="E765" t="str">
        <f>VLOOKUP(B765,'HOGARES-BASELINE'!$B:$I,8,FALSE)</f>
        <v>01020204</v>
      </c>
      <c r="F765" s="6" t="str">
        <f t="shared" si="26"/>
        <v>0102020403</v>
      </c>
    </row>
    <row r="766" spans="1:6" x14ac:dyDescent="0.3">
      <c r="A766" s="6" t="s">
        <v>766</v>
      </c>
      <c r="B766">
        <v>1143845493</v>
      </c>
      <c r="C766" s="3">
        <v>4</v>
      </c>
      <c r="D766" s="5" t="str">
        <f t="shared" si="27"/>
        <v>04</v>
      </c>
      <c r="E766" t="str">
        <f>VLOOKUP(B766,'HOGARES-BASELINE'!$B:$I,8,FALSE)</f>
        <v>01020204</v>
      </c>
      <c r="F766" s="6" t="str">
        <f t="shared" si="26"/>
        <v>0102020404</v>
      </c>
    </row>
    <row r="767" spans="1:6" x14ac:dyDescent="0.3">
      <c r="A767" s="6" t="s">
        <v>767</v>
      </c>
      <c r="B767">
        <v>1143846263</v>
      </c>
      <c r="C767" s="3">
        <v>1</v>
      </c>
      <c r="D767" s="5" t="str">
        <f t="shared" si="27"/>
        <v>01</v>
      </c>
      <c r="E767" t="str">
        <f>VLOOKUP(B767,'HOGARES-BASELINE'!$B:$I,8,FALSE)</f>
        <v>00020205</v>
      </c>
      <c r="F767" s="6" t="str">
        <f t="shared" si="26"/>
        <v>0002020501</v>
      </c>
    </row>
    <row r="768" spans="1:6" x14ac:dyDescent="0.3">
      <c r="A768" s="6" t="s">
        <v>768</v>
      </c>
      <c r="B768">
        <v>1143846263</v>
      </c>
      <c r="C768" s="3">
        <v>2</v>
      </c>
      <c r="D768" s="5" t="str">
        <f t="shared" si="27"/>
        <v>02</v>
      </c>
      <c r="E768" t="str">
        <f>VLOOKUP(B768,'HOGARES-BASELINE'!$B:$I,8,FALSE)</f>
        <v>00020205</v>
      </c>
      <c r="F768" s="6" t="str">
        <f t="shared" si="26"/>
        <v>0002020502</v>
      </c>
    </row>
    <row r="769" spans="1:6" x14ac:dyDescent="0.3">
      <c r="A769" s="6" t="s">
        <v>769</v>
      </c>
      <c r="B769">
        <v>1143846465</v>
      </c>
      <c r="C769" s="3">
        <v>3</v>
      </c>
      <c r="D769" s="5" t="str">
        <f t="shared" si="27"/>
        <v>03</v>
      </c>
      <c r="E769" t="str">
        <f>VLOOKUP(B769,'HOGARES-BASELINE'!$B:$I,8,FALSE)</f>
        <v>00020206</v>
      </c>
      <c r="F769" s="6" t="str">
        <f t="shared" si="26"/>
        <v>0002020603</v>
      </c>
    </row>
    <row r="770" spans="1:6" x14ac:dyDescent="0.3">
      <c r="A770" s="6" t="s">
        <v>770</v>
      </c>
      <c r="B770">
        <v>1143846465</v>
      </c>
      <c r="C770" s="3">
        <v>1</v>
      </c>
      <c r="D770" s="5" t="str">
        <f t="shared" si="27"/>
        <v>01</v>
      </c>
      <c r="E770" t="str">
        <f>VLOOKUP(B770,'HOGARES-BASELINE'!$B:$I,8,FALSE)</f>
        <v>00020206</v>
      </c>
      <c r="F770" s="6" t="str">
        <f t="shared" si="26"/>
        <v>0002020601</v>
      </c>
    </row>
    <row r="771" spans="1:6" x14ac:dyDescent="0.3">
      <c r="A771" s="6" t="s">
        <v>771</v>
      </c>
      <c r="B771">
        <v>1143846465</v>
      </c>
      <c r="C771" s="3">
        <v>2</v>
      </c>
      <c r="D771" s="5" t="str">
        <f t="shared" si="27"/>
        <v>02</v>
      </c>
      <c r="E771" t="str">
        <f>VLOOKUP(B771,'HOGARES-BASELINE'!$B:$I,8,FALSE)</f>
        <v>00020206</v>
      </c>
      <c r="F771" s="6" t="str">
        <f t="shared" ref="F771:F834" si="28">_xlfn.CONCAT(E771,D771)</f>
        <v>0002020602</v>
      </c>
    </row>
    <row r="772" spans="1:6" x14ac:dyDescent="0.3">
      <c r="A772" s="6" t="s">
        <v>772</v>
      </c>
      <c r="B772">
        <v>1143847668</v>
      </c>
      <c r="C772" s="3">
        <v>6</v>
      </c>
      <c r="D772" s="5" t="str">
        <f t="shared" si="27"/>
        <v>06</v>
      </c>
      <c r="E772" t="str">
        <f>VLOOKUP(B772,'HOGARES-BASELINE'!$B:$I,8,FALSE)</f>
        <v>00020207</v>
      </c>
      <c r="F772" s="6" t="str">
        <f t="shared" si="28"/>
        <v>0002020706</v>
      </c>
    </row>
    <row r="773" spans="1:6" x14ac:dyDescent="0.3">
      <c r="A773" s="6" t="s">
        <v>773</v>
      </c>
      <c r="B773">
        <v>1143847668</v>
      </c>
      <c r="C773" s="3">
        <v>3</v>
      </c>
      <c r="D773" s="5" t="str">
        <f t="shared" si="27"/>
        <v>03</v>
      </c>
      <c r="E773" t="str">
        <f>VLOOKUP(B773,'HOGARES-BASELINE'!$B:$I,8,FALSE)</f>
        <v>00020207</v>
      </c>
      <c r="F773" s="6" t="str">
        <f t="shared" si="28"/>
        <v>0002020703</v>
      </c>
    </row>
    <row r="774" spans="1:6" x14ac:dyDescent="0.3">
      <c r="A774" s="6" t="s">
        <v>774</v>
      </c>
      <c r="B774">
        <v>1143847668</v>
      </c>
      <c r="C774" s="3">
        <v>5</v>
      </c>
      <c r="D774" s="5" t="str">
        <f t="shared" si="27"/>
        <v>05</v>
      </c>
      <c r="E774" t="str">
        <f>VLOOKUP(B774,'HOGARES-BASELINE'!$B:$I,8,FALSE)</f>
        <v>00020207</v>
      </c>
      <c r="F774" s="6" t="str">
        <f t="shared" si="28"/>
        <v>0002020705</v>
      </c>
    </row>
    <row r="775" spans="1:6" x14ac:dyDescent="0.3">
      <c r="A775" s="6" t="s">
        <v>775</v>
      </c>
      <c r="B775">
        <v>1143847668</v>
      </c>
      <c r="C775" s="3">
        <v>1</v>
      </c>
      <c r="D775" s="5" t="str">
        <f t="shared" si="27"/>
        <v>01</v>
      </c>
      <c r="E775" t="str">
        <f>VLOOKUP(B775,'HOGARES-BASELINE'!$B:$I,8,FALSE)</f>
        <v>00020207</v>
      </c>
      <c r="F775" s="6" t="str">
        <f t="shared" si="28"/>
        <v>0002020701</v>
      </c>
    </row>
    <row r="776" spans="1:6" x14ac:dyDescent="0.3">
      <c r="A776" s="6" t="s">
        <v>776</v>
      </c>
      <c r="B776">
        <v>1143847668</v>
      </c>
      <c r="C776" s="3">
        <v>2</v>
      </c>
      <c r="D776" s="5" t="str">
        <f t="shared" si="27"/>
        <v>02</v>
      </c>
      <c r="E776" t="str">
        <f>VLOOKUP(B776,'HOGARES-BASELINE'!$B:$I,8,FALSE)</f>
        <v>00020207</v>
      </c>
      <c r="F776" s="6" t="str">
        <f t="shared" si="28"/>
        <v>0002020702</v>
      </c>
    </row>
    <row r="777" spans="1:6" x14ac:dyDescent="0.3">
      <c r="A777" s="6" t="s">
        <v>777</v>
      </c>
      <c r="B777">
        <v>1143847668</v>
      </c>
      <c r="C777" s="3">
        <v>4</v>
      </c>
      <c r="D777" s="5" t="str">
        <f t="shared" si="27"/>
        <v>04</v>
      </c>
      <c r="E777" t="str">
        <f>VLOOKUP(B777,'HOGARES-BASELINE'!$B:$I,8,FALSE)</f>
        <v>00020207</v>
      </c>
      <c r="F777" s="6" t="str">
        <f t="shared" si="28"/>
        <v>0002020704</v>
      </c>
    </row>
    <row r="778" spans="1:6" x14ac:dyDescent="0.3">
      <c r="A778" s="6" t="s">
        <v>778</v>
      </c>
      <c r="B778">
        <v>1143853115</v>
      </c>
      <c r="C778" s="3">
        <v>2</v>
      </c>
      <c r="D778" s="5" t="str">
        <f t="shared" si="27"/>
        <v>02</v>
      </c>
      <c r="E778" t="str">
        <f>VLOOKUP(B778,'HOGARES-BASELINE'!$B:$I,8,FALSE)</f>
        <v>00020208</v>
      </c>
      <c r="F778" s="6" t="str">
        <f t="shared" si="28"/>
        <v>0002020802</v>
      </c>
    </row>
    <row r="779" spans="1:6" x14ac:dyDescent="0.3">
      <c r="A779" s="6" t="s">
        <v>779</v>
      </c>
      <c r="B779">
        <v>1143853115</v>
      </c>
      <c r="C779" s="3">
        <v>1</v>
      </c>
      <c r="D779" s="5" t="str">
        <f t="shared" si="27"/>
        <v>01</v>
      </c>
      <c r="E779" t="str">
        <f>VLOOKUP(B779,'HOGARES-BASELINE'!$B:$I,8,FALSE)</f>
        <v>00020208</v>
      </c>
      <c r="F779" s="6" t="str">
        <f t="shared" si="28"/>
        <v>0002020801</v>
      </c>
    </row>
    <row r="780" spans="1:6" x14ac:dyDescent="0.3">
      <c r="A780" s="6" t="s">
        <v>780</v>
      </c>
      <c r="B780">
        <v>1143853115</v>
      </c>
      <c r="C780" s="3">
        <v>3</v>
      </c>
      <c r="D780" s="5" t="str">
        <f t="shared" si="27"/>
        <v>03</v>
      </c>
      <c r="E780" t="str">
        <f>VLOOKUP(B780,'HOGARES-BASELINE'!$B:$I,8,FALSE)</f>
        <v>00020208</v>
      </c>
      <c r="F780" s="6" t="str">
        <f t="shared" si="28"/>
        <v>0002020803</v>
      </c>
    </row>
    <row r="781" spans="1:6" x14ac:dyDescent="0.3">
      <c r="A781" s="6" t="s">
        <v>781</v>
      </c>
      <c r="B781">
        <v>1143853293</v>
      </c>
      <c r="C781" s="3">
        <v>2</v>
      </c>
      <c r="D781" s="5" t="str">
        <f t="shared" si="27"/>
        <v>02</v>
      </c>
      <c r="E781" t="str">
        <f>VLOOKUP(B781,'HOGARES-BASELINE'!$B:$I,8,FALSE)</f>
        <v>00020209</v>
      </c>
      <c r="F781" s="6" t="str">
        <f t="shared" si="28"/>
        <v>0002020902</v>
      </c>
    </row>
    <row r="782" spans="1:6" x14ac:dyDescent="0.3">
      <c r="A782" s="6" t="s">
        <v>782</v>
      </c>
      <c r="B782">
        <v>1143853293</v>
      </c>
      <c r="C782" s="3">
        <v>4</v>
      </c>
      <c r="D782" s="5" t="str">
        <f t="shared" si="27"/>
        <v>04</v>
      </c>
      <c r="E782" t="str">
        <f>VLOOKUP(B782,'HOGARES-BASELINE'!$B:$I,8,FALSE)</f>
        <v>00020209</v>
      </c>
      <c r="F782" s="6" t="str">
        <f t="shared" si="28"/>
        <v>0002020904</v>
      </c>
    </row>
    <row r="783" spans="1:6" x14ac:dyDescent="0.3">
      <c r="A783" s="6" t="s">
        <v>783</v>
      </c>
      <c r="B783">
        <v>1143853293</v>
      </c>
      <c r="C783" s="3">
        <v>3</v>
      </c>
      <c r="D783" s="5" t="str">
        <f t="shared" si="27"/>
        <v>03</v>
      </c>
      <c r="E783" t="str">
        <f>VLOOKUP(B783,'HOGARES-BASELINE'!$B:$I,8,FALSE)</f>
        <v>00020209</v>
      </c>
      <c r="F783" s="6" t="str">
        <f t="shared" si="28"/>
        <v>0002020903</v>
      </c>
    </row>
    <row r="784" spans="1:6" x14ac:dyDescent="0.3">
      <c r="A784" s="6" t="s">
        <v>784</v>
      </c>
      <c r="B784">
        <v>1143853293</v>
      </c>
      <c r="C784" s="3">
        <v>1</v>
      </c>
      <c r="D784" s="5" t="str">
        <f t="shared" si="27"/>
        <v>01</v>
      </c>
      <c r="E784" t="str">
        <f>VLOOKUP(B784,'HOGARES-BASELINE'!$B:$I,8,FALSE)</f>
        <v>00020209</v>
      </c>
      <c r="F784" s="6" t="str">
        <f t="shared" si="28"/>
        <v>0002020901</v>
      </c>
    </row>
    <row r="785" spans="1:6" x14ac:dyDescent="0.3">
      <c r="A785" s="6" t="s">
        <v>785</v>
      </c>
      <c r="B785">
        <v>1143853398</v>
      </c>
      <c r="C785" s="3">
        <v>2</v>
      </c>
      <c r="D785" s="5" t="str">
        <f t="shared" si="27"/>
        <v>02</v>
      </c>
      <c r="E785" t="str">
        <f>VLOOKUP(B785,'HOGARES-BASELINE'!$B:$I,8,FALSE)</f>
        <v>00020210</v>
      </c>
      <c r="F785" s="6" t="str">
        <f t="shared" si="28"/>
        <v>0002021002</v>
      </c>
    </row>
    <row r="786" spans="1:6" x14ac:dyDescent="0.3">
      <c r="A786" s="6" t="s">
        <v>786</v>
      </c>
      <c r="B786">
        <v>1143853398</v>
      </c>
      <c r="C786" s="3">
        <v>4</v>
      </c>
      <c r="D786" s="5" t="str">
        <f t="shared" si="27"/>
        <v>04</v>
      </c>
      <c r="E786" t="str">
        <f>VLOOKUP(B786,'HOGARES-BASELINE'!$B:$I,8,FALSE)</f>
        <v>00020210</v>
      </c>
      <c r="F786" s="6" t="str">
        <f t="shared" si="28"/>
        <v>0002021004</v>
      </c>
    </row>
    <row r="787" spans="1:6" x14ac:dyDescent="0.3">
      <c r="A787" s="6" t="s">
        <v>787</v>
      </c>
      <c r="B787">
        <v>1143853398</v>
      </c>
      <c r="C787" s="3">
        <v>3</v>
      </c>
      <c r="D787" s="5" t="str">
        <f t="shared" si="27"/>
        <v>03</v>
      </c>
      <c r="E787" t="str">
        <f>VLOOKUP(B787,'HOGARES-BASELINE'!$B:$I,8,FALSE)</f>
        <v>00020210</v>
      </c>
      <c r="F787" s="6" t="str">
        <f t="shared" si="28"/>
        <v>0002021003</v>
      </c>
    </row>
    <row r="788" spans="1:6" x14ac:dyDescent="0.3">
      <c r="A788" s="6" t="s">
        <v>788</v>
      </c>
      <c r="B788">
        <v>1143853398</v>
      </c>
      <c r="C788" s="3">
        <v>1</v>
      </c>
      <c r="D788" s="5" t="str">
        <f t="shared" si="27"/>
        <v>01</v>
      </c>
      <c r="E788" t="str">
        <f>VLOOKUP(B788,'HOGARES-BASELINE'!$B:$I,8,FALSE)</f>
        <v>00020210</v>
      </c>
      <c r="F788" s="6" t="str">
        <f t="shared" si="28"/>
        <v>0002021001</v>
      </c>
    </row>
    <row r="789" spans="1:6" x14ac:dyDescent="0.3">
      <c r="A789" s="6" t="s">
        <v>789</v>
      </c>
      <c r="B789">
        <v>1143857197</v>
      </c>
      <c r="C789" s="3">
        <v>3</v>
      </c>
      <c r="D789" s="5" t="str">
        <f t="shared" si="27"/>
        <v>03</v>
      </c>
      <c r="E789" t="str">
        <f>VLOOKUP(B789,'HOGARES-BASELINE'!$B:$I,8,FALSE)</f>
        <v>00020211</v>
      </c>
      <c r="F789" s="6" t="str">
        <f t="shared" si="28"/>
        <v>0002021103</v>
      </c>
    </row>
    <row r="790" spans="1:6" x14ac:dyDescent="0.3">
      <c r="A790" s="6" t="s">
        <v>790</v>
      </c>
      <c r="B790">
        <v>1143857197</v>
      </c>
      <c r="C790" s="3">
        <v>4</v>
      </c>
      <c r="D790" s="5" t="str">
        <f t="shared" si="27"/>
        <v>04</v>
      </c>
      <c r="E790" t="str">
        <f>VLOOKUP(B790,'HOGARES-BASELINE'!$B:$I,8,FALSE)</f>
        <v>00020211</v>
      </c>
      <c r="F790" s="6" t="str">
        <f t="shared" si="28"/>
        <v>0002021104</v>
      </c>
    </row>
    <row r="791" spans="1:6" x14ac:dyDescent="0.3">
      <c r="A791" s="6" t="s">
        <v>791</v>
      </c>
      <c r="B791">
        <v>1143857197</v>
      </c>
      <c r="C791" s="3">
        <v>1</v>
      </c>
      <c r="D791" s="5" t="str">
        <f t="shared" si="27"/>
        <v>01</v>
      </c>
      <c r="E791" t="str">
        <f>VLOOKUP(B791,'HOGARES-BASELINE'!$B:$I,8,FALSE)</f>
        <v>00020211</v>
      </c>
      <c r="F791" s="6" t="str">
        <f t="shared" si="28"/>
        <v>0002021101</v>
      </c>
    </row>
    <row r="792" spans="1:6" x14ac:dyDescent="0.3">
      <c r="A792" s="6" t="s">
        <v>792</v>
      </c>
      <c r="B792">
        <v>1143857197</v>
      </c>
      <c r="C792" s="3">
        <v>2</v>
      </c>
      <c r="D792" s="5" t="str">
        <f t="shared" si="27"/>
        <v>02</v>
      </c>
      <c r="E792" t="str">
        <f>VLOOKUP(B792,'HOGARES-BASELINE'!$B:$I,8,FALSE)</f>
        <v>00020211</v>
      </c>
      <c r="F792" s="6" t="str">
        <f t="shared" si="28"/>
        <v>0002021102</v>
      </c>
    </row>
    <row r="793" spans="1:6" x14ac:dyDescent="0.3">
      <c r="A793" s="6" t="s">
        <v>793</v>
      </c>
      <c r="B793">
        <v>1143958126</v>
      </c>
      <c r="C793" s="3">
        <v>1</v>
      </c>
      <c r="D793" s="5" t="str">
        <f t="shared" si="27"/>
        <v>01</v>
      </c>
      <c r="E793" t="str">
        <f>VLOOKUP(B793,'HOGARES-BASELINE'!$B:$I,8,FALSE)</f>
        <v>00020212</v>
      </c>
      <c r="F793" s="6" t="str">
        <f t="shared" si="28"/>
        <v>0002021201</v>
      </c>
    </row>
    <row r="794" spans="1:6" x14ac:dyDescent="0.3">
      <c r="A794" s="6" t="s">
        <v>794</v>
      </c>
      <c r="B794">
        <v>1143958126</v>
      </c>
      <c r="C794" s="3">
        <v>3</v>
      </c>
      <c r="D794" s="5" t="str">
        <f t="shared" ref="D794:D857" si="29">_xlfn.CONCAT(0,C794)</f>
        <v>03</v>
      </c>
      <c r="E794" t="str">
        <f>VLOOKUP(B794,'HOGARES-BASELINE'!$B:$I,8,FALSE)</f>
        <v>00020212</v>
      </c>
      <c r="F794" s="6" t="str">
        <f t="shared" si="28"/>
        <v>0002021203</v>
      </c>
    </row>
    <row r="795" spans="1:6" x14ac:dyDescent="0.3">
      <c r="A795" s="6" t="s">
        <v>795</v>
      </c>
      <c r="B795">
        <v>1143958126</v>
      </c>
      <c r="C795" s="3">
        <v>2</v>
      </c>
      <c r="D795" s="5" t="str">
        <f t="shared" si="29"/>
        <v>02</v>
      </c>
      <c r="E795" t="str">
        <f>VLOOKUP(B795,'HOGARES-BASELINE'!$B:$I,8,FALSE)</f>
        <v>00020212</v>
      </c>
      <c r="F795" s="6" t="str">
        <f t="shared" si="28"/>
        <v>0002021202</v>
      </c>
    </row>
    <row r="796" spans="1:6" x14ac:dyDescent="0.3">
      <c r="A796" s="6" t="s">
        <v>796</v>
      </c>
      <c r="B796">
        <v>1143958126</v>
      </c>
      <c r="C796" s="3">
        <v>4</v>
      </c>
      <c r="D796" s="5" t="str">
        <f t="shared" si="29"/>
        <v>04</v>
      </c>
      <c r="E796" t="str">
        <f>VLOOKUP(B796,'HOGARES-BASELINE'!$B:$I,8,FALSE)</f>
        <v>00020212</v>
      </c>
      <c r="F796" s="6" t="str">
        <f t="shared" si="28"/>
        <v>0002021204</v>
      </c>
    </row>
    <row r="797" spans="1:6" x14ac:dyDescent="0.3">
      <c r="A797" s="6" t="s">
        <v>797</v>
      </c>
      <c r="B797">
        <v>1144024517</v>
      </c>
      <c r="C797" s="3">
        <v>3</v>
      </c>
      <c r="D797" s="5" t="str">
        <f t="shared" si="29"/>
        <v>03</v>
      </c>
      <c r="E797" t="str">
        <f>VLOOKUP(B797,'HOGARES-BASELINE'!$B:$I,8,FALSE)</f>
        <v>01020213</v>
      </c>
      <c r="F797" s="6" t="str">
        <f t="shared" si="28"/>
        <v>0102021303</v>
      </c>
    </row>
    <row r="798" spans="1:6" x14ac:dyDescent="0.3">
      <c r="A798" s="6" t="s">
        <v>798</v>
      </c>
      <c r="B798">
        <v>1144024517</v>
      </c>
      <c r="C798" s="3">
        <v>2</v>
      </c>
      <c r="D798" s="5" t="str">
        <f t="shared" si="29"/>
        <v>02</v>
      </c>
      <c r="E798" t="str">
        <f>VLOOKUP(B798,'HOGARES-BASELINE'!$B:$I,8,FALSE)</f>
        <v>01020213</v>
      </c>
      <c r="F798" s="6" t="str">
        <f t="shared" si="28"/>
        <v>0102021302</v>
      </c>
    </row>
    <row r="799" spans="1:6" x14ac:dyDescent="0.3">
      <c r="A799" s="6" t="s">
        <v>799</v>
      </c>
      <c r="B799">
        <v>1144024517</v>
      </c>
      <c r="C799" s="3">
        <v>1</v>
      </c>
      <c r="D799" s="5" t="str">
        <f t="shared" si="29"/>
        <v>01</v>
      </c>
      <c r="E799" t="str">
        <f>VLOOKUP(B799,'HOGARES-BASELINE'!$B:$I,8,FALSE)</f>
        <v>01020213</v>
      </c>
      <c r="F799" s="6" t="str">
        <f t="shared" si="28"/>
        <v>0102021301</v>
      </c>
    </row>
    <row r="800" spans="1:6" x14ac:dyDescent="0.3">
      <c r="A800" s="6" t="s">
        <v>800</v>
      </c>
      <c r="B800">
        <v>1144024517</v>
      </c>
      <c r="C800" s="3">
        <v>4</v>
      </c>
      <c r="D800" s="5" t="str">
        <f t="shared" si="29"/>
        <v>04</v>
      </c>
      <c r="E800" t="str">
        <f>VLOOKUP(B800,'HOGARES-BASELINE'!$B:$I,8,FALSE)</f>
        <v>01020213</v>
      </c>
      <c r="F800" s="6" t="str">
        <f t="shared" si="28"/>
        <v>0102021304</v>
      </c>
    </row>
    <row r="801" spans="1:6" x14ac:dyDescent="0.3">
      <c r="A801" s="6" t="s">
        <v>801</v>
      </c>
      <c r="B801">
        <v>1144028216</v>
      </c>
      <c r="C801" s="3">
        <v>1</v>
      </c>
      <c r="D801" s="5" t="str">
        <f t="shared" si="29"/>
        <v>01</v>
      </c>
      <c r="E801" t="str">
        <f>VLOOKUP(B801,'HOGARES-BASELINE'!$B:$I,8,FALSE)</f>
        <v>00020214</v>
      </c>
      <c r="F801" s="6" t="str">
        <f t="shared" si="28"/>
        <v>0002021401</v>
      </c>
    </row>
    <row r="802" spans="1:6" x14ac:dyDescent="0.3">
      <c r="A802" s="6" t="s">
        <v>802</v>
      </c>
      <c r="B802">
        <v>1144028216</v>
      </c>
      <c r="C802" s="3">
        <v>2</v>
      </c>
      <c r="D802" s="5" t="str">
        <f t="shared" si="29"/>
        <v>02</v>
      </c>
      <c r="E802" t="str">
        <f>VLOOKUP(B802,'HOGARES-BASELINE'!$B:$I,8,FALSE)</f>
        <v>00020214</v>
      </c>
      <c r="F802" s="6" t="str">
        <f t="shared" si="28"/>
        <v>0002021402</v>
      </c>
    </row>
    <row r="803" spans="1:6" x14ac:dyDescent="0.3">
      <c r="A803" s="6" t="s">
        <v>803</v>
      </c>
      <c r="B803">
        <v>1144028216</v>
      </c>
      <c r="C803" s="3">
        <v>3</v>
      </c>
      <c r="D803" s="5" t="str">
        <f t="shared" si="29"/>
        <v>03</v>
      </c>
      <c r="E803" t="str">
        <f>VLOOKUP(B803,'HOGARES-BASELINE'!$B:$I,8,FALSE)</f>
        <v>00020214</v>
      </c>
      <c r="F803" s="6" t="str">
        <f t="shared" si="28"/>
        <v>0002021403</v>
      </c>
    </row>
    <row r="804" spans="1:6" x14ac:dyDescent="0.3">
      <c r="A804" s="6" t="s">
        <v>804</v>
      </c>
      <c r="B804">
        <v>1144030139</v>
      </c>
      <c r="C804" s="3">
        <v>3</v>
      </c>
      <c r="D804" s="5" t="str">
        <f t="shared" si="29"/>
        <v>03</v>
      </c>
      <c r="E804" t="str">
        <f>VLOOKUP(B804,'HOGARES-BASELINE'!$B:$I,8,FALSE)</f>
        <v>01020215</v>
      </c>
      <c r="F804" s="6" t="str">
        <f t="shared" si="28"/>
        <v>0102021503</v>
      </c>
    </row>
    <row r="805" spans="1:6" x14ac:dyDescent="0.3">
      <c r="A805" s="6" t="s">
        <v>805</v>
      </c>
      <c r="B805">
        <v>1144030139</v>
      </c>
      <c r="C805" s="3">
        <v>2</v>
      </c>
      <c r="D805" s="5" t="str">
        <f t="shared" si="29"/>
        <v>02</v>
      </c>
      <c r="E805" t="str">
        <f>VLOOKUP(B805,'HOGARES-BASELINE'!$B:$I,8,FALSE)</f>
        <v>01020215</v>
      </c>
      <c r="F805" s="6" t="str">
        <f t="shared" si="28"/>
        <v>0102021502</v>
      </c>
    </row>
    <row r="806" spans="1:6" x14ac:dyDescent="0.3">
      <c r="A806" s="6" t="s">
        <v>806</v>
      </c>
      <c r="B806">
        <v>1144030139</v>
      </c>
      <c r="C806" s="3">
        <v>1</v>
      </c>
      <c r="D806" s="5" t="str">
        <f t="shared" si="29"/>
        <v>01</v>
      </c>
      <c r="E806" t="str">
        <f>VLOOKUP(B806,'HOGARES-BASELINE'!$B:$I,8,FALSE)</f>
        <v>01020215</v>
      </c>
      <c r="F806" s="6" t="str">
        <f t="shared" si="28"/>
        <v>0102021501</v>
      </c>
    </row>
    <row r="807" spans="1:6" x14ac:dyDescent="0.3">
      <c r="A807" s="6" t="s">
        <v>807</v>
      </c>
      <c r="B807">
        <v>1144030139</v>
      </c>
      <c r="C807" s="3">
        <v>4</v>
      </c>
      <c r="D807" s="5" t="str">
        <f t="shared" si="29"/>
        <v>04</v>
      </c>
      <c r="E807" t="str">
        <f>VLOOKUP(B807,'HOGARES-BASELINE'!$B:$I,8,FALSE)</f>
        <v>01020215</v>
      </c>
      <c r="F807" s="6" t="str">
        <f t="shared" si="28"/>
        <v>0102021504</v>
      </c>
    </row>
    <row r="808" spans="1:6" x14ac:dyDescent="0.3">
      <c r="A808" s="6" t="s">
        <v>808</v>
      </c>
      <c r="B808">
        <v>1144031654</v>
      </c>
      <c r="C808" s="3">
        <v>2</v>
      </c>
      <c r="D808" s="5" t="str">
        <f t="shared" si="29"/>
        <v>02</v>
      </c>
      <c r="E808" t="str">
        <f>VLOOKUP(B808,'HOGARES-BASELINE'!$B:$I,8,FALSE)</f>
        <v>01020216</v>
      </c>
      <c r="F808" s="6" t="str">
        <f t="shared" si="28"/>
        <v>0102021602</v>
      </c>
    </row>
    <row r="809" spans="1:6" x14ac:dyDescent="0.3">
      <c r="A809" s="6" t="s">
        <v>809</v>
      </c>
      <c r="B809">
        <v>1144031654</v>
      </c>
      <c r="C809" s="3">
        <v>3</v>
      </c>
      <c r="D809" s="5" t="str">
        <f t="shared" si="29"/>
        <v>03</v>
      </c>
      <c r="E809" t="str">
        <f>VLOOKUP(B809,'HOGARES-BASELINE'!$B:$I,8,FALSE)</f>
        <v>01020216</v>
      </c>
      <c r="F809" s="6" t="str">
        <f t="shared" si="28"/>
        <v>0102021603</v>
      </c>
    </row>
    <row r="810" spans="1:6" x14ac:dyDescent="0.3">
      <c r="A810" s="6" t="s">
        <v>810</v>
      </c>
      <c r="B810">
        <v>1144031654</v>
      </c>
      <c r="C810" s="3">
        <v>1</v>
      </c>
      <c r="D810" s="5" t="str">
        <f t="shared" si="29"/>
        <v>01</v>
      </c>
      <c r="E810" t="str">
        <f>VLOOKUP(B810,'HOGARES-BASELINE'!$B:$I,8,FALSE)</f>
        <v>01020216</v>
      </c>
      <c r="F810" s="6" t="str">
        <f t="shared" si="28"/>
        <v>0102021601</v>
      </c>
    </row>
    <row r="811" spans="1:6" x14ac:dyDescent="0.3">
      <c r="A811" s="6" t="s">
        <v>811</v>
      </c>
      <c r="B811">
        <v>1144034037</v>
      </c>
      <c r="C811" s="3">
        <v>2</v>
      </c>
      <c r="D811" s="5" t="str">
        <f t="shared" si="29"/>
        <v>02</v>
      </c>
      <c r="E811" t="str">
        <f>VLOOKUP(B811,'HOGARES-BASELINE'!$B:$I,8,FALSE)</f>
        <v>01020217</v>
      </c>
      <c r="F811" s="6" t="str">
        <f t="shared" si="28"/>
        <v>0102021702</v>
      </c>
    </row>
    <row r="812" spans="1:6" x14ac:dyDescent="0.3">
      <c r="A812" s="6" t="s">
        <v>812</v>
      </c>
      <c r="B812">
        <v>1144034037</v>
      </c>
      <c r="C812" s="3">
        <v>1</v>
      </c>
      <c r="D812" s="5" t="str">
        <f t="shared" si="29"/>
        <v>01</v>
      </c>
      <c r="E812" t="str">
        <f>VLOOKUP(B812,'HOGARES-BASELINE'!$B:$I,8,FALSE)</f>
        <v>01020217</v>
      </c>
      <c r="F812" s="6" t="str">
        <f t="shared" si="28"/>
        <v>0102021701</v>
      </c>
    </row>
    <row r="813" spans="1:6" x14ac:dyDescent="0.3">
      <c r="A813" s="6" t="s">
        <v>813</v>
      </c>
      <c r="B813">
        <v>1144035169</v>
      </c>
      <c r="C813" s="3">
        <v>2</v>
      </c>
      <c r="D813" s="5" t="str">
        <f t="shared" si="29"/>
        <v>02</v>
      </c>
      <c r="E813" t="str">
        <f>VLOOKUP(B813,'HOGARES-BASELINE'!$B:$I,8,FALSE)</f>
        <v>01020218</v>
      </c>
      <c r="F813" s="6" t="str">
        <f t="shared" si="28"/>
        <v>0102021802</v>
      </c>
    </row>
    <row r="814" spans="1:6" x14ac:dyDescent="0.3">
      <c r="A814" s="6" t="s">
        <v>814</v>
      </c>
      <c r="B814">
        <v>1144035169</v>
      </c>
      <c r="C814" s="3">
        <v>1</v>
      </c>
      <c r="D814" s="5" t="str">
        <f t="shared" si="29"/>
        <v>01</v>
      </c>
      <c r="E814" t="str">
        <f>VLOOKUP(B814,'HOGARES-BASELINE'!$B:$I,8,FALSE)</f>
        <v>01020218</v>
      </c>
      <c r="F814" s="6" t="str">
        <f t="shared" si="28"/>
        <v>0102021801</v>
      </c>
    </row>
    <row r="815" spans="1:6" x14ac:dyDescent="0.3">
      <c r="A815" s="6" t="s">
        <v>815</v>
      </c>
      <c r="B815">
        <v>1144037995</v>
      </c>
      <c r="C815" s="3">
        <v>3</v>
      </c>
      <c r="D815" s="5" t="str">
        <f t="shared" si="29"/>
        <v>03</v>
      </c>
      <c r="E815" t="str">
        <f>VLOOKUP(B815,'HOGARES-BASELINE'!$B:$I,8,FALSE)</f>
        <v>01020219</v>
      </c>
      <c r="F815" s="6" t="str">
        <f t="shared" si="28"/>
        <v>0102021903</v>
      </c>
    </row>
    <row r="816" spans="1:6" x14ac:dyDescent="0.3">
      <c r="A816" s="6" t="s">
        <v>816</v>
      </c>
      <c r="B816">
        <v>1144037995</v>
      </c>
      <c r="C816" s="3">
        <v>1</v>
      </c>
      <c r="D816" s="5" t="str">
        <f t="shared" si="29"/>
        <v>01</v>
      </c>
      <c r="E816" t="str">
        <f>VLOOKUP(B816,'HOGARES-BASELINE'!$B:$I,8,FALSE)</f>
        <v>01020219</v>
      </c>
      <c r="F816" s="6" t="str">
        <f t="shared" si="28"/>
        <v>0102021901</v>
      </c>
    </row>
    <row r="817" spans="1:6" x14ac:dyDescent="0.3">
      <c r="A817" s="6" t="s">
        <v>817</v>
      </c>
      <c r="B817">
        <v>1144037995</v>
      </c>
      <c r="C817" s="3">
        <v>2</v>
      </c>
      <c r="D817" s="5" t="str">
        <f t="shared" si="29"/>
        <v>02</v>
      </c>
      <c r="E817" t="str">
        <f>VLOOKUP(B817,'HOGARES-BASELINE'!$B:$I,8,FALSE)</f>
        <v>01020219</v>
      </c>
      <c r="F817" s="6" t="str">
        <f t="shared" si="28"/>
        <v>0102021902</v>
      </c>
    </row>
    <row r="818" spans="1:6" x14ac:dyDescent="0.3">
      <c r="A818" s="6" t="s">
        <v>818</v>
      </c>
      <c r="B818">
        <v>1144038638</v>
      </c>
      <c r="C818" s="3">
        <v>3</v>
      </c>
      <c r="D818" s="5" t="str">
        <f t="shared" si="29"/>
        <v>03</v>
      </c>
      <c r="E818" t="str">
        <f>VLOOKUP(B818,'HOGARES-BASELINE'!$B:$I,8,FALSE)</f>
        <v>01020220</v>
      </c>
      <c r="F818" s="6" t="str">
        <f t="shared" si="28"/>
        <v>0102022003</v>
      </c>
    </row>
    <row r="819" spans="1:6" x14ac:dyDescent="0.3">
      <c r="A819" s="6" t="s">
        <v>819</v>
      </c>
      <c r="B819">
        <v>1144038638</v>
      </c>
      <c r="C819" s="3">
        <v>2</v>
      </c>
      <c r="D819" s="5" t="str">
        <f t="shared" si="29"/>
        <v>02</v>
      </c>
      <c r="E819" t="str">
        <f>VLOOKUP(B819,'HOGARES-BASELINE'!$B:$I,8,FALSE)</f>
        <v>01020220</v>
      </c>
      <c r="F819" s="6" t="str">
        <f t="shared" si="28"/>
        <v>0102022002</v>
      </c>
    </row>
    <row r="820" spans="1:6" x14ac:dyDescent="0.3">
      <c r="A820" s="6" t="s">
        <v>820</v>
      </c>
      <c r="B820">
        <v>1144038638</v>
      </c>
      <c r="C820" s="3">
        <v>1</v>
      </c>
      <c r="D820" s="5" t="str">
        <f t="shared" si="29"/>
        <v>01</v>
      </c>
      <c r="E820" t="str">
        <f>VLOOKUP(B820,'HOGARES-BASELINE'!$B:$I,8,FALSE)</f>
        <v>01020220</v>
      </c>
      <c r="F820" s="6" t="str">
        <f t="shared" si="28"/>
        <v>0102022001</v>
      </c>
    </row>
    <row r="821" spans="1:6" x14ac:dyDescent="0.3">
      <c r="A821" s="6" t="s">
        <v>821</v>
      </c>
      <c r="B821">
        <v>1144038733</v>
      </c>
      <c r="C821" s="3">
        <v>1</v>
      </c>
      <c r="D821" s="5" t="str">
        <f t="shared" si="29"/>
        <v>01</v>
      </c>
      <c r="E821" t="str">
        <f>VLOOKUP(B821,'HOGARES-BASELINE'!$B:$I,8,FALSE)</f>
        <v>01020221</v>
      </c>
      <c r="F821" s="6" t="str">
        <f t="shared" si="28"/>
        <v>0102022101</v>
      </c>
    </row>
    <row r="822" spans="1:6" x14ac:dyDescent="0.3">
      <c r="A822" s="6" t="s">
        <v>822</v>
      </c>
      <c r="B822">
        <v>1144043798</v>
      </c>
      <c r="C822" s="3">
        <v>4</v>
      </c>
      <c r="D822" s="5" t="str">
        <f t="shared" si="29"/>
        <v>04</v>
      </c>
      <c r="E822" t="str">
        <f>VLOOKUP(B822,'HOGARES-BASELINE'!$B:$I,8,FALSE)</f>
        <v>01020222</v>
      </c>
      <c r="F822" s="6" t="str">
        <f t="shared" si="28"/>
        <v>0102022204</v>
      </c>
    </row>
    <row r="823" spans="1:6" x14ac:dyDescent="0.3">
      <c r="A823" s="6" t="s">
        <v>823</v>
      </c>
      <c r="B823">
        <v>1144043798</v>
      </c>
      <c r="C823" s="3">
        <v>3</v>
      </c>
      <c r="D823" s="5" t="str">
        <f t="shared" si="29"/>
        <v>03</v>
      </c>
      <c r="E823" t="str">
        <f>VLOOKUP(B823,'HOGARES-BASELINE'!$B:$I,8,FALSE)</f>
        <v>01020222</v>
      </c>
      <c r="F823" s="6" t="str">
        <f t="shared" si="28"/>
        <v>0102022203</v>
      </c>
    </row>
    <row r="824" spans="1:6" x14ac:dyDescent="0.3">
      <c r="A824" s="6" t="s">
        <v>824</v>
      </c>
      <c r="B824">
        <v>1144043798</v>
      </c>
      <c r="C824" s="3">
        <v>1</v>
      </c>
      <c r="D824" s="5" t="str">
        <f t="shared" si="29"/>
        <v>01</v>
      </c>
      <c r="E824" t="str">
        <f>VLOOKUP(B824,'HOGARES-BASELINE'!$B:$I,8,FALSE)</f>
        <v>01020222</v>
      </c>
      <c r="F824" s="6" t="str">
        <f t="shared" si="28"/>
        <v>0102022201</v>
      </c>
    </row>
    <row r="825" spans="1:6" x14ac:dyDescent="0.3">
      <c r="A825" s="6" t="s">
        <v>825</v>
      </c>
      <c r="B825">
        <v>1144043798</v>
      </c>
      <c r="C825" s="3">
        <v>2</v>
      </c>
      <c r="D825" s="5" t="str">
        <f t="shared" si="29"/>
        <v>02</v>
      </c>
      <c r="E825" t="str">
        <f>VLOOKUP(B825,'HOGARES-BASELINE'!$B:$I,8,FALSE)</f>
        <v>01020222</v>
      </c>
      <c r="F825" s="6" t="str">
        <f t="shared" si="28"/>
        <v>0102022202</v>
      </c>
    </row>
    <row r="826" spans="1:6" x14ac:dyDescent="0.3">
      <c r="A826" s="6" t="s">
        <v>826</v>
      </c>
      <c r="B826">
        <v>1144045256</v>
      </c>
      <c r="C826" s="3">
        <v>2</v>
      </c>
      <c r="D826" s="5" t="str">
        <f t="shared" si="29"/>
        <v>02</v>
      </c>
      <c r="E826" t="str">
        <f>VLOOKUP(B826,'HOGARES-BASELINE'!$B:$I,8,FALSE)</f>
        <v>01020223</v>
      </c>
      <c r="F826" s="6" t="str">
        <f t="shared" si="28"/>
        <v>0102022302</v>
      </c>
    </row>
    <row r="827" spans="1:6" x14ac:dyDescent="0.3">
      <c r="A827" s="6" t="s">
        <v>827</v>
      </c>
      <c r="B827">
        <v>1144045256</v>
      </c>
      <c r="C827" s="3">
        <v>4</v>
      </c>
      <c r="D827" s="5" t="str">
        <f t="shared" si="29"/>
        <v>04</v>
      </c>
      <c r="E827" t="str">
        <f>VLOOKUP(B827,'HOGARES-BASELINE'!$B:$I,8,FALSE)</f>
        <v>01020223</v>
      </c>
      <c r="F827" s="6" t="str">
        <f t="shared" si="28"/>
        <v>0102022304</v>
      </c>
    </row>
    <row r="828" spans="1:6" x14ac:dyDescent="0.3">
      <c r="A828" s="6" t="s">
        <v>828</v>
      </c>
      <c r="B828">
        <v>1144045256</v>
      </c>
      <c r="C828" s="3">
        <v>3</v>
      </c>
      <c r="D828" s="5" t="str">
        <f t="shared" si="29"/>
        <v>03</v>
      </c>
      <c r="E828" t="str">
        <f>VLOOKUP(B828,'HOGARES-BASELINE'!$B:$I,8,FALSE)</f>
        <v>01020223</v>
      </c>
      <c r="F828" s="6" t="str">
        <f t="shared" si="28"/>
        <v>0102022303</v>
      </c>
    </row>
    <row r="829" spans="1:6" x14ac:dyDescent="0.3">
      <c r="A829" s="6" t="s">
        <v>829</v>
      </c>
      <c r="B829">
        <v>1144045256</v>
      </c>
      <c r="C829" s="3">
        <v>1</v>
      </c>
      <c r="D829" s="5" t="str">
        <f t="shared" si="29"/>
        <v>01</v>
      </c>
      <c r="E829" t="str">
        <f>VLOOKUP(B829,'HOGARES-BASELINE'!$B:$I,8,FALSE)</f>
        <v>01020223</v>
      </c>
      <c r="F829" s="6" t="str">
        <f t="shared" si="28"/>
        <v>0102022301</v>
      </c>
    </row>
    <row r="830" spans="1:6" x14ac:dyDescent="0.3">
      <c r="A830" s="6" t="s">
        <v>830</v>
      </c>
      <c r="B830">
        <v>1144046314</v>
      </c>
      <c r="C830" s="3">
        <v>1</v>
      </c>
      <c r="D830" s="5" t="str">
        <f t="shared" si="29"/>
        <v>01</v>
      </c>
      <c r="E830" t="str">
        <f>VLOOKUP(B830,'HOGARES-BASELINE'!$B:$I,8,FALSE)</f>
        <v>01020224</v>
      </c>
      <c r="F830" s="6" t="str">
        <f t="shared" si="28"/>
        <v>0102022401</v>
      </c>
    </row>
    <row r="831" spans="1:6" x14ac:dyDescent="0.3">
      <c r="A831" s="6" t="s">
        <v>831</v>
      </c>
      <c r="B831">
        <v>1144046314</v>
      </c>
      <c r="C831" s="3">
        <v>2</v>
      </c>
      <c r="D831" s="5" t="str">
        <f t="shared" si="29"/>
        <v>02</v>
      </c>
      <c r="E831" t="str">
        <f>VLOOKUP(B831,'HOGARES-BASELINE'!$B:$I,8,FALSE)</f>
        <v>01020224</v>
      </c>
      <c r="F831" s="6" t="str">
        <f t="shared" si="28"/>
        <v>0102022402</v>
      </c>
    </row>
    <row r="832" spans="1:6" x14ac:dyDescent="0.3">
      <c r="A832" s="6" t="s">
        <v>832</v>
      </c>
      <c r="B832">
        <v>1144046314</v>
      </c>
      <c r="C832" s="3">
        <v>3</v>
      </c>
      <c r="D832" s="5" t="str">
        <f t="shared" si="29"/>
        <v>03</v>
      </c>
      <c r="E832" t="str">
        <f>VLOOKUP(B832,'HOGARES-BASELINE'!$B:$I,8,FALSE)</f>
        <v>01020224</v>
      </c>
      <c r="F832" s="6" t="str">
        <f t="shared" si="28"/>
        <v>0102022403</v>
      </c>
    </row>
    <row r="833" spans="1:6" x14ac:dyDescent="0.3">
      <c r="A833" s="6" t="s">
        <v>833</v>
      </c>
      <c r="B833">
        <v>1144046952</v>
      </c>
      <c r="C833" s="3">
        <v>1</v>
      </c>
      <c r="D833" s="5" t="str">
        <f t="shared" si="29"/>
        <v>01</v>
      </c>
      <c r="E833" t="str">
        <f>VLOOKUP(B833,'HOGARES-BASELINE'!$B:$I,8,FALSE)</f>
        <v>01020225</v>
      </c>
      <c r="F833" s="6" t="str">
        <f t="shared" si="28"/>
        <v>0102022501</v>
      </c>
    </row>
    <row r="834" spans="1:6" x14ac:dyDescent="0.3">
      <c r="A834" s="6" t="s">
        <v>834</v>
      </c>
      <c r="B834">
        <v>1144046952</v>
      </c>
      <c r="C834" s="3">
        <v>3</v>
      </c>
      <c r="D834" s="5" t="str">
        <f t="shared" si="29"/>
        <v>03</v>
      </c>
      <c r="E834" t="str">
        <f>VLOOKUP(B834,'HOGARES-BASELINE'!$B:$I,8,FALSE)</f>
        <v>01020225</v>
      </c>
      <c r="F834" s="6" t="str">
        <f t="shared" si="28"/>
        <v>0102022503</v>
      </c>
    </row>
    <row r="835" spans="1:6" x14ac:dyDescent="0.3">
      <c r="A835" s="6" t="s">
        <v>835</v>
      </c>
      <c r="B835">
        <v>1144046952</v>
      </c>
      <c r="C835" s="3">
        <v>2</v>
      </c>
      <c r="D835" s="5" t="str">
        <f t="shared" si="29"/>
        <v>02</v>
      </c>
      <c r="E835" t="str">
        <f>VLOOKUP(B835,'HOGARES-BASELINE'!$B:$I,8,FALSE)</f>
        <v>01020225</v>
      </c>
      <c r="F835" s="6" t="str">
        <f t="shared" ref="F835:F898" si="30">_xlfn.CONCAT(E835,D835)</f>
        <v>0102022502</v>
      </c>
    </row>
    <row r="836" spans="1:6" x14ac:dyDescent="0.3">
      <c r="A836" s="6" t="s">
        <v>836</v>
      </c>
      <c r="B836">
        <v>1144051270</v>
      </c>
      <c r="C836" s="3">
        <v>2</v>
      </c>
      <c r="D836" s="5" t="str">
        <f t="shared" si="29"/>
        <v>02</v>
      </c>
      <c r="E836" t="str">
        <f>VLOOKUP(B836,'HOGARES-BASELINE'!$B:$I,8,FALSE)</f>
        <v>01020226</v>
      </c>
      <c r="F836" s="6" t="str">
        <f t="shared" si="30"/>
        <v>0102022602</v>
      </c>
    </row>
    <row r="837" spans="1:6" x14ac:dyDescent="0.3">
      <c r="A837" s="6" t="s">
        <v>837</v>
      </c>
      <c r="B837">
        <v>1144051270</v>
      </c>
      <c r="C837" s="3">
        <v>3</v>
      </c>
      <c r="D837" s="5" t="str">
        <f t="shared" si="29"/>
        <v>03</v>
      </c>
      <c r="E837" t="str">
        <f>VLOOKUP(B837,'HOGARES-BASELINE'!$B:$I,8,FALSE)</f>
        <v>01020226</v>
      </c>
      <c r="F837" s="6" t="str">
        <f t="shared" si="30"/>
        <v>0102022603</v>
      </c>
    </row>
    <row r="838" spans="1:6" x14ac:dyDescent="0.3">
      <c r="A838" s="6" t="s">
        <v>838</v>
      </c>
      <c r="B838">
        <v>1144051270</v>
      </c>
      <c r="C838" s="3">
        <v>1</v>
      </c>
      <c r="D838" s="5" t="str">
        <f t="shared" si="29"/>
        <v>01</v>
      </c>
      <c r="E838" t="str">
        <f>VLOOKUP(B838,'HOGARES-BASELINE'!$B:$I,8,FALSE)</f>
        <v>01020226</v>
      </c>
      <c r="F838" s="6" t="str">
        <f t="shared" si="30"/>
        <v>0102022601</v>
      </c>
    </row>
    <row r="839" spans="1:6" x14ac:dyDescent="0.3">
      <c r="A839" s="6" t="s">
        <v>839</v>
      </c>
      <c r="B839">
        <v>1144059852</v>
      </c>
      <c r="C839" s="3">
        <v>2</v>
      </c>
      <c r="D839" s="5" t="str">
        <f t="shared" si="29"/>
        <v>02</v>
      </c>
      <c r="E839" t="str">
        <f>VLOOKUP(B839,'HOGARES-BASELINE'!$B:$I,8,FALSE)</f>
        <v>01020227</v>
      </c>
      <c r="F839" s="6" t="str">
        <f t="shared" si="30"/>
        <v>0102022702</v>
      </c>
    </row>
    <row r="840" spans="1:6" x14ac:dyDescent="0.3">
      <c r="A840" s="6" t="s">
        <v>840</v>
      </c>
      <c r="B840">
        <v>1144059852</v>
      </c>
      <c r="C840" s="3">
        <v>3</v>
      </c>
      <c r="D840" s="5" t="str">
        <f t="shared" si="29"/>
        <v>03</v>
      </c>
      <c r="E840" t="str">
        <f>VLOOKUP(B840,'HOGARES-BASELINE'!$B:$I,8,FALSE)</f>
        <v>01020227</v>
      </c>
      <c r="F840" s="6" t="str">
        <f t="shared" si="30"/>
        <v>0102022703</v>
      </c>
    </row>
    <row r="841" spans="1:6" x14ac:dyDescent="0.3">
      <c r="A841" s="6" t="s">
        <v>841</v>
      </c>
      <c r="B841">
        <v>1144059852</v>
      </c>
      <c r="C841" s="3">
        <v>1</v>
      </c>
      <c r="D841" s="5" t="str">
        <f t="shared" si="29"/>
        <v>01</v>
      </c>
      <c r="E841" t="str">
        <f>VLOOKUP(B841,'HOGARES-BASELINE'!$B:$I,8,FALSE)</f>
        <v>01020227</v>
      </c>
      <c r="F841" s="6" t="str">
        <f t="shared" si="30"/>
        <v>0102022701</v>
      </c>
    </row>
    <row r="842" spans="1:6" x14ac:dyDescent="0.3">
      <c r="A842" s="6" t="s">
        <v>842</v>
      </c>
      <c r="B842">
        <v>1144065963</v>
      </c>
      <c r="C842" s="3">
        <v>2</v>
      </c>
      <c r="D842" s="5" t="str">
        <f t="shared" si="29"/>
        <v>02</v>
      </c>
      <c r="E842" t="str">
        <f>VLOOKUP(B842,'HOGARES-BASELINE'!$B:$I,8,FALSE)</f>
        <v>01020228</v>
      </c>
      <c r="F842" s="6" t="str">
        <f t="shared" si="30"/>
        <v>0102022802</v>
      </c>
    </row>
    <row r="843" spans="1:6" x14ac:dyDescent="0.3">
      <c r="A843" s="6" t="s">
        <v>843</v>
      </c>
      <c r="B843">
        <v>1144065963</v>
      </c>
      <c r="C843" s="3">
        <v>1</v>
      </c>
      <c r="D843" s="5" t="str">
        <f t="shared" si="29"/>
        <v>01</v>
      </c>
      <c r="E843" t="str">
        <f>VLOOKUP(B843,'HOGARES-BASELINE'!$B:$I,8,FALSE)</f>
        <v>01020228</v>
      </c>
      <c r="F843" s="6" t="str">
        <f t="shared" si="30"/>
        <v>0102022801</v>
      </c>
    </row>
    <row r="844" spans="1:6" x14ac:dyDescent="0.3">
      <c r="A844" s="6" t="s">
        <v>844</v>
      </c>
      <c r="B844">
        <v>1144068248</v>
      </c>
      <c r="C844" s="3">
        <v>2</v>
      </c>
      <c r="D844" s="5" t="str">
        <f t="shared" si="29"/>
        <v>02</v>
      </c>
      <c r="E844" t="str">
        <f>VLOOKUP(B844,'HOGARES-BASELINE'!$B:$I,8,FALSE)</f>
        <v>00020229</v>
      </c>
      <c r="F844" s="6" t="str">
        <f t="shared" si="30"/>
        <v>0002022902</v>
      </c>
    </row>
    <row r="845" spans="1:6" x14ac:dyDescent="0.3">
      <c r="A845" s="6" t="s">
        <v>845</v>
      </c>
      <c r="B845">
        <v>1144068248</v>
      </c>
      <c r="C845" s="3">
        <v>5</v>
      </c>
      <c r="D845" s="5" t="str">
        <f t="shared" si="29"/>
        <v>05</v>
      </c>
      <c r="E845" t="str">
        <f>VLOOKUP(B845,'HOGARES-BASELINE'!$B:$I,8,FALSE)</f>
        <v>00020229</v>
      </c>
      <c r="F845" s="6" t="str">
        <f t="shared" si="30"/>
        <v>0002022905</v>
      </c>
    </row>
    <row r="846" spans="1:6" x14ac:dyDescent="0.3">
      <c r="A846" s="6" t="s">
        <v>846</v>
      </c>
      <c r="B846">
        <v>1144068248</v>
      </c>
      <c r="C846" s="3">
        <v>4</v>
      </c>
      <c r="D846" s="5" t="str">
        <f t="shared" si="29"/>
        <v>04</v>
      </c>
      <c r="E846" t="str">
        <f>VLOOKUP(B846,'HOGARES-BASELINE'!$B:$I,8,FALSE)</f>
        <v>00020229</v>
      </c>
      <c r="F846" s="6" t="str">
        <f t="shared" si="30"/>
        <v>0002022904</v>
      </c>
    </row>
    <row r="847" spans="1:6" x14ac:dyDescent="0.3">
      <c r="A847" s="6" t="s">
        <v>847</v>
      </c>
      <c r="B847">
        <v>1144068248</v>
      </c>
      <c r="C847" s="3">
        <v>3</v>
      </c>
      <c r="D847" s="5" t="str">
        <f t="shared" si="29"/>
        <v>03</v>
      </c>
      <c r="E847" t="str">
        <f>VLOOKUP(B847,'HOGARES-BASELINE'!$B:$I,8,FALSE)</f>
        <v>00020229</v>
      </c>
      <c r="F847" s="6" t="str">
        <f t="shared" si="30"/>
        <v>0002022903</v>
      </c>
    </row>
    <row r="848" spans="1:6" x14ac:dyDescent="0.3">
      <c r="A848" s="6" t="s">
        <v>848</v>
      </c>
      <c r="B848">
        <v>1144068248</v>
      </c>
      <c r="C848" s="3">
        <v>1</v>
      </c>
      <c r="D848" s="5" t="str">
        <f t="shared" si="29"/>
        <v>01</v>
      </c>
      <c r="E848" t="str">
        <f>VLOOKUP(B848,'HOGARES-BASELINE'!$B:$I,8,FALSE)</f>
        <v>00020229</v>
      </c>
      <c r="F848" s="6" t="str">
        <f t="shared" si="30"/>
        <v>0002022901</v>
      </c>
    </row>
    <row r="849" spans="1:6" x14ac:dyDescent="0.3">
      <c r="A849" s="6" t="s">
        <v>849</v>
      </c>
      <c r="B849">
        <v>1144071056</v>
      </c>
      <c r="C849" s="3">
        <v>3</v>
      </c>
      <c r="D849" s="5" t="str">
        <f t="shared" si="29"/>
        <v>03</v>
      </c>
      <c r="E849" t="str">
        <f>VLOOKUP(B849,'HOGARES-BASELINE'!$B:$I,8,FALSE)</f>
        <v>01020230</v>
      </c>
      <c r="F849" s="6" t="str">
        <f t="shared" si="30"/>
        <v>0102023003</v>
      </c>
    </row>
    <row r="850" spans="1:6" x14ac:dyDescent="0.3">
      <c r="A850" s="6" t="s">
        <v>850</v>
      </c>
      <c r="B850">
        <v>1144071056</v>
      </c>
      <c r="C850" s="3">
        <v>4</v>
      </c>
      <c r="D850" s="5" t="str">
        <f t="shared" si="29"/>
        <v>04</v>
      </c>
      <c r="E850" t="str">
        <f>VLOOKUP(B850,'HOGARES-BASELINE'!$B:$I,8,FALSE)</f>
        <v>01020230</v>
      </c>
      <c r="F850" s="6" t="str">
        <f t="shared" si="30"/>
        <v>0102023004</v>
      </c>
    </row>
    <row r="851" spans="1:6" x14ac:dyDescent="0.3">
      <c r="A851" s="6" t="s">
        <v>851</v>
      </c>
      <c r="B851">
        <v>1144071056</v>
      </c>
      <c r="C851" s="3">
        <v>1</v>
      </c>
      <c r="D851" s="5" t="str">
        <f t="shared" si="29"/>
        <v>01</v>
      </c>
      <c r="E851" t="str">
        <f>VLOOKUP(B851,'HOGARES-BASELINE'!$B:$I,8,FALSE)</f>
        <v>01020230</v>
      </c>
      <c r="F851" s="6" t="str">
        <f t="shared" si="30"/>
        <v>0102023001</v>
      </c>
    </row>
    <row r="852" spans="1:6" x14ac:dyDescent="0.3">
      <c r="A852" s="6" t="s">
        <v>852</v>
      </c>
      <c r="B852">
        <v>1144071056</v>
      </c>
      <c r="C852" s="3">
        <v>5</v>
      </c>
      <c r="D852" s="5" t="str">
        <f t="shared" si="29"/>
        <v>05</v>
      </c>
      <c r="E852" t="str">
        <f>VLOOKUP(B852,'HOGARES-BASELINE'!$B:$I,8,FALSE)</f>
        <v>01020230</v>
      </c>
      <c r="F852" s="6" t="str">
        <f t="shared" si="30"/>
        <v>0102023005</v>
      </c>
    </row>
    <row r="853" spans="1:6" x14ac:dyDescent="0.3">
      <c r="A853" s="6" t="s">
        <v>853</v>
      </c>
      <c r="B853">
        <v>1144071056</v>
      </c>
      <c r="C853" s="3">
        <v>2</v>
      </c>
      <c r="D853" s="5" t="str">
        <f t="shared" si="29"/>
        <v>02</v>
      </c>
      <c r="E853" t="str">
        <f>VLOOKUP(B853,'HOGARES-BASELINE'!$B:$I,8,FALSE)</f>
        <v>01020230</v>
      </c>
      <c r="F853" s="6" t="str">
        <f t="shared" si="30"/>
        <v>0102023002</v>
      </c>
    </row>
    <row r="854" spans="1:6" x14ac:dyDescent="0.3">
      <c r="A854" s="6" t="s">
        <v>854</v>
      </c>
      <c r="B854">
        <v>1144082561</v>
      </c>
      <c r="C854" s="3">
        <v>2</v>
      </c>
      <c r="D854" s="5" t="str">
        <f t="shared" si="29"/>
        <v>02</v>
      </c>
      <c r="E854" t="str">
        <f>VLOOKUP(B854,'HOGARES-BASELINE'!$B:$I,8,FALSE)</f>
        <v>01020231</v>
      </c>
      <c r="F854" s="6" t="str">
        <f t="shared" si="30"/>
        <v>0102023102</v>
      </c>
    </row>
    <row r="855" spans="1:6" x14ac:dyDescent="0.3">
      <c r="A855" s="6" t="s">
        <v>855</v>
      </c>
      <c r="B855">
        <v>1144082561</v>
      </c>
      <c r="C855" s="3">
        <v>1</v>
      </c>
      <c r="D855" s="5" t="str">
        <f t="shared" si="29"/>
        <v>01</v>
      </c>
      <c r="E855" t="str">
        <f>VLOOKUP(B855,'HOGARES-BASELINE'!$B:$I,8,FALSE)</f>
        <v>01020231</v>
      </c>
      <c r="F855" s="6" t="str">
        <f t="shared" si="30"/>
        <v>0102023101</v>
      </c>
    </row>
    <row r="856" spans="1:6" x14ac:dyDescent="0.3">
      <c r="A856" s="6" t="s">
        <v>856</v>
      </c>
      <c r="B856">
        <v>1144082561</v>
      </c>
      <c r="C856" s="3">
        <v>3</v>
      </c>
      <c r="D856" s="5" t="str">
        <f t="shared" si="29"/>
        <v>03</v>
      </c>
      <c r="E856" t="str">
        <f>VLOOKUP(B856,'HOGARES-BASELINE'!$B:$I,8,FALSE)</f>
        <v>01020231</v>
      </c>
      <c r="F856" s="6" t="str">
        <f t="shared" si="30"/>
        <v>0102023103</v>
      </c>
    </row>
    <row r="857" spans="1:6" x14ac:dyDescent="0.3">
      <c r="A857" s="6" t="s">
        <v>857</v>
      </c>
      <c r="B857">
        <v>1144094813</v>
      </c>
      <c r="C857" s="3">
        <v>3</v>
      </c>
      <c r="D857" s="5" t="str">
        <f t="shared" si="29"/>
        <v>03</v>
      </c>
      <c r="E857" t="str">
        <f>VLOOKUP(B857,'HOGARES-BASELINE'!$B:$I,8,FALSE)</f>
        <v>01020232</v>
      </c>
      <c r="F857" s="6" t="str">
        <f t="shared" si="30"/>
        <v>0102023203</v>
      </c>
    </row>
    <row r="858" spans="1:6" x14ac:dyDescent="0.3">
      <c r="A858" s="6" t="s">
        <v>858</v>
      </c>
      <c r="B858">
        <v>1144094813</v>
      </c>
      <c r="C858" s="3">
        <v>6</v>
      </c>
      <c r="D858" s="5" t="str">
        <f t="shared" ref="D858:D874" si="31">_xlfn.CONCAT(0,C858)</f>
        <v>06</v>
      </c>
      <c r="E858" t="str">
        <f>VLOOKUP(B858,'HOGARES-BASELINE'!$B:$I,8,FALSE)</f>
        <v>01020232</v>
      </c>
      <c r="F858" s="6" t="str">
        <f t="shared" si="30"/>
        <v>0102023206</v>
      </c>
    </row>
    <row r="859" spans="1:6" x14ac:dyDescent="0.3">
      <c r="A859" s="6" t="s">
        <v>859</v>
      </c>
      <c r="B859">
        <v>1144094813</v>
      </c>
      <c r="C859" s="3">
        <v>4</v>
      </c>
      <c r="D859" s="5" t="str">
        <f t="shared" si="31"/>
        <v>04</v>
      </c>
      <c r="E859" t="str">
        <f>VLOOKUP(B859,'HOGARES-BASELINE'!$B:$I,8,FALSE)</f>
        <v>01020232</v>
      </c>
      <c r="F859" s="6" t="str">
        <f t="shared" si="30"/>
        <v>0102023204</v>
      </c>
    </row>
    <row r="860" spans="1:6" x14ac:dyDescent="0.3">
      <c r="A860" s="6" t="s">
        <v>860</v>
      </c>
      <c r="B860">
        <v>1144094813</v>
      </c>
      <c r="C860" s="3">
        <v>1</v>
      </c>
      <c r="D860" s="5" t="str">
        <f t="shared" si="31"/>
        <v>01</v>
      </c>
      <c r="E860" t="str">
        <f>VLOOKUP(B860,'HOGARES-BASELINE'!$B:$I,8,FALSE)</f>
        <v>01020232</v>
      </c>
      <c r="F860" s="6" t="str">
        <f t="shared" si="30"/>
        <v>0102023201</v>
      </c>
    </row>
    <row r="861" spans="1:6" x14ac:dyDescent="0.3">
      <c r="A861" s="6" t="s">
        <v>861</v>
      </c>
      <c r="B861">
        <v>1144094813</v>
      </c>
      <c r="C861" s="3">
        <v>2</v>
      </c>
      <c r="D861" s="5" t="str">
        <f t="shared" si="31"/>
        <v>02</v>
      </c>
      <c r="E861" t="str">
        <f>VLOOKUP(B861,'HOGARES-BASELINE'!$B:$I,8,FALSE)</f>
        <v>01020232</v>
      </c>
      <c r="F861" s="6" t="str">
        <f t="shared" si="30"/>
        <v>0102023202</v>
      </c>
    </row>
    <row r="862" spans="1:6" x14ac:dyDescent="0.3">
      <c r="A862" s="6" t="s">
        <v>862</v>
      </c>
      <c r="B862">
        <v>1144094813</v>
      </c>
      <c r="C862" s="3">
        <v>5</v>
      </c>
      <c r="D862" s="5" t="str">
        <f t="shared" si="31"/>
        <v>05</v>
      </c>
      <c r="E862" t="str">
        <f>VLOOKUP(B862,'HOGARES-BASELINE'!$B:$I,8,FALSE)</f>
        <v>01020232</v>
      </c>
      <c r="F862" s="6" t="str">
        <f t="shared" si="30"/>
        <v>0102023205</v>
      </c>
    </row>
    <row r="863" spans="1:6" x14ac:dyDescent="0.3">
      <c r="A863" s="6" t="s">
        <v>863</v>
      </c>
      <c r="B863">
        <v>1144097141</v>
      </c>
      <c r="C863" s="3">
        <v>1</v>
      </c>
      <c r="D863" s="5" t="str">
        <f t="shared" si="31"/>
        <v>01</v>
      </c>
      <c r="E863" t="str">
        <f>VLOOKUP(B863,'HOGARES-BASELINE'!$B:$I,8,FALSE)</f>
        <v>00020233</v>
      </c>
      <c r="F863" s="6" t="str">
        <f t="shared" si="30"/>
        <v>0002023301</v>
      </c>
    </row>
    <row r="864" spans="1:6" x14ac:dyDescent="0.3">
      <c r="A864" s="6" t="s">
        <v>864</v>
      </c>
      <c r="B864">
        <v>1144097141</v>
      </c>
      <c r="C864" s="3">
        <v>2</v>
      </c>
      <c r="D864" s="5" t="str">
        <f t="shared" si="31"/>
        <v>02</v>
      </c>
      <c r="E864" t="str">
        <f>VLOOKUP(B864,'HOGARES-BASELINE'!$B:$I,8,FALSE)</f>
        <v>00020233</v>
      </c>
      <c r="F864" s="6" t="str">
        <f t="shared" si="30"/>
        <v>0002023302</v>
      </c>
    </row>
    <row r="865" spans="1:6" x14ac:dyDescent="0.3">
      <c r="A865" s="6" t="s">
        <v>865</v>
      </c>
      <c r="B865">
        <v>1144101026</v>
      </c>
      <c r="C865" s="3">
        <v>1</v>
      </c>
      <c r="D865" s="5" t="str">
        <f t="shared" si="31"/>
        <v>01</v>
      </c>
      <c r="E865" t="str">
        <f>VLOOKUP(B865,'HOGARES-BASELINE'!$B:$I,8,FALSE)</f>
        <v>01020234</v>
      </c>
      <c r="F865" s="6" t="str">
        <f t="shared" si="30"/>
        <v>0102023401</v>
      </c>
    </row>
    <row r="866" spans="1:6" x14ac:dyDescent="0.3">
      <c r="A866" s="6" t="s">
        <v>866</v>
      </c>
      <c r="B866">
        <v>1144101026</v>
      </c>
      <c r="C866" s="3">
        <v>2</v>
      </c>
      <c r="D866" s="5" t="str">
        <f t="shared" si="31"/>
        <v>02</v>
      </c>
      <c r="E866" t="str">
        <f>VLOOKUP(B866,'HOGARES-BASELINE'!$B:$I,8,FALSE)</f>
        <v>01020234</v>
      </c>
      <c r="F866" s="6" t="str">
        <f t="shared" si="30"/>
        <v>0102023402</v>
      </c>
    </row>
    <row r="867" spans="1:6" x14ac:dyDescent="0.3">
      <c r="A867" s="6" t="s">
        <v>867</v>
      </c>
      <c r="B867">
        <v>1144101026</v>
      </c>
      <c r="C867" s="3">
        <v>3</v>
      </c>
      <c r="D867" s="5" t="str">
        <f t="shared" si="31"/>
        <v>03</v>
      </c>
      <c r="E867" t="str">
        <f>VLOOKUP(B867,'HOGARES-BASELINE'!$B:$I,8,FALSE)</f>
        <v>01020234</v>
      </c>
      <c r="F867" s="6" t="str">
        <f t="shared" si="30"/>
        <v>0102023403</v>
      </c>
    </row>
    <row r="868" spans="1:6" x14ac:dyDescent="0.3">
      <c r="A868" s="6" t="s">
        <v>868</v>
      </c>
      <c r="B868">
        <v>1144160399</v>
      </c>
      <c r="C868" s="3">
        <v>1</v>
      </c>
      <c r="D868" s="5" t="str">
        <f t="shared" si="31"/>
        <v>01</v>
      </c>
      <c r="E868" t="str">
        <f>VLOOKUP(B868,'HOGARES-BASELINE'!$B:$I,8,FALSE)</f>
        <v>01020235</v>
      </c>
      <c r="F868" s="6" t="str">
        <f t="shared" si="30"/>
        <v>0102023501</v>
      </c>
    </row>
    <row r="869" spans="1:6" x14ac:dyDescent="0.3">
      <c r="A869" s="6" t="s">
        <v>869</v>
      </c>
      <c r="B869">
        <v>1144160399</v>
      </c>
      <c r="C869" s="3">
        <v>2</v>
      </c>
      <c r="D869" s="5" t="str">
        <f t="shared" si="31"/>
        <v>02</v>
      </c>
      <c r="E869" t="str">
        <f>VLOOKUP(B869,'HOGARES-BASELINE'!$B:$I,8,FALSE)</f>
        <v>01020235</v>
      </c>
      <c r="F869" s="6" t="str">
        <f t="shared" si="30"/>
        <v>0102023502</v>
      </c>
    </row>
    <row r="870" spans="1:6" x14ac:dyDescent="0.3">
      <c r="A870" s="6" t="s">
        <v>870</v>
      </c>
      <c r="B870">
        <v>1144201470</v>
      </c>
      <c r="C870" s="3">
        <v>2</v>
      </c>
      <c r="D870" s="5" t="str">
        <f t="shared" si="31"/>
        <v>02</v>
      </c>
      <c r="E870" t="str">
        <f>VLOOKUP(B870,'HOGARES-BASELINE'!$B:$I,8,FALSE)</f>
        <v>01010236</v>
      </c>
      <c r="F870" s="6" t="str">
        <f t="shared" si="30"/>
        <v>0101023602</v>
      </c>
    </row>
    <row r="871" spans="1:6" x14ac:dyDescent="0.3">
      <c r="A871" s="6" t="s">
        <v>871</v>
      </c>
      <c r="B871">
        <v>1144201470</v>
      </c>
      <c r="C871" s="3">
        <v>3</v>
      </c>
      <c r="D871" s="5" t="str">
        <f t="shared" si="31"/>
        <v>03</v>
      </c>
      <c r="E871" t="str">
        <f>VLOOKUP(B871,'HOGARES-BASELINE'!$B:$I,8,FALSE)</f>
        <v>01010236</v>
      </c>
      <c r="F871" s="6" t="str">
        <f t="shared" si="30"/>
        <v>0101023603</v>
      </c>
    </row>
    <row r="872" spans="1:6" x14ac:dyDescent="0.3">
      <c r="A872" s="6" t="s">
        <v>872</v>
      </c>
      <c r="B872">
        <v>1144201470</v>
      </c>
      <c r="C872" s="3">
        <v>1</v>
      </c>
      <c r="D872" s="5" t="str">
        <f t="shared" si="31"/>
        <v>01</v>
      </c>
      <c r="E872" t="str">
        <f>VLOOKUP(B872,'HOGARES-BASELINE'!$B:$I,8,FALSE)</f>
        <v>01010236</v>
      </c>
      <c r="F872" s="6" t="str">
        <f t="shared" si="30"/>
        <v>0101023601</v>
      </c>
    </row>
    <row r="873" spans="1:6" x14ac:dyDescent="0.3">
      <c r="A873" s="6" t="s">
        <v>873</v>
      </c>
      <c r="B873">
        <v>1146434251</v>
      </c>
      <c r="C873" s="3">
        <v>3</v>
      </c>
      <c r="D873" s="5" t="str">
        <f t="shared" si="31"/>
        <v>03</v>
      </c>
      <c r="E873" t="str">
        <f>VLOOKUP(B873,'HOGARES-BASELINE'!$B:$I,8,FALSE)</f>
        <v>01010237</v>
      </c>
      <c r="F873" s="6" t="str">
        <f t="shared" si="30"/>
        <v>0101023703</v>
      </c>
    </row>
    <row r="874" spans="1:6" x14ac:dyDescent="0.3">
      <c r="A874" s="6" t="s">
        <v>874</v>
      </c>
      <c r="B874">
        <v>1146434251</v>
      </c>
      <c r="C874" s="3">
        <v>6</v>
      </c>
      <c r="D874" s="5" t="str">
        <f t="shared" si="31"/>
        <v>06</v>
      </c>
      <c r="E874" t="str">
        <f>VLOOKUP(B874,'HOGARES-BASELINE'!$B:$I,8,FALSE)</f>
        <v>01010237</v>
      </c>
      <c r="F874" s="6" t="str">
        <f t="shared" si="30"/>
        <v>0101023706</v>
      </c>
    </row>
    <row r="875" spans="1:6" x14ac:dyDescent="0.3">
      <c r="A875" s="6" t="s">
        <v>875</v>
      </c>
      <c r="B875">
        <v>1146434251</v>
      </c>
      <c r="C875" s="3">
        <v>11</v>
      </c>
      <c r="D875" s="2">
        <f>C875</f>
        <v>11</v>
      </c>
      <c r="E875" t="str">
        <f>VLOOKUP(B875,'HOGARES-BASELINE'!$B:$I,8,FALSE)</f>
        <v>01010237</v>
      </c>
      <c r="F875" s="6" t="str">
        <f t="shared" si="30"/>
        <v>0101023711</v>
      </c>
    </row>
    <row r="876" spans="1:6" x14ac:dyDescent="0.3">
      <c r="A876" s="6" t="s">
        <v>876</v>
      </c>
      <c r="B876">
        <v>1146434251</v>
      </c>
      <c r="C876" s="3">
        <v>5</v>
      </c>
      <c r="D876" s="5" t="str">
        <f t="shared" ref="D876:D878" si="32">_xlfn.CONCAT(0,C876)</f>
        <v>05</v>
      </c>
      <c r="E876" t="str">
        <f>VLOOKUP(B876,'HOGARES-BASELINE'!$B:$I,8,FALSE)</f>
        <v>01010237</v>
      </c>
      <c r="F876" s="6" t="str">
        <f t="shared" si="30"/>
        <v>0101023705</v>
      </c>
    </row>
    <row r="877" spans="1:6" x14ac:dyDescent="0.3">
      <c r="A877" s="6" t="s">
        <v>877</v>
      </c>
      <c r="B877">
        <v>1146434251</v>
      </c>
      <c r="C877" s="3">
        <v>2</v>
      </c>
      <c r="D877" s="5" t="str">
        <f t="shared" si="32"/>
        <v>02</v>
      </c>
      <c r="E877" t="str">
        <f>VLOOKUP(B877,'HOGARES-BASELINE'!$B:$I,8,FALSE)</f>
        <v>01010237</v>
      </c>
      <c r="F877" s="6" t="str">
        <f t="shared" si="30"/>
        <v>0101023702</v>
      </c>
    </row>
    <row r="878" spans="1:6" x14ac:dyDescent="0.3">
      <c r="A878" s="6" t="s">
        <v>878</v>
      </c>
      <c r="B878">
        <v>1146434251</v>
      </c>
      <c r="C878" s="3">
        <v>7</v>
      </c>
      <c r="D878" s="5" t="str">
        <f t="shared" si="32"/>
        <v>07</v>
      </c>
      <c r="E878" t="str">
        <f>VLOOKUP(B878,'HOGARES-BASELINE'!$B:$I,8,FALSE)</f>
        <v>01010237</v>
      </c>
      <c r="F878" s="6" t="str">
        <f t="shared" si="30"/>
        <v>0101023707</v>
      </c>
    </row>
    <row r="879" spans="1:6" x14ac:dyDescent="0.3">
      <c r="A879" s="6" t="s">
        <v>879</v>
      </c>
      <c r="B879">
        <v>1146434251</v>
      </c>
      <c r="C879" s="3">
        <v>10</v>
      </c>
      <c r="D879" s="2">
        <f>C879</f>
        <v>10</v>
      </c>
      <c r="E879" t="str">
        <f>VLOOKUP(B879,'HOGARES-BASELINE'!$B:$I,8,FALSE)</f>
        <v>01010237</v>
      </c>
      <c r="F879" s="6" t="str">
        <f t="shared" si="30"/>
        <v>0101023710</v>
      </c>
    </row>
    <row r="880" spans="1:6" x14ac:dyDescent="0.3">
      <c r="A880" s="6" t="s">
        <v>880</v>
      </c>
      <c r="B880">
        <v>1146434251</v>
      </c>
      <c r="C880" s="3">
        <v>1</v>
      </c>
      <c r="D880" s="5" t="str">
        <f t="shared" ref="D880:D943" si="33">_xlfn.CONCAT(0,C880)</f>
        <v>01</v>
      </c>
      <c r="E880" t="str">
        <f>VLOOKUP(B880,'HOGARES-BASELINE'!$B:$I,8,FALSE)</f>
        <v>01010237</v>
      </c>
      <c r="F880" s="6" t="str">
        <f t="shared" si="30"/>
        <v>0101023701</v>
      </c>
    </row>
    <row r="881" spans="1:6" x14ac:dyDescent="0.3">
      <c r="A881" s="6" t="s">
        <v>881</v>
      </c>
      <c r="B881">
        <v>1146434251</v>
      </c>
      <c r="C881" s="3">
        <v>9</v>
      </c>
      <c r="D881" s="5" t="str">
        <f t="shared" si="33"/>
        <v>09</v>
      </c>
      <c r="E881" t="str">
        <f>VLOOKUP(B881,'HOGARES-BASELINE'!$B:$I,8,FALSE)</f>
        <v>01010237</v>
      </c>
      <c r="F881" s="6" t="str">
        <f t="shared" si="30"/>
        <v>0101023709</v>
      </c>
    </row>
    <row r="882" spans="1:6" x14ac:dyDescent="0.3">
      <c r="A882" s="6" t="s">
        <v>882</v>
      </c>
      <c r="B882">
        <v>1146434251</v>
      </c>
      <c r="C882" s="3">
        <v>4</v>
      </c>
      <c r="D882" s="5" t="str">
        <f t="shared" si="33"/>
        <v>04</v>
      </c>
      <c r="E882" t="str">
        <f>VLOOKUP(B882,'HOGARES-BASELINE'!$B:$I,8,FALSE)</f>
        <v>01010237</v>
      </c>
      <c r="F882" s="6" t="str">
        <f t="shared" si="30"/>
        <v>0101023704</v>
      </c>
    </row>
    <row r="883" spans="1:6" x14ac:dyDescent="0.3">
      <c r="A883" s="6" t="s">
        <v>883</v>
      </c>
      <c r="B883">
        <v>1146434251</v>
      </c>
      <c r="C883" s="3">
        <v>8</v>
      </c>
      <c r="D883" s="5" t="str">
        <f t="shared" si="33"/>
        <v>08</v>
      </c>
      <c r="E883" t="str">
        <f>VLOOKUP(B883,'HOGARES-BASELINE'!$B:$I,8,FALSE)</f>
        <v>01010237</v>
      </c>
      <c r="F883" s="6" t="str">
        <f t="shared" si="30"/>
        <v>0101023708</v>
      </c>
    </row>
    <row r="884" spans="1:6" x14ac:dyDescent="0.3">
      <c r="A884" s="6" t="s">
        <v>884</v>
      </c>
      <c r="B884">
        <v>1147950412</v>
      </c>
      <c r="C884" s="3">
        <v>2</v>
      </c>
      <c r="D884" s="5" t="str">
        <f t="shared" si="33"/>
        <v>02</v>
      </c>
      <c r="E884" t="str">
        <f>VLOOKUP(B884,'HOGARES-BASELINE'!$B:$I,8,FALSE)</f>
        <v>01010238</v>
      </c>
      <c r="F884" s="6" t="str">
        <f t="shared" si="30"/>
        <v>0101023802</v>
      </c>
    </row>
    <row r="885" spans="1:6" x14ac:dyDescent="0.3">
      <c r="A885" s="6" t="s">
        <v>885</v>
      </c>
      <c r="B885">
        <v>1147950412</v>
      </c>
      <c r="C885" s="3">
        <v>3</v>
      </c>
      <c r="D885" s="5" t="str">
        <f t="shared" si="33"/>
        <v>03</v>
      </c>
      <c r="E885" t="str">
        <f>VLOOKUP(B885,'HOGARES-BASELINE'!$B:$I,8,FALSE)</f>
        <v>01010238</v>
      </c>
      <c r="F885" s="6" t="str">
        <f t="shared" si="30"/>
        <v>0101023803</v>
      </c>
    </row>
    <row r="886" spans="1:6" x14ac:dyDescent="0.3">
      <c r="A886" s="6" t="s">
        <v>886</v>
      </c>
      <c r="B886">
        <v>1147950412</v>
      </c>
      <c r="C886" s="3">
        <v>4</v>
      </c>
      <c r="D886" s="5" t="str">
        <f t="shared" si="33"/>
        <v>04</v>
      </c>
      <c r="E886" t="str">
        <f>VLOOKUP(B886,'HOGARES-BASELINE'!$B:$I,8,FALSE)</f>
        <v>01010238</v>
      </c>
      <c r="F886" s="6" t="str">
        <f t="shared" si="30"/>
        <v>0101023804</v>
      </c>
    </row>
    <row r="887" spans="1:6" x14ac:dyDescent="0.3">
      <c r="A887" s="6" t="s">
        <v>887</v>
      </c>
      <c r="B887">
        <v>1147950412</v>
      </c>
      <c r="C887" s="3">
        <v>1</v>
      </c>
      <c r="D887" s="5" t="str">
        <f t="shared" si="33"/>
        <v>01</v>
      </c>
      <c r="E887" t="str">
        <f>VLOOKUP(B887,'HOGARES-BASELINE'!$B:$I,8,FALSE)</f>
        <v>01010238</v>
      </c>
      <c r="F887" s="6" t="str">
        <f t="shared" si="30"/>
        <v>0101023801</v>
      </c>
    </row>
    <row r="888" spans="1:6" x14ac:dyDescent="0.3">
      <c r="A888" s="6" t="s">
        <v>888</v>
      </c>
      <c r="B888">
        <v>1147957415</v>
      </c>
      <c r="C888" s="3">
        <v>2</v>
      </c>
      <c r="D888" s="5" t="str">
        <f t="shared" si="33"/>
        <v>02</v>
      </c>
      <c r="E888" t="str">
        <f>VLOOKUP(B888,'HOGARES-BASELINE'!$B:$I,8,FALSE)</f>
        <v>01010239</v>
      </c>
      <c r="F888" s="6" t="str">
        <f t="shared" si="30"/>
        <v>0101023902</v>
      </c>
    </row>
    <row r="889" spans="1:6" x14ac:dyDescent="0.3">
      <c r="A889" s="6" t="s">
        <v>889</v>
      </c>
      <c r="B889">
        <v>1147957415</v>
      </c>
      <c r="C889" s="3">
        <v>1</v>
      </c>
      <c r="D889" s="5" t="str">
        <f t="shared" si="33"/>
        <v>01</v>
      </c>
      <c r="E889" t="str">
        <f>VLOOKUP(B889,'HOGARES-BASELINE'!$B:$I,8,FALSE)</f>
        <v>01010239</v>
      </c>
      <c r="F889" s="6" t="str">
        <f t="shared" si="30"/>
        <v>0101023901</v>
      </c>
    </row>
    <row r="890" spans="1:6" x14ac:dyDescent="0.3">
      <c r="A890" s="6" t="s">
        <v>890</v>
      </c>
      <c r="B890">
        <v>1149440235</v>
      </c>
      <c r="C890" s="3">
        <v>3</v>
      </c>
      <c r="D890" s="5" t="str">
        <f t="shared" si="33"/>
        <v>03</v>
      </c>
      <c r="E890" t="str">
        <f>VLOOKUP(B890,'HOGARES-BASELINE'!$B:$I,8,FALSE)</f>
        <v>01030240</v>
      </c>
      <c r="F890" s="6" t="str">
        <f t="shared" si="30"/>
        <v>0103024003</v>
      </c>
    </row>
    <row r="891" spans="1:6" x14ac:dyDescent="0.3">
      <c r="A891" s="6" t="s">
        <v>891</v>
      </c>
      <c r="B891">
        <v>1149440235</v>
      </c>
      <c r="C891" s="3">
        <v>2</v>
      </c>
      <c r="D891" s="5" t="str">
        <f t="shared" si="33"/>
        <v>02</v>
      </c>
      <c r="E891" t="str">
        <f>VLOOKUP(B891,'HOGARES-BASELINE'!$B:$I,8,FALSE)</f>
        <v>01030240</v>
      </c>
      <c r="F891" s="6" t="str">
        <f t="shared" si="30"/>
        <v>0103024002</v>
      </c>
    </row>
    <row r="892" spans="1:6" x14ac:dyDescent="0.3">
      <c r="A892" s="6" t="s">
        <v>892</v>
      </c>
      <c r="B892">
        <v>1149440235</v>
      </c>
      <c r="C892" s="3">
        <v>1</v>
      </c>
      <c r="D892" s="5" t="str">
        <f t="shared" si="33"/>
        <v>01</v>
      </c>
      <c r="E892" t="str">
        <f>VLOOKUP(B892,'HOGARES-BASELINE'!$B:$I,8,FALSE)</f>
        <v>01030240</v>
      </c>
      <c r="F892" s="6" t="str">
        <f t="shared" si="30"/>
        <v>0103024001</v>
      </c>
    </row>
    <row r="893" spans="1:6" x14ac:dyDescent="0.3">
      <c r="A893" s="6" t="s">
        <v>893</v>
      </c>
      <c r="B893">
        <v>1152204057</v>
      </c>
      <c r="C893" s="3">
        <v>2</v>
      </c>
      <c r="D893" s="5" t="str">
        <f t="shared" si="33"/>
        <v>02</v>
      </c>
      <c r="E893" t="str">
        <f>VLOOKUP(B893,'HOGARES-BASELINE'!$B:$I,8,FALSE)</f>
        <v>01010241</v>
      </c>
      <c r="F893" s="6" t="str">
        <f t="shared" si="30"/>
        <v>0101024102</v>
      </c>
    </row>
    <row r="894" spans="1:6" x14ac:dyDescent="0.3">
      <c r="A894" s="6" t="s">
        <v>894</v>
      </c>
      <c r="B894">
        <v>1152204057</v>
      </c>
      <c r="C894" s="3">
        <v>1</v>
      </c>
      <c r="D894" s="5" t="str">
        <f t="shared" si="33"/>
        <v>01</v>
      </c>
      <c r="E894" t="str">
        <f>VLOOKUP(B894,'HOGARES-BASELINE'!$B:$I,8,FALSE)</f>
        <v>01010241</v>
      </c>
      <c r="F894" s="6" t="str">
        <f t="shared" si="30"/>
        <v>0101024101</v>
      </c>
    </row>
    <row r="895" spans="1:6" x14ac:dyDescent="0.3">
      <c r="A895" s="6" t="s">
        <v>895</v>
      </c>
      <c r="B895">
        <v>1152204057</v>
      </c>
      <c r="C895" s="3">
        <v>3</v>
      </c>
      <c r="D895" s="5" t="str">
        <f t="shared" si="33"/>
        <v>03</v>
      </c>
      <c r="E895" t="str">
        <f>VLOOKUP(B895,'HOGARES-BASELINE'!$B:$I,8,FALSE)</f>
        <v>01010241</v>
      </c>
      <c r="F895" s="6" t="str">
        <f t="shared" si="30"/>
        <v>0101024103</v>
      </c>
    </row>
    <row r="896" spans="1:6" x14ac:dyDescent="0.3">
      <c r="A896" s="6" t="s">
        <v>896</v>
      </c>
      <c r="B896">
        <v>1152204057</v>
      </c>
      <c r="C896" s="3">
        <v>5</v>
      </c>
      <c r="D896" s="5" t="str">
        <f t="shared" si="33"/>
        <v>05</v>
      </c>
      <c r="E896" t="str">
        <f>VLOOKUP(B896,'HOGARES-BASELINE'!$B:$I,8,FALSE)</f>
        <v>01010241</v>
      </c>
      <c r="F896" s="6" t="str">
        <f t="shared" si="30"/>
        <v>0101024105</v>
      </c>
    </row>
    <row r="897" spans="1:6" x14ac:dyDescent="0.3">
      <c r="A897" s="6" t="s">
        <v>897</v>
      </c>
      <c r="B897">
        <v>1152204057</v>
      </c>
      <c r="C897" s="3">
        <v>4</v>
      </c>
      <c r="D897" s="5" t="str">
        <f t="shared" si="33"/>
        <v>04</v>
      </c>
      <c r="E897" t="str">
        <f>VLOOKUP(B897,'HOGARES-BASELINE'!$B:$I,8,FALSE)</f>
        <v>01010241</v>
      </c>
      <c r="F897" s="6" t="str">
        <f t="shared" si="30"/>
        <v>0101024104</v>
      </c>
    </row>
    <row r="898" spans="1:6" x14ac:dyDescent="0.3">
      <c r="A898" s="6" t="s">
        <v>898</v>
      </c>
      <c r="B898">
        <v>1152449711</v>
      </c>
      <c r="C898" s="3">
        <v>2</v>
      </c>
      <c r="D898" s="5" t="str">
        <f t="shared" si="33"/>
        <v>02</v>
      </c>
      <c r="E898" t="str">
        <f>VLOOKUP(B898,'HOGARES-BASELINE'!$B:$I,8,FALSE)</f>
        <v>00010242</v>
      </c>
      <c r="F898" s="6" t="str">
        <f t="shared" si="30"/>
        <v>0001024202</v>
      </c>
    </row>
    <row r="899" spans="1:6" x14ac:dyDescent="0.3">
      <c r="A899" s="6" t="s">
        <v>899</v>
      </c>
      <c r="B899">
        <v>1152449711</v>
      </c>
      <c r="C899" s="3">
        <v>3</v>
      </c>
      <c r="D899" s="5" t="str">
        <f t="shared" si="33"/>
        <v>03</v>
      </c>
      <c r="E899" t="str">
        <f>VLOOKUP(B899,'HOGARES-BASELINE'!$B:$I,8,FALSE)</f>
        <v>00010242</v>
      </c>
      <c r="F899" s="6" t="str">
        <f t="shared" ref="F899:F962" si="34">_xlfn.CONCAT(E899,D899)</f>
        <v>0001024203</v>
      </c>
    </row>
    <row r="900" spans="1:6" x14ac:dyDescent="0.3">
      <c r="A900" s="6" t="s">
        <v>900</v>
      </c>
      <c r="B900">
        <v>1152449711</v>
      </c>
      <c r="C900" s="3">
        <v>1</v>
      </c>
      <c r="D900" s="5" t="str">
        <f t="shared" si="33"/>
        <v>01</v>
      </c>
      <c r="E900" t="str">
        <f>VLOOKUP(B900,'HOGARES-BASELINE'!$B:$I,8,FALSE)</f>
        <v>00010242</v>
      </c>
      <c r="F900" s="6" t="str">
        <f t="shared" si="34"/>
        <v>0001024201</v>
      </c>
    </row>
    <row r="901" spans="1:6" x14ac:dyDescent="0.3">
      <c r="A901" s="6" t="s">
        <v>901</v>
      </c>
      <c r="B901">
        <v>1152716412</v>
      </c>
      <c r="C901" s="3">
        <v>5</v>
      </c>
      <c r="D901" s="5" t="str">
        <f t="shared" si="33"/>
        <v>05</v>
      </c>
      <c r="E901" t="str">
        <f>VLOOKUP(B901,'HOGARES-BASELINE'!$B:$I,8,FALSE)</f>
        <v>00010243</v>
      </c>
      <c r="F901" s="6" t="str">
        <f t="shared" si="34"/>
        <v>0001024305</v>
      </c>
    </row>
    <row r="902" spans="1:6" x14ac:dyDescent="0.3">
      <c r="A902" s="6" t="s">
        <v>902</v>
      </c>
      <c r="B902">
        <v>1152716412</v>
      </c>
      <c r="C902" s="3">
        <v>1</v>
      </c>
      <c r="D902" s="5" t="str">
        <f t="shared" si="33"/>
        <v>01</v>
      </c>
      <c r="E902" t="str">
        <f>VLOOKUP(B902,'HOGARES-BASELINE'!$B:$I,8,FALSE)</f>
        <v>00010243</v>
      </c>
      <c r="F902" s="6" t="str">
        <f t="shared" si="34"/>
        <v>0001024301</v>
      </c>
    </row>
    <row r="903" spans="1:6" x14ac:dyDescent="0.3">
      <c r="A903" s="6" t="s">
        <v>903</v>
      </c>
      <c r="B903">
        <v>1152716412</v>
      </c>
      <c r="C903" s="3">
        <v>4</v>
      </c>
      <c r="D903" s="5" t="str">
        <f t="shared" si="33"/>
        <v>04</v>
      </c>
      <c r="E903" t="str">
        <f>VLOOKUP(B903,'HOGARES-BASELINE'!$B:$I,8,FALSE)</f>
        <v>00010243</v>
      </c>
      <c r="F903" s="6" t="str">
        <f t="shared" si="34"/>
        <v>0001024304</v>
      </c>
    </row>
    <row r="904" spans="1:6" x14ac:dyDescent="0.3">
      <c r="A904" s="6" t="s">
        <v>904</v>
      </c>
      <c r="B904">
        <v>1152716412</v>
      </c>
      <c r="C904" s="3">
        <v>2</v>
      </c>
      <c r="D904" s="5" t="str">
        <f t="shared" si="33"/>
        <v>02</v>
      </c>
      <c r="E904" t="str">
        <f>VLOOKUP(B904,'HOGARES-BASELINE'!$B:$I,8,FALSE)</f>
        <v>00010243</v>
      </c>
      <c r="F904" s="6" t="str">
        <f t="shared" si="34"/>
        <v>0001024302</v>
      </c>
    </row>
    <row r="905" spans="1:6" x14ac:dyDescent="0.3">
      <c r="A905" s="6" t="s">
        <v>905</v>
      </c>
      <c r="B905">
        <v>1152716412</v>
      </c>
      <c r="C905" s="3">
        <v>3</v>
      </c>
      <c r="D905" s="5" t="str">
        <f t="shared" si="33"/>
        <v>03</v>
      </c>
      <c r="E905" t="str">
        <f>VLOOKUP(B905,'HOGARES-BASELINE'!$B:$I,8,FALSE)</f>
        <v>00010243</v>
      </c>
      <c r="F905" s="6" t="str">
        <f t="shared" si="34"/>
        <v>0001024303</v>
      </c>
    </row>
    <row r="906" spans="1:6" x14ac:dyDescent="0.3">
      <c r="A906" s="6" t="s">
        <v>906</v>
      </c>
      <c r="B906">
        <v>1192898936</v>
      </c>
      <c r="C906" s="3">
        <v>1</v>
      </c>
      <c r="D906" s="5" t="str">
        <f t="shared" si="33"/>
        <v>01</v>
      </c>
      <c r="E906" t="str">
        <f>VLOOKUP(B906,'HOGARES-BASELINE'!$B:$I,8,FALSE)</f>
        <v>01010244</v>
      </c>
      <c r="F906" s="6" t="str">
        <f t="shared" si="34"/>
        <v>0101024401</v>
      </c>
    </row>
    <row r="907" spans="1:6" x14ac:dyDescent="0.3">
      <c r="A907" s="6" t="s">
        <v>907</v>
      </c>
      <c r="B907">
        <v>1192898936</v>
      </c>
      <c r="C907" s="3">
        <v>2</v>
      </c>
      <c r="D907" s="5" t="str">
        <f t="shared" si="33"/>
        <v>02</v>
      </c>
      <c r="E907" t="str">
        <f>VLOOKUP(B907,'HOGARES-BASELINE'!$B:$I,8,FALSE)</f>
        <v>01010244</v>
      </c>
      <c r="F907" s="6" t="str">
        <f t="shared" si="34"/>
        <v>0101024402</v>
      </c>
    </row>
    <row r="908" spans="1:6" x14ac:dyDescent="0.3">
      <c r="A908" s="6" t="s">
        <v>908</v>
      </c>
      <c r="B908">
        <v>1193298386</v>
      </c>
      <c r="C908" s="3">
        <v>2</v>
      </c>
      <c r="D908" s="5" t="str">
        <f t="shared" si="33"/>
        <v>02</v>
      </c>
      <c r="E908" t="str">
        <f>VLOOKUP(B908,'HOGARES-BASELINE'!$B:$I,8,FALSE)</f>
        <v>00010245</v>
      </c>
      <c r="F908" s="6" t="str">
        <f t="shared" si="34"/>
        <v>0001024502</v>
      </c>
    </row>
    <row r="909" spans="1:6" x14ac:dyDescent="0.3">
      <c r="A909" s="6" t="s">
        <v>909</v>
      </c>
      <c r="B909">
        <v>1193298386</v>
      </c>
      <c r="C909" s="3">
        <v>1</v>
      </c>
      <c r="D909" s="5" t="str">
        <f t="shared" si="33"/>
        <v>01</v>
      </c>
      <c r="E909" t="str">
        <f>VLOOKUP(B909,'HOGARES-BASELINE'!$B:$I,8,FALSE)</f>
        <v>00010245</v>
      </c>
      <c r="F909" s="6" t="str">
        <f t="shared" si="34"/>
        <v>0001024501</v>
      </c>
    </row>
    <row r="910" spans="1:6" x14ac:dyDescent="0.3">
      <c r="A910" s="6" t="s">
        <v>910</v>
      </c>
      <c r="B910">
        <v>1193298386</v>
      </c>
      <c r="C910" s="3">
        <v>3</v>
      </c>
      <c r="D910" s="5" t="str">
        <f t="shared" si="33"/>
        <v>03</v>
      </c>
      <c r="E910" t="str">
        <f>VLOOKUP(B910,'HOGARES-BASELINE'!$B:$I,8,FALSE)</f>
        <v>00010245</v>
      </c>
      <c r="F910" s="6" t="str">
        <f t="shared" si="34"/>
        <v>0001024503</v>
      </c>
    </row>
    <row r="911" spans="1:6" x14ac:dyDescent="0.3">
      <c r="A911" s="6" t="s">
        <v>911</v>
      </c>
      <c r="B911">
        <v>1193327320</v>
      </c>
      <c r="C911" s="3">
        <v>6</v>
      </c>
      <c r="D911" s="5" t="str">
        <f t="shared" si="33"/>
        <v>06</v>
      </c>
      <c r="E911" t="str">
        <f>VLOOKUP(B911,'HOGARES-BASELINE'!$B:$I,8,FALSE)</f>
        <v>01030246</v>
      </c>
      <c r="F911" s="6" t="str">
        <f t="shared" si="34"/>
        <v>0103024606</v>
      </c>
    </row>
    <row r="912" spans="1:6" x14ac:dyDescent="0.3">
      <c r="A912" s="6" t="s">
        <v>912</v>
      </c>
      <c r="B912">
        <v>1193327320</v>
      </c>
      <c r="C912" s="3">
        <v>3</v>
      </c>
      <c r="D912" s="5" t="str">
        <f t="shared" si="33"/>
        <v>03</v>
      </c>
      <c r="E912" t="str">
        <f>VLOOKUP(B912,'HOGARES-BASELINE'!$B:$I,8,FALSE)</f>
        <v>01030246</v>
      </c>
      <c r="F912" s="6" t="str">
        <f t="shared" si="34"/>
        <v>0103024603</v>
      </c>
    </row>
    <row r="913" spans="1:6" x14ac:dyDescent="0.3">
      <c r="A913" s="6" t="s">
        <v>913</v>
      </c>
      <c r="B913">
        <v>1193327320</v>
      </c>
      <c r="C913" s="3">
        <v>7</v>
      </c>
      <c r="D913" s="5" t="str">
        <f t="shared" si="33"/>
        <v>07</v>
      </c>
      <c r="E913" t="str">
        <f>VLOOKUP(B913,'HOGARES-BASELINE'!$B:$I,8,FALSE)</f>
        <v>01030246</v>
      </c>
      <c r="F913" s="6" t="str">
        <f t="shared" si="34"/>
        <v>0103024607</v>
      </c>
    </row>
    <row r="914" spans="1:6" x14ac:dyDescent="0.3">
      <c r="A914" s="6" t="s">
        <v>914</v>
      </c>
      <c r="B914">
        <v>1193327320</v>
      </c>
      <c r="C914" s="3">
        <v>4</v>
      </c>
      <c r="D914" s="5" t="str">
        <f t="shared" si="33"/>
        <v>04</v>
      </c>
      <c r="E914" t="str">
        <f>VLOOKUP(B914,'HOGARES-BASELINE'!$B:$I,8,FALSE)</f>
        <v>01030246</v>
      </c>
      <c r="F914" s="6" t="str">
        <f t="shared" si="34"/>
        <v>0103024604</v>
      </c>
    </row>
    <row r="915" spans="1:6" x14ac:dyDescent="0.3">
      <c r="A915" s="6" t="s">
        <v>915</v>
      </c>
      <c r="B915">
        <v>1193327320</v>
      </c>
      <c r="C915" s="3">
        <v>5</v>
      </c>
      <c r="D915" s="5" t="str">
        <f t="shared" si="33"/>
        <v>05</v>
      </c>
      <c r="E915" t="str">
        <f>VLOOKUP(B915,'HOGARES-BASELINE'!$B:$I,8,FALSE)</f>
        <v>01030246</v>
      </c>
      <c r="F915" s="6" t="str">
        <f t="shared" si="34"/>
        <v>0103024605</v>
      </c>
    </row>
    <row r="916" spans="1:6" x14ac:dyDescent="0.3">
      <c r="A916" s="6" t="s">
        <v>916</v>
      </c>
      <c r="B916">
        <v>1193327320</v>
      </c>
      <c r="C916" s="3">
        <v>2</v>
      </c>
      <c r="D916" s="5" t="str">
        <f t="shared" si="33"/>
        <v>02</v>
      </c>
      <c r="E916" t="str">
        <f>VLOOKUP(B916,'HOGARES-BASELINE'!$B:$I,8,FALSE)</f>
        <v>01030246</v>
      </c>
      <c r="F916" s="6" t="str">
        <f t="shared" si="34"/>
        <v>0103024602</v>
      </c>
    </row>
    <row r="917" spans="1:6" x14ac:dyDescent="0.3">
      <c r="A917" s="6" t="s">
        <v>917</v>
      </c>
      <c r="B917">
        <v>1193327320</v>
      </c>
      <c r="C917" s="3">
        <v>1</v>
      </c>
      <c r="D917" s="5" t="str">
        <f t="shared" si="33"/>
        <v>01</v>
      </c>
      <c r="E917" t="str">
        <f>VLOOKUP(B917,'HOGARES-BASELINE'!$B:$I,8,FALSE)</f>
        <v>01030246</v>
      </c>
      <c r="F917" s="6" t="str">
        <f t="shared" si="34"/>
        <v>0103024601</v>
      </c>
    </row>
    <row r="918" spans="1:6" x14ac:dyDescent="0.3">
      <c r="A918" s="6" t="s">
        <v>918</v>
      </c>
      <c r="B918">
        <v>1193327320</v>
      </c>
      <c r="C918" s="3">
        <v>8</v>
      </c>
      <c r="D918" s="5" t="str">
        <f t="shared" si="33"/>
        <v>08</v>
      </c>
      <c r="E918" t="str">
        <f>VLOOKUP(B918,'HOGARES-BASELINE'!$B:$I,8,FALSE)</f>
        <v>01030246</v>
      </c>
      <c r="F918" s="6" t="str">
        <f t="shared" si="34"/>
        <v>0103024608</v>
      </c>
    </row>
    <row r="919" spans="1:6" x14ac:dyDescent="0.3">
      <c r="A919" s="6" t="s">
        <v>919</v>
      </c>
      <c r="B919">
        <v>1193371842</v>
      </c>
      <c r="C919" s="3">
        <v>3</v>
      </c>
      <c r="D919" s="5" t="str">
        <f t="shared" si="33"/>
        <v>03</v>
      </c>
      <c r="E919" t="str">
        <f>VLOOKUP(B919,'HOGARES-BASELINE'!$B:$I,8,FALSE)</f>
        <v>01030247</v>
      </c>
      <c r="F919" s="6" t="str">
        <f t="shared" si="34"/>
        <v>0103024703</v>
      </c>
    </row>
    <row r="920" spans="1:6" x14ac:dyDescent="0.3">
      <c r="A920" s="6" t="s">
        <v>920</v>
      </c>
      <c r="B920">
        <v>1193371842</v>
      </c>
      <c r="C920" s="3">
        <v>4</v>
      </c>
      <c r="D920" s="5" t="str">
        <f t="shared" si="33"/>
        <v>04</v>
      </c>
      <c r="E920" t="str">
        <f>VLOOKUP(B920,'HOGARES-BASELINE'!$B:$I,8,FALSE)</f>
        <v>01030247</v>
      </c>
      <c r="F920" s="6" t="str">
        <f t="shared" si="34"/>
        <v>0103024704</v>
      </c>
    </row>
    <row r="921" spans="1:6" x14ac:dyDescent="0.3">
      <c r="A921" s="6" t="s">
        <v>921</v>
      </c>
      <c r="B921">
        <v>1193371842</v>
      </c>
      <c r="C921" s="3">
        <v>2</v>
      </c>
      <c r="D921" s="5" t="str">
        <f t="shared" si="33"/>
        <v>02</v>
      </c>
      <c r="E921" t="str">
        <f>VLOOKUP(B921,'HOGARES-BASELINE'!$B:$I,8,FALSE)</f>
        <v>01030247</v>
      </c>
      <c r="F921" s="6" t="str">
        <f t="shared" si="34"/>
        <v>0103024702</v>
      </c>
    </row>
    <row r="922" spans="1:6" x14ac:dyDescent="0.3">
      <c r="A922" s="6" t="s">
        <v>922</v>
      </c>
      <c r="B922">
        <v>1193371842</v>
      </c>
      <c r="C922" s="3">
        <v>1</v>
      </c>
      <c r="D922" s="5" t="str">
        <f t="shared" si="33"/>
        <v>01</v>
      </c>
      <c r="E922" t="str">
        <f>VLOOKUP(B922,'HOGARES-BASELINE'!$B:$I,8,FALSE)</f>
        <v>01030247</v>
      </c>
      <c r="F922" s="6" t="str">
        <f t="shared" si="34"/>
        <v>0103024701</v>
      </c>
    </row>
    <row r="923" spans="1:6" x14ac:dyDescent="0.3">
      <c r="A923" s="6" t="s">
        <v>923</v>
      </c>
      <c r="B923">
        <v>1193456461</v>
      </c>
      <c r="C923" s="3">
        <v>1</v>
      </c>
      <c r="D923" s="5" t="str">
        <f t="shared" si="33"/>
        <v>01</v>
      </c>
      <c r="E923" t="str">
        <f>VLOOKUP(B923,'HOGARES-BASELINE'!$B:$I,8,FALSE)</f>
        <v>00030248</v>
      </c>
      <c r="F923" s="6" t="str">
        <f t="shared" si="34"/>
        <v>0003024801</v>
      </c>
    </row>
    <row r="924" spans="1:6" x14ac:dyDescent="0.3">
      <c r="A924" s="6" t="s">
        <v>924</v>
      </c>
      <c r="B924">
        <v>1193456461</v>
      </c>
      <c r="C924" s="3">
        <v>5</v>
      </c>
      <c r="D924" s="5" t="str">
        <f t="shared" si="33"/>
        <v>05</v>
      </c>
      <c r="E924" t="str">
        <f>VLOOKUP(B924,'HOGARES-BASELINE'!$B:$I,8,FALSE)</f>
        <v>00030248</v>
      </c>
      <c r="F924" s="6" t="str">
        <f t="shared" si="34"/>
        <v>0003024805</v>
      </c>
    </row>
    <row r="925" spans="1:6" x14ac:dyDescent="0.3">
      <c r="A925" s="6" t="s">
        <v>925</v>
      </c>
      <c r="B925">
        <v>1193456461</v>
      </c>
      <c r="C925" s="3">
        <v>4</v>
      </c>
      <c r="D925" s="5" t="str">
        <f t="shared" si="33"/>
        <v>04</v>
      </c>
      <c r="E925" t="str">
        <f>VLOOKUP(B925,'HOGARES-BASELINE'!$B:$I,8,FALSE)</f>
        <v>00030248</v>
      </c>
      <c r="F925" s="6" t="str">
        <f t="shared" si="34"/>
        <v>0003024804</v>
      </c>
    </row>
    <row r="926" spans="1:6" x14ac:dyDescent="0.3">
      <c r="A926" s="6" t="s">
        <v>926</v>
      </c>
      <c r="B926">
        <v>1193456461</v>
      </c>
      <c r="C926" s="3">
        <v>2</v>
      </c>
      <c r="D926" s="5" t="str">
        <f t="shared" si="33"/>
        <v>02</v>
      </c>
      <c r="E926" t="str">
        <f>VLOOKUP(B926,'HOGARES-BASELINE'!$B:$I,8,FALSE)</f>
        <v>00030248</v>
      </c>
      <c r="F926" s="6" t="str">
        <f t="shared" si="34"/>
        <v>0003024802</v>
      </c>
    </row>
    <row r="927" spans="1:6" x14ac:dyDescent="0.3">
      <c r="A927" s="6" t="s">
        <v>927</v>
      </c>
      <c r="B927">
        <v>1193456461</v>
      </c>
      <c r="C927" s="3">
        <v>3</v>
      </c>
      <c r="D927" s="5" t="str">
        <f t="shared" si="33"/>
        <v>03</v>
      </c>
      <c r="E927" t="str">
        <f>VLOOKUP(B927,'HOGARES-BASELINE'!$B:$I,8,FALSE)</f>
        <v>00030248</v>
      </c>
      <c r="F927" s="6" t="str">
        <f t="shared" si="34"/>
        <v>0003024803</v>
      </c>
    </row>
    <row r="928" spans="1:6" x14ac:dyDescent="0.3">
      <c r="A928" s="6" t="s">
        <v>928</v>
      </c>
      <c r="B928">
        <v>1193555442</v>
      </c>
      <c r="C928" s="3">
        <v>1</v>
      </c>
      <c r="D928" s="5" t="str">
        <f t="shared" si="33"/>
        <v>01</v>
      </c>
      <c r="E928" t="str">
        <f>VLOOKUP(B928,'HOGARES-BASELINE'!$B:$I,8,FALSE)</f>
        <v>00020249</v>
      </c>
      <c r="F928" s="6" t="str">
        <f t="shared" si="34"/>
        <v>0002024901</v>
      </c>
    </row>
    <row r="929" spans="1:6" x14ac:dyDescent="0.3">
      <c r="A929" s="6" t="s">
        <v>929</v>
      </c>
      <c r="B929">
        <v>1193555442</v>
      </c>
      <c r="C929" s="3">
        <v>2</v>
      </c>
      <c r="D929" s="5" t="str">
        <f t="shared" si="33"/>
        <v>02</v>
      </c>
      <c r="E929" t="str">
        <f>VLOOKUP(B929,'HOGARES-BASELINE'!$B:$I,8,FALSE)</f>
        <v>00020249</v>
      </c>
      <c r="F929" s="6" t="str">
        <f t="shared" si="34"/>
        <v>0002024902</v>
      </c>
    </row>
    <row r="930" spans="1:6" x14ac:dyDescent="0.3">
      <c r="A930" s="6" t="s">
        <v>930</v>
      </c>
      <c r="B930">
        <v>1214733443</v>
      </c>
      <c r="C930" s="3">
        <v>1</v>
      </c>
      <c r="D930" s="5" t="str">
        <f t="shared" si="33"/>
        <v>01</v>
      </c>
      <c r="E930" t="str">
        <f>VLOOKUP(B930,'HOGARES-BASELINE'!$B:$I,8,FALSE)</f>
        <v>01010250</v>
      </c>
      <c r="F930" s="6" t="str">
        <f t="shared" si="34"/>
        <v>0101025001</v>
      </c>
    </row>
    <row r="931" spans="1:6" x14ac:dyDescent="0.3">
      <c r="A931" s="6" t="s">
        <v>931</v>
      </c>
      <c r="B931">
        <v>1214733443</v>
      </c>
      <c r="C931" s="3">
        <v>6</v>
      </c>
      <c r="D931" s="5" t="str">
        <f t="shared" si="33"/>
        <v>06</v>
      </c>
      <c r="E931" t="str">
        <f>VLOOKUP(B931,'HOGARES-BASELINE'!$B:$I,8,FALSE)</f>
        <v>01010250</v>
      </c>
      <c r="F931" s="6" t="str">
        <f t="shared" si="34"/>
        <v>0101025006</v>
      </c>
    </row>
    <row r="932" spans="1:6" x14ac:dyDescent="0.3">
      <c r="A932" s="6" t="s">
        <v>932</v>
      </c>
      <c r="B932">
        <v>1214733443</v>
      </c>
      <c r="C932" s="3">
        <v>5</v>
      </c>
      <c r="D932" s="5" t="str">
        <f t="shared" si="33"/>
        <v>05</v>
      </c>
      <c r="E932" t="str">
        <f>VLOOKUP(B932,'HOGARES-BASELINE'!$B:$I,8,FALSE)</f>
        <v>01010250</v>
      </c>
      <c r="F932" s="6" t="str">
        <f t="shared" si="34"/>
        <v>0101025005</v>
      </c>
    </row>
    <row r="933" spans="1:6" x14ac:dyDescent="0.3">
      <c r="A933" s="6" t="s">
        <v>933</v>
      </c>
      <c r="B933">
        <v>1214733443</v>
      </c>
      <c r="C933" s="3">
        <v>3</v>
      </c>
      <c r="D933" s="5" t="str">
        <f t="shared" si="33"/>
        <v>03</v>
      </c>
      <c r="E933" t="str">
        <f>VLOOKUP(B933,'HOGARES-BASELINE'!$B:$I,8,FALSE)</f>
        <v>01010250</v>
      </c>
      <c r="F933" s="6" t="str">
        <f t="shared" si="34"/>
        <v>0101025003</v>
      </c>
    </row>
    <row r="934" spans="1:6" x14ac:dyDescent="0.3">
      <c r="A934" s="6" t="s">
        <v>934</v>
      </c>
      <c r="B934">
        <v>1214733443</v>
      </c>
      <c r="C934" s="3">
        <v>4</v>
      </c>
      <c r="D934" s="5" t="str">
        <f t="shared" si="33"/>
        <v>04</v>
      </c>
      <c r="E934" t="str">
        <f>VLOOKUP(B934,'HOGARES-BASELINE'!$B:$I,8,FALSE)</f>
        <v>01010250</v>
      </c>
      <c r="F934" s="6" t="str">
        <f t="shared" si="34"/>
        <v>0101025004</v>
      </c>
    </row>
    <row r="935" spans="1:6" x14ac:dyDescent="0.3">
      <c r="A935" s="6" t="s">
        <v>935</v>
      </c>
      <c r="B935">
        <v>1214733443</v>
      </c>
      <c r="C935" s="3">
        <v>7</v>
      </c>
      <c r="D935" s="5" t="str">
        <f t="shared" si="33"/>
        <v>07</v>
      </c>
      <c r="E935" t="str">
        <f>VLOOKUP(B935,'HOGARES-BASELINE'!$B:$I,8,FALSE)</f>
        <v>01010250</v>
      </c>
      <c r="F935" s="6" t="str">
        <f t="shared" si="34"/>
        <v>0101025007</v>
      </c>
    </row>
    <row r="936" spans="1:6" x14ac:dyDescent="0.3">
      <c r="A936" s="6" t="s">
        <v>936</v>
      </c>
      <c r="B936">
        <v>1214733443</v>
      </c>
      <c r="C936" s="3">
        <v>2</v>
      </c>
      <c r="D936" s="5" t="str">
        <f t="shared" si="33"/>
        <v>02</v>
      </c>
      <c r="E936" t="str">
        <f>VLOOKUP(B936,'HOGARES-BASELINE'!$B:$I,8,FALSE)</f>
        <v>01010250</v>
      </c>
      <c r="F936" s="6" t="str">
        <f t="shared" si="34"/>
        <v>0101025002</v>
      </c>
    </row>
    <row r="937" spans="1:6" x14ac:dyDescent="0.3">
      <c r="A937" s="6" t="s">
        <v>937</v>
      </c>
      <c r="B937">
        <v>1214733443</v>
      </c>
      <c r="C937" s="3">
        <v>9</v>
      </c>
      <c r="D937" s="5" t="str">
        <f t="shared" si="33"/>
        <v>09</v>
      </c>
      <c r="E937" t="str">
        <f>VLOOKUP(B937,'HOGARES-BASELINE'!$B:$I,8,FALSE)</f>
        <v>01010250</v>
      </c>
      <c r="F937" s="6" t="str">
        <f t="shared" si="34"/>
        <v>0101025009</v>
      </c>
    </row>
    <row r="938" spans="1:6" x14ac:dyDescent="0.3">
      <c r="A938" s="6" t="s">
        <v>938</v>
      </c>
      <c r="B938">
        <v>1214733443</v>
      </c>
      <c r="C938" s="3">
        <v>8</v>
      </c>
      <c r="D938" s="5" t="str">
        <f t="shared" si="33"/>
        <v>08</v>
      </c>
      <c r="E938" t="str">
        <f>VLOOKUP(B938,'HOGARES-BASELINE'!$B:$I,8,FALSE)</f>
        <v>01010250</v>
      </c>
      <c r="F938" s="6" t="str">
        <f t="shared" si="34"/>
        <v>0101025008</v>
      </c>
    </row>
    <row r="939" spans="1:6" x14ac:dyDescent="0.3">
      <c r="A939" s="6" t="s">
        <v>939</v>
      </c>
      <c r="B939">
        <v>1214737888</v>
      </c>
      <c r="C939" s="3">
        <v>2</v>
      </c>
      <c r="D939" s="5" t="str">
        <f t="shared" si="33"/>
        <v>02</v>
      </c>
      <c r="E939" t="str">
        <f>VLOOKUP(B939,'HOGARES-BASELINE'!$B:$I,8,FALSE)</f>
        <v>00010251</v>
      </c>
      <c r="F939" s="6" t="str">
        <f t="shared" si="34"/>
        <v>0001025102</v>
      </c>
    </row>
    <row r="940" spans="1:6" x14ac:dyDescent="0.3">
      <c r="A940" s="6" t="s">
        <v>940</v>
      </c>
      <c r="B940">
        <v>1214737888</v>
      </c>
      <c r="C940" s="3">
        <v>1</v>
      </c>
      <c r="D940" s="5" t="str">
        <f t="shared" si="33"/>
        <v>01</v>
      </c>
      <c r="E940" t="str">
        <f>VLOOKUP(B940,'HOGARES-BASELINE'!$B:$I,8,FALSE)</f>
        <v>00010251</v>
      </c>
      <c r="F940" s="6" t="str">
        <f t="shared" si="34"/>
        <v>0001025101</v>
      </c>
    </row>
    <row r="941" spans="1:6" x14ac:dyDescent="0.3">
      <c r="A941" s="6" t="s">
        <v>941</v>
      </c>
      <c r="B941">
        <v>1214748815</v>
      </c>
      <c r="C941" s="3">
        <v>5</v>
      </c>
      <c r="D941" s="5" t="str">
        <f t="shared" si="33"/>
        <v>05</v>
      </c>
      <c r="E941" t="str">
        <f>VLOOKUP(B941,'HOGARES-BASELINE'!$B:$I,8,FALSE)</f>
        <v>00010252</v>
      </c>
      <c r="F941" s="6" t="str">
        <f t="shared" si="34"/>
        <v>0001025205</v>
      </c>
    </row>
    <row r="942" spans="1:6" x14ac:dyDescent="0.3">
      <c r="A942" s="6" t="s">
        <v>942</v>
      </c>
      <c r="B942">
        <v>1214748815</v>
      </c>
      <c r="C942" s="3">
        <v>3</v>
      </c>
      <c r="D942" s="5" t="str">
        <f t="shared" si="33"/>
        <v>03</v>
      </c>
      <c r="E942" t="str">
        <f>VLOOKUP(B942,'HOGARES-BASELINE'!$B:$I,8,FALSE)</f>
        <v>00010252</v>
      </c>
      <c r="F942" s="6" t="str">
        <f t="shared" si="34"/>
        <v>0001025203</v>
      </c>
    </row>
    <row r="943" spans="1:6" x14ac:dyDescent="0.3">
      <c r="A943" s="6" t="s">
        <v>943</v>
      </c>
      <c r="B943">
        <v>1214748815</v>
      </c>
      <c r="C943" s="3">
        <v>7</v>
      </c>
      <c r="D943" s="5" t="str">
        <f t="shared" si="33"/>
        <v>07</v>
      </c>
      <c r="E943" t="str">
        <f>VLOOKUP(B943,'HOGARES-BASELINE'!$B:$I,8,FALSE)</f>
        <v>00010252</v>
      </c>
      <c r="F943" s="6" t="str">
        <f t="shared" si="34"/>
        <v>0001025207</v>
      </c>
    </row>
    <row r="944" spans="1:6" x14ac:dyDescent="0.3">
      <c r="A944" s="6" t="s">
        <v>944</v>
      </c>
      <c r="B944">
        <v>1214748815</v>
      </c>
      <c r="C944" s="3">
        <v>1</v>
      </c>
      <c r="D944" s="5" t="str">
        <f t="shared" ref="D944:D1007" si="35">_xlfn.CONCAT(0,C944)</f>
        <v>01</v>
      </c>
      <c r="E944" t="str">
        <f>VLOOKUP(B944,'HOGARES-BASELINE'!$B:$I,8,FALSE)</f>
        <v>00010252</v>
      </c>
      <c r="F944" s="6" t="str">
        <f t="shared" si="34"/>
        <v>0001025201</v>
      </c>
    </row>
    <row r="945" spans="1:6" x14ac:dyDescent="0.3">
      <c r="A945" s="6" t="s">
        <v>945</v>
      </c>
      <c r="B945">
        <v>1214748815</v>
      </c>
      <c r="C945" s="3">
        <v>2</v>
      </c>
      <c r="D945" s="5" t="str">
        <f t="shared" si="35"/>
        <v>02</v>
      </c>
      <c r="E945" t="str">
        <f>VLOOKUP(B945,'HOGARES-BASELINE'!$B:$I,8,FALSE)</f>
        <v>00010252</v>
      </c>
      <c r="F945" s="6" t="str">
        <f t="shared" si="34"/>
        <v>0001025202</v>
      </c>
    </row>
    <row r="946" spans="1:6" x14ac:dyDescent="0.3">
      <c r="A946" s="6" t="s">
        <v>946</v>
      </c>
      <c r="B946">
        <v>1214748815</v>
      </c>
      <c r="C946" s="3">
        <v>4</v>
      </c>
      <c r="D946" s="5" t="str">
        <f t="shared" si="35"/>
        <v>04</v>
      </c>
      <c r="E946" t="str">
        <f>VLOOKUP(B946,'HOGARES-BASELINE'!$B:$I,8,FALSE)</f>
        <v>00010252</v>
      </c>
      <c r="F946" s="6" t="str">
        <f t="shared" si="34"/>
        <v>0001025204</v>
      </c>
    </row>
    <row r="947" spans="1:6" x14ac:dyDescent="0.3">
      <c r="A947" s="6" t="s">
        <v>947</v>
      </c>
      <c r="B947">
        <v>1214748815</v>
      </c>
      <c r="C947" s="3">
        <v>6</v>
      </c>
      <c r="D947" s="5" t="str">
        <f t="shared" si="35"/>
        <v>06</v>
      </c>
      <c r="E947" t="str">
        <f>VLOOKUP(B947,'HOGARES-BASELINE'!$B:$I,8,FALSE)</f>
        <v>00010252</v>
      </c>
      <c r="F947" s="6" t="str">
        <f t="shared" si="34"/>
        <v>0001025206</v>
      </c>
    </row>
    <row r="948" spans="1:6" x14ac:dyDescent="0.3">
      <c r="A948" s="6" t="s">
        <v>948</v>
      </c>
      <c r="B948">
        <v>12207323</v>
      </c>
      <c r="C948" s="3">
        <v>1</v>
      </c>
      <c r="D948" s="5" t="str">
        <f t="shared" si="35"/>
        <v>01</v>
      </c>
      <c r="E948" t="str">
        <f>VLOOKUP(B948,'HOGARES-BASELINE'!$B:$I,8,FALSE)</f>
        <v>01020253</v>
      </c>
      <c r="F948" s="6" t="str">
        <f t="shared" si="34"/>
        <v>0102025301</v>
      </c>
    </row>
    <row r="949" spans="1:6" x14ac:dyDescent="0.3">
      <c r="A949" s="6" t="s">
        <v>949</v>
      </c>
      <c r="B949">
        <v>12534970</v>
      </c>
      <c r="C949" s="3">
        <v>1</v>
      </c>
      <c r="D949" s="5" t="str">
        <f t="shared" si="35"/>
        <v>01</v>
      </c>
      <c r="E949" t="str">
        <f>VLOOKUP(B949,'HOGARES-BASELINE'!$B:$I,8,FALSE)</f>
        <v>01030254</v>
      </c>
      <c r="F949" s="6" t="str">
        <f t="shared" si="34"/>
        <v>0103025401</v>
      </c>
    </row>
    <row r="950" spans="1:6" x14ac:dyDescent="0.3">
      <c r="A950" s="6" t="s">
        <v>950</v>
      </c>
      <c r="B950">
        <v>12534970</v>
      </c>
      <c r="C950" s="3">
        <v>2</v>
      </c>
      <c r="D950" s="5" t="str">
        <f t="shared" si="35"/>
        <v>02</v>
      </c>
      <c r="E950" t="str">
        <f>VLOOKUP(B950,'HOGARES-BASELINE'!$B:$I,8,FALSE)</f>
        <v>01030254</v>
      </c>
      <c r="F950" s="6" t="str">
        <f t="shared" si="34"/>
        <v>0103025402</v>
      </c>
    </row>
    <row r="951" spans="1:6" x14ac:dyDescent="0.3">
      <c r="A951" s="6" t="s">
        <v>951</v>
      </c>
      <c r="B951">
        <v>12549369</v>
      </c>
      <c r="C951" s="3">
        <v>2</v>
      </c>
      <c r="D951" s="5" t="str">
        <f t="shared" si="35"/>
        <v>02</v>
      </c>
      <c r="E951" t="str">
        <f>VLOOKUP(B951,'HOGARES-BASELINE'!$B:$I,8,FALSE)</f>
        <v>01030255</v>
      </c>
      <c r="F951" s="6" t="str">
        <f t="shared" si="34"/>
        <v>0103025502</v>
      </c>
    </row>
    <row r="952" spans="1:6" x14ac:dyDescent="0.3">
      <c r="A952" s="6" t="s">
        <v>952</v>
      </c>
      <c r="B952">
        <v>12549369</v>
      </c>
      <c r="C952" s="3">
        <v>1</v>
      </c>
      <c r="D952" s="5" t="str">
        <f t="shared" si="35"/>
        <v>01</v>
      </c>
      <c r="E952" t="str">
        <f>VLOOKUP(B952,'HOGARES-BASELINE'!$B:$I,8,FALSE)</f>
        <v>01030255</v>
      </c>
      <c r="F952" s="6" t="str">
        <f t="shared" si="34"/>
        <v>0103025501</v>
      </c>
    </row>
    <row r="953" spans="1:6" x14ac:dyDescent="0.3">
      <c r="A953" s="6" t="s">
        <v>953</v>
      </c>
      <c r="B953">
        <v>12593159</v>
      </c>
      <c r="C953" s="3">
        <v>5</v>
      </c>
      <c r="D953" s="5" t="str">
        <f t="shared" si="35"/>
        <v>05</v>
      </c>
      <c r="E953" t="str">
        <f>VLOOKUP(B953,'HOGARES-BASELINE'!$B:$I,8,FALSE)</f>
        <v>00030256</v>
      </c>
      <c r="F953" s="6" t="str">
        <f t="shared" si="34"/>
        <v>0003025605</v>
      </c>
    </row>
    <row r="954" spans="1:6" x14ac:dyDescent="0.3">
      <c r="A954" s="6" t="s">
        <v>954</v>
      </c>
      <c r="B954">
        <v>12593159</v>
      </c>
      <c r="C954" s="3">
        <v>4</v>
      </c>
      <c r="D954" s="5" t="str">
        <f t="shared" si="35"/>
        <v>04</v>
      </c>
      <c r="E954" t="str">
        <f>VLOOKUP(B954,'HOGARES-BASELINE'!$B:$I,8,FALSE)</f>
        <v>00030256</v>
      </c>
      <c r="F954" s="6" t="str">
        <f t="shared" si="34"/>
        <v>0003025604</v>
      </c>
    </row>
    <row r="955" spans="1:6" x14ac:dyDescent="0.3">
      <c r="A955" s="6" t="s">
        <v>955</v>
      </c>
      <c r="B955">
        <v>12593159</v>
      </c>
      <c r="C955" s="3">
        <v>6</v>
      </c>
      <c r="D955" s="5" t="str">
        <f t="shared" si="35"/>
        <v>06</v>
      </c>
      <c r="E955" t="str">
        <f>VLOOKUP(B955,'HOGARES-BASELINE'!$B:$I,8,FALSE)</f>
        <v>00030256</v>
      </c>
      <c r="F955" s="6" t="str">
        <f t="shared" si="34"/>
        <v>0003025606</v>
      </c>
    </row>
    <row r="956" spans="1:6" x14ac:dyDescent="0.3">
      <c r="A956" s="6" t="s">
        <v>956</v>
      </c>
      <c r="B956">
        <v>12593159</v>
      </c>
      <c r="C956" s="3">
        <v>7</v>
      </c>
      <c r="D956" s="5" t="str">
        <f t="shared" si="35"/>
        <v>07</v>
      </c>
      <c r="E956" t="str">
        <f>VLOOKUP(B956,'HOGARES-BASELINE'!$B:$I,8,FALSE)</f>
        <v>00030256</v>
      </c>
      <c r="F956" s="6" t="str">
        <f t="shared" si="34"/>
        <v>0003025607</v>
      </c>
    </row>
    <row r="957" spans="1:6" x14ac:dyDescent="0.3">
      <c r="A957" s="6" t="s">
        <v>957</v>
      </c>
      <c r="B957">
        <v>12593159</v>
      </c>
      <c r="C957" s="3">
        <v>1</v>
      </c>
      <c r="D957" s="5" t="str">
        <f t="shared" si="35"/>
        <v>01</v>
      </c>
      <c r="E957" t="str">
        <f>VLOOKUP(B957,'HOGARES-BASELINE'!$B:$I,8,FALSE)</f>
        <v>00030256</v>
      </c>
      <c r="F957" s="6" t="str">
        <f t="shared" si="34"/>
        <v>0003025601</v>
      </c>
    </row>
    <row r="958" spans="1:6" x14ac:dyDescent="0.3">
      <c r="A958" s="6" t="s">
        <v>958</v>
      </c>
      <c r="B958">
        <v>12593159</v>
      </c>
      <c r="C958" s="3">
        <v>2</v>
      </c>
      <c r="D958" s="5" t="str">
        <f t="shared" si="35"/>
        <v>02</v>
      </c>
      <c r="E958" t="str">
        <f>VLOOKUP(B958,'HOGARES-BASELINE'!$B:$I,8,FALSE)</f>
        <v>00030256</v>
      </c>
      <c r="F958" s="6" t="str">
        <f t="shared" si="34"/>
        <v>0003025602</v>
      </c>
    </row>
    <row r="959" spans="1:6" x14ac:dyDescent="0.3">
      <c r="A959" s="6" t="s">
        <v>959</v>
      </c>
      <c r="B959">
        <v>12593159</v>
      </c>
      <c r="C959" s="3">
        <v>3</v>
      </c>
      <c r="D959" s="5" t="str">
        <f t="shared" si="35"/>
        <v>03</v>
      </c>
      <c r="E959" t="str">
        <f>VLOOKUP(B959,'HOGARES-BASELINE'!$B:$I,8,FALSE)</f>
        <v>00030256</v>
      </c>
      <c r="F959" s="6" t="str">
        <f t="shared" si="34"/>
        <v>0003025603</v>
      </c>
    </row>
    <row r="960" spans="1:6" x14ac:dyDescent="0.3">
      <c r="A960" s="6" t="s">
        <v>960</v>
      </c>
      <c r="B960">
        <v>12621053</v>
      </c>
      <c r="C960" s="3">
        <v>1</v>
      </c>
      <c r="D960" s="5" t="str">
        <f t="shared" si="35"/>
        <v>01</v>
      </c>
      <c r="E960" t="str">
        <f>VLOOKUP(B960,'HOGARES-BASELINE'!$B:$I,8,FALSE)</f>
        <v>00030257</v>
      </c>
      <c r="F960" s="6" t="str">
        <f t="shared" si="34"/>
        <v>0003025701</v>
      </c>
    </row>
    <row r="961" spans="1:6" x14ac:dyDescent="0.3">
      <c r="A961" s="6" t="s">
        <v>961</v>
      </c>
      <c r="B961">
        <v>12621053</v>
      </c>
      <c r="C961" s="3">
        <v>3</v>
      </c>
      <c r="D961" s="5" t="str">
        <f t="shared" si="35"/>
        <v>03</v>
      </c>
      <c r="E961" t="str">
        <f>VLOOKUP(B961,'HOGARES-BASELINE'!$B:$I,8,FALSE)</f>
        <v>00030257</v>
      </c>
      <c r="F961" s="6" t="str">
        <f t="shared" si="34"/>
        <v>0003025703</v>
      </c>
    </row>
    <row r="962" spans="1:6" x14ac:dyDescent="0.3">
      <c r="A962" s="6" t="s">
        <v>962</v>
      </c>
      <c r="B962">
        <v>12621053</v>
      </c>
      <c r="C962" s="3">
        <v>2</v>
      </c>
      <c r="D962" s="5" t="str">
        <f t="shared" si="35"/>
        <v>02</v>
      </c>
      <c r="E962" t="str">
        <f>VLOOKUP(B962,'HOGARES-BASELINE'!$B:$I,8,FALSE)</f>
        <v>00030257</v>
      </c>
      <c r="F962" s="6" t="str">
        <f t="shared" si="34"/>
        <v>0003025702</v>
      </c>
    </row>
    <row r="963" spans="1:6" x14ac:dyDescent="0.3">
      <c r="A963" s="6" t="s">
        <v>963</v>
      </c>
      <c r="B963">
        <v>12798984</v>
      </c>
      <c r="C963" s="3">
        <v>3</v>
      </c>
      <c r="D963" s="5" t="str">
        <f t="shared" si="35"/>
        <v>03</v>
      </c>
      <c r="E963" t="str">
        <f>VLOOKUP(B963,'HOGARES-BASELINE'!$B:$I,8,FALSE)</f>
        <v>01020258</v>
      </c>
      <c r="F963" s="6" t="str">
        <f t="shared" ref="F963:F1026" si="36">_xlfn.CONCAT(E963,D963)</f>
        <v>0102025803</v>
      </c>
    </row>
    <row r="964" spans="1:6" x14ac:dyDescent="0.3">
      <c r="A964" s="6" t="s">
        <v>964</v>
      </c>
      <c r="B964">
        <v>12798984</v>
      </c>
      <c r="C964" s="3">
        <v>2</v>
      </c>
      <c r="D964" s="5" t="str">
        <f t="shared" si="35"/>
        <v>02</v>
      </c>
      <c r="E964" t="str">
        <f>VLOOKUP(B964,'HOGARES-BASELINE'!$B:$I,8,FALSE)</f>
        <v>01020258</v>
      </c>
      <c r="F964" s="6" t="str">
        <f t="shared" si="36"/>
        <v>0102025802</v>
      </c>
    </row>
    <row r="965" spans="1:6" x14ac:dyDescent="0.3">
      <c r="A965" s="6" t="s">
        <v>965</v>
      </c>
      <c r="B965">
        <v>12798984</v>
      </c>
      <c r="C965" s="3">
        <v>1</v>
      </c>
      <c r="D965" s="5" t="str">
        <f t="shared" si="35"/>
        <v>01</v>
      </c>
      <c r="E965" t="str">
        <f>VLOOKUP(B965,'HOGARES-BASELINE'!$B:$I,8,FALSE)</f>
        <v>01020258</v>
      </c>
      <c r="F965" s="6" t="str">
        <f t="shared" si="36"/>
        <v>0102025801</v>
      </c>
    </row>
    <row r="966" spans="1:6" x14ac:dyDescent="0.3">
      <c r="A966" s="6" t="s">
        <v>966</v>
      </c>
      <c r="B966">
        <v>12798984</v>
      </c>
      <c r="C966" s="3">
        <v>4</v>
      </c>
      <c r="D966" s="5" t="str">
        <f t="shared" si="35"/>
        <v>04</v>
      </c>
      <c r="E966" t="str">
        <f>VLOOKUP(B966,'HOGARES-BASELINE'!$B:$I,8,FALSE)</f>
        <v>01020258</v>
      </c>
      <c r="F966" s="6" t="str">
        <f t="shared" si="36"/>
        <v>0102025804</v>
      </c>
    </row>
    <row r="967" spans="1:6" x14ac:dyDescent="0.3">
      <c r="A967" s="6" t="s">
        <v>967</v>
      </c>
      <c r="B967">
        <v>13665069</v>
      </c>
      <c r="C967" s="3">
        <v>2</v>
      </c>
      <c r="D967" s="5" t="str">
        <f t="shared" si="35"/>
        <v>02</v>
      </c>
      <c r="E967" t="str">
        <f>VLOOKUP(B967,'HOGARES-BASELINE'!$B:$I,8,FALSE)</f>
        <v>01030259</v>
      </c>
      <c r="F967" s="6" t="str">
        <f t="shared" si="36"/>
        <v>0103025902</v>
      </c>
    </row>
    <row r="968" spans="1:6" x14ac:dyDescent="0.3">
      <c r="A968" s="6" t="s">
        <v>968</v>
      </c>
      <c r="B968">
        <v>13665069</v>
      </c>
      <c r="C968" s="3">
        <v>1</v>
      </c>
      <c r="D968" s="5" t="str">
        <f t="shared" si="35"/>
        <v>01</v>
      </c>
      <c r="E968" t="str">
        <f>VLOOKUP(B968,'HOGARES-BASELINE'!$B:$I,8,FALSE)</f>
        <v>01030259</v>
      </c>
      <c r="F968" s="6" t="str">
        <f t="shared" si="36"/>
        <v>0103025901</v>
      </c>
    </row>
    <row r="969" spans="1:6" x14ac:dyDescent="0.3">
      <c r="A969" s="6" t="s">
        <v>969</v>
      </c>
      <c r="B969">
        <v>1381356</v>
      </c>
      <c r="C969" s="3">
        <v>1</v>
      </c>
      <c r="D969" s="5" t="str">
        <f t="shared" si="35"/>
        <v>01</v>
      </c>
      <c r="E969" t="str">
        <f>VLOOKUP(B969,'HOGARES-BASELINE'!$B:$I,8,FALSE)</f>
        <v>01020260</v>
      </c>
      <c r="F969" s="6" t="str">
        <f t="shared" si="36"/>
        <v>0102026001</v>
      </c>
    </row>
    <row r="970" spans="1:6" x14ac:dyDescent="0.3">
      <c r="A970" s="6" t="s">
        <v>970</v>
      </c>
      <c r="B970">
        <v>1381356</v>
      </c>
      <c r="C970" s="3">
        <v>2</v>
      </c>
      <c r="D970" s="5" t="str">
        <f t="shared" si="35"/>
        <v>02</v>
      </c>
      <c r="E970" t="str">
        <f>VLOOKUP(B970,'HOGARES-BASELINE'!$B:$I,8,FALSE)</f>
        <v>01020260</v>
      </c>
      <c r="F970" s="6" t="str">
        <f t="shared" si="36"/>
        <v>0102026002</v>
      </c>
    </row>
    <row r="971" spans="1:6" x14ac:dyDescent="0.3">
      <c r="A971" s="6" t="s">
        <v>971</v>
      </c>
      <c r="B971">
        <v>14440058</v>
      </c>
      <c r="C971" s="3">
        <v>1</v>
      </c>
      <c r="D971" s="5" t="str">
        <f t="shared" si="35"/>
        <v>01</v>
      </c>
      <c r="E971" t="str">
        <f>VLOOKUP(B971,'HOGARES-BASELINE'!$B:$I,8,FALSE)</f>
        <v>00020261</v>
      </c>
      <c r="F971" s="6" t="str">
        <f t="shared" si="36"/>
        <v>0002026101</v>
      </c>
    </row>
    <row r="972" spans="1:6" x14ac:dyDescent="0.3">
      <c r="A972" s="6" t="s">
        <v>972</v>
      </c>
      <c r="B972">
        <v>14446046</v>
      </c>
      <c r="C972" s="3">
        <v>3</v>
      </c>
      <c r="D972" s="5" t="str">
        <f t="shared" si="35"/>
        <v>03</v>
      </c>
      <c r="E972" t="str">
        <f>VLOOKUP(B972,'HOGARES-BASELINE'!$B:$I,8,FALSE)</f>
        <v>01020262</v>
      </c>
      <c r="F972" s="6" t="str">
        <f t="shared" si="36"/>
        <v>0102026203</v>
      </c>
    </row>
    <row r="973" spans="1:6" x14ac:dyDescent="0.3">
      <c r="A973" s="6" t="s">
        <v>973</v>
      </c>
      <c r="B973">
        <v>14446046</v>
      </c>
      <c r="C973" s="3">
        <v>5</v>
      </c>
      <c r="D973" s="5" t="str">
        <f t="shared" si="35"/>
        <v>05</v>
      </c>
      <c r="E973" t="str">
        <f>VLOOKUP(B973,'HOGARES-BASELINE'!$B:$I,8,FALSE)</f>
        <v>01020262</v>
      </c>
      <c r="F973" s="6" t="str">
        <f t="shared" si="36"/>
        <v>0102026205</v>
      </c>
    </row>
    <row r="974" spans="1:6" x14ac:dyDescent="0.3">
      <c r="A974" s="6" t="s">
        <v>974</v>
      </c>
      <c r="B974">
        <v>14446046</v>
      </c>
      <c r="C974" s="3">
        <v>1</v>
      </c>
      <c r="D974" s="5" t="str">
        <f t="shared" si="35"/>
        <v>01</v>
      </c>
      <c r="E974" t="str">
        <f>VLOOKUP(B974,'HOGARES-BASELINE'!$B:$I,8,FALSE)</f>
        <v>01020262</v>
      </c>
      <c r="F974" s="6" t="str">
        <f t="shared" si="36"/>
        <v>0102026201</v>
      </c>
    </row>
    <row r="975" spans="1:6" x14ac:dyDescent="0.3">
      <c r="A975" s="6" t="s">
        <v>975</v>
      </c>
      <c r="B975">
        <v>14446046</v>
      </c>
      <c r="C975" s="3">
        <v>4</v>
      </c>
      <c r="D975" s="5" t="str">
        <f t="shared" si="35"/>
        <v>04</v>
      </c>
      <c r="E975" t="str">
        <f>VLOOKUP(B975,'HOGARES-BASELINE'!$B:$I,8,FALSE)</f>
        <v>01020262</v>
      </c>
      <c r="F975" s="6" t="str">
        <f t="shared" si="36"/>
        <v>0102026204</v>
      </c>
    </row>
    <row r="976" spans="1:6" x14ac:dyDescent="0.3">
      <c r="A976" s="6" t="s">
        <v>976</v>
      </c>
      <c r="B976">
        <v>14446046</v>
      </c>
      <c r="C976" s="3">
        <v>2</v>
      </c>
      <c r="D976" s="5" t="str">
        <f t="shared" si="35"/>
        <v>02</v>
      </c>
      <c r="E976" t="str">
        <f>VLOOKUP(B976,'HOGARES-BASELINE'!$B:$I,8,FALSE)</f>
        <v>01020262</v>
      </c>
      <c r="F976" s="6" t="str">
        <f t="shared" si="36"/>
        <v>0102026202</v>
      </c>
    </row>
    <row r="977" spans="1:6" x14ac:dyDescent="0.3">
      <c r="A977" s="6" t="s">
        <v>977</v>
      </c>
      <c r="B977">
        <v>14465565</v>
      </c>
      <c r="C977" s="3">
        <v>2</v>
      </c>
      <c r="D977" s="5" t="str">
        <f t="shared" si="35"/>
        <v>02</v>
      </c>
      <c r="E977" t="str">
        <f>VLOOKUP(B977,'HOGARES-BASELINE'!$B:$I,8,FALSE)</f>
        <v>00020263</v>
      </c>
      <c r="F977" s="6" t="str">
        <f t="shared" si="36"/>
        <v>0002026302</v>
      </c>
    </row>
    <row r="978" spans="1:6" x14ac:dyDescent="0.3">
      <c r="A978" s="6" t="s">
        <v>978</v>
      </c>
      <c r="B978">
        <v>14465565</v>
      </c>
      <c r="C978" s="3">
        <v>5</v>
      </c>
      <c r="D978" s="5" t="str">
        <f t="shared" si="35"/>
        <v>05</v>
      </c>
      <c r="E978" t="str">
        <f>VLOOKUP(B978,'HOGARES-BASELINE'!$B:$I,8,FALSE)</f>
        <v>00020263</v>
      </c>
      <c r="F978" s="6" t="str">
        <f t="shared" si="36"/>
        <v>0002026305</v>
      </c>
    </row>
    <row r="979" spans="1:6" x14ac:dyDescent="0.3">
      <c r="A979" s="6" t="s">
        <v>979</v>
      </c>
      <c r="B979">
        <v>14465565</v>
      </c>
      <c r="C979" s="3">
        <v>4</v>
      </c>
      <c r="D979" s="5" t="str">
        <f t="shared" si="35"/>
        <v>04</v>
      </c>
      <c r="E979" t="str">
        <f>VLOOKUP(B979,'HOGARES-BASELINE'!$B:$I,8,FALSE)</f>
        <v>00020263</v>
      </c>
      <c r="F979" s="6" t="str">
        <f t="shared" si="36"/>
        <v>0002026304</v>
      </c>
    </row>
    <row r="980" spans="1:6" x14ac:dyDescent="0.3">
      <c r="A980" s="6" t="s">
        <v>980</v>
      </c>
      <c r="B980">
        <v>14465565</v>
      </c>
      <c r="C980" s="3">
        <v>3</v>
      </c>
      <c r="D980" s="5" t="str">
        <f t="shared" si="35"/>
        <v>03</v>
      </c>
      <c r="E980" t="str">
        <f>VLOOKUP(B980,'HOGARES-BASELINE'!$B:$I,8,FALSE)</f>
        <v>00020263</v>
      </c>
      <c r="F980" s="6" t="str">
        <f t="shared" si="36"/>
        <v>0002026303</v>
      </c>
    </row>
    <row r="981" spans="1:6" x14ac:dyDescent="0.3">
      <c r="A981" s="6" t="s">
        <v>981</v>
      </c>
      <c r="B981">
        <v>14465565</v>
      </c>
      <c r="C981" s="3">
        <v>1</v>
      </c>
      <c r="D981" s="5" t="str">
        <f t="shared" si="35"/>
        <v>01</v>
      </c>
      <c r="E981" t="str">
        <f>VLOOKUP(B981,'HOGARES-BASELINE'!$B:$I,8,FALSE)</f>
        <v>00020263</v>
      </c>
      <c r="F981" s="6" t="str">
        <f t="shared" si="36"/>
        <v>0002026301</v>
      </c>
    </row>
    <row r="982" spans="1:6" x14ac:dyDescent="0.3">
      <c r="A982" s="6" t="s">
        <v>982</v>
      </c>
      <c r="B982">
        <v>14468000</v>
      </c>
      <c r="C982" s="3">
        <v>2</v>
      </c>
      <c r="D982" s="5" t="str">
        <f t="shared" si="35"/>
        <v>02</v>
      </c>
      <c r="E982" t="str">
        <f>VLOOKUP(B982,'HOGARES-BASELINE'!$B:$I,8,FALSE)</f>
        <v>01020264</v>
      </c>
      <c r="F982" s="6" t="str">
        <f t="shared" si="36"/>
        <v>0102026402</v>
      </c>
    </row>
    <row r="983" spans="1:6" x14ac:dyDescent="0.3">
      <c r="A983" s="6" t="s">
        <v>983</v>
      </c>
      <c r="B983">
        <v>14468000</v>
      </c>
      <c r="C983" s="3">
        <v>1</v>
      </c>
      <c r="D983" s="5" t="str">
        <f t="shared" si="35"/>
        <v>01</v>
      </c>
      <c r="E983" t="str">
        <f>VLOOKUP(B983,'HOGARES-BASELINE'!$B:$I,8,FALSE)</f>
        <v>01020264</v>
      </c>
      <c r="F983" s="6" t="str">
        <f t="shared" si="36"/>
        <v>0102026401</v>
      </c>
    </row>
    <row r="984" spans="1:6" x14ac:dyDescent="0.3">
      <c r="A984" s="6" t="s">
        <v>984</v>
      </c>
      <c r="B984">
        <v>14469075</v>
      </c>
      <c r="C984" s="3">
        <v>1</v>
      </c>
      <c r="D984" s="5" t="str">
        <f t="shared" si="35"/>
        <v>01</v>
      </c>
      <c r="E984" t="str">
        <f>VLOOKUP(B984,'HOGARES-BASELINE'!$B:$I,8,FALSE)</f>
        <v>01020265</v>
      </c>
      <c r="F984" s="6" t="str">
        <f t="shared" si="36"/>
        <v>0102026501</v>
      </c>
    </row>
    <row r="985" spans="1:6" x14ac:dyDescent="0.3">
      <c r="A985" s="6" t="s">
        <v>985</v>
      </c>
      <c r="B985">
        <v>14940320</v>
      </c>
      <c r="C985" s="3">
        <v>2</v>
      </c>
      <c r="D985" s="5" t="str">
        <f t="shared" si="35"/>
        <v>02</v>
      </c>
      <c r="E985" t="str">
        <f>VLOOKUP(B985,'HOGARES-BASELINE'!$B:$I,8,FALSE)</f>
        <v>00020266</v>
      </c>
      <c r="F985" s="6" t="str">
        <f t="shared" si="36"/>
        <v>0002026602</v>
      </c>
    </row>
    <row r="986" spans="1:6" x14ac:dyDescent="0.3">
      <c r="A986" s="6" t="s">
        <v>986</v>
      </c>
      <c r="B986">
        <v>14940320</v>
      </c>
      <c r="C986" s="3">
        <v>1</v>
      </c>
      <c r="D986" s="5" t="str">
        <f t="shared" si="35"/>
        <v>01</v>
      </c>
      <c r="E986" t="str">
        <f>VLOOKUP(B986,'HOGARES-BASELINE'!$B:$I,8,FALSE)</f>
        <v>00020266</v>
      </c>
      <c r="F986" s="6" t="str">
        <f t="shared" si="36"/>
        <v>0002026601</v>
      </c>
    </row>
    <row r="987" spans="1:6" x14ac:dyDescent="0.3">
      <c r="A987" s="6" t="s">
        <v>987</v>
      </c>
      <c r="B987">
        <v>14947608</v>
      </c>
      <c r="C987" s="3">
        <v>2</v>
      </c>
      <c r="D987" s="5" t="str">
        <f t="shared" si="35"/>
        <v>02</v>
      </c>
      <c r="E987" t="str">
        <f>VLOOKUP(B987,'HOGARES-BASELINE'!$B:$I,8,FALSE)</f>
        <v>00020267</v>
      </c>
      <c r="F987" s="6" t="str">
        <f t="shared" si="36"/>
        <v>0002026702</v>
      </c>
    </row>
    <row r="988" spans="1:6" x14ac:dyDescent="0.3">
      <c r="A988" s="6" t="s">
        <v>988</v>
      </c>
      <c r="B988">
        <v>14947608</v>
      </c>
      <c r="C988" s="3">
        <v>1</v>
      </c>
      <c r="D988" s="5" t="str">
        <f t="shared" si="35"/>
        <v>01</v>
      </c>
      <c r="E988" t="str">
        <f>VLOOKUP(B988,'HOGARES-BASELINE'!$B:$I,8,FALSE)</f>
        <v>00020267</v>
      </c>
      <c r="F988" s="6" t="str">
        <f t="shared" si="36"/>
        <v>0002026701</v>
      </c>
    </row>
    <row r="989" spans="1:6" x14ac:dyDescent="0.3">
      <c r="A989" s="6" t="s">
        <v>989</v>
      </c>
      <c r="B989">
        <v>14949573</v>
      </c>
      <c r="C989" s="3">
        <v>1</v>
      </c>
      <c r="D989" s="5" t="str">
        <f t="shared" si="35"/>
        <v>01</v>
      </c>
      <c r="E989" t="str">
        <f>VLOOKUP(B989,'HOGARES-BASELINE'!$B:$I,8,FALSE)</f>
        <v>00020268</v>
      </c>
      <c r="F989" s="6" t="str">
        <f t="shared" si="36"/>
        <v>0002026801</v>
      </c>
    </row>
    <row r="990" spans="1:6" x14ac:dyDescent="0.3">
      <c r="A990" s="6" t="s">
        <v>990</v>
      </c>
      <c r="B990">
        <v>14960260</v>
      </c>
      <c r="C990" s="3">
        <v>2</v>
      </c>
      <c r="D990" s="5" t="str">
        <f t="shared" si="35"/>
        <v>02</v>
      </c>
      <c r="E990" t="str">
        <f>VLOOKUP(B990,'HOGARES-BASELINE'!$B:$I,8,FALSE)</f>
        <v>00020269</v>
      </c>
      <c r="F990" s="6" t="str">
        <f t="shared" si="36"/>
        <v>0002026902</v>
      </c>
    </row>
    <row r="991" spans="1:6" x14ac:dyDescent="0.3">
      <c r="A991" s="6" t="s">
        <v>991</v>
      </c>
      <c r="B991">
        <v>14960260</v>
      </c>
      <c r="C991" s="3">
        <v>1</v>
      </c>
      <c r="D991" s="5" t="str">
        <f t="shared" si="35"/>
        <v>01</v>
      </c>
      <c r="E991" t="str">
        <f>VLOOKUP(B991,'HOGARES-BASELINE'!$B:$I,8,FALSE)</f>
        <v>00020269</v>
      </c>
      <c r="F991" s="6" t="str">
        <f t="shared" si="36"/>
        <v>0002026901</v>
      </c>
    </row>
    <row r="992" spans="1:6" x14ac:dyDescent="0.3">
      <c r="A992" s="6" t="s">
        <v>992</v>
      </c>
      <c r="B992">
        <v>14960260</v>
      </c>
      <c r="C992" s="3">
        <v>3</v>
      </c>
      <c r="D992" s="5" t="str">
        <f t="shared" si="35"/>
        <v>03</v>
      </c>
      <c r="E992" t="str">
        <f>VLOOKUP(B992,'HOGARES-BASELINE'!$B:$I,8,FALSE)</f>
        <v>00020269</v>
      </c>
      <c r="F992" s="6" t="str">
        <f t="shared" si="36"/>
        <v>0002026903</v>
      </c>
    </row>
    <row r="993" spans="1:6" x14ac:dyDescent="0.3">
      <c r="A993" s="6" t="s">
        <v>993</v>
      </c>
      <c r="B993">
        <v>1522015</v>
      </c>
      <c r="C993" s="3">
        <v>2</v>
      </c>
      <c r="D993" s="5" t="str">
        <f t="shared" si="35"/>
        <v>02</v>
      </c>
      <c r="E993" t="str">
        <f>VLOOKUP(B993,'HOGARES-BASELINE'!$B:$I,8,FALSE)</f>
        <v>00020270</v>
      </c>
      <c r="F993" s="6" t="str">
        <f t="shared" si="36"/>
        <v>0002027002</v>
      </c>
    </row>
    <row r="994" spans="1:6" x14ac:dyDescent="0.3">
      <c r="A994" s="6" t="s">
        <v>994</v>
      </c>
      <c r="B994">
        <v>1522015</v>
      </c>
      <c r="C994" s="3">
        <v>4</v>
      </c>
      <c r="D994" s="5" t="str">
        <f t="shared" si="35"/>
        <v>04</v>
      </c>
      <c r="E994" t="str">
        <f>VLOOKUP(B994,'HOGARES-BASELINE'!$B:$I,8,FALSE)</f>
        <v>00020270</v>
      </c>
      <c r="F994" s="6" t="str">
        <f t="shared" si="36"/>
        <v>0002027004</v>
      </c>
    </row>
    <row r="995" spans="1:6" x14ac:dyDescent="0.3">
      <c r="A995" s="6" t="s">
        <v>995</v>
      </c>
      <c r="B995">
        <v>1522015</v>
      </c>
      <c r="C995" s="3">
        <v>3</v>
      </c>
      <c r="D995" s="5" t="str">
        <f t="shared" si="35"/>
        <v>03</v>
      </c>
      <c r="E995" t="str">
        <f>VLOOKUP(B995,'HOGARES-BASELINE'!$B:$I,8,FALSE)</f>
        <v>00020270</v>
      </c>
      <c r="F995" s="6" t="str">
        <f t="shared" si="36"/>
        <v>0002027003</v>
      </c>
    </row>
    <row r="996" spans="1:6" x14ac:dyDescent="0.3">
      <c r="A996" s="6" t="s">
        <v>996</v>
      </c>
      <c r="B996">
        <v>1522015</v>
      </c>
      <c r="C996" s="3">
        <v>1</v>
      </c>
      <c r="D996" s="5" t="str">
        <f t="shared" si="35"/>
        <v>01</v>
      </c>
      <c r="E996" t="str">
        <f>VLOOKUP(B996,'HOGARES-BASELINE'!$B:$I,8,FALSE)</f>
        <v>00020270</v>
      </c>
      <c r="F996" s="6" t="str">
        <f t="shared" si="36"/>
        <v>0002027001</v>
      </c>
    </row>
    <row r="997" spans="1:6" x14ac:dyDescent="0.3">
      <c r="A997" s="6" t="s">
        <v>997</v>
      </c>
      <c r="B997">
        <v>1522015</v>
      </c>
      <c r="C997" s="3">
        <v>5</v>
      </c>
      <c r="D997" s="5" t="str">
        <f t="shared" si="35"/>
        <v>05</v>
      </c>
      <c r="E997" t="str">
        <f>VLOOKUP(B997,'HOGARES-BASELINE'!$B:$I,8,FALSE)</f>
        <v>00020270</v>
      </c>
      <c r="F997" s="6" t="str">
        <f t="shared" si="36"/>
        <v>0002027005</v>
      </c>
    </row>
    <row r="998" spans="1:6" x14ac:dyDescent="0.3">
      <c r="A998" s="6" t="s">
        <v>998</v>
      </c>
      <c r="B998">
        <v>15609707</v>
      </c>
      <c r="C998" s="3">
        <v>1</v>
      </c>
      <c r="D998" s="5" t="str">
        <f t="shared" si="35"/>
        <v>01</v>
      </c>
      <c r="E998" t="str">
        <f>VLOOKUP(B998,'HOGARES-BASELINE'!$B:$I,8,FALSE)</f>
        <v>01020271</v>
      </c>
      <c r="F998" s="6" t="str">
        <f t="shared" si="36"/>
        <v>0102027101</v>
      </c>
    </row>
    <row r="999" spans="1:6" x14ac:dyDescent="0.3">
      <c r="A999" s="6" t="s">
        <v>999</v>
      </c>
      <c r="B999">
        <v>1586059</v>
      </c>
      <c r="C999" s="3">
        <v>1</v>
      </c>
      <c r="D999" s="5" t="str">
        <f t="shared" si="35"/>
        <v>01</v>
      </c>
      <c r="E999" t="str">
        <f>VLOOKUP(B999,'HOGARES-BASELINE'!$B:$I,8,FALSE)</f>
        <v>01020272</v>
      </c>
      <c r="F999" s="6" t="str">
        <f t="shared" si="36"/>
        <v>0102027201</v>
      </c>
    </row>
    <row r="1000" spans="1:6" x14ac:dyDescent="0.3">
      <c r="A1000" s="6" t="s">
        <v>1000</v>
      </c>
      <c r="B1000">
        <v>15901804</v>
      </c>
      <c r="C1000" s="3">
        <v>5</v>
      </c>
      <c r="D1000" s="5" t="str">
        <f t="shared" si="35"/>
        <v>05</v>
      </c>
      <c r="E1000" t="str">
        <f>VLOOKUP(B1000,'HOGARES-BASELINE'!$B:$I,8,FALSE)</f>
        <v>01020273</v>
      </c>
      <c r="F1000" s="6" t="str">
        <f t="shared" si="36"/>
        <v>0102027305</v>
      </c>
    </row>
    <row r="1001" spans="1:6" x14ac:dyDescent="0.3">
      <c r="A1001" s="6" t="s">
        <v>1001</v>
      </c>
      <c r="B1001">
        <v>15901804</v>
      </c>
      <c r="C1001" s="3">
        <v>1</v>
      </c>
      <c r="D1001" s="5" t="str">
        <f t="shared" si="35"/>
        <v>01</v>
      </c>
      <c r="E1001" t="str">
        <f>VLOOKUP(B1001,'HOGARES-BASELINE'!$B:$I,8,FALSE)</f>
        <v>01020273</v>
      </c>
      <c r="F1001" s="6" t="str">
        <f t="shared" si="36"/>
        <v>0102027301</v>
      </c>
    </row>
    <row r="1002" spans="1:6" x14ac:dyDescent="0.3">
      <c r="A1002" s="6" t="s">
        <v>1002</v>
      </c>
      <c r="B1002">
        <v>15901804</v>
      </c>
      <c r="C1002" s="3">
        <v>3</v>
      </c>
      <c r="D1002" s="5" t="str">
        <f t="shared" si="35"/>
        <v>03</v>
      </c>
      <c r="E1002" t="str">
        <f>VLOOKUP(B1002,'HOGARES-BASELINE'!$B:$I,8,FALSE)</f>
        <v>01020273</v>
      </c>
      <c r="F1002" s="6" t="str">
        <f t="shared" si="36"/>
        <v>0102027303</v>
      </c>
    </row>
    <row r="1003" spans="1:6" x14ac:dyDescent="0.3">
      <c r="A1003" s="6" t="s">
        <v>1003</v>
      </c>
      <c r="B1003">
        <v>15901804</v>
      </c>
      <c r="C1003" s="3">
        <v>4</v>
      </c>
      <c r="D1003" s="5" t="str">
        <f t="shared" si="35"/>
        <v>04</v>
      </c>
      <c r="E1003" t="str">
        <f>VLOOKUP(B1003,'HOGARES-BASELINE'!$B:$I,8,FALSE)</f>
        <v>01020273</v>
      </c>
      <c r="F1003" s="6" t="str">
        <f t="shared" si="36"/>
        <v>0102027304</v>
      </c>
    </row>
    <row r="1004" spans="1:6" x14ac:dyDescent="0.3">
      <c r="A1004" s="6" t="s">
        <v>1004</v>
      </c>
      <c r="B1004">
        <v>15901804</v>
      </c>
      <c r="C1004" s="3">
        <v>2</v>
      </c>
      <c r="D1004" s="5" t="str">
        <f t="shared" si="35"/>
        <v>02</v>
      </c>
      <c r="E1004" t="str">
        <f>VLOOKUP(B1004,'HOGARES-BASELINE'!$B:$I,8,FALSE)</f>
        <v>01020273</v>
      </c>
      <c r="F1004" s="6" t="str">
        <f t="shared" si="36"/>
        <v>0102027302</v>
      </c>
    </row>
    <row r="1005" spans="1:6" x14ac:dyDescent="0.3">
      <c r="A1005" s="6" t="s">
        <v>1005</v>
      </c>
      <c r="B1005">
        <v>15906342</v>
      </c>
      <c r="C1005" s="3">
        <v>3</v>
      </c>
      <c r="D1005" s="5" t="str">
        <f t="shared" si="35"/>
        <v>03</v>
      </c>
      <c r="E1005" t="str">
        <f>VLOOKUP(B1005,'HOGARES-BASELINE'!$B:$I,8,FALSE)</f>
        <v>01020274</v>
      </c>
      <c r="F1005" s="6" t="str">
        <f t="shared" si="36"/>
        <v>0102027403</v>
      </c>
    </row>
    <row r="1006" spans="1:6" x14ac:dyDescent="0.3">
      <c r="A1006" s="6" t="s">
        <v>1006</v>
      </c>
      <c r="B1006">
        <v>15906342</v>
      </c>
      <c r="C1006" s="3">
        <v>1</v>
      </c>
      <c r="D1006" s="5" t="str">
        <f t="shared" si="35"/>
        <v>01</v>
      </c>
      <c r="E1006" t="str">
        <f>VLOOKUP(B1006,'HOGARES-BASELINE'!$B:$I,8,FALSE)</f>
        <v>01020274</v>
      </c>
      <c r="F1006" s="6" t="str">
        <f t="shared" si="36"/>
        <v>0102027401</v>
      </c>
    </row>
    <row r="1007" spans="1:6" x14ac:dyDescent="0.3">
      <c r="A1007" s="6" t="s">
        <v>1007</v>
      </c>
      <c r="B1007">
        <v>15906342</v>
      </c>
      <c r="C1007" s="3">
        <v>2</v>
      </c>
      <c r="D1007" s="5" t="str">
        <f t="shared" si="35"/>
        <v>02</v>
      </c>
      <c r="E1007" t="str">
        <f>VLOOKUP(B1007,'HOGARES-BASELINE'!$B:$I,8,FALSE)</f>
        <v>01020274</v>
      </c>
      <c r="F1007" s="6" t="str">
        <f t="shared" si="36"/>
        <v>0102027402</v>
      </c>
    </row>
    <row r="1008" spans="1:6" x14ac:dyDescent="0.3">
      <c r="A1008" s="6" t="s">
        <v>1008</v>
      </c>
      <c r="B1008">
        <v>16281450</v>
      </c>
      <c r="C1008" s="3">
        <v>1</v>
      </c>
      <c r="D1008" s="5" t="str">
        <f t="shared" ref="D1008:D1071" si="37">_xlfn.CONCAT(0,C1008)</f>
        <v>01</v>
      </c>
      <c r="E1008" t="str">
        <f>VLOOKUP(B1008,'HOGARES-BASELINE'!$B:$I,8,FALSE)</f>
        <v>00020275</v>
      </c>
      <c r="F1008" s="6" t="str">
        <f t="shared" si="36"/>
        <v>0002027501</v>
      </c>
    </row>
    <row r="1009" spans="1:6" x14ac:dyDescent="0.3">
      <c r="A1009" s="6" t="s">
        <v>1009</v>
      </c>
      <c r="B1009">
        <v>16281450</v>
      </c>
      <c r="C1009" s="3">
        <v>2</v>
      </c>
      <c r="D1009" s="5" t="str">
        <f t="shared" si="37"/>
        <v>02</v>
      </c>
      <c r="E1009" t="str">
        <f>VLOOKUP(B1009,'HOGARES-BASELINE'!$B:$I,8,FALSE)</f>
        <v>00020275</v>
      </c>
      <c r="F1009" s="6" t="str">
        <f t="shared" si="36"/>
        <v>0002027502</v>
      </c>
    </row>
    <row r="1010" spans="1:6" x14ac:dyDescent="0.3">
      <c r="A1010" s="6" t="s">
        <v>1010</v>
      </c>
      <c r="B1010">
        <v>16582114</v>
      </c>
      <c r="C1010" s="3">
        <v>2</v>
      </c>
      <c r="D1010" s="5" t="str">
        <f t="shared" si="37"/>
        <v>02</v>
      </c>
      <c r="E1010" t="str">
        <f>VLOOKUP(B1010,'HOGARES-BASELINE'!$B:$I,8,FALSE)</f>
        <v>00020276</v>
      </c>
      <c r="F1010" s="6" t="str">
        <f t="shared" si="36"/>
        <v>0002027602</v>
      </c>
    </row>
    <row r="1011" spans="1:6" x14ac:dyDescent="0.3">
      <c r="A1011" s="6" t="s">
        <v>1011</v>
      </c>
      <c r="B1011">
        <v>16582114</v>
      </c>
      <c r="C1011" s="3">
        <v>1</v>
      </c>
      <c r="D1011" s="5" t="str">
        <f t="shared" si="37"/>
        <v>01</v>
      </c>
      <c r="E1011" t="str">
        <f>VLOOKUP(B1011,'HOGARES-BASELINE'!$B:$I,8,FALSE)</f>
        <v>00020276</v>
      </c>
      <c r="F1011" s="6" t="str">
        <f t="shared" si="36"/>
        <v>0002027601</v>
      </c>
    </row>
    <row r="1012" spans="1:6" x14ac:dyDescent="0.3">
      <c r="A1012" s="6" t="s">
        <v>1012</v>
      </c>
      <c r="B1012">
        <v>16591744</v>
      </c>
      <c r="C1012" s="3">
        <v>2</v>
      </c>
      <c r="D1012" s="5" t="str">
        <f t="shared" si="37"/>
        <v>02</v>
      </c>
      <c r="E1012" t="str">
        <f>VLOOKUP(B1012,'HOGARES-BASELINE'!$B:$I,8,FALSE)</f>
        <v>00020277</v>
      </c>
      <c r="F1012" s="6" t="str">
        <f t="shared" si="36"/>
        <v>0002027702</v>
      </c>
    </row>
    <row r="1013" spans="1:6" x14ac:dyDescent="0.3">
      <c r="A1013" s="6" t="s">
        <v>1013</v>
      </c>
      <c r="B1013">
        <v>16591744</v>
      </c>
      <c r="C1013" s="3">
        <v>1</v>
      </c>
      <c r="D1013" s="5" t="str">
        <f t="shared" si="37"/>
        <v>01</v>
      </c>
      <c r="E1013" t="str">
        <f>VLOOKUP(B1013,'HOGARES-BASELINE'!$B:$I,8,FALSE)</f>
        <v>00020277</v>
      </c>
      <c r="F1013" s="6" t="str">
        <f t="shared" si="36"/>
        <v>0002027701</v>
      </c>
    </row>
    <row r="1014" spans="1:6" x14ac:dyDescent="0.3">
      <c r="A1014" s="6" t="s">
        <v>1014</v>
      </c>
      <c r="B1014">
        <v>16591848</v>
      </c>
      <c r="C1014" s="3">
        <v>2</v>
      </c>
      <c r="D1014" s="5" t="str">
        <f t="shared" si="37"/>
        <v>02</v>
      </c>
      <c r="E1014" t="str">
        <f>VLOOKUP(B1014,'HOGARES-BASELINE'!$B:$I,8,FALSE)</f>
        <v>01020278</v>
      </c>
      <c r="F1014" s="6" t="str">
        <f t="shared" si="36"/>
        <v>0102027802</v>
      </c>
    </row>
    <row r="1015" spans="1:6" x14ac:dyDescent="0.3">
      <c r="A1015" s="6" t="s">
        <v>1015</v>
      </c>
      <c r="B1015">
        <v>16591848</v>
      </c>
      <c r="C1015" s="3">
        <v>1</v>
      </c>
      <c r="D1015" s="5" t="str">
        <f t="shared" si="37"/>
        <v>01</v>
      </c>
      <c r="E1015" t="str">
        <f>VLOOKUP(B1015,'HOGARES-BASELINE'!$B:$I,8,FALSE)</f>
        <v>01020278</v>
      </c>
      <c r="F1015" s="6" t="str">
        <f t="shared" si="36"/>
        <v>0102027801</v>
      </c>
    </row>
    <row r="1016" spans="1:6" x14ac:dyDescent="0.3">
      <c r="A1016" s="6" t="s">
        <v>1016</v>
      </c>
      <c r="B1016">
        <v>16607117</v>
      </c>
      <c r="C1016" s="3">
        <v>2</v>
      </c>
      <c r="D1016" s="5" t="str">
        <f t="shared" si="37"/>
        <v>02</v>
      </c>
      <c r="E1016" t="str">
        <f>VLOOKUP(B1016,'HOGARES-BASELINE'!$B:$I,8,FALSE)</f>
        <v>00020279</v>
      </c>
      <c r="F1016" s="6" t="str">
        <f t="shared" si="36"/>
        <v>0002027902</v>
      </c>
    </row>
    <row r="1017" spans="1:6" x14ac:dyDescent="0.3">
      <c r="A1017" s="6" t="s">
        <v>1017</v>
      </c>
      <c r="B1017">
        <v>16607117</v>
      </c>
      <c r="C1017" s="3">
        <v>1</v>
      </c>
      <c r="D1017" s="5" t="str">
        <f t="shared" si="37"/>
        <v>01</v>
      </c>
      <c r="E1017" t="str">
        <f>VLOOKUP(B1017,'HOGARES-BASELINE'!$B:$I,8,FALSE)</f>
        <v>00020279</v>
      </c>
      <c r="F1017" s="6" t="str">
        <f t="shared" si="36"/>
        <v>0002027901</v>
      </c>
    </row>
    <row r="1018" spans="1:6" x14ac:dyDescent="0.3">
      <c r="A1018" s="6" t="s">
        <v>1018</v>
      </c>
      <c r="B1018">
        <v>16633533</v>
      </c>
      <c r="C1018" s="3">
        <v>3</v>
      </c>
      <c r="D1018" s="5" t="str">
        <f t="shared" si="37"/>
        <v>03</v>
      </c>
      <c r="E1018" t="str">
        <f>VLOOKUP(B1018,'HOGARES-BASELINE'!$B:$I,8,FALSE)</f>
        <v>00020280</v>
      </c>
      <c r="F1018" s="6" t="str">
        <f t="shared" si="36"/>
        <v>0002028003</v>
      </c>
    </row>
    <row r="1019" spans="1:6" x14ac:dyDescent="0.3">
      <c r="A1019" s="6" t="s">
        <v>1019</v>
      </c>
      <c r="B1019">
        <v>16633533</v>
      </c>
      <c r="C1019" s="3">
        <v>7</v>
      </c>
      <c r="D1019" s="5" t="str">
        <f t="shared" si="37"/>
        <v>07</v>
      </c>
      <c r="E1019" t="str">
        <f>VLOOKUP(B1019,'HOGARES-BASELINE'!$B:$I,8,FALSE)</f>
        <v>00020280</v>
      </c>
      <c r="F1019" s="6" t="str">
        <f t="shared" si="36"/>
        <v>0002028007</v>
      </c>
    </row>
    <row r="1020" spans="1:6" x14ac:dyDescent="0.3">
      <c r="A1020" s="6" t="s">
        <v>1020</v>
      </c>
      <c r="B1020">
        <v>16633533</v>
      </c>
      <c r="C1020" s="3">
        <v>5</v>
      </c>
      <c r="D1020" s="5" t="str">
        <f t="shared" si="37"/>
        <v>05</v>
      </c>
      <c r="E1020" t="str">
        <f>VLOOKUP(B1020,'HOGARES-BASELINE'!$B:$I,8,FALSE)</f>
        <v>00020280</v>
      </c>
      <c r="F1020" s="6" t="str">
        <f t="shared" si="36"/>
        <v>0002028005</v>
      </c>
    </row>
    <row r="1021" spans="1:6" x14ac:dyDescent="0.3">
      <c r="A1021" s="6" t="s">
        <v>1021</v>
      </c>
      <c r="B1021">
        <v>16633533</v>
      </c>
      <c r="C1021" s="3">
        <v>8</v>
      </c>
      <c r="D1021" s="5" t="str">
        <f t="shared" si="37"/>
        <v>08</v>
      </c>
      <c r="E1021" t="str">
        <f>VLOOKUP(B1021,'HOGARES-BASELINE'!$B:$I,8,FALSE)</f>
        <v>00020280</v>
      </c>
      <c r="F1021" s="6" t="str">
        <f t="shared" si="36"/>
        <v>0002028008</v>
      </c>
    </row>
    <row r="1022" spans="1:6" x14ac:dyDescent="0.3">
      <c r="A1022" s="6" t="s">
        <v>1022</v>
      </c>
      <c r="B1022">
        <v>16633533</v>
      </c>
      <c r="C1022" s="3">
        <v>4</v>
      </c>
      <c r="D1022" s="5" t="str">
        <f t="shared" si="37"/>
        <v>04</v>
      </c>
      <c r="E1022" t="str">
        <f>VLOOKUP(B1022,'HOGARES-BASELINE'!$B:$I,8,FALSE)</f>
        <v>00020280</v>
      </c>
      <c r="F1022" s="6" t="str">
        <f t="shared" si="36"/>
        <v>0002028004</v>
      </c>
    </row>
    <row r="1023" spans="1:6" x14ac:dyDescent="0.3">
      <c r="A1023" s="6" t="s">
        <v>1023</v>
      </c>
      <c r="B1023">
        <v>16633533</v>
      </c>
      <c r="C1023" s="3">
        <v>2</v>
      </c>
      <c r="D1023" s="5" t="str">
        <f t="shared" si="37"/>
        <v>02</v>
      </c>
      <c r="E1023" t="str">
        <f>VLOOKUP(B1023,'HOGARES-BASELINE'!$B:$I,8,FALSE)</f>
        <v>00020280</v>
      </c>
      <c r="F1023" s="6" t="str">
        <f t="shared" si="36"/>
        <v>0002028002</v>
      </c>
    </row>
    <row r="1024" spans="1:6" x14ac:dyDescent="0.3">
      <c r="A1024" s="6" t="s">
        <v>1024</v>
      </c>
      <c r="B1024">
        <v>16633533</v>
      </c>
      <c r="C1024" s="3">
        <v>1</v>
      </c>
      <c r="D1024" s="5" t="str">
        <f t="shared" si="37"/>
        <v>01</v>
      </c>
      <c r="E1024" t="str">
        <f>VLOOKUP(B1024,'HOGARES-BASELINE'!$B:$I,8,FALSE)</f>
        <v>00020280</v>
      </c>
      <c r="F1024" s="6" t="str">
        <f t="shared" si="36"/>
        <v>0002028001</v>
      </c>
    </row>
    <row r="1025" spans="1:6" x14ac:dyDescent="0.3">
      <c r="A1025" s="6" t="s">
        <v>1025</v>
      </c>
      <c r="B1025">
        <v>16633533</v>
      </c>
      <c r="C1025" s="3">
        <v>6</v>
      </c>
      <c r="D1025" s="5" t="str">
        <f t="shared" si="37"/>
        <v>06</v>
      </c>
      <c r="E1025" t="str">
        <f>VLOOKUP(B1025,'HOGARES-BASELINE'!$B:$I,8,FALSE)</f>
        <v>00020280</v>
      </c>
      <c r="F1025" s="6" t="str">
        <f t="shared" si="36"/>
        <v>0002028006</v>
      </c>
    </row>
    <row r="1026" spans="1:6" x14ac:dyDescent="0.3">
      <c r="A1026" s="6" t="s">
        <v>1026</v>
      </c>
      <c r="B1026">
        <v>16637843</v>
      </c>
      <c r="C1026" s="3">
        <v>3</v>
      </c>
      <c r="D1026" s="5" t="str">
        <f t="shared" si="37"/>
        <v>03</v>
      </c>
      <c r="E1026" t="str">
        <f>VLOOKUP(B1026,'HOGARES-BASELINE'!$B:$I,8,FALSE)</f>
        <v>00020281</v>
      </c>
      <c r="F1026" s="6" t="str">
        <f t="shared" si="36"/>
        <v>0002028103</v>
      </c>
    </row>
    <row r="1027" spans="1:6" x14ac:dyDescent="0.3">
      <c r="A1027" s="6" t="s">
        <v>1027</v>
      </c>
      <c r="B1027">
        <v>16637843</v>
      </c>
      <c r="C1027" s="3">
        <v>1</v>
      </c>
      <c r="D1027" s="5" t="str">
        <f t="shared" si="37"/>
        <v>01</v>
      </c>
      <c r="E1027" t="str">
        <f>VLOOKUP(B1027,'HOGARES-BASELINE'!$B:$I,8,FALSE)</f>
        <v>00020281</v>
      </c>
      <c r="F1027" s="6" t="str">
        <f t="shared" ref="F1027:F1090" si="38">_xlfn.CONCAT(E1027,D1027)</f>
        <v>0002028101</v>
      </c>
    </row>
    <row r="1028" spans="1:6" x14ac:dyDescent="0.3">
      <c r="A1028" s="6" t="s">
        <v>1028</v>
      </c>
      <c r="B1028">
        <v>16637843</v>
      </c>
      <c r="C1028" s="3">
        <v>2</v>
      </c>
      <c r="D1028" s="5" t="str">
        <f t="shared" si="37"/>
        <v>02</v>
      </c>
      <c r="E1028" t="str">
        <f>VLOOKUP(B1028,'HOGARES-BASELINE'!$B:$I,8,FALSE)</f>
        <v>00020281</v>
      </c>
      <c r="F1028" s="6" t="str">
        <f t="shared" si="38"/>
        <v>0002028102</v>
      </c>
    </row>
    <row r="1029" spans="1:6" x14ac:dyDescent="0.3">
      <c r="A1029" s="6" t="s">
        <v>1029</v>
      </c>
      <c r="B1029">
        <v>16637843</v>
      </c>
      <c r="C1029" s="3">
        <v>4</v>
      </c>
      <c r="D1029" s="5" t="str">
        <f t="shared" si="37"/>
        <v>04</v>
      </c>
      <c r="E1029" t="str">
        <f>VLOOKUP(B1029,'HOGARES-BASELINE'!$B:$I,8,FALSE)</f>
        <v>00020281</v>
      </c>
      <c r="F1029" s="6" t="str">
        <f t="shared" si="38"/>
        <v>0002028104</v>
      </c>
    </row>
    <row r="1030" spans="1:6" x14ac:dyDescent="0.3">
      <c r="A1030" s="6" t="s">
        <v>1030</v>
      </c>
      <c r="B1030">
        <v>16669439</v>
      </c>
      <c r="C1030" s="3">
        <v>2</v>
      </c>
      <c r="D1030" s="5" t="str">
        <f t="shared" si="37"/>
        <v>02</v>
      </c>
      <c r="E1030" t="str">
        <f>VLOOKUP(B1030,'HOGARES-BASELINE'!$B:$I,8,FALSE)</f>
        <v>00020282</v>
      </c>
      <c r="F1030" s="6" t="str">
        <f t="shared" si="38"/>
        <v>0002028202</v>
      </c>
    </row>
    <row r="1031" spans="1:6" x14ac:dyDescent="0.3">
      <c r="A1031" s="6" t="s">
        <v>1031</v>
      </c>
      <c r="B1031">
        <v>16669439</v>
      </c>
      <c r="C1031" s="3">
        <v>1</v>
      </c>
      <c r="D1031" s="5" t="str">
        <f t="shared" si="37"/>
        <v>01</v>
      </c>
      <c r="E1031" t="str">
        <f>VLOOKUP(B1031,'HOGARES-BASELINE'!$B:$I,8,FALSE)</f>
        <v>00020282</v>
      </c>
      <c r="F1031" s="6" t="str">
        <f t="shared" si="38"/>
        <v>0002028201</v>
      </c>
    </row>
    <row r="1032" spans="1:6" x14ac:dyDescent="0.3">
      <c r="A1032" s="6" t="s">
        <v>1032</v>
      </c>
      <c r="B1032">
        <v>16679467</v>
      </c>
      <c r="C1032" s="3">
        <v>2</v>
      </c>
      <c r="D1032" s="5" t="str">
        <f t="shared" si="37"/>
        <v>02</v>
      </c>
      <c r="E1032" t="str">
        <f>VLOOKUP(B1032,'HOGARES-BASELINE'!$B:$I,8,FALSE)</f>
        <v>00020283</v>
      </c>
      <c r="F1032" s="6" t="str">
        <f t="shared" si="38"/>
        <v>0002028302</v>
      </c>
    </row>
    <row r="1033" spans="1:6" x14ac:dyDescent="0.3">
      <c r="A1033" s="6" t="s">
        <v>1033</v>
      </c>
      <c r="B1033">
        <v>16679467</v>
      </c>
      <c r="C1033" s="3">
        <v>1</v>
      </c>
      <c r="D1033" s="5" t="str">
        <f t="shared" si="37"/>
        <v>01</v>
      </c>
      <c r="E1033" t="str">
        <f>VLOOKUP(B1033,'HOGARES-BASELINE'!$B:$I,8,FALSE)</f>
        <v>00020283</v>
      </c>
      <c r="F1033" s="6" t="str">
        <f t="shared" si="38"/>
        <v>0002028301</v>
      </c>
    </row>
    <row r="1034" spans="1:6" x14ac:dyDescent="0.3">
      <c r="A1034" s="6" t="s">
        <v>1034</v>
      </c>
      <c r="B1034">
        <v>16679467</v>
      </c>
      <c r="C1034" s="3">
        <v>3</v>
      </c>
      <c r="D1034" s="5" t="str">
        <f t="shared" si="37"/>
        <v>03</v>
      </c>
      <c r="E1034" t="str">
        <f>VLOOKUP(B1034,'HOGARES-BASELINE'!$B:$I,8,FALSE)</f>
        <v>00020283</v>
      </c>
      <c r="F1034" s="6" t="str">
        <f t="shared" si="38"/>
        <v>0002028303</v>
      </c>
    </row>
    <row r="1035" spans="1:6" x14ac:dyDescent="0.3">
      <c r="A1035" s="6" t="s">
        <v>1035</v>
      </c>
      <c r="B1035">
        <v>16698500</v>
      </c>
      <c r="C1035" s="3">
        <v>1</v>
      </c>
      <c r="D1035" s="5" t="str">
        <f t="shared" si="37"/>
        <v>01</v>
      </c>
      <c r="E1035" t="str">
        <f>VLOOKUP(B1035,'HOGARES-BASELINE'!$B:$I,8,FALSE)</f>
        <v>00020284</v>
      </c>
      <c r="F1035" s="6" t="str">
        <f t="shared" si="38"/>
        <v>0002028401</v>
      </c>
    </row>
    <row r="1036" spans="1:6" x14ac:dyDescent="0.3">
      <c r="A1036" s="6" t="s">
        <v>1036</v>
      </c>
      <c r="B1036">
        <v>16698500</v>
      </c>
      <c r="C1036" s="3">
        <v>2</v>
      </c>
      <c r="D1036" s="5" t="str">
        <f t="shared" si="37"/>
        <v>02</v>
      </c>
      <c r="E1036" t="str">
        <f>VLOOKUP(B1036,'HOGARES-BASELINE'!$B:$I,8,FALSE)</f>
        <v>00020284</v>
      </c>
      <c r="F1036" s="6" t="str">
        <f t="shared" si="38"/>
        <v>0002028402</v>
      </c>
    </row>
    <row r="1037" spans="1:6" x14ac:dyDescent="0.3">
      <c r="A1037" s="6" t="s">
        <v>1037</v>
      </c>
      <c r="B1037">
        <v>16708888</v>
      </c>
      <c r="C1037" s="3">
        <v>2</v>
      </c>
      <c r="D1037" s="5" t="str">
        <f t="shared" si="37"/>
        <v>02</v>
      </c>
      <c r="E1037" t="str">
        <f>VLOOKUP(B1037,'HOGARES-BASELINE'!$B:$I,8,FALSE)</f>
        <v>00020285</v>
      </c>
      <c r="F1037" s="6" t="str">
        <f t="shared" si="38"/>
        <v>0002028502</v>
      </c>
    </row>
    <row r="1038" spans="1:6" x14ac:dyDescent="0.3">
      <c r="A1038" s="6" t="s">
        <v>1038</v>
      </c>
      <c r="B1038">
        <v>16708888</v>
      </c>
      <c r="C1038" s="3">
        <v>3</v>
      </c>
      <c r="D1038" s="5" t="str">
        <f t="shared" si="37"/>
        <v>03</v>
      </c>
      <c r="E1038" t="str">
        <f>VLOOKUP(B1038,'HOGARES-BASELINE'!$B:$I,8,FALSE)</f>
        <v>00020285</v>
      </c>
      <c r="F1038" s="6" t="str">
        <f t="shared" si="38"/>
        <v>0002028503</v>
      </c>
    </row>
    <row r="1039" spans="1:6" x14ac:dyDescent="0.3">
      <c r="A1039" s="6" t="s">
        <v>1039</v>
      </c>
      <c r="B1039">
        <v>16708888</v>
      </c>
      <c r="C1039" s="3">
        <v>1</v>
      </c>
      <c r="D1039" s="5" t="str">
        <f t="shared" si="37"/>
        <v>01</v>
      </c>
      <c r="E1039" t="str">
        <f>VLOOKUP(B1039,'HOGARES-BASELINE'!$B:$I,8,FALSE)</f>
        <v>00020285</v>
      </c>
      <c r="F1039" s="6" t="str">
        <f t="shared" si="38"/>
        <v>0002028501</v>
      </c>
    </row>
    <row r="1040" spans="1:6" x14ac:dyDescent="0.3">
      <c r="A1040" s="6" t="s">
        <v>1040</v>
      </c>
      <c r="B1040">
        <v>16708888</v>
      </c>
      <c r="C1040" s="3">
        <v>5</v>
      </c>
      <c r="D1040" s="5" t="str">
        <f t="shared" si="37"/>
        <v>05</v>
      </c>
      <c r="E1040" t="str">
        <f>VLOOKUP(B1040,'HOGARES-BASELINE'!$B:$I,8,FALSE)</f>
        <v>00020285</v>
      </c>
      <c r="F1040" s="6" t="str">
        <f t="shared" si="38"/>
        <v>0002028505</v>
      </c>
    </row>
    <row r="1041" spans="1:6" x14ac:dyDescent="0.3">
      <c r="A1041" s="6" t="s">
        <v>1041</v>
      </c>
      <c r="B1041">
        <v>16708888</v>
      </c>
      <c r="C1041" s="3">
        <v>4</v>
      </c>
      <c r="D1041" s="5" t="str">
        <f t="shared" si="37"/>
        <v>04</v>
      </c>
      <c r="E1041" t="str">
        <f>VLOOKUP(B1041,'HOGARES-BASELINE'!$B:$I,8,FALSE)</f>
        <v>00020285</v>
      </c>
      <c r="F1041" s="6" t="str">
        <f t="shared" si="38"/>
        <v>0002028504</v>
      </c>
    </row>
    <row r="1042" spans="1:6" x14ac:dyDescent="0.3">
      <c r="A1042" s="6" t="s">
        <v>1042</v>
      </c>
      <c r="B1042">
        <v>16723219</v>
      </c>
      <c r="C1042" s="3">
        <v>4</v>
      </c>
      <c r="D1042" s="5" t="str">
        <f t="shared" si="37"/>
        <v>04</v>
      </c>
      <c r="E1042" t="str">
        <f>VLOOKUP(B1042,'HOGARES-BASELINE'!$B:$I,8,FALSE)</f>
        <v>00020286</v>
      </c>
      <c r="F1042" s="6" t="str">
        <f t="shared" si="38"/>
        <v>0002028604</v>
      </c>
    </row>
    <row r="1043" spans="1:6" x14ac:dyDescent="0.3">
      <c r="A1043" s="6" t="s">
        <v>1043</v>
      </c>
      <c r="B1043">
        <v>16723219</v>
      </c>
      <c r="C1043" s="3">
        <v>3</v>
      </c>
      <c r="D1043" s="5" t="str">
        <f t="shared" si="37"/>
        <v>03</v>
      </c>
      <c r="E1043" t="str">
        <f>VLOOKUP(B1043,'HOGARES-BASELINE'!$B:$I,8,FALSE)</f>
        <v>00020286</v>
      </c>
      <c r="F1043" s="6" t="str">
        <f t="shared" si="38"/>
        <v>0002028603</v>
      </c>
    </row>
    <row r="1044" spans="1:6" x14ac:dyDescent="0.3">
      <c r="A1044" s="6" t="s">
        <v>1044</v>
      </c>
      <c r="B1044">
        <v>16723219</v>
      </c>
      <c r="C1044" s="3">
        <v>1</v>
      </c>
      <c r="D1044" s="5" t="str">
        <f t="shared" si="37"/>
        <v>01</v>
      </c>
      <c r="E1044" t="str">
        <f>VLOOKUP(B1044,'HOGARES-BASELINE'!$B:$I,8,FALSE)</f>
        <v>00020286</v>
      </c>
      <c r="F1044" s="6" t="str">
        <f t="shared" si="38"/>
        <v>0002028601</v>
      </c>
    </row>
    <row r="1045" spans="1:6" x14ac:dyDescent="0.3">
      <c r="A1045" s="6" t="s">
        <v>1045</v>
      </c>
      <c r="B1045">
        <v>16723219</v>
      </c>
      <c r="C1045" s="3">
        <v>2</v>
      </c>
      <c r="D1045" s="5" t="str">
        <f t="shared" si="37"/>
        <v>02</v>
      </c>
      <c r="E1045" t="str">
        <f>VLOOKUP(B1045,'HOGARES-BASELINE'!$B:$I,8,FALSE)</f>
        <v>00020286</v>
      </c>
      <c r="F1045" s="6" t="str">
        <f t="shared" si="38"/>
        <v>0002028602</v>
      </c>
    </row>
    <row r="1046" spans="1:6" x14ac:dyDescent="0.3">
      <c r="A1046" s="6" t="s">
        <v>1046</v>
      </c>
      <c r="B1046">
        <v>16730078</v>
      </c>
      <c r="C1046" s="3">
        <v>1</v>
      </c>
      <c r="D1046" s="5" t="str">
        <f t="shared" si="37"/>
        <v>01</v>
      </c>
      <c r="E1046" t="str">
        <f>VLOOKUP(B1046,'HOGARES-BASELINE'!$B:$I,8,FALSE)</f>
        <v>00020287</v>
      </c>
      <c r="F1046" s="6" t="str">
        <f t="shared" si="38"/>
        <v>0002028701</v>
      </c>
    </row>
    <row r="1047" spans="1:6" x14ac:dyDescent="0.3">
      <c r="A1047" s="6" t="s">
        <v>1047</v>
      </c>
      <c r="B1047">
        <v>16730078</v>
      </c>
      <c r="C1047" s="3">
        <v>4</v>
      </c>
      <c r="D1047" s="5" t="str">
        <f t="shared" si="37"/>
        <v>04</v>
      </c>
      <c r="E1047" t="str">
        <f>VLOOKUP(B1047,'HOGARES-BASELINE'!$B:$I,8,FALSE)</f>
        <v>00020287</v>
      </c>
      <c r="F1047" s="6" t="str">
        <f t="shared" si="38"/>
        <v>0002028704</v>
      </c>
    </row>
    <row r="1048" spans="1:6" x14ac:dyDescent="0.3">
      <c r="A1048" s="6" t="s">
        <v>1048</v>
      </c>
      <c r="B1048">
        <v>16730078</v>
      </c>
      <c r="C1048" s="3">
        <v>3</v>
      </c>
      <c r="D1048" s="5" t="str">
        <f t="shared" si="37"/>
        <v>03</v>
      </c>
      <c r="E1048" t="str">
        <f>VLOOKUP(B1048,'HOGARES-BASELINE'!$B:$I,8,FALSE)</f>
        <v>00020287</v>
      </c>
      <c r="F1048" s="6" t="str">
        <f t="shared" si="38"/>
        <v>0002028703</v>
      </c>
    </row>
    <row r="1049" spans="1:6" x14ac:dyDescent="0.3">
      <c r="A1049" s="6" t="s">
        <v>1049</v>
      </c>
      <c r="B1049">
        <v>16730078</v>
      </c>
      <c r="C1049" s="3">
        <v>2</v>
      </c>
      <c r="D1049" s="5" t="str">
        <f t="shared" si="37"/>
        <v>02</v>
      </c>
      <c r="E1049" t="str">
        <f>VLOOKUP(B1049,'HOGARES-BASELINE'!$B:$I,8,FALSE)</f>
        <v>00020287</v>
      </c>
      <c r="F1049" s="6" t="str">
        <f t="shared" si="38"/>
        <v>0002028702</v>
      </c>
    </row>
    <row r="1050" spans="1:6" x14ac:dyDescent="0.3">
      <c r="A1050" s="6" t="s">
        <v>1050</v>
      </c>
      <c r="B1050">
        <v>16749425</v>
      </c>
      <c r="C1050" s="3">
        <v>1</v>
      </c>
      <c r="D1050" s="5" t="str">
        <f t="shared" si="37"/>
        <v>01</v>
      </c>
      <c r="E1050" t="str">
        <f>VLOOKUP(B1050,'HOGARES-BASELINE'!$B:$I,8,FALSE)</f>
        <v>00020288</v>
      </c>
      <c r="F1050" s="6" t="str">
        <f t="shared" si="38"/>
        <v>0002028801</v>
      </c>
    </row>
    <row r="1051" spans="1:6" x14ac:dyDescent="0.3">
      <c r="A1051" s="6" t="s">
        <v>1051</v>
      </c>
      <c r="B1051">
        <v>16749425</v>
      </c>
      <c r="C1051" s="3">
        <v>3</v>
      </c>
      <c r="D1051" s="5" t="str">
        <f t="shared" si="37"/>
        <v>03</v>
      </c>
      <c r="E1051" t="str">
        <f>VLOOKUP(B1051,'HOGARES-BASELINE'!$B:$I,8,FALSE)</f>
        <v>00020288</v>
      </c>
      <c r="F1051" s="6" t="str">
        <f t="shared" si="38"/>
        <v>0002028803</v>
      </c>
    </row>
    <row r="1052" spans="1:6" x14ac:dyDescent="0.3">
      <c r="A1052" s="6" t="s">
        <v>1052</v>
      </c>
      <c r="B1052">
        <v>16749425</v>
      </c>
      <c r="C1052" s="3">
        <v>2</v>
      </c>
      <c r="D1052" s="5" t="str">
        <f t="shared" si="37"/>
        <v>02</v>
      </c>
      <c r="E1052" t="str">
        <f>VLOOKUP(B1052,'HOGARES-BASELINE'!$B:$I,8,FALSE)</f>
        <v>00020288</v>
      </c>
      <c r="F1052" s="6" t="str">
        <f t="shared" si="38"/>
        <v>0002028802</v>
      </c>
    </row>
    <row r="1053" spans="1:6" x14ac:dyDescent="0.3">
      <c r="A1053" s="6" t="s">
        <v>1053</v>
      </c>
      <c r="B1053">
        <v>16751591</v>
      </c>
      <c r="C1053" s="3">
        <v>3</v>
      </c>
      <c r="D1053" s="5" t="str">
        <f t="shared" si="37"/>
        <v>03</v>
      </c>
      <c r="E1053" t="str">
        <f>VLOOKUP(B1053,'HOGARES-BASELINE'!$B:$I,8,FALSE)</f>
        <v>00020289</v>
      </c>
      <c r="F1053" s="6" t="str">
        <f t="shared" si="38"/>
        <v>0002028903</v>
      </c>
    </row>
    <row r="1054" spans="1:6" x14ac:dyDescent="0.3">
      <c r="A1054" s="6" t="s">
        <v>1054</v>
      </c>
      <c r="B1054">
        <v>16751591</v>
      </c>
      <c r="C1054" s="3">
        <v>1</v>
      </c>
      <c r="D1054" s="5" t="str">
        <f t="shared" si="37"/>
        <v>01</v>
      </c>
      <c r="E1054" t="str">
        <f>VLOOKUP(B1054,'HOGARES-BASELINE'!$B:$I,8,FALSE)</f>
        <v>00020289</v>
      </c>
      <c r="F1054" s="6" t="str">
        <f t="shared" si="38"/>
        <v>0002028901</v>
      </c>
    </row>
    <row r="1055" spans="1:6" x14ac:dyDescent="0.3">
      <c r="A1055" s="6" t="s">
        <v>1055</v>
      </c>
      <c r="B1055">
        <v>16751591</v>
      </c>
      <c r="C1055" s="3">
        <v>2</v>
      </c>
      <c r="D1055" s="5" t="str">
        <f t="shared" si="37"/>
        <v>02</v>
      </c>
      <c r="E1055" t="str">
        <f>VLOOKUP(B1055,'HOGARES-BASELINE'!$B:$I,8,FALSE)</f>
        <v>00020289</v>
      </c>
      <c r="F1055" s="6" t="str">
        <f t="shared" si="38"/>
        <v>0002028902</v>
      </c>
    </row>
    <row r="1056" spans="1:6" x14ac:dyDescent="0.3">
      <c r="A1056" s="6" t="s">
        <v>1056</v>
      </c>
      <c r="B1056">
        <v>16761714</v>
      </c>
      <c r="C1056" s="3">
        <v>2</v>
      </c>
      <c r="D1056" s="5" t="str">
        <f t="shared" si="37"/>
        <v>02</v>
      </c>
      <c r="E1056" t="str">
        <f>VLOOKUP(B1056,'HOGARES-BASELINE'!$B:$I,8,FALSE)</f>
        <v>00020290</v>
      </c>
      <c r="F1056" s="6" t="str">
        <f t="shared" si="38"/>
        <v>0002029002</v>
      </c>
    </row>
    <row r="1057" spans="1:6" x14ac:dyDescent="0.3">
      <c r="A1057" s="6" t="s">
        <v>1057</v>
      </c>
      <c r="B1057">
        <v>16761714</v>
      </c>
      <c r="C1057" s="3">
        <v>1</v>
      </c>
      <c r="D1057" s="5" t="str">
        <f t="shared" si="37"/>
        <v>01</v>
      </c>
      <c r="E1057" t="str">
        <f>VLOOKUP(B1057,'HOGARES-BASELINE'!$B:$I,8,FALSE)</f>
        <v>00020290</v>
      </c>
      <c r="F1057" s="6" t="str">
        <f t="shared" si="38"/>
        <v>0002029001</v>
      </c>
    </row>
    <row r="1058" spans="1:6" x14ac:dyDescent="0.3">
      <c r="A1058" s="6" t="s">
        <v>1058</v>
      </c>
      <c r="B1058">
        <v>16761714</v>
      </c>
      <c r="C1058" s="3">
        <v>4</v>
      </c>
      <c r="D1058" s="5" t="str">
        <f t="shared" si="37"/>
        <v>04</v>
      </c>
      <c r="E1058" t="str">
        <f>VLOOKUP(B1058,'HOGARES-BASELINE'!$B:$I,8,FALSE)</f>
        <v>00020290</v>
      </c>
      <c r="F1058" s="6" t="str">
        <f t="shared" si="38"/>
        <v>0002029004</v>
      </c>
    </row>
    <row r="1059" spans="1:6" x14ac:dyDescent="0.3">
      <c r="A1059" s="6" t="s">
        <v>1059</v>
      </c>
      <c r="B1059">
        <v>16761714</v>
      </c>
      <c r="C1059" s="3">
        <v>3</v>
      </c>
      <c r="D1059" s="5" t="str">
        <f t="shared" si="37"/>
        <v>03</v>
      </c>
      <c r="E1059" t="str">
        <f>VLOOKUP(B1059,'HOGARES-BASELINE'!$B:$I,8,FALSE)</f>
        <v>00020290</v>
      </c>
      <c r="F1059" s="6" t="str">
        <f t="shared" si="38"/>
        <v>0002029003</v>
      </c>
    </row>
    <row r="1060" spans="1:6" x14ac:dyDescent="0.3">
      <c r="A1060" s="6" t="s">
        <v>1060</v>
      </c>
      <c r="B1060">
        <v>16778426</v>
      </c>
      <c r="C1060" s="3">
        <v>2</v>
      </c>
      <c r="D1060" s="5" t="str">
        <f t="shared" si="37"/>
        <v>02</v>
      </c>
      <c r="E1060" t="str">
        <f>VLOOKUP(B1060,'HOGARES-BASELINE'!$B:$I,8,FALSE)</f>
        <v>01020291</v>
      </c>
      <c r="F1060" s="6" t="str">
        <f t="shared" si="38"/>
        <v>0102029102</v>
      </c>
    </row>
    <row r="1061" spans="1:6" x14ac:dyDescent="0.3">
      <c r="A1061" s="6" t="s">
        <v>1061</v>
      </c>
      <c r="B1061">
        <v>16778426</v>
      </c>
      <c r="C1061" s="3">
        <v>1</v>
      </c>
      <c r="D1061" s="5" t="str">
        <f t="shared" si="37"/>
        <v>01</v>
      </c>
      <c r="E1061" t="str">
        <f>VLOOKUP(B1061,'HOGARES-BASELINE'!$B:$I,8,FALSE)</f>
        <v>01020291</v>
      </c>
      <c r="F1061" s="6" t="str">
        <f t="shared" si="38"/>
        <v>0102029101</v>
      </c>
    </row>
    <row r="1062" spans="1:6" x14ac:dyDescent="0.3">
      <c r="A1062" s="6" t="s">
        <v>1062</v>
      </c>
      <c r="B1062">
        <v>16781675</v>
      </c>
      <c r="C1062" s="3">
        <v>4</v>
      </c>
      <c r="D1062" s="5" t="str">
        <f t="shared" si="37"/>
        <v>04</v>
      </c>
      <c r="E1062" t="str">
        <f>VLOOKUP(B1062,'HOGARES-BASELINE'!$B:$I,8,FALSE)</f>
        <v>01020292</v>
      </c>
      <c r="F1062" s="6" t="str">
        <f t="shared" si="38"/>
        <v>0102029204</v>
      </c>
    </row>
    <row r="1063" spans="1:6" x14ac:dyDescent="0.3">
      <c r="A1063" s="6" t="s">
        <v>1063</v>
      </c>
      <c r="B1063">
        <v>16781675</v>
      </c>
      <c r="C1063" s="3">
        <v>1</v>
      </c>
      <c r="D1063" s="5" t="str">
        <f t="shared" si="37"/>
        <v>01</v>
      </c>
      <c r="E1063" t="str">
        <f>VLOOKUP(B1063,'HOGARES-BASELINE'!$B:$I,8,FALSE)</f>
        <v>01020292</v>
      </c>
      <c r="F1063" s="6" t="str">
        <f t="shared" si="38"/>
        <v>0102029201</v>
      </c>
    </row>
    <row r="1064" spans="1:6" x14ac:dyDescent="0.3">
      <c r="A1064" s="6" t="s">
        <v>1064</v>
      </c>
      <c r="B1064">
        <v>16781675</v>
      </c>
      <c r="C1064" s="3">
        <v>2</v>
      </c>
      <c r="D1064" s="5" t="str">
        <f t="shared" si="37"/>
        <v>02</v>
      </c>
      <c r="E1064" t="str">
        <f>VLOOKUP(B1064,'HOGARES-BASELINE'!$B:$I,8,FALSE)</f>
        <v>01020292</v>
      </c>
      <c r="F1064" s="6" t="str">
        <f t="shared" si="38"/>
        <v>0102029202</v>
      </c>
    </row>
    <row r="1065" spans="1:6" x14ac:dyDescent="0.3">
      <c r="A1065" s="6" t="s">
        <v>1065</v>
      </c>
      <c r="B1065">
        <v>16781675</v>
      </c>
      <c r="C1065" s="3">
        <v>3</v>
      </c>
      <c r="D1065" s="5" t="str">
        <f t="shared" si="37"/>
        <v>03</v>
      </c>
      <c r="E1065" t="str">
        <f>VLOOKUP(B1065,'HOGARES-BASELINE'!$B:$I,8,FALSE)</f>
        <v>01020292</v>
      </c>
      <c r="F1065" s="6" t="str">
        <f t="shared" si="38"/>
        <v>0102029203</v>
      </c>
    </row>
    <row r="1066" spans="1:6" x14ac:dyDescent="0.3">
      <c r="A1066" s="6" t="s">
        <v>1066</v>
      </c>
      <c r="B1066">
        <v>16820143</v>
      </c>
      <c r="C1066" s="3">
        <v>1</v>
      </c>
      <c r="D1066" s="5" t="str">
        <f t="shared" si="37"/>
        <v>01</v>
      </c>
      <c r="E1066" t="str">
        <f>VLOOKUP(B1066,'HOGARES-BASELINE'!$B:$I,8,FALSE)</f>
        <v>00020293</v>
      </c>
      <c r="F1066" s="6" t="str">
        <f t="shared" si="38"/>
        <v>0002029301</v>
      </c>
    </row>
    <row r="1067" spans="1:6" x14ac:dyDescent="0.3">
      <c r="A1067" s="6" t="s">
        <v>1067</v>
      </c>
      <c r="B1067">
        <v>16820143</v>
      </c>
      <c r="C1067" s="3">
        <v>2</v>
      </c>
      <c r="D1067" s="5" t="str">
        <f t="shared" si="37"/>
        <v>02</v>
      </c>
      <c r="E1067" t="str">
        <f>VLOOKUP(B1067,'HOGARES-BASELINE'!$B:$I,8,FALSE)</f>
        <v>00020293</v>
      </c>
      <c r="F1067" s="6" t="str">
        <f t="shared" si="38"/>
        <v>0002029302</v>
      </c>
    </row>
    <row r="1068" spans="1:6" x14ac:dyDescent="0.3">
      <c r="A1068" s="6" t="s">
        <v>1068</v>
      </c>
      <c r="B1068">
        <v>16824095</v>
      </c>
      <c r="C1068" s="3">
        <v>2</v>
      </c>
      <c r="D1068" s="5" t="str">
        <f t="shared" si="37"/>
        <v>02</v>
      </c>
      <c r="E1068" t="str">
        <f>VLOOKUP(B1068,'HOGARES-BASELINE'!$B:$I,8,FALSE)</f>
        <v>01020294</v>
      </c>
      <c r="F1068" s="6" t="str">
        <f t="shared" si="38"/>
        <v>0102029402</v>
      </c>
    </row>
    <row r="1069" spans="1:6" x14ac:dyDescent="0.3">
      <c r="A1069" s="6" t="s">
        <v>1069</v>
      </c>
      <c r="B1069">
        <v>16824095</v>
      </c>
      <c r="C1069" s="3">
        <v>3</v>
      </c>
      <c r="D1069" s="5" t="str">
        <f t="shared" si="37"/>
        <v>03</v>
      </c>
      <c r="E1069" t="str">
        <f>VLOOKUP(B1069,'HOGARES-BASELINE'!$B:$I,8,FALSE)</f>
        <v>01020294</v>
      </c>
      <c r="F1069" s="6" t="str">
        <f t="shared" si="38"/>
        <v>0102029403</v>
      </c>
    </row>
    <row r="1070" spans="1:6" x14ac:dyDescent="0.3">
      <c r="A1070" s="6" t="s">
        <v>1070</v>
      </c>
      <c r="B1070">
        <v>16824095</v>
      </c>
      <c r="C1070" s="3">
        <v>1</v>
      </c>
      <c r="D1070" s="5" t="str">
        <f t="shared" si="37"/>
        <v>01</v>
      </c>
      <c r="E1070" t="str">
        <f>VLOOKUP(B1070,'HOGARES-BASELINE'!$B:$I,8,FALSE)</f>
        <v>01020294</v>
      </c>
      <c r="F1070" s="6" t="str">
        <f t="shared" si="38"/>
        <v>0102029401</v>
      </c>
    </row>
    <row r="1071" spans="1:6" x14ac:dyDescent="0.3">
      <c r="A1071" s="6" t="s">
        <v>1071</v>
      </c>
      <c r="B1071">
        <v>16827577</v>
      </c>
      <c r="C1071" s="3">
        <v>1</v>
      </c>
      <c r="D1071" s="5" t="str">
        <f t="shared" si="37"/>
        <v>01</v>
      </c>
      <c r="E1071" t="str">
        <f>VLOOKUP(B1071,'HOGARES-BASELINE'!$B:$I,8,FALSE)</f>
        <v>01020295</v>
      </c>
      <c r="F1071" s="6" t="str">
        <f t="shared" si="38"/>
        <v>0102029501</v>
      </c>
    </row>
    <row r="1072" spans="1:6" x14ac:dyDescent="0.3">
      <c r="A1072" s="6" t="s">
        <v>1072</v>
      </c>
      <c r="B1072">
        <v>16828126</v>
      </c>
      <c r="C1072" s="3">
        <v>4</v>
      </c>
      <c r="D1072" s="5" t="str">
        <f t="shared" ref="D1072:D1135" si="39">_xlfn.CONCAT(0,C1072)</f>
        <v>04</v>
      </c>
      <c r="E1072" t="str">
        <f>VLOOKUP(B1072,'HOGARES-BASELINE'!$B:$I,8,FALSE)</f>
        <v>00020296</v>
      </c>
      <c r="F1072" s="6" t="str">
        <f t="shared" si="38"/>
        <v>0002029604</v>
      </c>
    </row>
    <row r="1073" spans="1:6" x14ac:dyDescent="0.3">
      <c r="A1073" s="6" t="s">
        <v>1073</v>
      </c>
      <c r="B1073">
        <v>16828126</v>
      </c>
      <c r="C1073" s="3">
        <v>3</v>
      </c>
      <c r="D1073" s="5" t="str">
        <f t="shared" si="39"/>
        <v>03</v>
      </c>
      <c r="E1073" t="str">
        <f>VLOOKUP(B1073,'HOGARES-BASELINE'!$B:$I,8,FALSE)</f>
        <v>00020296</v>
      </c>
      <c r="F1073" s="6" t="str">
        <f t="shared" si="38"/>
        <v>0002029603</v>
      </c>
    </row>
    <row r="1074" spans="1:6" x14ac:dyDescent="0.3">
      <c r="A1074" s="6" t="s">
        <v>1074</v>
      </c>
      <c r="B1074">
        <v>16828126</v>
      </c>
      <c r="C1074" s="3">
        <v>5</v>
      </c>
      <c r="D1074" s="5" t="str">
        <f t="shared" si="39"/>
        <v>05</v>
      </c>
      <c r="E1074" t="str">
        <f>VLOOKUP(B1074,'HOGARES-BASELINE'!$B:$I,8,FALSE)</f>
        <v>00020296</v>
      </c>
      <c r="F1074" s="6" t="str">
        <f t="shared" si="38"/>
        <v>0002029605</v>
      </c>
    </row>
    <row r="1075" spans="1:6" x14ac:dyDescent="0.3">
      <c r="A1075" s="6" t="s">
        <v>1075</v>
      </c>
      <c r="B1075">
        <v>16828126</v>
      </c>
      <c r="C1075" s="3">
        <v>1</v>
      </c>
      <c r="D1075" s="5" t="str">
        <f t="shared" si="39"/>
        <v>01</v>
      </c>
      <c r="E1075" t="str">
        <f>VLOOKUP(B1075,'HOGARES-BASELINE'!$B:$I,8,FALSE)</f>
        <v>00020296</v>
      </c>
      <c r="F1075" s="6" t="str">
        <f t="shared" si="38"/>
        <v>0002029601</v>
      </c>
    </row>
    <row r="1076" spans="1:6" x14ac:dyDescent="0.3">
      <c r="A1076" s="6" t="s">
        <v>1076</v>
      </c>
      <c r="B1076">
        <v>16828126</v>
      </c>
      <c r="C1076" s="3">
        <v>2</v>
      </c>
      <c r="D1076" s="5" t="str">
        <f t="shared" si="39"/>
        <v>02</v>
      </c>
      <c r="E1076" t="str">
        <f>VLOOKUP(B1076,'HOGARES-BASELINE'!$B:$I,8,FALSE)</f>
        <v>00020296</v>
      </c>
      <c r="F1076" s="6" t="str">
        <f t="shared" si="38"/>
        <v>0002029602</v>
      </c>
    </row>
    <row r="1077" spans="1:6" x14ac:dyDescent="0.3">
      <c r="A1077" s="6" t="s">
        <v>1077</v>
      </c>
      <c r="B1077">
        <v>16830582</v>
      </c>
      <c r="C1077" s="3">
        <v>1</v>
      </c>
      <c r="D1077" s="5" t="str">
        <f t="shared" si="39"/>
        <v>01</v>
      </c>
      <c r="E1077" t="str">
        <f>VLOOKUP(B1077,'HOGARES-BASELINE'!$B:$I,8,FALSE)</f>
        <v>00020297</v>
      </c>
      <c r="F1077" s="6" t="str">
        <f t="shared" si="38"/>
        <v>0002029701</v>
      </c>
    </row>
    <row r="1078" spans="1:6" x14ac:dyDescent="0.3">
      <c r="A1078" s="6" t="s">
        <v>1078</v>
      </c>
      <c r="B1078">
        <v>16881076</v>
      </c>
      <c r="C1078" s="3">
        <v>4</v>
      </c>
      <c r="D1078" s="5" t="str">
        <f t="shared" si="39"/>
        <v>04</v>
      </c>
      <c r="E1078" t="str">
        <f>VLOOKUP(B1078,'HOGARES-BASELINE'!$B:$I,8,FALSE)</f>
        <v>01020298</v>
      </c>
      <c r="F1078" s="6" t="str">
        <f t="shared" si="38"/>
        <v>0102029804</v>
      </c>
    </row>
    <row r="1079" spans="1:6" x14ac:dyDescent="0.3">
      <c r="A1079" s="6" t="s">
        <v>1079</v>
      </c>
      <c r="B1079">
        <v>16881076</v>
      </c>
      <c r="C1079" s="3">
        <v>3</v>
      </c>
      <c r="D1079" s="5" t="str">
        <f t="shared" si="39"/>
        <v>03</v>
      </c>
      <c r="E1079" t="str">
        <f>VLOOKUP(B1079,'HOGARES-BASELINE'!$B:$I,8,FALSE)</f>
        <v>01020298</v>
      </c>
      <c r="F1079" s="6" t="str">
        <f t="shared" si="38"/>
        <v>0102029803</v>
      </c>
    </row>
    <row r="1080" spans="1:6" x14ac:dyDescent="0.3">
      <c r="A1080" s="6" t="s">
        <v>1080</v>
      </c>
      <c r="B1080">
        <v>16881076</v>
      </c>
      <c r="C1080" s="3">
        <v>2</v>
      </c>
      <c r="D1080" s="5" t="str">
        <f t="shared" si="39"/>
        <v>02</v>
      </c>
      <c r="E1080" t="str">
        <f>VLOOKUP(B1080,'HOGARES-BASELINE'!$B:$I,8,FALSE)</f>
        <v>01020298</v>
      </c>
      <c r="F1080" s="6" t="str">
        <f t="shared" si="38"/>
        <v>0102029802</v>
      </c>
    </row>
    <row r="1081" spans="1:6" x14ac:dyDescent="0.3">
      <c r="A1081" s="6" t="s">
        <v>1081</v>
      </c>
      <c r="B1081">
        <v>16881076</v>
      </c>
      <c r="C1081" s="3">
        <v>1</v>
      </c>
      <c r="D1081" s="5" t="str">
        <f t="shared" si="39"/>
        <v>01</v>
      </c>
      <c r="E1081" t="str">
        <f>VLOOKUP(B1081,'HOGARES-BASELINE'!$B:$I,8,FALSE)</f>
        <v>01020298</v>
      </c>
      <c r="F1081" s="6" t="str">
        <f t="shared" si="38"/>
        <v>0102029801</v>
      </c>
    </row>
    <row r="1082" spans="1:6" x14ac:dyDescent="0.3">
      <c r="A1082" s="6" t="s">
        <v>1082</v>
      </c>
      <c r="B1082">
        <v>16881076</v>
      </c>
      <c r="C1082" s="3">
        <v>5</v>
      </c>
      <c r="D1082" s="5" t="str">
        <f t="shared" si="39"/>
        <v>05</v>
      </c>
      <c r="E1082" t="str">
        <f>VLOOKUP(B1082,'HOGARES-BASELINE'!$B:$I,8,FALSE)</f>
        <v>01020298</v>
      </c>
      <c r="F1082" s="6" t="str">
        <f t="shared" si="38"/>
        <v>0102029805</v>
      </c>
    </row>
    <row r="1083" spans="1:6" x14ac:dyDescent="0.3">
      <c r="A1083" s="6" t="s">
        <v>1083</v>
      </c>
      <c r="B1083">
        <v>16881275</v>
      </c>
      <c r="C1083" s="3">
        <v>1</v>
      </c>
      <c r="D1083" s="5" t="str">
        <f t="shared" si="39"/>
        <v>01</v>
      </c>
      <c r="E1083" t="str">
        <f>VLOOKUP(B1083,'HOGARES-BASELINE'!$B:$I,8,FALSE)</f>
        <v>00020299</v>
      </c>
      <c r="F1083" s="6" t="str">
        <f t="shared" si="38"/>
        <v>0002029901</v>
      </c>
    </row>
    <row r="1084" spans="1:6" x14ac:dyDescent="0.3">
      <c r="A1084" s="6" t="s">
        <v>1084</v>
      </c>
      <c r="B1084">
        <v>16881275</v>
      </c>
      <c r="C1084" s="3">
        <v>2</v>
      </c>
      <c r="D1084" s="5" t="str">
        <f t="shared" si="39"/>
        <v>02</v>
      </c>
      <c r="E1084" t="str">
        <f>VLOOKUP(B1084,'HOGARES-BASELINE'!$B:$I,8,FALSE)</f>
        <v>00020299</v>
      </c>
      <c r="F1084" s="6" t="str">
        <f t="shared" si="38"/>
        <v>0002029902</v>
      </c>
    </row>
    <row r="1085" spans="1:6" x14ac:dyDescent="0.3">
      <c r="A1085" s="6" t="s">
        <v>1085</v>
      </c>
      <c r="B1085">
        <v>16917385</v>
      </c>
      <c r="C1085" s="3">
        <v>4</v>
      </c>
      <c r="D1085" s="5" t="str">
        <f t="shared" si="39"/>
        <v>04</v>
      </c>
      <c r="E1085" t="str">
        <f>VLOOKUP(B1085,'HOGARES-BASELINE'!$B:$I,8,FALSE)</f>
        <v>00020300</v>
      </c>
      <c r="F1085" s="6" t="str">
        <f t="shared" si="38"/>
        <v>0002030004</v>
      </c>
    </row>
    <row r="1086" spans="1:6" x14ac:dyDescent="0.3">
      <c r="A1086" s="6" t="s">
        <v>1086</v>
      </c>
      <c r="B1086">
        <v>16917385</v>
      </c>
      <c r="C1086" s="3">
        <v>1</v>
      </c>
      <c r="D1086" s="5" t="str">
        <f t="shared" si="39"/>
        <v>01</v>
      </c>
      <c r="E1086" t="str">
        <f>VLOOKUP(B1086,'HOGARES-BASELINE'!$B:$I,8,FALSE)</f>
        <v>00020300</v>
      </c>
      <c r="F1086" s="6" t="str">
        <f t="shared" si="38"/>
        <v>0002030001</v>
      </c>
    </row>
    <row r="1087" spans="1:6" x14ac:dyDescent="0.3">
      <c r="A1087" s="6" t="s">
        <v>1087</v>
      </c>
      <c r="B1087">
        <v>16917385</v>
      </c>
      <c r="C1087" s="3">
        <v>3</v>
      </c>
      <c r="D1087" s="5" t="str">
        <f t="shared" si="39"/>
        <v>03</v>
      </c>
      <c r="E1087" t="str">
        <f>VLOOKUP(B1087,'HOGARES-BASELINE'!$B:$I,8,FALSE)</f>
        <v>00020300</v>
      </c>
      <c r="F1087" s="6" t="str">
        <f t="shared" si="38"/>
        <v>0002030003</v>
      </c>
    </row>
    <row r="1088" spans="1:6" x14ac:dyDescent="0.3">
      <c r="A1088" s="6" t="s">
        <v>1088</v>
      </c>
      <c r="B1088">
        <v>16917385</v>
      </c>
      <c r="C1088" s="3">
        <v>5</v>
      </c>
      <c r="D1088" s="5" t="str">
        <f t="shared" si="39"/>
        <v>05</v>
      </c>
      <c r="E1088" t="str">
        <f>VLOOKUP(B1088,'HOGARES-BASELINE'!$B:$I,8,FALSE)</f>
        <v>00020300</v>
      </c>
      <c r="F1088" s="6" t="str">
        <f t="shared" si="38"/>
        <v>0002030005</v>
      </c>
    </row>
    <row r="1089" spans="1:6" x14ac:dyDescent="0.3">
      <c r="A1089" s="6" t="s">
        <v>1089</v>
      </c>
      <c r="B1089">
        <v>16917385</v>
      </c>
      <c r="C1089" s="3">
        <v>2</v>
      </c>
      <c r="D1089" s="5" t="str">
        <f t="shared" si="39"/>
        <v>02</v>
      </c>
      <c r="E1089" t="str">
        <f>VLOOKUP(B1089,'HOGARES-BASELINE'!$B:$I,8,FALSE)</f>
        <v>00020300</v>
      </c>
      <c r="F1089" s="6" t="str">
        <f t="shared" si="38"/>
        <v>0002030002</v>
      </c>
    </row>
    <row r="1090" spans="1:6" x14ac:dyDescent="0.3">
      <c r="A1090" s="6" t="s">
        <v>1090</v>
      </c>
      <c r="B1090">
        <v>16936771</v>
      </c>
      <c r="C1090" s="3">
        <v>2</v>
      </c>
      <c r="D1090" s="5" t="str">
        <f t="shared" si="39"/>
        <v>02</v>
      </c>
      <c r="E1090" t="str">
        <f>VLOOKUP(B1090,'HOGARES-BASELINE'!$B:$I,8,FALSE)</f>
        <v>01020301</v>
      </c>
      <c r="F1090" s="6" t="str">
        <f t="shared" si="38"/>
        <v>0102030102</v>
      </c>
    </row>
    <row r="1091" spans="1:6" x14ac:dyDescent="0.3">
      <c r="A1091" s="6" t="s">
        <v>1091</v>
      </c>
      <c r="B1091">
        <v>16936771</v>
      </c>
      <c r="C1091" s="3">
        <v>4</v>
      </c>
      <c r="D1091" s="5" t="str">
        <f t="shared" si="39"/>
        <v>04</v>
      </c>
      <c r="E1091" t="str">
        <f>VLOOKUP(B1091,'HOGARES-BASELINE'!$B:$I,8,FALSE)</f>
        <v>01020301</v>
      </c>
      <c r="F1091" s="6" t="str">
        <f t="shared" ref="F1091:F1154" si="40">_xlfn.CONCAT(E1091,D1091)</f>
        <v>0102030104</v>
      </c>
    </row>
    <row r="1092" spans="1:6" x14ac:dyDescent="0.3">
      <c r="A1092" s="6" t="s">
        <v>1092</v>
      </c>
      <c r="B1092">
        <v>16936771</v>
      </c>
      <c r="C1092" s="3">
        <v>1</v>
      </c>
      <c r="D1092" s="5" t="str">
        <f t="shared" si="39"/>
        <v>01</v>
      </c>
      <c r="E1092" t="str">
        <f>VLOOKUP(B1092,'HOGARES-BASELINE'!$B:$I,8,FALSE)</f>
        <v>01020301</v>
      </c>
      <c r="F1092" s="6" t="str">
        <f t="shared" si="40"/>
        <v>0102030101</v>
      </c>
    </row>
    <row r="1093" spans="1:6" x14ac:dyDescent="0.3">
      <c r="A1093" s="6" t="s">
        <v>1093</v>
      </c>
      <c r="B1093">
        <v>16936771</v>
      </c>
      <c r="C1093" s="3">
        <v>3</v>
      </c>
      <c r="D1093" s="5" t="str">
        <f t="shared" si="39"/>
        <v>03</v>
      </c>
      <c r="E1093" t="str">
        <f>VLOOKUP(B1093,'HOGARES-BASELINE'!$B:$I,8,FALSE)</f>
        <v>01020301</v>
      </c>
      <c r="F1093" s="6" t="str">
        <f t="shared" si="40"/>
        <v>0102030103</v>
      </c>
    </row>
    <row r="1094" spans="1:6" x14ac:dyDescent="0.3">
      <c r="A1094" s="6" t="s">
        <v>1094</v>
      </c>
      <c r="B1094">
        <v>17152604</v>
      </c>
      <c r="C1094" s="3">
        <v>2</v>
      </c>
      <c r="D1094" s="5" t="str">
        <f t="shared" si="39"/>
        <v>02</v>
      </c>
      <c r="E1094" t="str">
        <f>VLOOKUP(B1094,'HOGARES-BASELINE'!$B:$I,8,FALSE)</f>
        <v>01030302</v>
      </c>
      <c r="F1094" s="6" t="str">
        <f t="shared" si="40"/>
        <v>0103030202</v>
      </c>
    </row>
    <row r="1095" spans="1:6" x14ac:dyDescent="0.3">
      <c r="A1095" s="6" t="s">
        <v>1095</v>
      </c>
      <c r="B1095">
        <v>17152604</v>
      </c>
      <c r="C1095" s="3">
        <v>1</v>
      </c>
      <c r="D1095" s="5" t="str">
        <f t="shared" si="39"/>
        <v>01</v>
      </c>
      <c r="E1095" t="str">
        <f>VLOOKUP(B1095,'HOGARES-BASELINE'!$B:$I,8,FALSE)</f>
        <v>01030302</v>
      </c>
      <c r="F1095" s="6" t="str">
        <f t="shared" si="40"/>
        <v>0103030201</v>
      </c>
    </row>
    <row r="1096" spans="1:6" x14ac:dyDescent="0.3">
      <c r="A1096" s="6" t="s">
        <v>1096</v>
      </c>
      <c r="B1096">
        <v>1747298</v>
      </c>
      <c r="C1096" s="3">
        <v>2</v>
      </c>
      <c r="D1096" s="5" t="str">
        <f t="shared" si="39"/>
        <v>02</v>
      </c>
      <c r="E1096" t="str">
        <f>VLOOKUP(B1096,'HOGARES-BASELINE'!$B:$I,8,FALSE)</f>
        <v>00030303</v>
      </c>
      <c r="F1096" s="6" t="str">
        <f t="shared" si="40"/>
        <v>0003030302</v>
      </c>
    </row>
    <row r="1097" spans="1:6" x14ac:dyDescent="0.3">
      <c r="A1097" s="6" t="s">
        <v>1097</v>
      </c>
      <c r="B1097">
        <v>1747298</v>
      </c>
      <c r="C1097" s="3">
        <v>1</v>
      </c>
      <c r="D1097" s="5" t="str">
        <f t="shared" si="39"/>
        <v>01</v>
      </c>
      <c r="E1097" t="str">
        <f>VLOOKUP(B1097,'HOGARES-BASELINE'!$B:$I,8,FALSE)</f>
        <v>00030303</v>
      </c>
      <c r="F1097" s="6" t="str">
        <f t="shared" si="40"/>
        <v>0003030301</v>
      </c>
    </row>
    <row r="1098" spans="1:6" x14ac:dyDescent="0.3">
      <c r="A1098" s="6" t="s">
        <v>1098</v>
      </c>
      <c r="B1098">
        <v>17632722</v>
      </c>
      <c r="C1098" s="3">
        <v>1</v>
      </c>
      <c r="D1098" s="5" t="str">
        <f t="shared" si="39"/>
        <v>01</v>
      </c>
      <c r="E1098" t="str">
        <f>VLOOKUP(B1098,'HOGARES-BASELINE'!$B:$I,8,FALSE)</f>
        <v>01020304</v>
      </c>
      <c r="F1098" s="6" t="str">
        <f t="shared" si="40"/>
        <v>0102030401</v>
      </c>
    </row>
    <row r="1099" spans="1:6" x14ac:dyDescent="0.3">
      <c r="A1099" s="6" t="s">
        <v>1099</v>
      </c>
      <c r="B1099">
        <v>17632722</v>
      </c>
      <c r="C1099" s="3">
        <v>2</v>
      </c>
      <c r="D1099" s="5" t="str">
        <f t="shared" si="39"/>
        <v>02</v>
      </c>
      <c r="E1099" t="str">
        <f>VLOOKUP(B1099,'HOGARES-BASELINE'!$B:$I,8,FALSE)</f>
        <v>01020304</v>
      </c>
      <c r="F1099" s="6" t="str">
        <f t="shared" si="40"/>
        <v>0102030402</v>
      </c>
    </row>
    <row r="1100" spans="1:6" x14ac:dyDescent="0.3">
      <c r="A1100" s="6" t="s">
        <v>1100</v>
      </c>
      <c r="B1100">
        <v>17808718</v>
      </c>
      <c r="C1100" s="3">
        <v>2</v>
      </c>
      <c r="D1100" s="5" t="str">
        <f t="shared" si="39"/>
        <v>02</v>
      </c>
      <c r="E1100" t="str">
        <f>VLOOKUP(B1100,'HOGARES-BASELINE'!$B:$I,8,FALSE)</f>
        <v>01030305</v>
      </c>
      <c r="F1100" s="6" t="str">
        <f t="shared" si="40"/>
        <v>0103030502</v>
      </c>
    </row>
    <row r="1101" spans="1:6" x14ac:dyDescent="0.3">
      <c r="A1101" s="6" t="s">
        <v>1101</v>
      </c>
      <c r="B1101">
        <v>17808718</v>
      </c>
      <c r="C1101" s="3">
        <v>1</v>
      </c>
      <c r="D1101" s="5" t="str">
        <f t="shared" si="39"/>
        <v>01</v>
      </c>
      <c r="E1101" t="str">
        <f>VLOOKUP(B1101,'HOGARES-BASELINE'!$B:$I,8,FALSE)</f>
        <v>01030305</v>
      </c>
      <c r="F1101" s="6" t="str">
        <f t="shared" si="40"/>
        <v>0103030501</v>
      </c>
    </row>
    <row r="1102" spans="1:6" x14ac:dyDescent="0.3">
      <c r="A1102" s="6" t="s">
        <v>1102</v>
      </c>
      <c r="B1102">
        <v>17849804</v>
      </c>
      <c r="C1102" s="3">
        <v>2</v>
      </c>
      <c r="D1102" s="5" t="str">
        <f t="shared" si="39"/>
        <v>02</v>
      </c>
      <c r="E1102" t="str">
        <f>VLOOKUP(B1102,'HOGARES-BASELINE'!$B:$I,8,FALSE)</f>
        <v>01030306</v>
      </c>
      <c r="F1102" s="6" t="str">
        <f t="shared" si="40"/>
        <v>0103030602</v>
      </c>
    </row>
    <row r="1103" spans="1:6" x14ac:dyDescent="0.3">
      <c r="A1103" s="6" t="s">
        <v>1103</v>
      </c>
      <c r="B1103">
        <v>17849804</v>
      </c>
      <c r="C1103" s="3">
        <v>3</v>
      </c>
      <c r="D1103" s="5" t="str">
        <f t="shared" si="39"/>
        <v>03</v>
      </c>
      <c r="E1103" t="str">
        <f>VLOOKUP(B1103,'HOGARES-BASELINE'!$B:$I,8,FALSE)</f>
        <v>01030306</v>
      </c>
      <c r="F1103" s="6" t="str">
        <f t="shared" si="40"/>
        <v>0103030603</v>
      </c>
    </row>
    <row r="1104" spans="1:6" x14ac:dyDescent="0.3">
      <c r="A1104" s="6" t="s">
        <v>1104</v>
      </c>
      <c r="B1104">
        <v>17849804</v>
      </c>
      <c r="C1104" s="3">
        <v>6</v>
      </c>
      <c r="D1104" s="5" t="str">
        <f t="shared" si="39"/>
        <v>06</v>
      </c>
      <c r="E1104" t="str">
        <f>VLOOKUP(B1104,'HOGARES-BASELINE'!$B:$I,8,FALSE)</f>
        <v>01030306</v>
      </c>
      <c r="F1104" s="6" t="str">
        <f t="shared" si="40"/>
        <v>0103030606</v>
      </c>
    </row>
    <row r="1105" spans="1:6" x14ac:dyDescent="0.3">
      <c r="A1105" s="6" t="s">
        <v>1105</v>
      </c>
      <c r="B1105">
        <v>17849804</v>
      </c>
      <c r="C1105" s="3">
        <v>1</v>
      </c>
      <c r="D1105" s="5" t="str">
        <f t="shared" si="39"/>
        <v>01</v>
      </c>
      <c r="E1105" t="str">
        <f>VLOOKUP(B1105,'HOGARES-BASELINE'!$B:$I,8,FALSE)</f>
        <v>01030306</v>
      </c>
      <c r="F1105" s="6" t="str">
        <f t="shared" si="40"/>
        <v>0103030601</v>
      </c>
    </row>
    <row r="1106" spans="1:6" x14ac:dyDescent="0.3">
      <c r="A1106" s="6" t="s">
        <v>1106</v>
      </c>
      <c r="B1106">
        <v>17849804</v>
      </c>
      <c r="C1106" s="3">
        <v>4</v>
      </c>
      <c r="D1106" s="5" t="str">
        <f t="shared" si="39"/>
        <v>04</v>
      </c>
      <c r="E1106" t="str">
        <f>VLOOKUP(B1106,'HOGARES-BASELINE'!$B:$I,8,FALSE)</f>
        <v>01030306</v>
      </c>
      <c r="F1106" s="6" t="str">
        <f t="shared" si="40"/>
        <v>0103030604</v>
      </c>
    </row>
    <row r="1107" spans="1:6" x14ac:dyDescent="0.3">
      <c r="A1107" s="6" t="s">
        <v>1107</v>
      </c>
      <c r="B1107">
        <v>17849804</v>
      </c>
      <c r="C1107" s="3">
        <v>5</v>
      </c>
      <c r="D1107" s="5" t="str">
        <f t="shared" si="39"/>
        <v>05</v>
      </c>
      <c r="E1107" t="str">
        <f>VLOOKUP(B1107,'HOGARES-BASELINE'!$B:$I,8,FALSE)</f>
        <v>01030306</v>
      </c>
      <c r="F1107" s="6" t="str">
        <f t="shared" si="40"/>
        <v>0103030605</v>
      </c>
    </row>
    <row r="1108" spans="1:6" x14ac:dyDescent="0.3">
      <c r="A1108" s="6" t="s">
        <v>1108</v>
      </c>
      <c r="B1108">
        <v>18932393</v>
      </c>
      <c r="C1108" s="3">
        <v>3</v>
      </c>
      <c r="D1108" s="5" t="str">
        <f t="shared" si="39"/>
        <v>03</v>
      </c>
      <c r="E1108" t="str">
        <f>VLOOKUP(B1108,'HOGARES-BASELINE'!$B:$I,8,FALSE)</f>
        <v>01030307</v>
      </c>
      <c r="F1108" s="6" t="str">
        <f t="shared" si="40"/>
        <v>0103030703</v>
      </c>
    </row>
    <row r="1109" spans="1:6" x14ac:dyDescent="0.3">
      <c r="A1109" s="6" t="s">
        <v>1109</v>
      </c>
      <c r="B1109">
        <v>18932393</v>
      </c>
      <c r="C1109" s="3">
        <v>2</v>
      </c>
      <c r="D1109" s="5" t="str">
        <f t="shared" si="39"/>
        <v>02</v>
      </c>
      <c r="E1109" t="str">
        <f>VLOOKUP(B1109,'HOGARES-BASELINE'!$B:$I,8,FALSE)</f>
        <v>01030307</v>
      </c>
      <c r="F1109" s="6" t="str">
        <f t="shared" si="40"/>
        <v>0103030702</v>
      </c>
    </row>
    <row r="1110" spans="1:6" x14ac:dyDescent="0.3">
      <c r="A1110" s="6" t="s">
        <v>1110</v>
      </c>
      <c r="B1110">
        <v>18932393</v>
      </c>
      <c r="C1110" s="3">
        <v>1</v>
      </c>
      <c r="D1110" s="5" t="str">
        <f t="shared" si="39"/>
        <v>01</v>
      </c>
      <c r="E1110" t="str">
        <f>VLOOKUP(B1110,'HOGARES-BASELINE'!$B:$I,8,FALSE)</f>
        <v>01030307</v>
      </c>
      <c r="F1110" s="6" t="str">
        <f t="shared" si="40"/>
        <v>0103030701</v>
      </c>
    </row>
    <row r="1111" spans="1:6" x14ac:dyDescent="0.3">
      <c r="A1111" s="6" t="s">
        <v>1111</v>
      </c>
      <c r="B1111">
        <v>19143848</v>
      </c>
      <c r="C1111" s="3">
        <v>1</v>
      </c>
      <c r="D1111" s="5" t="str">
        <f t="shared" si="39"/>
        <v>01</v>
      </c>
      <c r="E1111" t="str">
        <f>VLOOKUP(B1111,'HOGARES-BASELINE'!$B:$I,8,FALSE)</f>
        <v>00010308</v>
      </c>
      <c r="F1111" s="6" t="str">
        <f t="shared" si="40"/>
        <v>0001030801</v>
      </c>
    </row>
    <row r="1112" spans="1:6" x14ac:dyDescent="0.3">
      <c r="A1112" s="6" t="s">
        <v>1112</v>
      </c>
      <c r="B1112">
        <v>19218873</v>
      </c>
      <c r="C1112" s="3">
        <v>1</v>
      </c>
      <c r="D1112" s="5" t="str">
        <f t="shared" si="39"/>
        <v>01</v>
      </c>
      <c r="E1112" t="str">
        <f>VLOOKUP(B1112,'HOGARES-BASELINE'!$B:$I,8,FALSE)</f>
        <v>00030309</v>
      </c>
      <c r="F1112" s="6" t="str">
        <f t="shared" si="40"/>
        <v>0003030901</v>
      </c>
    </row>
    <row r="1113" spans="1:6" x14ac:dyDescent="0.3">
      <c r="A1113" s="6" t="s">
        <v>1113</v>
      </c>
      <c r="B1113">
        <v>19288937</v>
      </c>
      <c r="C1113" s="3">
        <v>1</v>
      </c>
      <c r="D1113" s="5" t="str">
        <f t="shared" si="39"/>
        <v>01</v>
      </c>
      <c r="E1113" t="str">
        <f>VLOOKUP(B1113,'HOGARES-BASELINE'!$B:$I,8,FALSE)</f>
        <v>00020310</v>
      </c>
      <c r="F1113" s="6" t="str">
        <f t="shared" si="40"/>
        <v>0002031001</v>
      </c>
    </row>
    <row r="1114" spans="1:6" x14ac:dyDescent="0.3">
      <c r="A1114" s="6" t="s">
        <v>1114</v>
      </c>
      <c r="B1114">
        <v>19288937</v>
      </c>
      <c r="C1114" s="3">
        <v>2</v>
      </c>
      <c r="D1114" s="5" t="str">
        <f t="shared" si="39"/>
        <v>02</v>
      </c>
      <c r="E1114" t="str">
        <f>VLOOKUP(B1114,'HOGARES-BASELINE'!$B:$I,8,FALSE)</f>
        <v>00020310</v>
      </c>
      <c r="F1114" s="6" t="str">
        <f t="shared" si="40"/>
        <v>0002031002</v>
      </c>
    </row>
    <row r="1115" spans="1:6" x14ac:dyDescent="0.3">
      <c r="A1115" s="6" t="s">
        <v>1115</v>
      </c>
      <c r="B1115">
        <v>19582075</v>
      </c>
      <c r="C1115" s="3">
        <v>1</v>
      </c>
      <c r="D1115" s="5" t="str">
        <f t="shared" si="39"/>
        <v>01</v>
      </c>
      <c r="E1115" t="str">
        <f>VLOOKUP(B1115,'HOGARES-BASELINE'!$B:$I,8,FALSE)</f>
        <v>01030311</v>
      </c>
      <c r="F1115" s="6" t="str">
        <f t="shared" si="40"/>
        <v>0103031101</v>
      </c>
    </row>
    <row r="1116" spans="1:6" x14ac:dyDescent="0.3">
      <c r="A1116" s="6" t="s">
        <v>1116</v>
      </c>
      <c r="B1116">
        <v>19596310</v>
      </c>
      <c r="C1116" s="3">
        <v>5</v>
      </c>
      <c r="D1116" s="5" t="str">
        <f t="shared" si="39"/>
        <v>05</v>
      </c>
      <c r="E1116" t="str">
        <f>VLOOKUP(B1116,'HOGARES-BASELINE'!$B:$I,8,FALSE)</f>
        <v>00030312</v>
      </c>
      <c r="F1116" s="6" t="str">
        <f t="shared" si="40"/>
        <v>0003031205</v>
      </c>
    </row>
    <row r="1117" spans="1:6" x14ac:dyDescent="0.3">
      <c r="A1117" s="6" t="s">
        <v>1117</v>
      </c>
      <c r="B1117">
        <v>19596310</v>
      </c>
      <c r="C1117" s="3">
        <v>3</v>
      </c>
      <c r="D1117" s="5" t="str">
        <f t="shared" si="39"/>
        <v>03</v>
      </c>
      <c r="E1117" t="str">
        <f>VLOOKUP(B1117,'HOGARES-BASELINE'!$B:$I,8,FALSE)</f>
        <v>00030312</v>
      </c>
      <c r="F1117" s="6" t="str">
        <f t="shared" si="40"/>
        <v>0003031203</v>
      </c>
    </row>
    <row r="1118" spans="1:6" x14ac:dyDescent="0.3">
      <c r="A1118" s="6" t="s">
        <v>1118</v>
      </c>
      <c r="B1118">
        <v>19596310</v>
      </c>
      <c r="C1118" s="3">
        <v>2</v>
      </c>
      <c r="D1118" s="5" t="str">
        <f t="shared" si="39"/>
        <v>02</v>
      </c>
      <c r="E1118" t="str">
        <f>VLOOKUP(B1118,'HOGARES-BASELINE'!$B:$I,8,FALSE)</f>
        <v>00030312</v>
      </c>
      <c r="F1118" s="6" t="str">
        <f t="shared" si="40"/>
        <v>0003031202</v>
      </c>
    </row>
    <row r="1119" spans="1:6" x14ac:dyDescent="0.3">
      <c r="A1119" s="6" t="s">
        <v>1119</v>
      </c>
      <c r="B1119">
        <v>19596310</v>
      </c>
      <c r="C1119" s="3">
        <v>4</v>
      </c>
      <c r="D1119" s="5" t="str">
        <f t="shared" si="39"/>
        <v>04</v>
      </c>
      <c r="E1119" t="str">
        <f>VLOOKUP(B1119,'HOGARES-BASELINE'!$B:$I,8,FALSE)</f>
        <v>00030312</v>
      </c>
      <c r="F1119" s="6" t="str">
        <f t="shared" si="40"/>
        <v>0003031204</v>
      </c>
    </row>
    <row r="1120" spans="1:6" x14ac:dyDescent="0.3">
      <c r="A1120" s="6" t="s">
        <v>1120</v>
      </c>
      <c r="B1120">
        <v>19596310</v>
      </c>
      <c r="C1120" s="3">
        <v>6</v>
      </c>
      <c r="D1120" s="5" t="str">
        <f t="shared" si="39"/>
        <v>06</v>
      </c>
      <c r="E1120" t="str">
        <f>VLOOKUP(B1120,'HOGARES-BASELINE'!$B:$I,8,FALSE)</f>
        <v>00030312</v>
      </c>
      <c r="F1120" s="6" t="str">
        <f t="shared" si="40"/>
        <v>0003031206</v>
      </c>
    </row>
    <row r="1121" spans="1:6" x14ac:dyDescent="0.3">
      <c r="A1121" s="6" t="s">
        <v>1121</v>
      </c>
      <c r="B1121">
        <v>19596310</v>
      </c>
      <c r="C1121" s="3">
        <v>1</v>
      </c>
      <c r="D1121" s="5" t="str">
        <f t="shared" si="39"/>
        <v>01</v>
      </c>
      <c r="E1121" t="str">
        <f>VLOOKUP(B1121,'HOGARES-BASELINE'!$B:$I,8,FALSE)</f>
        <v>00030312</v>
      </c>
      <c r="F1121" s="6" t="str">
        <f t="shared" si="40"/>
        <v>0003031201</v>
      </c>
    </row>
    <row r="1122" spans="1:6" x14ac:dyDescent="0.3">
      <c r="A1122" s="6" t="s">
        <v>1122</v>
      </c>
      <c r="B1122">
        <v>21308025</v>
      </c>
      <c r="C1122" s="3">
        <v>1</v>
      </c>
      <c r="D1122" s="5" t="str">
        <f t="shared" si="39"/>
        <v>01</v>
      </c>
      <c r="E1122" t="str">
        <f>VLOOKUP(B1122,'HOGARES-BASELINE'!$B:$I,8,FALSE)</f>
        <v>00010313</v>
      </c>
      <c r="F1122" s="6" t="str">
        <f t="shared" si="40"/>
        <v>0001031301</v>
      </c>
    </row>
    <row r="1123" spans="1:6" x14ac:dyDescent="0.3">
      <c r="A1123" s="6" t="s">
        <v>1123</v>
      </c>
      <c r="B1123">
        <v>21308025</v>
      </c>
      <c r="C1123" s="3">
        <v>2</v>
      </c>
      <c r="D1123" s="5" t="str">
        <f t="shared" si="39"/>
        <v>02</v>
      </c>
      <c r="E1123" t="str">
        <f>VLOOKUP(B1123,'HOGARES-BASELINE'!$B:$I,8,FALSE)</f>
        <v>00010313</v>
      </c>
      <c r="F1123" s="6" t="str">
        <f t="shared" si="40"/>
        <v>0001031302</v>
      </c>
    </row>
    <row r="1124" spans="1:6" x14ac:dyDescent="0.3">
      <c r="A1124" s="6" t="s">
        <v>1124</v>
      </c>
      <c r="B1124">
        <v>21311154</v>
      </c>
      <c r="C1124" s="3">
        <v>1</v>
      </c>
      <c r="D1124" s="5" t="str">
        <f t="shared" si="39"/>
        <v>01</v>
      </c>
      <c r="E1124" t="str">
        <f>VLOOKUP(B1124,'HOGARES-BASELINE'!$B:$I,8,FALSE)</f>
        <v>00010314</v>
      </c>
      <c r="F1124" s="6" t="str">
        <f t="shared" si="40"/>
        <v>0001031401</v>
      </c>
    </row>
    <row r="1125" spans="1:6" x14ac:dyDescent="0.3">
      <c r="A1125" s="6" t="s">
        <v>1125</v>
      </c>
      <c r="B1125">
        <v>21386259</v>
      </c>
      <c r="C1125" s="3">
        <v>1</v>
      </c>
      <c r="D1125" s="5" t="str">
        <f t="shared" si="39"/>
        <v>01</v>
      </c>
      <c r="E1125" t="str">
        <f>VLOOKUP(B1125,'HOGARES-BASELINE'!$B:$I,8,FALSE)</f>
        <v>01010315</v>
      </c>
      <c r="F1125" s="6" t="str">
        <f t="shared" si="40"/>
        <v>0101031501</v>
      </c>
    </row>
    <row r="1126" spans="1:6" x14ac:dyDescent="0.3">
      <c r="A1126" s="6" t="s">
        <v>1126</v>
      </c>
      <c r="B1126">
        <v>21386259</v>
      </c>
      <c r="C1126" s="3">
        <v>2</v>
      </c>
      <c r="D1126" s="5" t="str">
        <f t="shared" si="39"/>
        <v>02</v>
      </c>
      <c r="E1126" t="str">
        <f>VLOOKUP(B1126,'HOGARES-BASELINE'!$B:$I,8,FALSE)</f>
        <v>01010315</v>
      </c>
      <c r="F1126" s="6" t="str">
        <f t="shared" si="40"/>
        <v>0101031502</v>
      </c>
    </row>
    <row r="1127" spans="1:6" x14ac:dyDescent="0.3">
      <c r="A1127" s="6" t="s">
        <v>1127</v>
      </c>
      <c r="B1127">
        <v>21399690</v>
      </c>
      <c r="C1127" s="3">
        <v>2</v>
      </c>
      <c r="D1127" s="5" t="str">
        <f t="shared" si="39"/>
        <v>02</v>
      </c>
      <c r="E1127" t="str">
        <f>VLOOKUP(B1127,'HOGARES-BASELINE'!$B:$I,8,FALSE)</f>
        <v>01010316</v>
      </c>
      <c r="F1127" s="6" t="str">
        <f t="shared" si="40"/>
        <v>0101031602</v>
      </c>
    </row>
    <row r="1128" spans="1:6" x14ac:dyDescent="0.3">
      <c r="A1128" s="6" t="s">
        <v>1128</v>
      </c>
      <c r="B1128">
        <v>21399690</v>
      </c>
      <c r="C1128" s="3">
        <v>1</v>
      </c>
      <c r="D1128" s="5" t="str">
        <f t="shared" si="39"/>
        <v>01</v>
      </c>
      <c r="E1128" t="str">
        <f>VLOOKUP(B1128,'HOGARES-BASELINE'!$B:$I,8,FALSE)</f>
        <v>01010316</v>
      </c>
      <c r="F1128" s="6" t="str">
        <f t="shared" si="40"/>
        <v>0101031601</v>
      </c>
    </row>
    <row r="1129" spans="1:6" x14ac:dyDescent="0.3">
      <c r="A1129" s="6" t="s">
        <v>1129</v>
      </c>
      <c r="B1129">
        <v>21400273</v>
      </c>
      <c r="C1129" s="3">
        <v>1</v>
      </c>
      <c r="D1129" s="5" t="str">
        <f t="shared" si="39"/>
        <v>01</v>
      </c>
      <c r="E1129" t="str">
        <f>VLOOKUP(B1129,'HOGARES-BASELINE'!$B:$I,8,FALSE)</f>
        <v>01010317</v>
      </c>
      <c r="F1129" s="6" t="str">
        <f t="shared" si="40"/>
        <v>0101031701</v>
      </c>
    </row>
    <row r="1130" spans="1:6" x14ac:dyDescent="0.3">
      <c r="A1130" s="6" t="s">
        <v>1130</v>
      </c>
      <c r="B1130">
        <v>21451130</v>
      </c>
      <c r="C1130" s="3">
        <v>1</v>
      </c>
      <c r="D1130" s="5" t="str">
        <f t="shared" si="39"/>
        <v>01</v>
      </c>
      <c r="E1130" t="str">
        <f>VLOOKUP(B1130,'HOGARES-BASELINE'!$B:$I,8,FALSE)</f>
        <v>00010318</v>
      </c>
      <c r="F1130" s="6" t="str">
        <f t="shared" si="40"/>
        <v>0001031801</v>
      </c>
    </row>
    <row r="1131" spans="1:6" x14ac:dyDescent="0.3">
      <c r="A1131" s="6" t="s">
        <v>1131</v>
      </c>
      <c r="B1131">
        <v>21451506</v>
      </c>
      <c r="C1131" s="3">
        <v>2</v>
      </c>
      <c r="D1131" s="5" t="str">
        <f t="shared" si="39"/>
        <v>02</v>
      </c>
      <c r="E1131" t="str">
        <f>VLOOKUP(B1131,'HOGARES-BASELINE'!$B:$I,8,FALSE)</f>
        <v>01010319</v>
      </c>
      <c r="F1131" s="6" t="str">
        <f t="shared" si="40"/>
        <v>0101031902</v>
      </c>
    </row>
    <row r="1132" spans="1:6" x14ac:dyDescent="0.3">
      <c r="A1132" s="6" t="s">
        <v>1132</v>
      </c>
      <c r="B1132">
        <v>21451506</v>
      </c>
      <c r="C1132" s="3">
        <v>1</v>
      </c>
      <c r="D1132" s="5" t="str">
        <f t="shared" si="39"/>
        <v>01</v>
      </c>
      <c r="E1132" t="str">
        <f>VLOOKUP(B1132,'HOGARES-BASELINE'!$B:$I,8,FALSE)</f>
        <v>01010319</v>
      </c>
      <c r="F1132" s="6" t="str">
        <f t="shared" si="40"/>
        <v>0101031901</v>
      </c>
    </row>
    <row r="1133" spans="1:6" x14ac:dyDescent="0.3">
      <c r="A1133" s="6" t="s">
        <v>1133</v>
      </c>
      <c r="B1133">
        <v>21464825</v>
      </c>
      <c r="C1133" s="3">
        <v>2</v>
      </c>
      <c r="D1133" s="5" t="str">
        <f t="shared" si="39"/>
        <v>02</v>
      </c>
      <c r="E1133" t="str">
        <f>VLOOKUP(B1133,'HOGARES-BASELINE'!$B:$I,8,FALSE)</f>
        <v>01010320</v>
      </c>
      <c r="F1133" s="6" t="str">
        <f t="shared" si="40"/>
        <v>0101032002</v>
      </c>
    </row>
    <row r="1134" spans="1:6" x14ac:dyDescent="0.3">
      <c r="A1134" s="6" t="s">
        <v>1134</v>
      </c>
      <c r="B1134">
        <v>21464825</v>
      </c>
      <c r="C1134" s="3">
        <v>3</v>
      </c>
      <c r="D1134" s="5" t="str">
        <f t="shared" si="39"/>
        <v>03</v>
      </c>
      <c r="E1134" t="str">
        <f>VLOOKUP(B1134,'HOGARES-BASELINE'!$B:$I,8,FALSE)</f>
        <v>01010320</v>
      </c>
      <c r="F1134" s="6" t="str">
        <f t="shared" si="40"/>
        <v>0101032003</v>
      </c>
    </row>
    <row r="1135" spans="1:6" x14ac:dyDescent="0.3">
      <c r="A1135" s="6" t="s">
        <v>1135</v>
      </c>
      <c r="B1135">
        <v>21464825</v>
      </c>
      <c r="C1135" s="3">
        <v>1</v>
      </c>
      <c r="D1135" s="5" t="str">
        <f t="shared" si="39"/>
        <v>01</v>
      </c>
      <c r="E1135" t="str">
        <f>VLOOKUP(B1135,'HOGARES-BASELINE'!$B:$I,8,FALSE)</f>
        <v>01010320</v>
      </c>
      <c r="F1135" s="6" t="str">
        <f t="shared" si="40"/>
        <v>0101032001</v>
      </c>
    </row>
    <row r="1136" spans="1:6" x14ac:dyDescent="0.3">
      <c r="A1136" s="6" t="s">
        <v>1136</v>
      </c>
      <c r="B1136">
        <v>21467983</v>
      </c>
      <c r="C1136" s="3">
        <v>1</v>
      </c>
      <c r="D1136" s="5" t="str">
        <f t="shared" ref="D1136:D1199" si="41">_xlfn.CONCAT(0,C1136)</f>
        <v>01</v>
      </c>
      <c r="E1136" t="str">
        <f>VLOOKUP(B1136,'HOGARES-BASELINE'!$B:$I,8,FALSE)</f>
        <v>01010321</v>
      </c>
      <c r="F1136" s="6" t="str">
        <f t="shared" si="40"/>
        <v>0101032101</v>
      </c>
    </row>
    <row r="1137" spans="1:6" x14ac:dyDescent="0.3">
      <c r="A1137" s="6" t="s">
        <v>1137</v>
      </c>
      <c r="B1137">
        <v>21467983</v>
      </c>
      <c r="C1137" s="3">
        <v>2</v>
      </c>
      <c r="D1137" s="5" t="str">
        <f t="shared" si="41"/>
        <v>02</v>
      </c>
      <c r="E1137" t="str">
        <f>VLOOKUP(B1137,'HOGARES-BASELINE'!$B:$I,8,FALSE)</f>
        <v>01010321</v>
      </c>
      <c r="F1137" s="6" t="str">
        <f t="shared" si="40"/>
        <v>0101032102</v>
      </c>
    </row>
    <row r="1138" spans="1:6" x14ac:dyDescent="0.3">
      <c r="A1138" s="6" t="s">
        <v>1138</v>
      </c>
      <c r="B1138">
        <v>21469067</v>
      </c>
      <c r="C1138" s="3">
        <v>5</v>
      </c>
      <c r="D1138" s="5" t="str">
        <f t="shared" si="41"/>
        <v>05</v>
      </c>
      <c r="E1138" t="str">
        <f>VLOOKUP(B1138,'HOGARES-BASELINE'!$B:$I,8,FALSE)</f>
        <v>00010322</v>
      </c>
      <c r="F1138" s="6" t="str">
        <f t="shared" si="40"/>
        <v>0001032205</v>
      </c>
    </row>
    <row r="1139" spans="1:6" x14ac:dyDescent="0.3">
      <c r="A1139" s="6" t="s">
        <v>1139</v>
      </c>
      <c r="B1139">
        <v>21469067</v>
      </c>
      <c r="C1139" s="3">
        <v>3</v>
      </c>
      <c r="D1139" s="5" t="str">
        <f t="shared" si="41"/>
        <v>03</v>
      </c>
      <c r="E1139" t="str">
        <f>VLOOKUP(B1139,'HOGARES-BASELINE'!$B:$I,8,FALSE)</f>
        <v>00010322</v>
      </c>
      <c r="F1139" s="6" t="str">
        <f t="shared" si="40"/>
        <v>0001032203</v>
      </c>
    </row>
    <row r="1140" spans="1:6" x14ac:dyDescent="0.3">
      <c r="A1140" s="6" t="s">
        <v>1140</v>
      </c>
      <c r="B1140">
        <v>21469067</v>
      </c>
      <c r="C1140" s="3">
        <v>2</v>
      </c>
      <c r="D1140" s="5" t="str">
        <f t="shared" si="41"/>
        <v>02</v>
      </c>
      <c r="E1140" t="str">
        <f>VLOOKUP(B1140,'HOGARES-BASELINE'!$B:$I,8,FALSE)</f>
        <v>00010322</v>
      </c>
      <c r="F1140" s="6" t="str">
        <f t="shared" si="40"/>
        <v>0001032202</v>
      </c>
    </row>
    <row r="1141" spans="1:6" x14ac:dyDescent="0.3">
      <c r="A1141" s="6" t="s">
        <v>1141</v>
      </c>
      <c r="B1141">
        <v>21469067</v>
      </c>
      <c r="C1141" s="3">
        <v>1</v>
      </c>
      <c r="D1141" s="5" t="str">
        <f t="shared" si="41"/>
        <v>01</v>
      </c>
      <c r="E1141" t="str">
        <f>VLOOKUP(B1141,'HOGARES-BASELINE'!$B:$I,8,FALSE)</f>
        <v>00010322</v>
      </c>
      <c r="F1141" s="6" t="str">
        <f t="shared" si="40"/>
        <v>0001032201</v>
      </c>
    </row>
    <row r="1142" spans="1:6" x14ac:dyDescent="0.3">
      <c r="A1142" s="6" t="s">
        <v>1142</v>
      </c>
      <c r="B1142">
        <v>21469067</v>
      </c>
      <c r="C1142" s="3">
        <v>4</v>
      </c>
      <c r="D1142" s="5" t="str">
        <f t="shared" si="41"/>
        <v>04</v>
      </c>
      <c r="E1142" t="str">
        <f>VLOOKUP(B1142,'HOGARES-BASELINE'!$B:$I,8,FALSE)</f>
        <v>00010322</v>
      </c>
      <c r="F1142" s="6" t="str">
        <f t="shared" si="40"/>
        <v>0001032204</v>
      </c>
    </row>
    <row r="1143" spans="1:6" x14ac:dyDescent="0.3">
      <c r="A1143" s="6" t="s">
        <v>1143</v>
      </c>
      <c r="B1143">
        <v>21499811</v>
      </c>
      <c r="C1143" s="3">
        <v>2</v>
      </c>
      <c r="D1143" s="5" t="str">
        <f t="shared" si="41"/>
        <v>02</v>
      </c>
      <c r="E1143" t="str">
        <f>VLOOKUP(B1143,'HOGARES-BASELINE'!$B:$I,8,FALSE)</f>
        <v>00010323</v>
      </c>
      <c r="F1143" s="6" t="str">
        <f t="shared" si="40"/>
        <v>0001032302</v>
      </c>
    </row>
    <row r="1144" spans="1:6" x14ac:dyDescent="0.3">
      <c r="A1144" s="6" t="s">
        <v>1144</v>
      </c>
      <c r="B1144">
        <v>21499811</v>
      </c>
      <c r="C1144" s="3">
        <v>1</v>
      </c>
      <c r="D1144" s="5" t="str">
        <f t="shared" si="41"/>
        <v>01</v>
      </c>
      <c r="E1144" t="str">
        <f>VLOOKUP(B1144,'HOGARES-BASELINE'!$B:$I,8,FALSE)</f>
        <v>00010323</v>
      </c>
      <c r="F1144" s="6" t="str">
        <f t="shared" si="40"/>
        <v>0001032301</v>
      </c>
    </row>
    <row r="1145" spans="1:6" x14ac:dyDescent="0.3">
      <c r="A1145" s="6" t="s">
        <v>1145</v>
      </c>
      <c r="B1145">
        <v>21499811</v>
      </c>
      <c r="C1145" s="3">
        <v>3</v>
      </c>
      <c r="D1145" s="5" t="str">
        <f t="shared" si="41"/>
        <v>03</v>
      </c>
      <c r="E1145" t="str">
        <f>VLOOKUP(B1145,'HOGARES-BASELINE'!$B:$I,8,FALSE)</f>
        <v>00010323</v>
      </c>
      <c r="F1145" s="6" t="str">
        <f t="shared" si="40"/>
        <v>0001032303</v>
      </c>
    </row>
    <row r="1146" spans="1:6" x14ac:dyDescent="0.3">
      <c r="A1146" s="6" t="s">
        <v>1146</v>
      </c>
      <c r="B1146">
        <v>21508452</v>
      </c>
      <c r="C1146" s="3">
        <v>1</v>
      </c>
      <c r="D1146" s="5" t="str">
        <f t="shared" si="41"/>
        <v>01</v>
      </c>
      <c r="E1146" t="str">
        <f>VLOOKUP(B1146,'HOGARES-BASELINE'!$B:$I,8,FALSE)</f>
        <v>01010324</v>
      </c>
      <c r="F1146" s="6" t="str">
        <f t="shared" si="40"/>
        <v>0101032401</v>
      </c>
    </row>
    <row r="1147" spans="1:6" x14ac:dyDescent="0.3">
      <c r="A1147" s="6" t="s">
        <v>1147</v>
      </c>
      <c r="B1147">
        <v>21521912</v>
      </c>
      <c r="C1147" s="3">
        <v>1</v>
      </c>
      <c r="D1147" s="5" t="str">
        <f t="shared" si="41"/>
        <v>01</v>
      </c>
      <c r="E1147" t="str">
        <f>VLOOKUP(B1147,'HOGARES-BASELINE'!$B:$I,8,FALSE)</f>
        <v>01010325</v>
      </c>
      <c r="F1147" s="6" t="str">
        <f t="shared" si="40"/>
        <v>0101032501</v>
      </c>
    </row>
    <row r="1148" spans="1:6" x14ac:dyDescent="0.3">
      <c r="A1148" s="6" t="s">
        <v>1148</v>
      </c>
      <c r="B1148">
        <v>21521912</v>
      </c>
      <c r="C1148" s="3">
        <v>3</v>
      </c>
      <c r="D1148" s="5" t="str">
        <f t="shared" si="41"/>
        <v>03</v>
      </c>
      <c r="E1148" t="str">
        <f>VLOOKUP(B1148,'HOGARES-BASELINE'!$B:$I,8,FALSE)</f>
        <v>01010325</v>
      </c>
      <c r="F1148" s="6" t="str">
        <f t="shared" si="40"/>
        <v>0101032503</v>
      </c>
    </row>
    <row r="1149" spans="1:6" x14ac:dyDescent="0.3">
      <c r="A1149" s="6" t="s">
        <v>1149</v>
      </c>
      <c r="B1149">
        <v>21521912</v>
      </c>
      <c r="C1149" s="3">
        <v>4</v>
      </c>
      <c r="D1149" s="5" t="str">
        <f t="shared" si="41"/>
        <v>04</v>
      </c>
      <c r="E1149" t="str">
        <f>VLOOKUP(B1149,'HOGARES-BASELINE'!$B:$I,8,FALSE)</f>
        <v>01010325</v>
      </c>
      <c r="F1149" s="6" t="str">
        <f t="shared" si="40"/>
        <v>0101032504</v>
      </c>
    </row>
    <row r="1150" spans="1:6" x14ac:dyDescent="0.3">
      <c r="A1150" s="6" t="s">
        <v>1150</v>
      </c>
      <c r="B1150">
        <v>21521912</v>
      </c>
      <c r="C1150" s="3">
        <v>2</v>
      </c>
      <c r="D1150" s="5" t="str">
        <f t="shared" si="41"/>
        <v>02</v>
      </c>
      <c r="E1150" t="str">
        <f>VLOOKUP(B1150,'HOGARES-BASELINE'!$B:$I,8,FALSE)</f>
        <v>01010325</v>
      </c>
      <c r="F1150" s="6" t="str">
        <f t="shared" si="40"/>
        <v>0101032502</v>
      </c>
    </row>
    <row r="1151" spans="1:6" x14ac:dyDescent="0.3">
      <c r="A1151" s="6" t="s">
        <v>1151</v>
      </c>
      <c r="B1151">
        <v>21559816</v>
      </c>
      <c r="C1151" s="3">
        <v>1</v>
      </c>
      <c r="D1151" s="5" t="str">
        <f t="shared" si="41"/>
        <v>01</v>
      </c>
      <c r="E1151" t="str">
        <f>VLOOKUP(B1151,'HOGARES-BASELINE'!$B:$I,8,FALSE)</f>
        <v>01010326</v>
      </c>
      <c r="F1151" s="6" t="str">
        <f t="shared" si="40"/>
        <v>0101032601</v>
      </c>
    </row>
    <row r="1152" spans="1:6" x14ac:dyDescent="0.3">
      <c r="A1152" s="6" t="s">
        <v>1152</v>
      </c>
      <c r="B1152">
        <v>21559816</v>
      </c>
      <c r="C1152" s="3">
        <v>3</v>
      </c>
      <c r="D1152" s="5" t="str">
        <f t="shared" si="41"/>
        <v>03</v>
      </c>
      <c r="E1152" t="str">
        <f>VLOOKUP(B1152,'HOGARES-BASELINE'!$B:$I,8,FALSE)</f>
        <v>01010326</v>
      </c>
      <c r="F1152" s="6" t="str">
        <f t="shared" si="40"/>
        <v>0101032603</v>
      </c>
    </row>
    <row r="1153" spans="1:6" x14ac:dyDescent="0.3">
      <c r="A1153" s="6" t="s">
        <v>1153</v>
      </c>
      <c r="B1153">
        <v>21559816</v>
      </c>
      <c r="C1153" s="3">
        <v>6</v>
      </c>
      <c r="D1153" s="5" t="str">
        <f t="shared" si="41"/>
        <v>06</v>
      </c>
      <c r="E1153" t="str">
        <f>VLOOKUP(B1153,'HOGARES-BASELINE'!$B:$I,8,FALSE)</f>
        <v>01010326</v>
      </c>
      <c r="F1153" s="6" t="str">
        <f t="shared" si="40"/>
        <v>0101032606</v>
      </c>
    </row>
    <row r="1154" spans="1:6" x14ac:dyDescent="0.3">
      <c r="A1154" s="6" t="s">
        <v>1154</v>
      </c>
      <c r="B1154">
        <v>21559816</v>
      </c>
      <c r="C1154" s="3">
        <v>4</v>
      </c>
      <c r="D1154" s="5" t="str">
        <f t="shared" si="41"/>
        <v>04</v>
      </c>
      <c r="E1154" t="str">
        <f>VLOOKUP(B1154,'HOGARES-BASELINE'!$B:$I,8,FALSE)</f>
        <v>01010326</v>
      </c>
      <c r="F1154" s="6" t="str">
        <f t="shared" si="40"/>
        <v>0101032604</v>
      </c>
    </row>
    <row r="1155" spans="1:6" x14ac:dyDescent="0.3">
      <c r="A1155" s="6" t="s">
        <v>1155</v>
      </c>
      <c r="B1155">
        <v>21559816</v>
      </c>
      <c r="C1155" s="3">
        <v>5</v>
      </c>
      <c r="D1155" s="5" t="str">
        <f t="shared" si="41"/>
        <v>05</v>
      </c>
      <c r="E1155" t="str">
        <f>VLOOKUP(B1155,'HOGARES-BASELINE'!$B:$I,8,FALSE)</f>
        <v>01010326</v>
      </c>
      <c r="F1155" s="6" t="str">
        <f t="shared" ref="F1155:F1218" si="42">_xlfn.CONCAT(E1155,D1155)</f>
        <v>0101032605</v>
      </c>
    </row>
    <row r="1156" spans="1:6" x14ac:dyDescent="0.3">
      <c r="A1156" s="6" t="s">
        <v>1156</v>
      </c>
      <c r="B1156">
        <v>21559816</v>
      </c>
      <c r="C1156" s="3">
        <v>2</v>
      </c>
      <c r="D1156" s="5" t="str">
        <f t="shared" si="41"/>
        <v>02</v>
      </c>
      <c r="E1156" t="str">
        <f>VLOOKUP(B1156,'HOGARES-BASELINE'!$B:$I,8,FALSE)</f>
        <v>01010326</v>
      </c>
      <c r="F1156" s="6" t="str">
        <f t="shared" si="42"/>
        <v>0101032602</v>
      </c>
    </row>
    <row r="1157" spans="1:6" x14ac:dyDescent="0.3">
      <c r="A1157" s="6" t="s">
        <v>1157</v>
      </c>
      <c r="B1157">
        <v>21573512</v>
      </c>
      <c r="C1157" s="3">
        <v>1</v>
      </c>
      <c r="D1157" s="5" t="str">
        <f t="shared" si="41"/>
        <v>01</v>
      </c>
      <c r="E1157" t="str">
        <f>VLOOKUP(B1157,'HOGARES-BASELINE'!$B:$I,8,FALSE)</f>
        <v>01010327</v>
      </c>
      <c r="F1157" s="6" t="str">
        <f t="shared" si="42"/>
        <v>0101032701</v>
      </c>
    </row>
    <row r="1158" spans="1:6" x14ac:dyDescent="0.3">
      <c r="A1158" s="6" t="s">
        <v>1158</v>
      </c>
      <c r="B1158">
        <v>21575791</v>
      </c>
      <c r="C1158" s="3">
        <v>1</v>
      </c>
      <c r="D1158" s="5" t="str">
        <f t="shared" si="41"/>
        <v>01</v>
      </c>
      <c r="E1158" t="str">
        <f>VLOOKUP(B1158,'HOGARES-BASELINE'!$B:$I,8,FALSE)</f>
        <v>01010328</v>
      </c>
      <c r="F1158" s="6" t="str">
        <f t="shared" si="42"/>
        <v>0101032801</v>
      </c>
    </row>
    <row r="1159" spans="1:6" x14ac:dyDescent="0.3">
      <c r="A1159" s="6" t="s">
        <v>1159</v>
      </c>
      <c r="B1159">
        <v>21584884</v>
      </c>
      <c r="C1159" s="3">
        <v>3</v>
      </c>
      <c r="D1159" s="5" t="str">
        <f t="shared" si="41"/>
        <v>03</v>
      </c>
      <c r="E1159" t="str">
        <f>VLOOKUP(B1159,'HOGARES-BASELINE'!$B:$I,8,FALSE)</f>
        <v>01010329</v>
      </c>
      <c r="F1159" s="6" t="str">
        <f t="shared" si="42"/>
        <v>0101032903</v>
      </c>
    </row>
    <row r="1160" spans="1:6" x14ac:dyDescent="0.3">
      <c r="A1160" s="6" t="s">
        <v>1160</v>
      </c>
      <c r="B1160">
        <v>21584884</v>
      </c>
      <c r="C1160" s="3">
        <v>2</v>
      </c>
      <c r="D1160" s="5" t="str">
        <f t="shared" si="41"/>
        <v>02</v>
      </c>
      <c r="E1160" t="str">
        <f>VLOOKUP(B1160,'HOGARES-BASELINE'!$B:$I,8,FALSE)</f>
        <v>01010329</v>
      </c>
      <c r="F1160" s="6" t="str">
        <f t="shared" si="42"/>
        <v>0101032902</v>
      </c>
    </row>
    <row r="1161" spans="1:6" x14ac:dyDescent="0.3">
      <c r="A1161" s="6" t="s">
        <v>1161</v>
      </c>
      <c r="B1161">
        <v>21584884</v>
      </c>
      <c r="C1161" s="3">
        <v>1</v>
      </c>
      <c r="D1161" s="5" t="str">
        <f t="shared" si="41"/>
        <v>01</v>
      </c>
      <c r="E1161" t="str">
        <f>VLOOKUP(B1161,'HOGARES-BASELINE'!$B:$I,8,FALSE)</f>
        <v>01010329</v>
      </c>
      <c r="F1161" s="6" t="str">
        <f t="shared" si="42"/>
        <v>0101032901</v>
      </c>
    </row>
    <row r="1162" spans="1:6" x14ac:dyDescent="0.3">
      <c r="A1162" s="6" t="s">
        <v>1162</v>
      </c>
      <c r="B1162">
        <v>21584884</v>
      </c>
      <c r="C1162" s="3">
        <v>4</v>
      </c>
      <c r="D1162" s="5" t="str">
        <f t="shared" si="41"/>
        <v>04</v>
      </c>
      <c r="E1162" t="str">
        <f>VLOOKUP(B1162,'HOGARES-BASELINE'!$B:$I,8,FALSE)</f>
        <v>01010329</v>
      </c>
      <c r="F1162" s="6" t="str">
        <f t="shared" si="42"/>
        <v>0101032904</v>
      </c>
    </row>
    <row r="1163" spans="1:6" x14ac:dyDescent="0.3">
      <c r="A1163" s="6" t="s">
        <v>1163</v>
      </c>
      <c r="B1163">
        <v>21610540</v>
      </c>
      <c r="C1163" s="3">
        <v>1</v>
      </c>
      <c r="D1163" s="5" t="str">
        <f t="shared" si="41"/>
        <v>01</v>
      </c>
      <c r="E1163" t="str">
        <f>VLOOKUP(B1163,'HOGARES-BASELINE'!$B:$I,8,FALSE)</f>
        <v>00010330</v>
      </c>
      <c r="F1163" s="6" t="str">
        <f t="shared" si="42"/>
        <v>0001033001</v>
      </c>
    </row>
    <row r="1164" spans="1:6" x14ac:dyDescent="0.3">
      <c r="A1164" s="6" t="s">
        <v>1164</v>
      </c>
      <c r="B1164">
        <v>21610540</v>
      </c>
      <c r="C1164" s="3">
        <v>2</v>
      </c>
      <c r="D1164" s="5" t="str">
        <f t="shared" si="41"/>
        <v>02</v>
      </c>
      <c r="E1164" t="str">
        <f>VLOOKUP(B1164,'HOGARES-BASELINE'!$B:$I,8,FALSE)</f>
        <v>00010330</v>
      </c>
      <c r="F1164" s="6" t="str">
        <f t="shared" si="42"/>
        <v>0001033002</v>
      </c>
    </row>
    <row r="1165" spans="1:6" x14ac:dyDescent="0.3">
      <c r="A1165" s="6" t="s">
        <v>1165</v>
      </c>
      <c r="B1165">
        <v>21620314</v>
      </c>
      <c r="C1165" s="3">
        <v>2</v>
      </c>
      <c r="D1165" s="5" t="str">
        <f t="shared" si="41"/>
        <v>02</v>
      </c>
      <c r="E1165" t="str">
        <f>VLOOKUP(B1165,'HOGARES-BASELINE'!$B:$I,8,FALSE)</f>
        <v>01010331</v>
      </c>
      <c r="F1165" s="6" t="str">
        <f t="shared" si="42"/>
        <v>0101033102</v>
      </c>
    </row>
    <row r="1166" spans="1:6" x14ac:dyDescent="0.3">
      <c r="A1166" s="6" t="s">
        <v>1166</v>
      </c>
      <c r="B1166">
        <v>21620314</v>
      </c>
      <c r="C1166" s="3">
        <v>1</v>
      </c>
      <c r="D1166" s="5" t="str">
        <f t="shared" si="41"/>
        <v>01</v>
      </c>
      <c r="E1166" t="str">
        <f>VLOOKUP(B1166,'HOGARES-BASELINE'!$B:$I,8,FALSE)</f>
        <v>01010331</v>
      </c>
      <c r="F1166" s="6" t="str">
        <f t="shared" si="42"/>
        <v>0101033101</v>
      </c>
    </row>
    <row r="1167" spans="1:6" x14ac:dyDescent="0.3">
      <c r="A1167" s="6" t="s">
        <v>1167</v>
      </c>
      <c r="B1167">
        <v>21691463</v>
      </c>
      <c r="C1167" s="3">
        <v>1</v>
      </c>
      <c r="D1167" s="5" t="str">
        <f t="shared" si="41"/>
        <v>01</v>
      </c>
      <c r="E1167" t="str">
        <f>VLOOKUP(B1167,'HOGARES-BASELINE'!$B:$I,8,FALSE)</f>
        <v>01010332</v>
      </c>
      <c r="F1167" s="6" t="str">
        <f t="shared" si="42"/>
        <v>0101033201</v>
      </c>
    </row>
    <row r="1168" spans="1:6" x14ac:dyDescent="0.3">
      <c r="A1168" s="6" t="s">
        <v>1168</v>
      </c>
      <c r="B1168">
        <v>21693354</v>
      </c>
      <c r="C1168" s="3">
        <v>1</v>
      </c>
      <c r="D1168" s="5" t="str">
        <f t="shared" si="41"/>
        <v>01</v>
      </c>
      <c r="E1168" t="str">
        <f>VLOOKUP(B1168,'HOGARES-BASELINE'!$B:$I,8,FALSE)</f>
        <v>01010333</v>
      </c>
      <c r="F1168" s="6" t="str">
        <f t="shared" si="42"/>
        <v>0101033301</v>
      </c>
    </row>
    <row r="1169" spans="1:6" x14ac:dyDescent="0.3">
      <c r="A1169" s="6" t="s">
        <v>1169</v>
      </c>
      <c r="B1169">
        <v>21693354</v>
      </c>
      <c r="C1169" s="3">
        <v>4</v>
      </c>
      <c r="D1169" s="5" t="str">
        <f t="shared" si="41"/>
        <v>04</v>
      </c>
      <c r="E1169" t="str">
        <f>VLOOKUP(B1169,'HOGARES-BASELINE'!$B:$I,8,FALSE)</f>
        <v>01010333</v>
      </c>
      <c r="F1169" s="6" t="str">
        <f t="shared" si="42"/>
        <v>0101033304</v>
      </c>
    </row>
    <row r="1170" spans="1:6" x14ac:dyDescent="0.3">
      <c r="A1170" s="6" t="s">
        <v>1170</v>
      </c>
      <c r="B1170">
        <v>21693354</v>
      </c>
      <c r="C1170" s="3">
        <v>3</v>
      </c>
      <c r="D1170" s="5" t="str">
        <f t="shared" si="41"/>
        <v>03</v>
      </c>
      <c r="E1170" t="str">
        <f>VLOOKUP(B1170,'HOGARES-BASELINE'!$B:$I,8,FALSE)</f>
        <v>01010333</v>
      </c>
      <c r="F1170" s="6" t="str">
        <f t="shared" si="42"/>
        <v>0101033303</v>
      </c>
    </row>
    <row r="1171" spans="1:6" x14ac:dyDescent="0.3">
      <c r="A1171" s="6" t="s">
        <v>1171</v>
      </c>
      <c r="B1171">
        <v>21693354</v>
      </c>
      <c r="C1171" s="3">
        <v>2</v>
      </c>
      <c r="D1171" s="5" t="str">
        <f t="shared" si="41"/>
        <v>02</v>
      </c>
      <c r="E1171" t="str">
        <f>VLOOKUP(B1171,'HOGARES-BASELINE'!$B:$I,8,FALSE)</f>
        <v>01010333</v>
      </c>
      <c r="F1171" s="6" t="str">
        <f t="shared" si="42"/>
        <v>0101033302</v>
      </c>
    </row>
    <row r="1172" spans="1:6" x14ac:dyDescent="0.3">
      <c r="A1172" s="6" t="s">
        <v>1172</v>
      </c>
      <c r="B1172">
        <v>21693354</v>
      </c>
      <c r="C1172" s="3">
        <v>5</v>
      </c>
      <c r="D1172" s="5" t="str">
        <f t="shared" si="41"/>
        <v>05</v>
      </c>
      <c r="E1172" t="str">
        <f>VLOOKUP(B1172,'HOGARES-BASELINE'!$B:$I,8,FALSE)</f>
        <v>01010333</v>
      </c>
      <c r="F1172" s="6" t="str">
        <f t="shared" si="42"/>
        <v>0101033305</v>
      </c>
    </row>
    <row r="1173" spans="1:6" x14ac:dyDescent="0.3">
      <c r="A1173" s="6" t="s">
        <v>1173</v>
      </c>
      <c r="B1173">
        <v>21693354</v>
      </c>
      <c r="C1173" s="3">
        <v>6</v>
      </c>
      <c r="D1173" s="5" t="str">
        <f t="shared" si="41"/>
        <v>06</v>
      </c>
      <c r="E1173" t="str">
        <f>VLOOKUP(B1173,'HOGARES-BASELINE'!$B:$I,8,FALSE)</f>
        <v>01010333</v>
      </c>
      <c r="F1173" s="6" t="str">
        <f t="shared" si="42"/>
        <v>0101033306</v>
      </c>
    </row>
    <row r="1174" spans="1:6" x14ac:dyDescent="0.3">
      <c r="A1174" s="6" t="s">
        <v>1174</v>
      </c>
      <c r="B1174">
        <v>21693424</v>
      </c>
      <c r="C1174" s="3">
        <v>1</v>
      </c>
      <c r="D1174" s="5" t="str">
        <f t="shared" si="41"/>
        <v>01</v>
      </c>
      <c r="E1174" t="str">
        <f>VLOOKUP(B1174,'HOGARES-BASELINE'!$B:$I,8,FALSE)</f>
        <v>00010334</v>
      </c>
      <c r="F1174" s="6" t="str">
        <f t="shared" si="42"/>
        <v>0001033401</v>
      </c>
    </row>
    <row r="1175" spans="1:6" x14ac:dyDescent="0.3">
      <c r="A1175" s="6" t="s">
        <v>1175</v>
      </c>
      <c r="B1175">
        <v>21693424</v>
      </c>
      <c r="C1175" s="3">
        <v>2</v>
      </c>
      <c r="D1175" s="5" t="str">
        <f t="shared" si="41"/>
        <v>02</v>
      </c>
      <c r="E1175" t="str">
        <f>VLOOKUP(B1175,'HOGARES-BASELINE'!$B:$I,8,FALSE)</f>
        <v>00010334</v>
      </c>
      <c r="F1175" s="6" t="str">
        <f t="shared" si="42"/>
        <v>0001033402</v>
      </c>
    </row>
    <row r="1176" spans="1:6" x14ac:dyDescent="0.3">
      <c r="A1176" s="6" t="s">
        <v>1176</v>
      </c>
      <c r="B1176">
        <v>21693424</v>
      </c>
      <c r="C1176" s="3">
        <v>3</v>
      </c>
      <c r="D1176" s="5" t="str">
        <f t="shared" si="41"/>
        <v>03</v>
      </c>
      <c r="E1176" t="str">
        <f>VLOOKUP(B1176,'HOGARES-BASELINE'!$B:$I,8,FALSE)</f>
        <v>00010334</v>
      </c>
      <c r="F1176" s="6" t="str">
        <f t="shared" si="42"/>
        <v>0001033403</v>
      </c>
    </row>
    <row r="1177" spans="1:6" x14ac:dyDescent="0.3">
      <c r="A1177" s="6" t="s">
        <v>1177</v>
      </c>
      <c r="B1177">
        <v>21697016</v>
      </c>
      <c r="C1177" s="3">
        <v>3</v>
      </c>
      <c r="D1177" s="5" t="str">
        <f t="shared" si="41"/>
        <v>03</v>
      </c>
      <c r="E1177" t="str">
        <f>VLOOKUP(B1177,'HOGARES-BASELINE'!$B:$I,8,FALSE)</f>
        <v>01010335</v>
      </c>
      <c r="F1177" s="6" t="str">
        <f t="shared" si="42"/>
        <v>0101033503</v>
      </c>
    </row>
    <row r="1178" spans="1:6" x14ac:dyDescent="0.3">
      <c r="A1178" s="6" t="s">
        <v>1178</v>
      </c>
      <c r="B1178">
        <v>21697016</v>
      </c>
      <c r="C1178" s="3">
        <v>1</v>
      </c>
      <c r="D1178" s="5" t="str">
        <f t="shared" si="41"/>
        <v>01</v>
      </c>
      <c r="E1178" t="str">
        <f>VLOOKUP(B1178,'HOGARES-BASELINE'!$B:$I,8,FALSE)</f>
        <v>01010335</v>
      </c>
      <c r="F1178" s="6" t="str">
        <f t="shared" si="42"/>
        <v>0101033501</v>
      </c>
    </row>
    <row r="1179" spans="1:6" x14ac:dyDescent="0.3">
      <c r="A1179" s="6" t="s">
        <v>1179</v>
      </c>
      <c r="B1179">
        <v>21697016</v>
      </c>
      <c r="C1179" s="3">
        <v>2</v>
      </c>
      <c r="D1179" s="5" t="str">
        <f t="shared" si="41"/>
        <v>02</v>
      </c>
      <c r="E1179" t="str">
        <f>VLOOKUP(B1179,'HOGARES-BASELINE'!$B:$I,8,FALSE)</f>
        <v>01010335</v>
      </c>
      <c r="F1179" s="6" t="str">
        <f t="shared" si="42"/>
        <v>0101033502</v>
      </c>
    </row>
    <row r="1180" spans="1:6" x14ac:dyDescent="0.3">
      <c r="A1180" s="6" t="s">
        <v>1180</v>
      </c>
      <c r="B1180">
        <v>21697063</v>
      </c>
      <c r="C1180" s="3">
        <v>3</v>
      </c>
      <c r="D1180" s="5" t="str">
        <f t="shared" si="41"/>
        <v>03</v>
      </c>
      <c r="E1180" t="str">
        <f>VLOOKUP(B1180,'HOGARES-BASELINE'!$B:$I,8,FALSE)</f>
        <v>01010336</v>
      </c>
      <c r="F1180" s="6" t="str">
        <f t="shared" si="42"/>
        <v>0101033603</v>
      </c>
    </row>
    <row r="1181" spans="1:6" x14ac:dyDescent="0.3">
      <c r="A1181" s="6" t="s">
        <v>1181</v>
      </c>
      <c r="B1181">
        <v>21697063</v>
      </c>
      <c r="C1181" s="3">
        <v>2</v>
      </c>
      <c r="D1181" s="5" t="str">
        <f t="shared" si="41"/>
        <v>02</v>
      </c>
      <c r="E1181" t="str">
        <f>VLOOKUP(B1181,'HOGARES-BASELINE'!$B:$I,8,FALSE)</f>
        <v>01010336</v>
      </c>
      <c r="F1181" s="6" t="str">
        <f t="shared" si="42"/>
        <v>0101033602</v>
      </c>
    </row>
    <row r="1182" spans="1:6" x14ac:dyDescent="0.3">
      <c r="A1182" s="6" t="s">
        <v>1182</v>
      </c>
      <c r="B1182">
        <v>21697063</v>
      </c>
      <c r="C1182" s="3">
        <v>1</v>
      </c>
      <c r="D1182" s="5" t="str">
        <f t="shared" si="41"/>
        <v>01</v>
      </c>
      <c r="E1182" t="str">
        <f>VLOOKUP(B1182,'HOGARES-BASELINE'!$B:$I,8,FALSE)</f>
        <v>01010336</v>
      </c>
      <c r="F1182" s="6" t="str">
        <f t="shared" si="42"/>
        <v>0101033601</v>
      </c>
    </row>
    <row r="1183" spans="1:6" x14ac:dyDescent="0.3">
      <c r="A1183" s="6" t="s">
        <v>1183</v>
      </c>
      <c r="B1183">
        <v>21697063</v>
      </c>
      <c r="C1183" s="3">
        <v>4</v>
      </c>
      <c r="D1183" s="5" t="str">
        <f t="shared" si="41"/>
        <v>04</v>
      </c>
      <c r="E1183" t="str">
        <f>VLOOKUP(B1183,'HOGARES-BASELINE'!$B:$I,8,FALSE)</f>
        <v>01010336</v>
      </c>
      <c r="F1183" s="6" t="str">
        <f t="shared" si="42"/>
        <v>0101033604</v>
      </c>
    </row>
    <row r="1184" spans="1:6" x14ac:dyDescent="0.3">
      <c r="A1184" s="6" t="s">
        <v>1184</v>
      </c>
      <c r="B1184">
        <v>21697589</v>
      </c>
      <c r="C1184" s="3">
        <v>3</v>
      </c>
      <c r="D1184" s="5" t="str">
        <f t="shared" si="41"/>
        <v>03</v>
      </c>
      <c r="E1184" t="str">
        <f>VLOOKUP(B1184,'HOGARES-BASELINE'!$B:$I,8,FALSE)</f>
        <v>01010337</v>
      </c>
      <c r="F1184" s="6" t="str">
        <f t="shared" si="42"/>
        <v>0101033703</v>
      </c>
    </row>
    <row r="1185" spans="1:6" x14ac:dyDescent="0.3">
      <c r="A1185" s="6" t="s">
        <v>1185</v>
      </c>
      <c r="B1185">
        <v>21697589</v>
      </c>
      <c r="C1185" s="3">
        <v>2</v>
      </c>
      <c r="D1185" s="5" t="str">
        <f t="shared" si="41"/>
        <v>02</v>
      </c>
      <c r="E1185" t="str">
        <f>VLOOKUP(B1185,'HOGARES-BASELINE'!$B:$I,8,FALSE)</f>
        <v>01010337</v>
      </c>
      <c r="F1185" s="6" t="str">
        <f t="shared" si="42"/>
        <v>0101033702</v>
      </c>
    </row>
    <row r="1186" spans="1:6" x14ac:dyDescent="0.3">
      <c r="A1186" s="6" t="s">
        <v>1186</v>
      </c>
      <c r="B1186">
        <v>21697589</v>
      </c>
      <c r="C1186" s="3">
        <v>1</v>
      </c>
      <c r="D1186" s="5" t="str">
        <f t="shared" si="41"/>
        <v>01</v>
      </c>
      <c r="E1186" t="str">
        <f>VLOOKUP(B1186,'HOGARES-BASELINE'!$B:$I,8,FALSE)</f>
        <v>01010337</v>
      </c>
      <c r="F1186" s="6" t="str">
        <f t="shared" si="42"/>
        <v>0101033701</v>
      </c>
    </row>
    <row r="1187" spans="1:6" x14ac:dyDescent="0.3">
      <c r="A1187" s="6" t="s">
        <v>1187</v>
      </c>
      <c r="B1187">
        <v>21709045</v>
      </c>
      <c r="C1187" s="3">
        <v>1</v>
      </c>
      <c r="D1187" s="5" t="str">
        <f t="shared" si="41"/>
        <v>01</v>
      </c>
      <c r="E1187" t="str">
        <f>VLOOKUP(B1187,'HOGARES-BASELINE'!$B:$I,8,FALSE)</f>
        <v>01010338</v>
      </c>
      <c r="F1187" s="6" t="str">
        <f t="shared" si="42"/>
        <v>0101033801</v>
      </c>
    </row>
    <row r="1188" spans="1:6" x14ac:dyDescent="0.3">
      <c r="A1188" s="6" t="s">
        <v>1188</v>
      </c>
      <c r="B1188">
        <v>21744070</v>
      </c>
      <c r="C1188" s="3">
        <v>1</v>
      </c>
      <c r="D1188" s="5" t="str">
        <f t="shared" si="41"/>
        <v>01</v>
      </c>
      <c r="E1188" t="str">
        <f>VLOOKUP(B1188,'HOGARES-BASELINE'!$B:$I,8,FALSE)</f>
        <v>01010339</v>
      </c>
      <c r="F1188" s="6" t="str">
        <f t="shared" si="42"/>
        <v>0101033901</v>
      </c>
    </row>
    <row r="1189" spans="1:6" x14ac:dyDescent="0.3">
      <c r="A1189" s="6" t="s">
        <v>1189</v>
      </c>
      <c r="B1189">
        <v>21757096</v>
      </c>
      <c r="C1189" s="3">
        <v>4</v>
      </c>
      <c r="D1189" s="5" t="str">
        <f t="shared" si="41"/>
        <v>04</v>
      </c>
      <c r="E1189" t="str">
        <f>VLOOKUP(B1189,'HOGARES-BASELINE'!$B:$I,8,FALSE)</f>
        <v>00010340</v>
      </c>
      <c r="F1189" s="6" t="str">
        <f t="shared" si="42"/>
        <v>0001034004</v>
      </c>
    </row>
    <row r="1190" spans="1:6" x14ac:dyDescent="0.3">
      <c r="A1190" s="6" t="s">
        <v>1190</v>
      </c>
      <c r="B1190">
        <v>21757096</v>
      </c>
      <c r="C1190" s="3">
        <v>1</v>
      </c>
      <c r="D1190" s="5" t="str">
        <f t="shared" si="41"/>
        <v>01</v>
      </c>
      <c r="E1190" t="str">
        <f>VLOOKUP(B1190,'HOGARES-BASELINE'!$B:$I,8,FALSE)</f>
        <v>00010340</v>
      </c>
      <c r="F1190" s="6" t="str">
        <f t="shared" si="42"/>
        <v>0001034001</v>
      </c>
    </row>
    <row r="1191" spans="1:6" x14ac:dyDescent="0.3">
      <c r="A1191" s="6" t="s">
        <v>1191</v>
      </c>
      <c r="B1191">
        <v>21757096</v>
      </c>
      <c r="C1191" s="3">
        <v>5</v>
      </c>
      <c r="D1191" s="5" t="str">
        <f t="shared" si="41"/>
        <v>05</v>
      </c>
      <c r="E1191" t="str">
        <f>VLOOKUP(B1191,'HOGARES-BASELINE'!$B:$I,8,FALSE)</f>
        <v>00010340</v>
      </c>
      <c r="F1191" s="6" t="str">
        <f t="shared" si="42"/>
        <v>0001034005</v>
      </c>
    </row>
    <row r="1192" spans="1:6" x14ac:dyDescent="0.3">
      <c r="A1192" s="6" t="s">
        <v>1192</v>
      </c>
      <c r="B1192">
        <v>21757096</v>
      </c>
      <c r="C1192" s="3">
        <v>3</v>
      </c>
      <c r="D1192" s="5" t="str">
        <f t="shared" si="41"/>
        <v>03</v>
      </c>
      <c r="E1192" t="str">
        <f>VLOOKUP(B1192,'HOGARES-BASELINE'!$B:$I,8,FALSE)</f>
        <v>00010340</v>
      </c>
      <c r="F1192" s="6" t="str">
        <f t="shared" si="42"/>
        <v>0001034003</v>
      </c>
    </row>
    <row r="1193" spans="1:6" x14ac:dyDescent="0.3">
      <c r="A1193" s="6" t="s">
        <v>1193</v>
      </c>
      <c r="B1193">
        <v>21757096</v>
      </c>
      <c r="C1193" s="3">
        <v>2</v>
      </c>
      <c r="D1193" s="5" t="str">
        <f t="shared" si="41"/>
        <v>02</v>
      </c>
      <c r="E1193" t="str">
        <f>VLOOKUP(B1193,'HOGARES-BASELINE'!$B:$I,8,FALSE)</f>
        <v>00010340</v>
      </c>
      <c r="F1193" s="6" t="str">
        <f t="shared" si="42"/>
        <v>0001034002</v>
      </c>
    </row>
    <row r="1194" spans="1:6" x14ac:dyDescent="0.3">
      <c r="A1194" s="6" t="s">
        <v>1194</v>
      </c>
      <c r="B1194">
        <v>21785236</v>
      </c>
      <c r="C1194" s="3">
        <v>1</v>
      </c>
      <c r="D1194" s="5" t="str">
        <f t="shared" si="41"/>
        <v>01</v>
      </c>
      <c r="E1194" t="str">
        <f>VLOOKUP(B1194,'HOGARES-BASELINE'!$B:$I,8,FALSE)</f>
        <v>01010341</v>
      </c>
      <c r="F1194" s="6" t="str">
        <f t="shared" si="42"/>
        <v>0101034101</v>
      </c>
    </row>
    <row r="1195" spans="1:6" x14ac:dyDescent="0.3">
      <c r="A1195" s="6" t="s">
        <v>1195</v>
      </c>
      <c r="B1195">
        <v>21785236</v>
      </c>
      <c r="C1195" s="3">
        <v>2</v>
      </c>
      <c r="D1195" s="5" t="str">
        <f t="shared" si="41"/>
        <v>02</v>
      </c>
      <c r="E1195" t="str">
        <f>VLOOKUP(B1195,'HOGARES-BASELINE'!$B:$I,8,FALSE)</f>
        <v>01010341</v>
      </c>
      <c r="F1195" s="6" t="str">
        <f t="shared" si="42"/>
        <v>0101034102</v>
      </c>
    </row>
    <row r="1196" spans="1:6" x14ac:dyDescent="0.3">
      <c r="A1196" s="6" t="s">
        <v>1196</v>
      </c>
      <c r="B1196">
        <v>21792037</v>
      </c>
      <c r="C1196" s="3">
        <v>1</v>
      </c>
      <c r="D1196" s="5" t="str">
        <f t="shared" si="41"/>
        <v>01</v>
      </c>
      <c r="E1196" t="str">
        <f>VLOOKUP(B1196,'HOGARES-BASELINE'!$B:$I,8,FALSE)</f>
        <v>00010342</v>
      </c>
      <c r="F1196" s="6" t="str">
        <f t="shared" si="42"/>
        <v>0001034201</v>
      </c>
    </row>
    <row r="1197" spans="1:6" x14ac:dyDescent="0.3">
      <c r="A1197" s="6" t="s">
        <v>1197</v>
      </c>
      <c r="B1197">
        <v>21808751</v>
      </c>
      <c r="C1197" s="3">
        <v>1</v>
      </c>
      <c r="D1197" s="5" t="str">
        <f t="shared" si="41"/>
        <v>01</v>
      </c>
      <c r="E1197" t="str">
        <f>VLOOKUP(B1197,'HOGARES-BASELINE'!$B:$I,8,FALSE)</f>
        <v>01010343</v>
      </c>
      <c r="F1197" s="6" t="str">
        <f t="shared" si="42"/>
        <v>0101034301</v>
      </c>
    </row>
    <row r="1198" spans="1:6" x14ac:dyDescent="0.3">
      <c r="A1198" s="6" t="s">
        <v>1198</v>
      </c>
      <c r="B1198">
        <v>21808751</v>
      </c>
      <c r="C1198" s="3">
        <v>2</v>
      </c>
      <c r="D1198" s="5" t="str">
        <f t="shared" si="41"/>
        <v>02</v>
      </c>
      <c r="E1198" t="str">
        <f>VLOOKUP(B1198,'HOGARES-BASELINE'!$B:$I,8,FALSE)</f>
        <v>01010343</v>
      </c>
      <c r="F1198" s="6" t="str">
        <f t="shared" si="42"/>
        <v>0101034302</v>
      </c>
    </row>
    <row r="1199" spans="1:6" x14ac:dyDescent="0.3">
      <c r="A1199" s="6" t="s">
        <v>1199</v>
      </c>
      <c r="B1199">
        <v>21808821</v>
      </c>
      <c r="C1199" s="3">
        <v>4</v>
      </c>
      <c r="D1199" s="5" t="str">
        <f t="shared" si="41"/>
        <v>04</v>
      </c>
      <c r="E1199" t="str">
        <f>VLOOKUP(B1199,'HOGARES-BASELINE'!$B:$I,8,FALSE)</f>
        <v>01010344</v>
      </c>
      <c r="F1199" s="6" t="str">
        <f t="shared" si="42"/>
        <v>0101034404</v>
      </c>
    </row>
    <row r="1200" spans="1:6" x14ac:dyDescent="0.3">
      <c r="A1200" s="6" t="s">
        <v>1200</v>
      </c>
      <c r="B1200">
        <v>21808821</v>
      </c>
      <c r="C1200" s="3">
        <v>3</v>
      </c>
      <c r="D1200" s="5" t="str">
        <f t="shared" ref="D1200:D1263" si="43">_xlfn.CONCAT(0,C1200)</f>
        <v>03</v>
      </c>
      <c r="E1200" t="str">
        <f>VLOOKUP(B1200,'HOGARES-BASELINE'!$B:$I,8,FALSE)</f>
        <v>01010344</v>
      </c>
      <c r="F1200" s="6" t="str">
        <f t="shared" si="42"/>
        <v>0101034403</v>
      </c>
    </row>
    <row r="1201" spans="1:6" x14ac:dyDescent="0.3">
      <c r="A1201" s="6" t="s">
        <v>1201</v>
      </c>
      <c r="B1201">
        <v>21808821</v>
      </c>
      <c r="C1201" s="3">
        <v>2</v>
      </c>
      <c r="D1201" s="5" t="str">
        <f t="shared" si="43"/>
        <v>02</v>
      </c>
      <c r="E1201" t="str">
        <f>VLOOKUP(B1201,'HOGARES-BASELINE'!$B:$I,8,FALSE)</f>
        <v>01010344</v>
      </c>
      <c r="F1201" s="6" t="str">
        <f t="shared" si="42"/>
        <v>0101034402</v>
      </c>
    </row>
    <row r="1202" spans="1:6" x14ac:dyDescent="0.3">
      <c r="A1202" s="6" t="s">
        <v>1202</v>
      </c>
      <c r="B1202">
        <v>21808821</v>
      </c>
      <c r="C1202" s="3">
        <v>1</v>
      </c>
      <c r="D1202" s="5" t="str">
        <f t="shared" si="43"/>
        <v>01</v>
      </c>
      <c r="E1202" t="str">
        <f>VLOOKUP(B1202,'HOGARES-BASELINE'!$B:$I,8,FALSE)</f>
        <v>01010344</v>
      </c>
      <c r="F1202" s="6" t="str">
        <f t="shared" si="42"/>
        <v>0101034401</v>
      </c>
    </row>
    <row r="1203" spans="1:6" x14ac:dyDescent="0.3">
      <c r="A1203" s="6" t="s">
        <v>1203</v>
      </c>
      <c r="B1203">
        <v>21809439</v>
      </c>
      <c r="C1203" s="3">
        <v>3</v>
      </c>
      <c r="D1203" s="5" t="str">
        <f t="shared" si="43"/>
        <v>03</v>
      </c>
      <c r="E1203" t="str">
        <f>VLOOKUP(B1203,'HOGARES-BASELINE'!$B:$I,8,FALSE)</f>
        <v>01010345</v>
      </c>
      <c r="F1203" s="6" t="str">
        <f t="shared" si="42"/>
        <v>0101034503</v>
      </c>
    </row>
    <row r="1204" spans="1:6" x14ac:dyDescent="0.3">
      <c r="A1204" s="6" t="s">
        <v>1204</v>
      </c>
      <c r="B1204">
        <v>21809439</v>
      </c>
      <c r="C1204" s="3">
        <v>2</v>
      </c>
      <c r="D1204" s="5" t="str">
        <f t="shared" si="43"/>
        <v>02</v>
      </c>
      <c r="E1204" t="str">
        <f>VLOOKUP(B1204,'HOGARES-BASELINE'!$B:$I,8,FALSE)</f>
        <v>01010345</v>
      </c>
      <c r="F1204" s="6" t="str">
        <f t="shared" si="42"/>
        <v>0101034502</v>
      </c>
    </row>
    <row r="1205" spans="1:6" x14ac:dyDescent="0.3">
      <c r="A1205" s="6" t="s">
        <v>1205</v>
      </c>
      <c r="B1205">
        <v>21809439</v>
      </c>
      <c r="C1205" s="3">
        <v>1</v>
      </c>
      <c r="D1205" s="5" t="str">
        <f t="shared" si="43"/>
        <v>01</v>
      </c>
      <c r="E1205" t="str">
        <f>VLOOKUP(B1205,'HOGARES-BASELINE'!$B:$I,8,FALSE)</f>
        <v>01010345</v>
      </c>
      <c r="F1205" s="6" t="str">
        <f t="shared" si="42"/>
        <v>0101034501</v>
      </c>
    </row>
    <row r="1206" spans="1:6" x14ac:dyDescent="0.3">
      <c r="A1206" s="6" t="s">
        <v>1206</v>
      </c>
      <c r="B1206">
        <v>21812687</v>
      </c>
      <c r="C1206" s="3">
        <v>3</v>
      </c>
      <c r="D1206" s="5" t="str">
        <f t="shared" si="43"/>
        <v>03</v>
      </c>
      <c r="E1206" t="str">
        <f>VLOOKUP(B1206,'HOGARES-BASELINE'!$B:$I,8,FALSE)</f>
        <v>01010346</v>
      </c>
      <c r="F1206" s="6" t="str">
        <f t="shared" si="42"/>
        <v>0101034603</v>
      </c>
    </row>
    <row r="1207" spans="1:6" x14ac:dyDescent="0.3">
      <c r="A1207" s="6" t="s">
        <v>1207</v>
      </c>
      <c r="B1207">
        <v>21812687</v>
      </c>
      <c r="C1207" s="3">
        <v>1</v>
      </c>
      <c r="D1207" s="5" t="str">
        <f t="shared" si="43"/>
        <v>01</v>
      </c>
      <c r="E1207" t="str">
        <f>VLOOKUP(B1207,'HOGARES-BASELINE'!$B:$I,8,FALSE)</f>
        <v>01010346</v>
      </c>
      <c r="F1207" s="6" t="str">
        <f t="shared" si="42"/>
        <v>0101034601</v>
      </c>
    </row>
    <row r="1208" spans="1:6" x14ac:dyDescent="0.3">
      <c r="A1208" s="6" t="s">
        <v>1208</v>
      </c>
      <c r="B1208">
        <v>21812687</v>
      </c>
      <c r="C1208" s="3">
        <v>2</v>
      </c>
      <c r="D1208" s="5" t="str">
        <f t="shared" si="43"/>
        <v>02</v>
      </c>
      <c r="E1208" t="str">
        <f>VLOOKUP(B1208,'HOGARES-BASELINE'!$B:$I,8,FALSE)</f>
        <v>01010346</v>
      </c>
      <c r="F1208" s="6" t="str">
        <f t="shared" si="42"/>
        <v>0101034602</v>
      </c>
    </row>
    <row r="1209" spans="1:6" x14ac:dyDescent="0.3">
      <c r="A1209" s="6" t="s">
        <v>1209</v>
      </c>
      <c r="B1209">
        <v>21812687</v>
      </c>
      <c r="C1209" s="3">
        <v>4</v>
      </c>
      <c r="D1209" s="5" t="str">
        <f t="shared" si="43"/>
        <v>04</v>
      </c>
      <c r="E1209" t="str">
        <f>VLOOKUP(B1209,'HOGARES-BASELINE'!$B:$I,8,FALSE)</f>
        <v>01010346</v>
      </c>
      <c r="F1209" s="6" t="str">
        <f t="shared" si="42"/>
        <v>0101034604</v>
      </c>
    </row>
    <row r="1210" spans="1:6" x14ac:dyDescent="0.3">
      <c r="A1210" s="6" t="s">
        <v>1210</v>
      </c>
      <c r="B1210">
        <v>21816448</v>
      </c>
      <c r="C1210" s="3">
        <v>5</v>
      </c>
      <c r="D1210" s="5" t="str">
        <f t="shared" si="43"/>
        <v>05</v>
      </c>
      <c r="E1210" t="str">
        <f>VLOOKUP(B1210,'HOGARES-BASELINE'!$B:$I,8,FALSE)</f>
        <v>01010347</v>
      </c>
      <c r="F1210" s="6" t="str">
        <f t="shared" si="42"/>
        <v>0101034705</v>
      </c>
    </row>
    <row r="1211" spans="1:6" x14ac:dyDescent="0.3">
      <c r="A1211" s="6" t="s">
        <v>1211</v>
      </c>
      <c r="B1211">
        <v>21816448</v>
      </c>
      <c r="C1211" s="3">
        <v>2</v>
      </c>
      <c r="D1211" s="5" t="str">
        <f t="shared" si="43"/>
        <v>02</v>
      </c>
      <c r="E1211" t="str">
        <f>VLOOKUP(B1211,'HOGARES-BASELINE'!$B:$I,8,FALSE)</f>
        <v>01010347</v>
      </c>
      <c r="F1211" s="6" t="str">
        <f t="shared" si="42"/>
        <v>0101034702</v>
      </c>
    </row>
    <row r="1212" spans="1:6" x14ac:dyDescent="0.3">
      <c r="A1212" s="6" t="s">
        <v>1212</v>
      </c>
      <c r="B1212">
        <v>21816448</v>
      </c>
      <c r="C1212" s="3">
        <v>1</v>
      </c>
      <c r="D1212" s="5" t="str">
        <f t="shared" si="43"/>
        <v>01</v>
      </c>
      <c r="E1212" t="str">
        <f>VLOOKUP(B1212,'HOGARES-BASELINE'!$B:$I,8,FALSE)</f>
        <v>01010347</v>
      </c>
      <c r="F1212" s="6" t="str">
        <f t="shared" si="42"/>
        <v>0101034701</v>
      </c>
    </row>
    <row r="1213" spans="1:6" x14ac:dyDescent="0.3">
      <c r="A1213" s="6" t="s">
        <v>1213</v>
      </c>
      <c r="B1213">
        <v>21816448</v>
      </c>
      <c r="C1213" s="3">
        <v>3</v>
      </c>
      <c r="D1213" s="5" t="str">
        <f t="shared" si="43"/>
        <v>03</v>
      </c>
      <c r="E1213" t="str">
        <f>VLOOKUP(B1213,'HOGARES-BASELINE'!$B:$I,8,FALSE)</f>
        <v>01010347</v>
      </c>
      <c r="F1213" s="6" t="str">
        <f t="shared" si="42"/>
        <v>0101034703</v>
      </c>
    </row>
    <row r="1214" spans="1:6" x14ac:dyDescent="0.3">
      <c r="A1214" s="6" t="s">
        <v>1214</v>
      </c>
      <c r="B1214">
        <v>21816448</v>
      </c>
      <c r="C1214" s="3">
        <v>4</v>
      </c>
      <c r="D1214" s="5" t="str">
        <f t="shared" si="43"/>
        <v>04</v>
      </c>
      <c r="E1214" t="str">
        <f>VLOOKUP(B1214,'HOGARES-BASELINE'!$B:$I,8,FALSE)</f>
        <v>01010347</v>
      </c>
      <c r="F1214" s="6" t="str">
        <f t="shared" si="42"/>
        <v>0101034704</v>
      </c>
    </row>
    <row r="1215" spans="1:6" x14ac:dyDescent="0.3">
      <c r="A1215" s="6" t="s">
        <v>1215</v>
      </c>
      <c r="B1215">
        <v>21869006</v>
      </c>
      <c r="C1215" s="3">
        <v>6</v>
      </c>
      <c r="D1215" s="5" t="str">
        <f t="shared" si="43"/>
        <v>06</v>
      </c>
      <c r="E1215" t="str">
        <f>VLOOKUP(B1215,'HOGARES-BASELINE'!$B:$I,8,FALSE)</f>
        <v>00010348</v>
      </c>
      <c r="F1215" s="6" t="str">
        <f t="shared" si="42"/>
        <v>0001034806</v>
      </c>
    </row>
    <row r="1216" spans="1:6" x14ac:dyDescent="0.3">
      <c r="A1216" s="6" t="s">
        <v>1216</v>
      </c>
      <c r="B1216">
        <v>21869006</v>
      </c>
      <c r="C1216" s="3">
        <v>4</v>
      </c>
      <c r="D1216" s="5" t="str">
        <f t="shared" si="43"/>
        <v>04</v>
      </c>
      <c r="E1216" t="str">
        <f>VLOOKUP(B1216,'HOGARES-BASELINE'!$B:$I,8,FALSE)</f>
        <v>00010348</v>
      </c>
      <c r="F1216" s="6" t="str">
        <f t="shared" si="42"/>
        <v>0001034804</v>
      </c>
    </row>
    <row r="1217" spans="1:6" x14ac:dyDescent="0.3">
      <c r="A1217" s="6" t="s">
        <v>1217</v>
      </c>
      <c r="B1217">
        <v>21869006</v>
      </c>
      <c r="C1217" s="3">
        <v>2</v>
      </c>
      <c r="D1217" s="5" t="str">
        <f t="shared" si="43"/>
        <v>02</v>
      </c>
      <c r="E1217" t="str">
        <f>VLOOKUP(B1217,'HOGARES-BASELINE'!$B:$I,8,FALSE)</f>
        <v>00010348</v>
      </c>
      <c r="F1217" s="6" t="str">
        <f t="shared" si="42"/>
        <v>0001034802</v>
      </c>
    </row>
    <row r="1218" spans="1:6" x14ac:dyDescent="0.3">
      <c r="A1218" s="6" t="s">
        <v>1218</v>
      </c>
      <c r="B1218">
        <v>21869006</v>
      </c>
      <c r="C1218" s="3">
        <v>5</v>
      </c>
      <c r="D1218" s="5" t="str">
        <f t="shared" si="43"/>
        <v>05</v>
      </c>
      <c r="E1218" t="str">
        <f>VLOOKUP(B1218,'HOGARES-BASELINE'!$B:$I,8,FALSE)</f>
        <v>00010348</v>
      </c>
      <c r="F1218" s="6" t="str">
        <f t="shared" si="42"/>
        <v>0001034805</v>
      </c>
    </row>
    <row r="1219" spans="1:6" x14ac:dyDescent="0.3">
      <c r="A1219" s="6" t="s">
        <v>1219</v>
      </c>
      <c r="B1219">
        <v>21869006</v>
      </c>
      <c r="C1219" s="3">
        <v>3</v>
      </c>
      <c r="D1219" s="5" t="str">
        <f t="shared" si="43"/>
        <v>03</v>
      </c>
      <c r="E1219" t="str">
        <f>VLOOKUP(B1219,'HOGARES-BASELINE'!$B:$I,8,FALSE)</f>
        <v>00010348</v>
      </c>
      <c r="F1219" s="6" t="str">
        <f t="shared" ref="F1219:F1282" si="44">_xlfn.CONCAT(E1219,D1219)</f>
        <v>0001034803</v>
      </c>
    </row>
    <row r="1220" spans="1:6" x14ac:dyDescent="0.3">
      <c r="A1220" s="6" t="s">
        <v>1220</v>
      </c>
      <c r="B1220">
        <v>21869006</v>
      </c>
      <c r="C1220" s="3">
        <v>1</v>
      </c>
      <c r="D1220" s="5" t="str">
        <f t="shared" si="43"/>
        <v>01</v>
      </c>
      <c r="E1220" t="str">
        <f>VLOOKUP(B1220,'HOGARES-BASELINE'!$B:$I,8,FALSE)</f>
        <v>00010348</v>
      </c>
      <c r="F1220" s="6" t="str">
        <f t="shared" si="44"/>
        <v>0001034801</v>
      </c>
    </row>
    <row r="1221" spans="1:6" x14ac:dyDescent="0.3">
      <c r="A1221" s="6" t="s">
        <v>1221</v>
      </c>
      <c r="B1221">
        <v>21893072</v>
      </c>
      <c r="C1221" s="3">
        <v>2</v>
      </c>
      <c r="D1221" s="5" t="str">
        <f t="shared" si="43"/>
        <v>02</v>
      </c>
      <c r="E1221" t="str">
        <f>VLOOKUP(B1221,'HOGARES-BASELINE'!$B:$I,8,FALSE)</f>
        <v>01010349</v>
      </c>
      <c r="F1221" s="6" t="str">
        <f t="shared" si="44"/>
        <v>0101034902</v>
      </c>
    </row>
    <row r="1222" spans="1:6" x14ac:dyDescent="0.3">
      <c r="A1222" s="6" t="s">
        <v>1222</v>
      </c>
      <c r="B1222">
        <v>21893072</v>
      </c>
      <c r="C1222" s="3">
        <v>3</v>
      </c>
      <c r="D1222" s="5" t="str">
        <f t="shared" si="43"/>
        <v>03</v>
      </c>
      <c r="E1222" t="str">
        <f>VLOOKUP(B1222,'HOGARES-BASELINE'!$B:$I,8,FALSE)</f>
        <v>01010349</v>
      </c>
      <c r="F1222" s="6" t="str">
        <f t="shared" si="44"/>
        <v>0101034903</v>
      </c>
    </row>
    <row r="1223" spans="1:6" x14ac:dyDescent="0.3">
      <c r="A1223" s="6" t="s">
        <v>1223</v>
      </c>
      <c r="B1223">
        <v>21893072</v>
      </c>
      <c r="C1223" s="3">
        <v>1</v>
      </c>
      <c r="D1223" s="5" t="str">
        <f t="shared" si="43"/>
        <v>01</v>
      </c>
      <c r="E1223" t="str">
        <f>VLOOKUP(B1223,'HOGARES-BASELINE'!$B:$I,8,FALSE)</f>
        <v>01010349</v>
      </c>
      <c r="F1223" s="6" t="str">
        <f t="shared" si="44"/>
        <v>0101034901</v>
      </c>
    </row>
    <row r="1224" spans="1:6" x14ac:dyDescent="0.3">
      <c r="A1224" s="6" t="s">
        <v>1224</v>
      </c>
      <c r="B1224">
        <v>21906091</v>
      </c>
      <c r="C1224" s="3">
        <v>1</v>
      </c>
      <c r="D1224" s="5" t="str">
        <f t="shared" si="43"/>
        <v>01</v>
      </c>
      <c r="E1224" t="str">
        <f>VLOOKUP(B1224,'HOGARES-BASELINE'!$B:$I,8,FALSE)</f>
        <v>00010350</v>
      </c>
      <c r="F1224" s="6" t="str">
        <f t="shared" si="44"/>
        <v>0001035001</v>
      </c>
    </row>
    <row r="1225" spans="1:6" x14ac:dyDescent="0.3">
      <c r="A1225" s="6" t="s">
        <v>1225</v>
      </c>
      <c r="B1225">
        <v>21906091</v>
      </c>
      <c r="C1225" s="3">
        <v>2</v>
      </c>
      <c r="D1225" s="5" t="str">
        <f t="shared" si="43"/>
        <v>02</v>
      </c>
      <c r="E1225" t="str">
        <f>VLOOKUP(B1225,'HOGARES-BASELINE'!$B:$I,8,FALSE)</f>
        <v>00010350</v>
      </c>
      <c r="F1225" s="6" t="str">
        <f t="shared" si="44"/>
        <v>0001035002</v>
      </c>
    </row>
    <row r="1226" spans="1:6" x14ac:dyDescent="0.3">
      <c r="A1226" s="6" t="s">
        <v>1226</v>
      </c>
      <c r="B1226">
        <v>21910729</v>
      </c>
      <c r="C1226" s="3">
        <v>2</v>
      </c>
      <c r="D1226" s="5" t="str">
        <f t="shared" si="43"/>
        <v>02</v>
      </c>
      <c r="E1226" t="str">
        <f>VLOOKUP(B1226,'HOGARES-BASELINE'!$B:$I,8,FALSE)</f>
        <v>01010351</v>
      </c>
      <c r="F1226" s="6" t="str">
        <f t="shared" si="44"/>
        <v>0101035102</v>
      </c>
    </row>
    <row r="1227" spans="1:6" x14ac:dyDescent="0.3">
      <c r="A1227" s="6" t="s">
        <v>1227</v>
      </c>
      <c r="B1227">
        <v>21910729</v>
      </c>
      <c r="C1227" s="3">
        <v>3</v>
      </c>
      <c r="D1227" s="5" t="str">
        <f t="shared" si="43"/>
        <v>03</v>
      </c>
      <c r="E1227" t="str">
        <f>VLOOKUP(B1227,'HOGARES-BASELINE'!$B:$I,8,FALSE)</f>
        <v>01010351</v>
      </c>
      <c r="F1227" s="6" t="str">
        <f t="shared" si="44"/>
        <v>0101035103</v>
      </c>
    </row>
    <row r="1228" spans="1:6" x14ac:dyDescent="0.3">
      <c r="A1228" s="6" t="s">
        <v>1228</v>
      </c>
      <c r="B1228">
        <v>21910729</v>
      </c>
      <c r="C1228" s="3">
        <v>1</v>
      </c>
      <c r="D1228" s="5" t="str">
        <f t="shared" si="43"/>
        <v>01</v>
      </c>
      <c r="E1228" t="str">
        <f>VLOOKUP(B1228,'HOGARES-BASELINE'!$B:$I,8,FALSE)</f>
        <v>01010351</v>
      </c>
      <c r="F1228" s="6" t="str">
        <f t="shared" si="44"/>
        <v>0101035101</v>
      </c>
    </row>
    <row r="1229" spans="1:6" x14ac:dyDescent="0.3">
      <c r="A1229" s="6" t="s">
        <v>1229</v>
      </c>
      <c r="B1229">
        <v>21910873</v>
      </c>
      <c r="C1229" s="3">
        <v>1</v>
      </c>
      <c r="D1229" s="5" t="str">
        <f t="shared" si="43"/>
        <v>01</v>
      </c>
      <c r="E1229" t="str">
        <f>VLOOKUP(B1229,'HOGARES-BASELINE'!$B:$I,8,FALSE)</f>
        <v>01010352</v>
      </c>
      <c r="F1229" s="6" t="str">
        <f t="shared" si="44"/>
        <v>0101035201</v>
      </c>
    </row>
    <row r="1230" spans="1:6" x14ac:dyDescent="0.3">
      <c r="A1230" s="6" t="s">
        <v>1230</v>
      </c>
      <c r="B1230">
        <v>21910873</v>
      </c>
      <c r="C1230" s="3">
        <v>2</v>
      </c>
      <c r="D1230" s="5" t="str">
        <f t="shared" si="43"/>
        <v>02</v>
      </c>
      <c r="E1230" t="str">
        <f>VLOOKUP(B1230,'HOGARES-BASELINE'!$B:$I,8,FALSE)</f>
        <v>01010352</v>
      </c>
      <c r="F1230" s="6" t="str">
        <f t="shared" si="44"/>
        <v>0101035202</v>
      </c>
    </row>
    <row r="1231" spans="1:6" x14ac:dyDescent="0.3">
      <c r="A1231" s="6" t="s">
        <v>1231</v>
      </c>
      <c r="B1231">
        <v>21910907</v>
      </c>
      <c r="C1231" s="3">
        <v>2</v>
      </c>
      <c r="D1231" s="5" t="str">
        <f t="shared" si="43"/>
        <v>02</v>
      </c>
      <c r="E1231" t="str">
        <f>VLOOKUP(B1231,'HOGARES-BASELINE'!$B:$I,8,FALSE)</f>
        <v>01010353</v>
      </c>
      <c r="F1231" s="6" t="str">
        <f t="shared" si="44"/>
        <v>0101035302</v>
      </c>
    </row>
    <row r="1232" spans="1:6" x14ac:dyDescent="0.3">
      <c r="A1232" s="6" t="s">
        <v>1232</v>
      </c>
      <c r="B1232">
        <v>21910907</v>
      </c>
      <c r="C1232" s="3">
        <v>4</v>
      </c>
      <c r="D1232" s="5" t="str">
        <f t="shared" si="43"/>
        <v>04</v>
      </c>
      <c r="E1232" t="str">
        <f>VLOOKUP(B1232,'HOGARES-BASELINE'!$B:$I,8,FALSE)</f>
        <v>01010353</v>
      </c>
      <c r="F1232" s="6" t="str">
        <f t="shared" si="44"/>
        <v>0101035304</v>
      </c>
    </row>
    <row r="1233" spans="1:6" x14ac:dyDescent="0.3">
      <c r="A1233" s="6" t="s">
        <v>1233</v>
      </c>
      <c r="B1233">
        <v>21910907</v>
      </c>
      <c r="C1233" s="3">
        <v>1</v>
      </c>
      <c r="D1233" s="5" t="str">
        <f t="shared" si="43"/>
        <v>01</v>
      </c>
      <c r="E1233" t="str">
        <f>VLOOKUP(B1233,'HOGARES-BASELINE'!$B:$I,8,FALSE)</f>
        <v>01010353</v>
      </c>
      <c r="F1233" s="6" t="str">
        <f t="shared" si="44"/>
        <v>0101035301</v>
      </c>
    </row>
    <row r="1234" spans="1:6" x14ac:dyDescent="0.3">
      <c r="A1234" s="6" t="s">
        <v>1234</v>
      </c>
      <c r="B1234">
        <v>21910907</v>
      </c>
      <c r="C1234" s="3">
        <v>5</v>
      </c>
      <c r="D1234" s="5" t="str">
        <f t="shared" si="43"/>
        <v>05</v>
      </c>
      <c r="E1234" t="str">
        <f>VLOOKUP(B1234,'HOGARES-BASELINE'!$B:$I,8,FALSE)</f>
        <v>01010353</v>
      </c>
      <c r="F1234" s="6" t="str">
        <f t="shared" si="44"/>
        <v>0101035305</v>
      </c>
    </row>
    <row r="1235" spans="1:6" x14ac:dyDescent="0.3">
      <c r="A1235" s="6" t="s">
        <v>1235</v>
      </c>
      <c r="B1235">
        <v>21910907</v>
      </c>
      <c r="C1235" s="3">
        <v>3</v>
      </c>
      <c r="D1235" s="5" t="str">
        <f t="shared" si="43"/>
        <v>03</v>
      </c>
      <c r="E1235" t="str">
        <f>VLOOKUP(B1235,'HOGARES-BASELINE'!$B:$I,8,FALSE)</f>
        <v>01010353</v>
      </c>
      <c r="F1235" s="6" t="str">
        <f t="shared" si="44"/>
        <v>0101035303</v>
      </c>
    </row>
    <row r="1236" spans="1:6" x14ac:dyDescent="0.3">
      <c r="A1236" s="6" t="s">
        <v>1236</v>
      </c>
      <c r="B1236">
        <v>21912116</v>
      </c>
      <c r="C1236" s="3">
        <v>3</v>
      </c>
      <c r="D1236" s="5" t="str">
        <f t="shared" si="43"/>
        <v>03</v>
      </c>
      <c r="E1236" t="str">
        <f>VLOOKUP(B1236,'HOGARES-BASELINE'!$B:$I,8,FALSE)</f>
        <v>01010354</v>
      </c>
      <c r="F1236" s="6" t="str">
        <f t="shared" si="44"/>
        <v>0101035403</v>
      </c>
    </row>
    <row r="1237" spans="1:6" x14ac:dyDescent="0.3">
      <c r="A1237" s="6" t="s">
        <v>1237</v>
      </c>
      <c r="B1237">
        <v>21912116</v>
      </c>
      <c r="C1237" s="3">
        <v>1</v>
      </c>
      <c r="D1237" s="5" t="str">
        <f t="shared" si="43"/>
        <v>01</v>
      </c>
      <c r="E1237" t="str">
        <f>VLOOKUP(B1237,'HOGARES-BASELINE'!$B:$I,8,FALSE)</f>
        <v>01010354</v>
      </c>
      <c r="F1237" s="6" t="str">
        <f t="shared" si="44"/>
        <v>0101035401</v>
      </c>
    </row>
    <row r="1238" spans="1:6" x14ac:dyDescent="0.3">
      <c r="A1238" s="6" t="s">
        <v>1238</v>
      </c>
      <c r="B1238">
        <v>21912116</v>
      </c>
      <c r="C1238" s="3">
        <v>2</v>
      </c>
      <c r="D1238" s="5" t="str">
        <f t="shared" si="43"/>
        <v>02</v>
      </c>
      <c r="E1238" t="str">
        <f>VLOOKUP(B1238,'HOGARES-BASELINE'!$B:$I,8,FALSE)</f>
        <v>01010354</v>
      </c>
      <c r="F1238" s="6" t="str">
        <f t="shared" si="44"/>
        <v>0101035402</v>
      </c>
    </row>
    <row r="1239" spans="1:6" x14ac:dyDescent="0.3">
      <c r="A1239" s="6" t="s">
        <v>1239</v>
      </c>
      <c r="B1239">
        <v>21912116</v>
      </c>
      <c r="C1239" s="3">
        <v>4</v>
      </c>
      <c r="D1239" s="5" t="str">
        <f t="shared" si="43"/>
        <v>04</v>
      </c>
      <c r="E1239" t="str">
        <f>VLOOKUP(B1239,'HOGARES-BASELINE'!$B:$I,8,FALSE)</f>
        <v>01010354</v>
      </c>
      <c r="F1239" s="6" t="str">
        <f t="shared" si="44"/>
        <v>0101035404</v>
      </c>
    </row>
    <row r="1240" spans="1:6" x14ac:dyDescent="0.3">
      <c r="A1240" s="6" t="s">
        <v>1240</v>
      </c>
      <c r="B1240">
        <v>21954148</v>
      </c>
      <c r="C1240" s="3">
        <v>3</v>
      </c>
      <c r="D1240" s="5" t="str">
        <f t="shared" si="43"/>
        <v>03</v>
      </c>
      <c r="E1240" t="str">
        <f>VLOOKUP(B1240,'HOGARES-BASELINE'!$B:$I,8,FALSE)</f>
        <v>01010355</v>
      </c>
      <c r="F1240" s="6" t="str">
        <f t="shared" si="44"/>
        <v>0101035503</v>
      </c>
    </row>
    <row r="1241" spans="1:6" x14ac:dyDescent="0.3">
      <c r="A1241" s="6" t="s">
        <v>1241</v>
      </c>
      <c r="B1241">
        <v>21954148</v>
      </c>
      <c r="C1241" s="3">
        <v>4</v>
      </c>
      <c r="D1241" s="5" t="str">
        <f t="shared" si="43"/>
        <v>04</v>
      </c>
      <c r="E1241" t="str">
        <f>VLOOKUP(B1241,'HOGARES-BASELINE'!$B:$I,8,FALSE)</f>
        <v>01010355</v>
      </c>
      <c r="F1241" s="6" t="str">
        <f t="shared" si="44"/>
        <v>0101035504</v>
      </c>
    </row>
    <row r="1242" spans="1:6" x14ac:dyDescent="0.3">
      <c r="A1242" s="6" t="s">
        <v>1242</v>
      </c>
      <c r="B1242">
        <v>21954148</v>
      </c>
      <c r="C1242" s="3">
        <v>1</v>
      </c>
      <c r="D1242" s="5" t="str">
        <f t="shared" si="43"/>
        <v>01</v>
      </c>
      <c r="E1242" t="str">
        <f>VLOOKUP(B1242,'HOGARES-BASELINE'!$B:$I,8,FALSE)</f>
        <v>01010355</v>
      </c>
      <c r="F1242" s="6" t="str">
        <f t="shared" si="44"/>
        <v>0101035501</v>
      </c>
    </row>
    <row r="1243" spans="1:6" x14ac:dyDescent="0.3">
      <c r="A1243" s="6" t="s">
        <v>1243</v>
      </c>
      <c r="B1243">
        <v>21954148</v>
      </c>
      <c r="C1243" s="3">
        <v>2</v>
      </c>
      <c r="D1243" s="5" t="str">
        <f t="shared" si="43"/>
        <v>02</v>
      </c>
      <c r="E1243" t="str">
        <f>VLOOKUP(B1243,'HOGARES-BASELINE'!$B:$I,8,FALSE)</f>
        <v>01010355</v>
      </c>
      <c r="F1243" s="6" t="str">
        <f t="shared" si="44"/>
        <v>0101035502</v>
      </c>
    </row>
    <row r="1244" spans="1:6" x14ac:dyDescent="0.3">
      <c r="A1244" s="6" t="s">
        <v>1244</v>
      </c>
      <c r="B1244">
        <v>21969109</v>
      </c>
      <c r="C1244" s="3">
        <v>2</v>
      </c>
      <c r="D1244" s="5" t="str">
        <f t="shared" si="43"/>
        <v>02</v>
      </c>
      <c r="E1244" t="str">
        <f>VLOOKUP(B1244,'HOGARES-BASELINE'!$B:$I,8,FALSE)</f>
        <v>00010356</v>
      </c>
      <c r="F1244" s="6" t="str">
        <f t="shared" si="44"/>
        <v>0001035602</v>
      </c>
    </row>
    <row r="1245" spans="1:6" x14ac:dyDescent="0.3">
      <c r="A1245" s="6" t="s">
        <v>1245</v>
      </c>
      <c r="B1245">
        <v>21969109</v>
      </c>
      <c r="C1245" s="3">
        <v>1</v>
      </c>
      <c r="D1245" s="5" t="str">
        <f t="shared" si="43"/>
        <v>01</v>
      </c>
      <c r="E1245" t="str">
        <f>VLOOKUP(B1245,'HOGARES-BASELINE'!$B:$I,8,FALSE)</f>
        <v>00010356</v>
      </c>
      <c r="F1245" s="6" t="str">
        <f t="shared" si="44"/>
        <v>0001035601</v>
      </c>
    </row>
    <row r="1246" spans="1:6" x14ac:dyDescent="0.3">
      <c r="A1246" s="6" t="s">
        <v>1246</v>
      </c>
      <c r="B1246">
        <v>21977327</v>
      </c>
      <c r="C1246" s="3">
        <v>2</v>
      </c>
      <c r="D1246" s="5" t="str">
        <f t="shared" si="43"/>
        <v>02</v>
      </c>
      <c r="E1246" t="str">
        <f>VLOOKUP(B1246,'HOGARES-BASELINE'!$B:$I,8,FALSE)</f>
        <v>01010357</v>
      </c>
      <c r="F1246" s="6" t="str">
        <f t="shared" si="44"/>
        <v>0101035702</v>
      </c>
    </row>
    <row r="1247" spans="1:6" x14ac:dyDescent="0.3">
      <c r="A1247" s="6" t="s">
        <v>1247</v>
      </c>
      <c r="B1247">
        <v>21977327</v>
      </c>
      <c r="C1247" s="3">
        <v>1</v>
      </c>
      <c r="D1247" s="5" t="str">
        <f t="shared" si="43"/>
        <v>01</v>
      </c>
      <c r="E1247" t="str">
        <f>VLOOKUP(B1247,'HOGARES-BASELINE'!$B:$I,8,FALSE)</f>
        <v>01010357</v>
      </c>
      <c r="F1247" s="6" t="str">
        <f t="shared" si="44"/>
        <v>0101035701</v>
      </c>
    </row>
    <row r="1248" spans="1:6" x14ac:dyDescent="0.3">
      <c r="A1248" s="6" t="s">
        <v>1248</v>
      </c>
      <c r="B1248">
        <v>21977805</v>
      </c>
      <c r="C1248" s="3">
        <v>8</v>
      </c>
      <c r="D1248" s="5" t="str">
        <f t="shared" si="43"/>
        <v>08</v>
      </c>
      <c r="E1248" t="str">
        <f>VLOOKUP(B1248,'HOGARES-BASELINE'!$B:$I,8,FALSE)</f>
        <v>00010358</v>
      </c>
      <c r="F1248" s="6" t="str">
        <f t="shared" si="44"/>
        <v>0001035808</v>
      </c>
    </row>
    <row r="1249" spans="1:6" x14ac:dyDescent="0.3">
      <c r="A1249" s="6" t="s">
        <v>1249</v>
      </c>
      <c r="B1249">
        <v>21977805</v>
      </c>
      <c r="C1249" s="3">
        <v>3</v>
      </c>
      <c r="D1249" s="5" t="str">
        <f t="shared" si="43"/>
        <v>03</v>
      </c>
      <c r="E1249" t="str">
        <f>VLOOKUP(B1249,'HOGARES-BASELINE'!$B:$I,8,FALSE)</f>
        <v>00010358</v>
      </c>
      <c r="F1249" s="6" t="str">
        <f t="shared" si="44"/>
        <v>0001035803</v>
      </c>
    </row>
    <row r="1250" spans="1:6" x14ac:dyDescent="0.3">
      <c r="A1250" s="6" t="s">
        <v>1250</v>
      </c>
      <c r="B1250">
        <v>21977805</v>
      </c>
      <c r="C1250" s="3">
        <v>5</v>
      </c>
      <c r="D1250" s="5" t="str">
        <f t="shared" si="43"/>
        <v>05</v>
      </c>
      <c r="E1250" t="str">
        <f>VLOOKUP(B1250,'HOGARES-BASELINE'!$B:$I,8,FALSE)</f>
        <v>00010358</v>
      </c>
      <c r="F1250" s="6" t="str">
        <f t="shared" si="44"/>
        <v>0001035805</v>
      </c>
    </row>
    <row r="1251" spans="1:6" x14ac:dyDescent="0.3">
      <c r="A1251" s="6" t="s">
        <v>1251</v>
      </c>
      <c r="B1251">
        <v>21977805</v>
      </c>
      <c r="C1251" s="3">
        <v>2</v>
      </c>
      <c r="D1251" s="5" t="str">
        <f t="shared" si="43"/>
        <v>02</v>
      </c>
      <c r="E1251" t="str">
        <f>VLOOKUP(B1251,'HOGARES-BASELINE'!$B:$I,8,FALSE)</f>
        <v>00010358</v>
      </c>
      <c r="F1251" s="6" t="str">
        <f t="shared" si="44"/>
        <v>0001035802</v>
      </c>
    </row>
    <row r="1252" spans="1:6" x14ac:dyDescent="0.3">
      <c r="A1252" s="6" t="s">
        <v>1252</v>
      </c>
      <c r="B1252">
        <v>21977805</v>
      </c>
      <c r="C1252" s="3">
        <v>6</v>
      </c>
      <c r="D1252" s="5" t="str">
        <f t="shared" si="43"/>
        <v>06</v>
      </c>
      <c r="E1252" t="str">
        <f>VLOOKUP(B1252,'HOGARES-BASELINE'!$B:$I,8,FALSE)</f>
        <v>00010358</v>
      </c>
      <c r="F1252" s="6" t="str">
        <f t="shared" si="44"/>
        <v>0001035806</v>
      </c>
    </row>
    <row r="1253" spans="1:6" x14ac:dyDescent="0.3">
      <c r="A1253" s="6" t="s">
        <v>1253</v>
      </c>
      <c r="B1253">
        <v>21977805</v>
      </c>
      <c r="C1253" s="3">
        <v>4</v>
      </c>
      <c r="D1253" s="5" t="str">
        <f t="shared" si="43"/>
        <v>04</v>
      </c>
      <c r="E1253" t="str">
        <f>VLOOKUP(B1253,'HOGARES-BASELINE'!$B:$I,8,FALSE)</f>
        <v>00010358</v>
      </c>
      <c r="F1253" s="6" t="str">
        <f t="shared" si="44"/>
        <v>0001035804</v>
      </c>
    </row>
    <row r="1254" spans="1:6" x14ac:dyDescent="0.3">
      <c r="A1254" s="6" t="s">
        <v>1254</v>
      </c>
      <c r="B1254">
        <v>21977805</v>
      </c>
      <c r="C1254" s="3">
        <v>1</v>
      </c>
      <c r="D1254" s="5" t="str">
        <f t="shared" si="43"/>
        <v>01</v>
      </c>
      <c r="E1254" t="str">
        <f>VLOOKUP(B1254,'HOGARES-BASELINE'!$B:$I,8,FALSE)</f>
        <v>00010358</v>
      </c>
      <c r="F1254" s="6" t="str">
        <f t="shared" si="44"/>
        <v>0001035801</v>
      </c>
    </row>
    <row r="1255" spans="1:6" x14ac:dyDescent="0.3">
      <c r="A1255" s="6" t="s">
        <v>1255</v>
      </c>
      <c r="B1255">
        <v>21977805</v>
      </c>
      <c r="C1255" s="3">
        <v>7</v>
      </c>
      <c r="D1255" s="5" t="str">
        <f t="shared" si="43"/>
        <v>07</v>
      </c>
      <c r="E1255" t="str">
        <f>VLOOKUP(B1255,'HOGARES-BASELINE'!$B:$I,8,FALSE)</f>
        <v>00010358</v>
      </c>
      <c r="F1255" s="6" t="str">
        <f t="shared" si="44"/>
        <v>0001035807</v>
      </c>
    </row>
    <row r="1256" spans="1:6" x14ac:dyDescent="0.3">
      <c r="A1256" s="6" t="s">
        <v>1256</v>
      </c>
      <c r="B1256">
        <v>22015124</v>
      </c>
      <c r="C1256" s="3">
        <v>3</v>
      </c>
      <c r="D1256" s="5" t="str">
        <f t="shared" si="43"/>
        <v>03</v>
      </c>
      <c r="E1256" t="str">
        <f>VLOOKUP(B1256,'HOGARES-BASELINE'!$B:$I,8,FALSE)</f>
        <v>00010359</v>
      </c>
      <c r="F1256" s="6" t="str">
        <f t="shared" si="44"/>
        <v>0001035903</v>
      </c>
    </row>
    <row r="1257" spans="1:6" x14ac:dyDescent="0.3">
      <c r="A1257" s="6" t="s">
        <v>1257</v>
      </c>
      <c r="B1257">
        <v>22015124</v>
      </c>
      <c r="C1257" s="3">
        <v>4</v>
      </c>
      <c r="D1257" s="5" t="str">
        <f t="shared" si="43"/>
        <v>04</v>
      </c>
      <c r="E1257" t="str">
        <f>VLOOKUP(B1257,'HOGARES-BASELINE'!$B:$I,8,FALSE)</f>
        <v>00010359</v>
      </c>
      <c r="F1257" s="6" t="str">
        <f t="shared" si="44"/>
        <v>0001035904</v>
      </c>
    </row>
    <row r="1258" spans="1:6" x14ac:dyDescent="0.3">
      <c r="A1258" s="6" t="s">
        <v>1258</v>
      </c>
      <c r="B1258">
        <v>22015124</v>
      </c>
      <c r="C1258" s="3">
        <v>2</v>
      </c>
      <c r="D1258" s="5" t="str">
        <f t="shared" si="43"/>
        <v>02</v>
      </c>
      <c r="E1258" t="str">
        <f>VLOOKUP(B1258,'HOGARES-BASELINE'!$B:$I,8,FALSE)</f>
        <v>00010359</v>
      </c>
      <c r="F1258" s="6" t="str">
        <f t="shared" si="44"/>
        <v>0001035902</v>
      </c>
    </row>
    <row r="1259" spans="1:6" x14ac:dyDescent="0.3">
      <c r="A1259" s="6" t="s">
        <v>1259</v>
      </c>
      <c r="B1259">
        <v>22015124</v>
      </c>
      <c r="C1259" s="3">
        <v>1</v>
      </c>
      <c r="D1259" s="5" t="str">
        <f t="shared" si="43"/>
        <v>01</v>
      </c>
      <c r="E1259" t="str">
        <f>VLOOKUP(B1259,'HOGARES-BASELINE'!$B:$I,8,FALSE)</f>
        <v>00010359</v>
      </c>
      <c r="F1259" s="6" t="str">
        <f t="shared" si="44"/>
        <v>0001035901</v>
      </c>
    </row>
    <row r="1260" spans="1:6" x14ac:dyDescent="0.3">
      <c r="A1260" s="6" t="s">
        <v>1260</v>
      </c>
      <c r="B1260">
        <v>22032152</v>
      </c>
      <c r="C1260" s="3">
        <v>1</v>
      </c>
      <c r="D1260" s="5" t="str">
        <f t="shared" si="43"/>
        <v>01</v>
      </c>
      <c r="E1260" t="str">
        <f>VLOOKUP(B1260,'HOGARES-BASELINE'!$B:$I,8,FALSE)</f>
        <v>01010360</v>
      </c>
      <c r="F1260" s="6" t="str">
        <f t="shared" si="44"/>
        <v>0101036001</v>
      </c>
    </row>
    <row r="1261" spans="1:6" x14ac:dyDescent="0.3">
      <c r="A1261" s="6" t="s">
        <v>1261</v>
      </c>
      <c r="B1261">
        <v>22032152</v>
      </c>
      <c r="C1261" s="3">
        <v>2</v>
      </c>
      <c r="D1261" s="5" t="str">
        <f t="shared" si="43"/>
        <v>02</v>
      </c>
      <c r="E1261" t="str">
        <f>VLOOKUP(B1261,'HOGARES-BASELINE'!$B:$I,8,FALSE)</f>
        <v>01010360</v>
      </c>
      <c r="F1261" s="6" t="str">
        <f t="shared" si="44"/>
        <v>0101036002</v>
      </c>
    </row>
    <row r="1262" spans="1:6" x14ac:dyDescent="0.3">
      <c r="A1262" s="6" t="s">
        <v>1262</v>
      </c>
      <c r="B1262">
        <v>22103917</v>
      </c>
      <c r="C1262" s="3">
        <v>2</v>
      </c>
      <c r="D1262" s="5" t="str">
        <f t="shared" si="43"/>
        <v>02</v>
      </c>
      <c r="E1262" t="str">
        <f>VLOOKUP(B1262,'HOGARES-BASELINE'!$B:$I,8,FALSE)</f>
        <v>01010361</v>
      </c>
      <c r="F1262" s="6" t="str">
        <f t="shared" si="44"/>
        <v>0101036102</v>
      </c>
    </row>
    <row r="1263" spans="1:6" x14ac:dyDescent="0.3">
      <c r="A1263" s="6" t="s">
        <v>1263</v>
      </c>
      <c r="B1263">
        <v>22103917</v>
      </c>
      <c r="C1263" s="3">
        <v>6</v>
      </c>
      <c r="D1263" s="5" t="str">
        <f t="shared" si="43"/>
        <v>06</v>
      </c>
      <c r="E1263" t="str">
        <f>VLOOKUP(B1263,'HOGARES-BASELINE'!$B:$I,8,FALSE)</f>
        <v>01010361</v>
      </c>
      <c r="F1263" s="6" t="str">
        <f t="shared" si="44"/>
        <v>0101036106</v>
      </c>
    </row>
    <row r="1264" spans="1:6" x14ac:dyDescent="0.3">
      <c r="A1264" s="6" t="s">
        <v>1264</v>
      </c>
      <c r="B1264">
        <v>22103917</v>
      </c>
      <c r="C1264" s="3">
        <v>5</v>
      </c>
      <c r="D1264" s="5" t="str">
        <f t="shared" ref="D1264:D1327" si="45">_xlfn.CONCAT(0,C1264)</f>
        <v>05</v>
      </c>
      <c r="E1264" t="str">
        <f>VLOOKUP(B1264,'HOGARES-BASELINE'!$B:$I,8,FALSE)</f>
        <v>01010361</v>
      </c>
      <c r="F1264" s="6" t="str">
        <f t="shared" si="44"/>
        <v>0101036105</v>
      </c>
    </row>
    <row r="1265" spans="1:6" x14ac:dyDescent="0.3">
      <c r="A1265" s="6" t="s">
        <v>1265</v>
      </c>
      <c r="B1265">
        <v>22103917</v>
      </c>
      <c r="C1265" s="3">
        <v>1</v>
      </c>
      <c r="D1265" s="5" t="str">
        <f t="shared" si="45"/>
        <v>01</v>
      </c>
      <c r="E1265" t="str">
        <f>VLOOKUP(B1265,'HOGARES-BASELINE'!$B:$I,8,FALSE)</f>
        <v>01010361</v>
      </c>
      <c r="F1265" s="6" t="str">
        <f t="shared" si="44"/>
        <v>0101036101</v>
      </c>
    </row>
    <row r="1266" spans="1:6" x14ac:dyDescent="0.3">
      <c r="A1266" s="6" t="s">
        <v>1266</v>
      </c>
      <c r="B1266">
        <v>22103917</v>
      </c>
      <c r="C1266" s="3">
        <v>3</v>
      </c>
      <c r="D1266" s="5" t="str">
        <f t="shared" si="45"/>
        <v>03</v>
      </c>
      <c r="E1266" t="str">
        <f>VLOOKUP(B1266,'HOGARES-BASELINE'!$B:$I,8,FALSE)</f>
        <v>01010361</v>
      </c>
      <c r="F1266" s="6" t="str">
        <f t="shared" si="44"/>
        <v>0101036103</v>
      </c>
    </row>
    <row r="1267" spans="1:6" x14ac:dyDescent="0.3">
      <c r="A1267" s="6" t="s">
        <v>1267</v>
      </c>
      <c r="B1267">
        <v>22103917</v>
      </c>
      <c r="C1267" s="3">
        <v>4</v>
      </c>
      <c r="D1267" s="5" t="str">
        <f t="shared" si="45"/>
        <v>04</v>
      </c>
      <c r="E1267" t="str">
        <f>VLOOKUP(B1267,'HOGARES-BASELINE'!$B:$I,8,FALSE)</f>
        <v>01010361</v>
      </c>
      <c r="F1267" s="6" t="str">
        <f t="shared" si="44"/>
        <v>0101036104</v>
      </c>
    </row>
    <row r="1268" spans="1:6" x14ac:dyDescent="0.3">
      <c r="A1268" s="6" t="s">
        <v>1268</v>
      </c>
      <c r="B1268">
        <v>22108850</v>
      </c>
      <c r="C1268" s="3">
        <v>2</v>
      </c>
      <c r="D1268" s="5" t="str">
        <f t="shared" si="45"/>
        <v>02</v>
      </c>
      <c r="E1268" t="str">
        <f>VLOOKUP(B1268,'HOGARES-BASELINE'!$B:$I,8,FALSE)</f>
        <v>01010362</v>
      </c>
      <c r="F1268" s="6" t="str">
        <f t="shared" si="44"/>
        <v>0101036202</v>
      </c>
    </row>
    <row r="1269" spans="1:6" x14ac:dyDescent="0.3">
      <c r="A1269" s="6" t="s">
        <v>1269</v>
      </c>
      <c r="B1269">
        <v>22108850</v>
      </c>
      <c r="C1269" s="3">
        <v>3</v>
      </c>
      <c r="D1269" s="5" t="str">
        <f t="shared" si="45"/>
        <v>03</v>
      </c>
      <c r="E1269" t="str">
        <f>VLOOKUP(B1269,'HOGARES-BASELINE'!$B:$I,8,FALSE)</f>
        <v>01010362</v>
      </c>
      <c r="F1269" s="6" t="str">
        <f t="shared" si="44"/>
        <v>0101036203</v>
      </c>
    </row>
    <row r="1270" spans="1:6" x14ac:dyDescent="0.3">
      <c r="A1270" s="6" t="s">
        <v>1270</v>
      </c>
      <c r="B1270">
        <v>22108850</v>
      </c>
      <c r="C1270" s="3">
        <v>1</v>
      </c>
      <c r="D1270" s="5" t="str">
        <f t="shared" si="45"/>
        <v>01</v>
      </c>
      <c r="E1270" t="str">
        <f>VLOOKUP(B1270,'HOGARES-BASELINE'!$B:$I,8,FALSE)</f>
        <v>01010362</v>
      </c>
      <c r="F1270" s="6" t="str">
        <f t="shared" si="44"/>
        <v>0101036201</v>
      </c>
    </row>
    <row r="1271" spans="1:6" x14ac:dyDescent="0.3">
      <c r="A1271" s="6" t="s">
        <v>1271</v>
      </c>
      <c r="B1271">
        <v>22108850</v>
      </c>
      <c r="C1271" s="3">
        <v>6</v>
      </c>
      <c r="D1271" s="5" t="str">
        <f t="shared" si="45"/>
        <v>06</v>
      </c>
      <c r="E1271" t="str">
        <f>VLOOKUP(B1271,'HOGARES-BASELINE'!$B:$I,8,FALSE)</f>
        <v>01010362</v>
      </c>
      <c r="F1271" s="6" t="str">
        <f t="shared" si="44"/>
        <v>0101036206</v>
      </c>
    </row>
    <row r="1272" spans="1:6" x14ac:dyDescent="0.3">
      <c r="A1272" s="6" t="s">
        <v>1272</v>
      </c>
      <c r="B1272">
        <v>22108850</v>
      </c>
      <c r="C1272" s="3">
        <v>5</v>
      </c>
      <c r="D1272" s="5" t="str">
        <f t="shared" si="45"/>
        <v>05</v>
      </c>
      <c r="E1272" t="str">
        <f>VLOOKUP(B1272,'HOGARES-BASELINE'!$B:$I,8,FALSE)</f>
        <v>01010362</v>
      </c>
      <c r="F1272" s="6" t="str">
        <f t="shared" si="44"/>
        <v>0101036205</v>
      </c>
    </row>
    <row r="1273" spans="1:6" x14ac:dyDescent="0.3">
      <c r="A1273" s="6" t="s">
        <v>1273</v>
      </c>
      <c r="B1273">
        <v>22108850</v>
      </c>
      <c r="C1273" s="3">
        <v>8</v>
      </c>
      <c r="D1273" s="5" t="str">
        <f t="shared" si="45"/>
        <v>08</v>
      </c>
      <c r="E1273" t="str">
        <f>VLOOKUP(B1273,'HOGARES-BASELINE'!$B:$I,8,FALSE)</f>
        <v>01010362</v>
      </c>
      <c r="F1273" s="6" t="str">
        <f t="shared" si="44"/>
        <v>0101036208</v>
      </c>
    </row>
    <row r="1274" spans="1:6" x14ac:dyDescent="0.3">
      <c r="A1274" s="6" t="s">
        <v>1274</v>
      </c>
      <c r="B1274">
        <v>22108850</v>
      </c>
      <c r="C1274" s="3">
        <v>4</v>
      </c>
      <c r="D1274" s="5" t="str">
        <f t="shared" si="45"/>
        <v>04</v>
      </c>
      <c r="E1274" t="str">
        <f>VLOOKUP(B1274,'HOGARES-BASELINE'!$B:$I,8,FALSE)</f>
        <v>01010362</v>
      </c>
      <c r="F1274" s="6" t="str">
        <f t="shared" si="44"/>
        <v>0101036204</v>
      </c>
    </row>
    <row r="1275" spans="1:6" x14ac:dyDescent="0.3">
      <c r="A1275" s="6" t="s">
        <v>1275</v>
      </c>
      <c r="B1275">
        <v>22108850</v>
      </c>
      <c r="C1275" s="3">
        <v>9</v>
      </c>
      <c r="D1275" s="5" t="str">
        <f t="shared" si="45"/>
        <v>09</v>
      </c>
      <c r="E1275" t="str">
        <f>VLOOKUP(B1275,'HOGARES-BASELINE'!$B:$I,8,FALSE)</f>
        <v>01010362</v>
      </c>
      <c r="F1275" s="6" t="str">
        <f t="shared" si="44"/>
        <v>0101036209</v>
      </c>
    </row>
    <row r="1276" spans="1:6" x14ac:dyDescent="0.3">
      <c r="A1276" s="6" t="s">
        <v>1276</v>
      </c>
      <c r="B1276">
        <v>22108850</v>
      </c>
      <c r="C1276" s="3">
        <v>7</v>
      </c>
      <c r="D1276" s="5" t="str">
        <f t="shared" si="45"/>
        <v>07</v>
      </c>
      <c r="E1276" t="str">
        <f>VLOOKUP(B1276,'HOGARES-BASELINE'!$B:$I,8,FALSE)</f>
        <v>01010362</v>
      </c>
      <c r="F1276" s="6" t="str">
        <f t="shared" si="44"/>
        <v>0101036207</v>
      </c>
    </row>
    <row r="1277" spans="1:6" x14ac:dyDescent="0.3">
      <c r="A1277" s="6" t="s">
        <v>1277</v>
      </c>
      <c r="B1277">
        <v>22139441</v>
      </c>
      <c r="C1277" s="3">
        <v>3</v>
      </c>
      <c r="D1277" s="5" t="str">
        <f t="shared" si="45"/>
        <v>03</v>
      </c>
      <c r="E1277" t="str">
        <f>VLOOKUP(B1277,'HOGARES-BASELINE'!$B:$I,8,FALSE)</f>
        <v>01010363</v>
      </c>
      <c r="F1277" s="6" t="str">
        <f t="shared" si="44"/>
        <v>0101036303</v>
      </c>
    </row>
    <row r="1278" spans="1:6" x14ac:dyDescent="0.3">
      <c r="A1278" s="6" t="s">
        <v>1278</v>
      </c>
      <c r="B1278">
        <v>22139441</v>
      </c>
      <c r="C1278" s="3">
        <v>1</v>
      </c>
      <c r="D1278" s="5" t="str">
        <f t="shared" si="45"/>
        <v>01</v>
      </c>
      <c r="E1278" t="str">
        <f>VLOOKUP(B1278,'HOGARES-BASELINE'!$B:$I,8,FALSE)</f>
        <v>01010363</v>
      </c>
      <c r="F1278" s="6" t="str">
        <f t="shared" si="44"/>
        <v>0101036301</v>
      </c>
    </row>
    <row r="1279" spans="1:6" x14ac:dyDescent="0.3">
      <c r="A1279" s="6" t="s">
        <v>1279</v>
      </c>
      <c r="B1279">
        <v>22139441</v>
      </c>
      <c r="C1279" s="3">
        <v>2</v>
      </c>
      <c r="D1279" s="5" t="str">
        <f t="shared" si="45"/>
        <v>02</v>
      </c>
      <c r="E1279" t="str">
        <f>VLOOKUP(B1279,'HOGARES-BASELINE'!$B:$I,8,FALSE)</f>
        <v>01010363</v>
      </c>
      <c r="F1279" s="6" t="str">
        <f t="shared" si="44"/>
        <v>0101036302</v>
      </c>
    </row>
    <row r="1280" spans="1:6" x14ac:dyDescent="0.3">
      <c r="A1280" s="6" t="s">
        <v>1280</v>
      </c>
      <c r="B1280">
        <v>22187123</v>
      </c>
      <c r="C1280" s="3">
        <v>1</v>
      </c>
      <c r="D1280" s="5" t="str">
        <f t="shared" si="45"/>
        <v>01</v>
      </c>
      <c r="E1280" t="str">
        <f>VLOOKUP(B1280,'HOGARES-BASELINE'!$B:$I,8,FALSE)</f>
        <v>00010364</v>
      </c>
      <c r="F1280" s="6" t="str">
        <f t="shared" si="44"/>
        <v>0001036401</v>
      </c>
    </row>
    <row r="1281" spans="1:6" x14ac:dyDescent="0.3">
      <c r="A1281" s="6" t="s">
        <v>1281</v>
      </c>
      <c r="B1281">
        <v>22210262</v>
      </c>
      <c r="C1281" s="3">
        <v>2</v>
      </c>
      <c r="D1281" s="5" t="str">
        <f t="shared" si="45"/>
        <v>02</v>
      </c>
      <c r="E1281" t="str">
        <f>VLOOKUP(B1281,'HOGARES-BASELINE'!$B:$I,8,FALSE)</f>
        <v>01010365</v>
      </c>
      <c r="F1281" s="6" t="str">
        <f t="shared" si="44"/>
        <v>0101036502</v>
      </c>
    </row>
    <row r="1282" spans="1:6" x14ac:dyDescent="0.3">
      <c r="A1282" s="6" t="s">
        <v>1282</v>
      </c>
      <c r="B1282">
        <v>22210262</v>
      </c>
      <c r="C1282" s="3">
        <v>1</v>
      </c>
      <c r="D1282" s="5" t="str">
        <f t="shared" si="45"/>
        <v>01</v>
      </c>
      <c r="E1282" t="str">
        <f>VLOOKUP(B1282,'HOGARES-BASELINE'!$B:$I,8,FALSE)</f>
        <v>01010365</v>
      </c>
      <c r="F1282" s="6" t="str">
        <f t="shared" si="44"/>
        <v>0101036501</v>
      </c>
    </row>
    <row r="1283" spans="1:6" x14ac:dyDescent="0.3">
      <c r="A1283" s="6" t="s">
        <v>1283</v>
      </c>
      <c r="B1283">
        <v>22222115</v>
      </c>
      <c r="C1283" s="3">
        <v>3</v>
      </c>
      <c r="D1283" s="5" t="str">
        <f t="shared" si="45"/>
        <v>03</v>
      </c>
      <c r="E1283" t="str">
        <f>VLOOKUP(B1283,'HOGARES-BASELINE'!$B:$I,8,FALSE)</f>
        <v>01010366</v>
      </c>
      <c r="F1283" s="6" t="str">
        <f t="shared" ref="F1283:F1346" si="46">_xlfn.CONCAT(E1283,D1283)</f>
        <v>0101036603</v>
      </c>
    </row>
    <row r="1284" spans="1:6" x14ac:dyDescent="0.3">
      <c r="A1284" s="6" t="s">
        <v>1284</v>
      </c>
      <c r="B1284">
        <v>22222115</v>
      </c>
      <c r="C1284" s="3">
        <v>2</v>
      </c>
      <c r="D1284" s="5" t="str">
        <f t="shared" si="45"/>
        <v>02</v>
      </c>
      <c r="E1284" t="str">
        <f>VLOOKUP(B1284,'HOGARES-BASELINE'!$B:$I,8,FALSE)</f>
        <v>01010366</v>
      </c>
      <c r="F1284" s="6" t="str">
        <f t="shared" si="46"/>
        <v>0101036602</v>
      </c>
    </row>
    <row r="1285" spans="1:6" x14ac:dyDescent="0.3">
      <c r="A1285" s="6" t="s">
        <v>1285</v>
      </c>
      <c r="B1285">
        <v>22222115</v>
      </c>
      <c r="C1285" s="3">
        <v>4</v>
      </c>
      <c r="D1285" s="5" t="str">
        <f t="shared" si="45"/>
        <v>04</v>
      </c>
      <c r="E1285" t="str">
        <f>VLOOKUP(B1285,'HOGARES-BASELINE'!$B:$I,8,FALSE)</f>
        <v>01010366</v>
      </c>
      <c r="F1285" s="6" t="str">
        <f t="shared" si="46"/>
        <v>0101036604</v>
      </c>
    </row>
    <row r="1286" spans="1:6" x14ac:dyDescent="0.3">
      <c r="A1286" s="6" t="s">
        <v>1286</v>
      </c>
      <c r="B1286">
        <v>22222115</v>
      </c>
      <c r="C1286" s="3">
        <v>1</v>
      </c>
      <c r="D1286" s="5" t="str">
        <f t="shared" si="45"/>
        <v>01</v>
      </c>
      <c r="E1286" t="str">
        <f>VLOOKUP(B1286,'HOGARES-BASELINE'!$B:$I,8,FALSE)</f>
        <v>01010366</v>
      </c>
      <c r="F1286" s="6" t="str">
        <f t="shared" si="46"/>
        <v>0101036601</v>
      </c>
    </row>
    <row r="1287" spans="1:6" x14ac:dyDescent="0.3">
      <c r="A1287" s="6" t="s">
        <v>1287</v>
      </c>
      <c r="B1287">
        <v>22227595</v>
      </c>
      <c r="C1287" s="3">
        <v>1</v>
      </c>
      <c r="D1287" s="5" t="str">
        <f t="shared" si="45"/>
        <v>01</v>
      </c>
      <c r="E1287" t="str">
        <f>VLOOKUP(B1287,'HOGARES-BASELINE'!$B:$I,8,FALSE)</f>
        <v>00010367</v>
      </c>
      <c r="F1287" s="6" t="str">
        <f t="shared" si="46"/>
        <v>0001036701</v>
      </c>
    </row>
    <row r="1288" spans="1:6" x14ac:dyDescent="0.3">
      <c r="A1288" s="6" t="s">
        <v>1288</v>
      </c>
      <c r="B1288">
        <v>22227595</v>
      </c>
      <c r="C1288" s="3">
        <v>2</v>
      </c>
      <c r="D1288" s="5" t="str">
        <f t="shared" si="45"/>
        <v>02</v>
      </c>
      <c r="E1288" t="str">
        <f>VLOOKUP(B1288,'HOGARES-BASELINE'!$B:$I,8,FALSE)</f>
        <v>00010367</v>
      </c>
      <c r="F1288" s="6" t="str">
        <f t="shared" si="46"/>
        <v>0001036702</v>
      </c>
    </row>
    <row r="1289" spans="1:6" x14ac:dyDescent="0.3">
      <c r="A1289" s="6" t="s">
        <v>1289</v>
      </c>
      <c r="B1289">
        <v>22230457</v>
      </c>
      <c r="C1289" s="3">
        <v>3</v>
      </c>
      <c r="D1289" s="5" t="str">
        <f t="shared" si="45"/>
        <v>03</v>
      </c>
      <c r="E1289" t="str">
        <f>VLOOKUP(B1289,'HOGARES-BASELINE'!$B:$I,8,FALSE)</f>
        <v>01010368</v>
      </c>
      <c r="F1289" s="6" t="str">
        <f t="shared" si="46"/>
        <v>0101036803</v>
      </c>
    </row>
    <row r="1290" spans="1:6" x14ac:dyDescent="0.3">
      <c r="A1290" s="6" t="s">
        <v>1290</v>
      </c>
      <c r="B1290">
        <v>22230457</v>
      </c>
      <c r="C1290" s="3">
        <v>1</v>
      </c>
      <c r="D1290" s="5" t="str">
        <f t="shared" si="45"/>
        <v>01</v>
      </c>
      <c r="E1290" t="str">
        <f>VLOOKUP(B1290,'HOGARES-BASELINE'!$B:$I,8,FALSE)</f>
        <v>01010368</v>
      </c>
      <c r="F1290" s="6" t="str">
        <f t="shared" si="46"/>
        <v>0101036801</v>
      </c>
    </row>
    <row r="1291" spans="1:6" x14ac:dyDescent="0.3">
      <c r="A1291" s="6" t="s">
        <v>1291</v>
      </c>
      <c r="B1291">
        <v>22230457</v>
      </c>
      <c r="C1291" s="3">
        <v>2</v>
      </c>
      <c r="D1291" s="5" t="str">
        <f t="shared" si="45"/>
        <v>02</v>
      </c>
      <c r="E1291" t="str">
        <f>VLOOKUP(B1291,'HOGARES-BASELINE'!$B:$I,8,FALSE)</f>
        <v>01010368</v>
      </c>
      <c r="F1291" s="6" t="str">
        <f t="shared" si="46"/>
        <v>0101036802</v>
      </c>
    </row>
    <row r="1292" spans="1:6" x14ac:dyDescent="0.3">
      <c r="A1292" s="6" t="s">
        <v>1292</v>
      </c>
      <c r="B1292">
        <v>22230457</v>
      </c>
      <c r="C1292" s="3">
        <v>4</v>
      </c>
      <c r="D1292" s="5" t="str">
        <f t="shared" si="45"/>
        <v>04</v>
      </c>
      <c r="E1292" t="str">
        <f>VLOOKUP(B1292,'HOGARES-BASELINE'!$B:$I,8,FALSE)</f>
        <v>01010368</v>
      </c>
      <c r="F1292" s="6" t="str">
        <f t="shared" si="46"/>
        <v>0101036804</v>
      </c>
    </row>
    <row r="1293" spans="1:6" x14ac:dyDescent="0.3">
      <c r="A1293" s="6" t="s">
        <v>1293</v>
      </c>
      <c r="B1293">
        <v>22294421</v>
      </c>
      <c r="C1293" s="3">
        <v>1</v>
      </c>
      <c r="D1293" s="5" t="str">
        <f t="shared" si="45"/>
        <v>01</v>
      </c>
      <c r="E1293" t="str">
        <f>VLOOKUP(B1293,'HOGARES-BASELINE'!$B:$I,8,FALSE)</f>
        <v>00030369</v>
      </c>
      <c r="F1293" s="6" t="str">
        <f t="shared" si="46"/>
        <v>0003036901</v>
      </c>
    </row>
    <row r="1294" spans="1:6" x14ac:dyDescent="0.3">
      <c r="A1294" s="6" t="s">
        <v>1294</v>
      </c>
      <c r="B1294">
        <v>22294421</v>
      </c>
      <c r="C1294" s="3">
        <v>2</v>
      </c>
      <c r="D1294" s="5" t="str">
        <f t="shared" si="45"/>
        <v>02</v>
      </c>
      <c r="E1294" t="str">
        <f>VLOOKUP(B1294,'HOGARES-BASELINE'!$B:$I,8,FALSE)</f>
        <v>00030369</v>
      </c>
      <c r="F1294" s="6" t="str">
        <f t="shared" si="46"/>
        <v>0003036902</v>
      </c>
    </row>
    <row r="1295" spans="1:6" x14ac:dyDescent="0.3">
      <c r="A1295" s="6" t="s">
        <v>1295</v>
      </c>
      <c r="B1295">
        <v>22295551</v>
      </c>
      <c r="C1295" s="3">
        <v>1</v>
      </c>
      <c r="D1295" s="5" t="str">
        <f t="shared" si="45"/>
        <v>01</v>
      </c>
      <c r="E1295" t="str">
        <f>VLOOKUP(B1295,'HOGARES-BASELINE'!$B:$I,8,FALSE)</f>
        <v>01030370</v>
      </c>
      <c r="F1295" s="6" t="str">
        <f t="shared" si="46"/>
        <v>0103037001</v>
      </c>
    </row>
    <row r="1296" spans="1:6" x14ac:dyDescent="0.3">
      <c r="A1296" s="6" t="s">
        <v>1296</v>
      </c>
      <c r="B1296">
        <v>22304817</v>
      </c>
      <c r="C1296" s="3">
        <v>5</v>
      </c>
      <c r="D1296" s="5" t="str">
        <f t="shared" si="45"/>
        <v>05</v>
      </c>
      <c r="E1296" t="str">
        <f>VLOOKUP(B1296,'HOGARES-BASELINE'!$B:$I,8,FALSE)</f>
        <v>01030371</v>
      </c>
      <c r="F1296" s="6" t="str">
        <f t="shared" si="46"/>
        <v>0103037105</v>
      </c>
    </row>
    <row r="1297" spans="1:6" x14ac:dyDescent="0.3">
      <c r="A1297" s="6" t="s">
        <v>1297</v>
      </c>
      <c r="B1297">
        <v>22304817</v>
      </c>
      <c r="C1297" s="3">
        <v>3</v>
      </c>
      <c r="D1297" s="5" t="str">
        <f t="shared" si="45"/>
        <v>03</v>
      </c>
      <c r="E1297" t="str">
        <f>VLOOKUP(B1297,'HOGARES-BASELINE'!$B:$I,8,FALSE)</f>
        <v>01030371</v>
      </c>
      <c r="F1297" s="6" t="str">
        <f t="shared" si="46"/>
        <v>0103037103</v>
      </c>
    </row>
    <row r="1298" spans="1:6" x14ac:dyDescent="0.3">
      <c r="A1298" s="6" t="s">
        <v>1298</v>
      </c>
      <c r="B1298">
        <v>22304817</v>
      </c>
      <c r="C1298" s="3">
        <v>4</v>
      </c>
      <c r="D1298" s="5" t="str">
        <f t="shared" si="45"/>
        <v>04</v>
      </c>
      <c r="E1298" t="str">
        <f>VLOOKUP(B1298,'HOGARES-BASELINE'!$B:$I,8,FALSE)</f>
        <v>01030371</v>
      </c>
      <c r="F1298" s="6" t="str">
        <f t="shared" si="46"/>
        <v>0103037104</v>
      </c>
    </row>
    <row r="1299" spans="1:6" x14ac:dyDescent="0.3">
      <c r="A1299" s="6" t="s">
        <v>1299</v>
      </c>
      <c r="B1299">
        <v>22304817</v>
      </c>
      <c r="C1299" s="3">
        <v>2</v>
      </c>
      <c r="D1299" s="5" t="str">
        <f t="shared" si="45"/>
        <v>02</v>
      </c>
      <c r="E1299" t="str">
        <f>VLOOKUP(B1299,'HOGARES-BASELINE'!$B:$I,8,FALSE)</f>
        <v>01030371</v>
      </c>
      <c r="F1299" s="6" t="str">
        <f t="shared" si="46"/>
        <v>0103037102</v>
      </c>
    </row>
    <row r="1300" spans="1:6" x14ac:dyDescent="0.3">
      <c r="A1300" s="6" t="s">
        <v>1300</v>
      </c>
      <c r="B1300">
        <v>22304817</v>
      </c>
      <c r="C1300" s="3">
        <v>1</v>
      </c>
      <c r="D1300" s="5" t="str">
        <f t="shared" si="45"/>
        <v>01</v>
      </c>
      <c r="E1300" t="str">
        <f>VLOOKUP(B1300,'HOGARES-BASELINE'!$B:$I,8,FALSE)</f>
        <v>01030371</v>
      </c>
      <c r="F1300" s="6" t="str">
        <f t="shared" si="46"/>
        <v>0103037101</v>
      </c>
    </row>
    <row r="1301" spans="1:6" x14ac:dyDescent="0.3">
      <c r="A1301" s="6" t="s">
        <v>1301</v>
      </c>
      <c r="B1301">
        <v>22313863</v>
      </c>
      <c r="C1301" s="3">
        <v>2</v>
      </c>
      <c r="D1301" s="5" t="str">
        <f t="shared" si="45"/>
        <v>02</v>
      </c>
      <c r="E1301" t="str">
        <f>VLOOKUP(B1301,'HOGARES-BASELINE'!$B:$I,8,FALSE)</f>
        <v>00030372</v>
      </c>
      <c r="F1301" s="6" t="str">
        <f t="shared" si="46"/>
        <v>0003037202</v>
      </c>
    </row>
    <row r="1302" spans="1:6" x14ac:dyDescent="0.3">
      <c r="A1302" s="6" t="s">
        <v>1302</v>
      </c>
      <c r="B1302">
        <v>22313863</v>
      </c>
      <c r="C1302" s="3">
        <v>1</v>
      </c>
      <c r="D1302" s="5" t="str">
        <f t="shared" si="45"/>
        <v>01</v>
      </c>
      <c r="E1302" t="str">
        <f>VLOOKUP(B1302,'HOGARES-BASELINE'!$B:$I,8,FALSE)</f>
        <v>00030372</v>
      </c>
      <c r="F1302" s="6" t="str">
        <f t="shared" si="46"/>
        <v>0003037201</v>
      </c>
    </row>
    <row r="1303" spans="1:6" x14ac:dyDescent="0.3">
      <c r="A1303" s="6" t="s">
        <v>1303</v>
      </c>
      <c r="B1303">
        <v>22317957</v>
      </c>
      <c r="C1303" s="3">
        <v>4</v>
      </c>
      <c r="D1303" s="5" t="str">
        <f t="shared" si="45"/>
        <v>04</v>
      </c>
      <c r="E1303" t="str">
        <f>VLOOKUP(B1303,'HOGARES-BASELINE'!$B:$I,8,FALSE)</f>
        <v>00030373</v>
      </c>
      <c r="F1303" s="6" t="str">
        <f t="shared" si="46"/>
        <v>0003037304</v>
      </c>
    </row>
    <row r="1304" spans="1:6" x14ac:dyDescent="0.3">
      <c r="A1304" s="6" t="s">
        <v>1304</v>
      </c>
      <c r="B1304">
        <v>22317957</v>
      </c>
      <c r="C1304" s="3">
        <v>3</v>
      </c>
      <c r="D1304" s="5" t="str">
        <f t="shared" si="45"/>
        <v>03</v>
      </c>
      <c r="E1304" t="str">
        <f>VLOOKUP(B1304,'HOGARES-BASELINE'!$B:$I,8,FALSE)</f>
        <v>00030373</v>
      </c>
      <c r="F1304" s="6" t="str">
        <f t="shared" si="46"/>
        <v>0003037303</v>
      </c>
    </row>
    <row r="1305" spans="1:6" x14ac:dyDescent="0.3">
      <c r="A1305" s="6" t="s">
        <v>1305</v>
      </c>
      <c r="B1305">
        <v>22317957</v>
      </c>
      <c r="C1305" s="3">
        <v>5</v>
      </c>
      <c r="D1305" s="5" t="str">
        <f t="shared" si="45"/>
        <v>05</v>
      </c>
      <c r="E1305" t="str">
        <f>VLOOKUP(B1305,'HOGARES-BASELINE'!$B:$I,8,FALSE)</f>
        <v>00030373</v>
      </c>
      <c r="F1305" s="6" t="str">
        <f t="shared" si="46"/>
        <v>0003037305</v>
      </c>
    </row>
    <row r="1306" spans="1:6" x14ac:dyDescent="0.3">
      <c r="A1306" s="6" t="s">
        <v>1306</v>
      </c>
      <c r="B1306">
        <v>22317957</v>
      </c>
      <c r="C1306" s="3">
        <v>2</v>
      </c>
      <c r="D1306" s="5" t="str">
        <f t="shared" si="45"/>
        <v>02</v>
      </c>
      <c r="E1306" t="str">
        <f>VLOOKUP(B1306,'HOGARES-BASELINE'!$B:$I,8,FALSE)</f>
        <v>00030373</v>
      </c>
      <c r="F1306" s="6" t="str">
        <f t="shared" si="46"/>
        <v>0003037302</v>
      </c>
    </row>
    <row r="1307" spans="1:6" x14ac:dyDescent="0.3">
      <c r="A1307" s="6" t="s">
        <v>1307</v>
      </c>
      <c r="B1307">
        <v>22317957</v>
      </c>
      <c r="C1307" s="3">
        <v>1</v>
      </c>
      <c r="D1307" s="5" t="str">
        <f t="shared" si="45"/>
        <v>01</v>
      </c>
      <c r="E1307" t="str">
        <f>VLOOKUP(B1307,'HOGARES-BASELINE'!$B:$I,8,FALSE)</f>
        <v>00030373</v>
      </c>
      <c r="F1307" s="6" t="str">
        <f t="shared" si="46"/>
        <v>0003037301</v>
      </c>
    </row>
    <row r="1308" spans="1:6" x14ac:dyDescent="0.3">
      <c r="A1308" s="6" t="s">
        <v>1308</v>
      </c>
      <c r="B1308">
        <v>22317957</v>
      </c>
      <c r="C1308" s="3">
        <v>6</v>
      </c>
      <c r="D1308" s="5" t="str">
        <f t="shared" si="45"/>
        <v>06</v>
      </c>
      <c r="E1308" t="str">
        <f>VLOOKUP(B1308,'HOGARES-BASELINE'!$B:$I,8,FALSE)</f>
        <v>00030373</v>
      </c>
      <c r="F1308" s="6" t="str">
        <f t="shared" si="46"/>
        <v>0003037306</v>
      </c>
    </row>
    <row r="1309" spans="1:6" x14ac:dyDescent="0.3">
      <c r="A1309" s="6" t="s">
        <v>1309</v>
      </c>
      <c r="B1309">
        <v>22333001</v>
      </c>
      <c r="C1309" s="3">
        <v>2</v>
      </c>
      <c r="D1309" s="5" t="str">
        <f t="shared" si="45"/>
        <v>02</v>
      </c>
      <c r="E1309" t="str">
        <f>VLOOKUP(B1309,'HOGARES-BASELINE'!$B:$I,8,FALSE)</f>
        <v>01030374</v>
      </c>
      <c r="F1309" s="6" t="str">
        <f t="shared" si="46"/>
        <v>0103037402</v>
      </c>
    </row>
    <row r="1310" spans="1:6" x14ac:dyDescent="0.3">
      <c r="A1310" s="6" t="s">
        <v>1310</v>
      </c>
      <c r="B1310">
        <v>22333001</v>
      </c>
      <c r="C1310" s="3">
        <v>1</v>
      </c>
      <c r="D1310" s="5" t="str">
        <f t="shared" si="45"/>
        <v>01</v>
      </c>
      <c r="E1310" t="str">
        <f>VLOOKUP(B1310,'HOGARES-BASELINE'!$B:$I,8,FALSE)</f>
        <v>01030374</v>
      </c>
      <c r="F1310" s="6" t="str">
        <f t="shared" si="46"/>
        <v>0103037401</v>
      </c>
    </row>
    <row r="1311" spans="1:6" x14ac:dyDescent="0.3">
      <c r="A1311" s="6" t="s">
        <v>1311</v>
      </c>
      <c r="B1311">
        <v>22333001</v>
      </c>
      <c r="C1311" s="3">
        <v>3</v>
      </c>
      <c r="D1311" s="5" t="str">
        <f t="shared" si="45"/>
        <v>03</v>
      </c>
      <c r="E1311" t="str">
        <f>VLOOKUP(B1311,'HOGARES-BASELINE'!$B:$I,8,FALSE)</f>
        <v>01030374</v>
      </c>
      <c r="F1311" s="6" t="str">
        <f t="shared" si="46"/>
        <v>0103037403</v>
      </c>
    </row>
    <row r="1312" spans="1:6" x14ac:dyDescent="0.3">
      <c r="A1312" s="6" t="s">
        <v>1312</v>
      </c>
      <c r="B1312">
        <v>22351069</v>
      </c>
      <c r="C1312" s="3">
        <v>1</v>
      </c>
      <c r="D1312" s="5" t="str">
        <f t="shared" si="45"/>
        <v>01</v>
      </c>
      <c r="E1312" t="str">
        <f>VLOOKUP(B1312,'HOGARES-BASELINE'!$B:$I,8,FALSE)</f>
        <v>00030375</v>
      </c>
      <c r="F1312" s="6" t="str">
        <f t="shared" si="46"/>
        <v>0003037501</v>
      </c>
    </row>
    <row r="1313" spans="1:6" x14ac:dyDescent="0.3">
      <c r="A1313" s="6" t="s">
        <v>1313</v>
      </c>
      <c r="B1313">
        <v>22351069</v>
      </c>
      <c r="C1313" s="3">
        <v>3</v>
      </c>
      <c r="D1313" s="5" t="str">
        <f t="shared" si="45"/>
        <v>03</v>
      </c>
      <c r="E1313" t="str">
        <f>VLOOKUP(B1313,'HOGARES-BASELINE'!$B:$I,8,FALSE)</f>
        <v>00030375</v>
      </c>
      <c r="F1313" s="6" t="str">
        <f t="shared" si="46"/>
        <v>0003037503</v>
      </c>
    </row>
    <row r="1314" spans="1:6" x14ac:dyDescent="0.3">
      <c r="A1314" s="6" t="s">
        <v>1314</v>
      </c>
      <c r="B1314">
        <v>22351069</v>
      </c>
      <c r="C1314" s="3">
        <v>2</v>
      </c>
      <c r="D1314" s="5" t="str">
        <f t="shared" si="45"/>
        <v>02</v>
      </c>
      <c r="E1314" t="str">
        <f>VLOOKUP(B1314,'HOGARES-BASELINE'!$B:$I,8,FALSE)</f>
        <v>00030375</v>
      </c>
      <c r="F1314" s="6" t="str">
        <f t="shared" si="46"/>
        <v>0003037502</v>
      </c>
    </row>
    <row r="1315" spans="1:6" x14ac:dyDescent="0.3">
      <c r="A1315" s="6" t="s">
        <v>1315</v>
      </c>
      <c r="B1315">
        <v>22353868</v>
      </c>
      <c r="C1315" s="3">
        <v>3</v>
      </c>
      <c r="D1315" s="5" t="str">
        <f t="shared" si="45"/>
        <v>03</v>
      </c>
      <c r="E1315" t="str">
        <f>VLOOKUP(B1315,'HOGARES-BASELINE'!$B:$I,8,FALSE)</f>
        <v>00030376</v>
      </c>
      <c r="F1315" s="6" t="str">
        <f t="shared" si="46"/>
        <v>0003037603</v>
      </c>
    </row>
    <row r="1316" spans="1:6" x14ac:dyDescent="0.3">
      <c r="A1316" s="6" t="s">
        <v>1316</v>
      </c>
      <c r="B1316">
        <v>22353868</v>
      </c>
      <c r="C1316" s="3">
        <v>2</v>
      </c>
      <c r="D1316" s="5" t="str">
        <f t="shared" si="45"/>
        <v>02</v>
      </c>
      <c r="E1316" t="str">
        <f>VLOOKUP(B1316,'HOGARES-BASELINE'!$B:$I,8,FALSE)</f>
        <v>00030376</v>
      </c>
      <c r="F1316" s="6" t="str">
        <f t="shared" si="46"/>
        <v>0003037602</v>
      </c>
    </row>
    <row r="1317" spans="1:6" x14ac:dyDescent="0.3">
      <c r="A1317" s="6" t="s">
        <v>1317</v>
      </c>
      <c r="B1317">
        <v>22353868</v>
      </c>
      <c r="C1317" s="3">
        <v>1</v>
      </c>
      <c r="D1317" s="5" t="str">
        <f t="shared" si="45"/>
        <v>01</v>
      </c>
      <c r="E1317" t="str">
        <f>VLOOKUP(B1317,'HOGARES-BASELINE'!$B:$I,8,FALSE)</f>
        <v>00030376</v>
      </c>
      <c r="F1317" s="6" t="str">
        <f t="shared" si="46"/>
        <v>0003037601</v>
      </c>
    </row>
    <row r="1318" spans="1:6" x14ac:dyDescent="0.3">
      <c r="A1318" s="6" t="s">
        <v>1318</v>
      </c>
      <c r="B1318">
        <v>22357171</v>
      </c>
      <c r="C1318" s="3">
        <v>1</v>
      </c>
      <c r="D1318" s="5" t="str">
        <f t="shared" si="45"/>
        <v>01</v>
      </c>
      <c r="E1318" t="str">
        <f>VLOOKUP(B1318,'HOGARES-BASELINE'!$B:$I,8,FALSE)</f>
        <v>00030377</v>
      </c>
      <c r="F1318" s="6" t="str">
        <f t="shared" si="46"/>
        <v>0003037701</v>
      </c>
    </row>
    <row r="1319" spans="1:6" x14ac:dyDescent="0.3">
      <c r="A1319" s="6" t="s">
        <v>1319</v>
      </c>
      <c r="B1319">
        <v>22357171</v>
      </c>
      <c r="C1319" s="3">
        <v>2</v>
      </c>
      <c r="D1319" s="5" t="str">
        <f t="shared" si="45"/>
        <v>02</v>
      </c>
      <c r="E1319" t="str">
        <f>VLOOKUP(B1319,'HOGARES-BASELINE'!$B:$I,8,FALSE)</f>
        <v>00030377</v>
      </c>
      <c r="F1319" s="6" t="str">
        <f t="shared" si="46"/>
        <v>0003037702</v>
      </c>
    </row>
    <row r="1320" spans="1:6" x14ac:dyDescent="0.3">
      <c r="A1320" s="6" t="s">
        <v>1320</v>
      </c>
      <c r="B1320">
        <v>22362412</v>
      </c>
      <c r="C1320" s="3">
        <v>3</v>
      </c>
      <c r="D1320" s="5" t="str">
        <f t="shared" si="45"/>
        <v>03</v>
      </c>
      <c r="E1320" t="str">
        <f>VLOOKUP(B1320,'HOGARES-BASELINE'!$B:$I,8,FALSE)</f>
        <v>00030378</v>
      </c>
      <c r="F1320" s="6" t="str">
        <f t="shared" si="46"/>
        <v>0003037803</v>
      </c>
    </row>
    <row r="1321" spans="1:6" x14ac:dyDescent="0.3">
      <c r="A1321" s="6" t="s">
        <v>1321</v>
      </c>
      <c r="B1321">
        <v>22362412</v>
      </c>
      <c r="C1321" s="3">
        <v>1</v>
      </c>
      <c r="D1321" s="5" t="str">
        <f t="shared" si="45"/>
        <v>01</v>
      </c>
      <c r="E1321" t="str">
        <f>VLOOKUP(B1321,'HOGARES-BASELINE'!$B:$I,8,FALSE)</f>
        <v>00030378</v>
      </c>
      <c r="F1321" s="6" t="str">
        <f t="shared" si="46"/>
        <v>0003037801</v>
      </c>
    </row>
    <row r="1322" spans="1:6" x14ac:dyDescent="0.3">
      <c r="A1322" s="6" t="s">
        <v>1322</v>
      </c>
      <c r="B1322">
        <v>22362412</v>
      </c>
      <c r="C1322" s="3">
        <v>2</v>
      </c>
      <c r="D1322" s="5" t="str">
        <f t="shared" si="45"/>
        <v>02</v>
      </c>
      <c r="E1322" t="str">
        <f>VLOOKUP(B1322,'HOGARES-BASELINE'!$B:$I,8,FALSE)</f>
        <v>00030378</v>
      </c>
      <c r="F1322" s="6" t="str">
        <f t="shared" si="46"/>
        <v>0003037802</v>
      </c>
    </row>
    <row r="1323" spans="1:6" x14ac:dyDescent="0.3">
      <c r="A1323" s="6" t="s">
        <v>1323</v>
      </c>
      <c r="B1323">
        <v>22365884</v>
      </c>
      <c r="C1323" s="3">
        <v>1</v>
      </c>
      <c r="D1323" s="5" t="str">
        <f t="shared" si="45"/>
        <v>01</v>
      </c>
      <c r="E1323" t="str">
        <f>VLOOKUP(B1323,'HOGARES-BASELINE'!$B:$I,8,FALSE)</f>
        <v>01030379</v>
      </c>
      <c r="F1323" s="6" t="str">
        <f t="shared" si="46"/>
        <v>0103037901</v>
      </c>
    </row>
    <row r="1324" spans="1:6" x14ac:dyDescent="0.3">
      <c r="A1324" s="6" t="s">
        <v>1324</v>
      </c>
      <c r="B1324">
        <v>22365884</v>
      </c>
      <c r="C1324" s="3">
        <v>3</v>
      </c>
      <c r="D1324" s="5" t="str">
        <f t="shared" si="45"/>
        <v>03</v>
      </c>
      <c r="E1324" t="str">
        <f>VLOOKUP(B1324,'HOGARES-BASELINE'!$B:$I,8,FALSE)</f>
        <v>01030379</v>
      </c>
      <c r="F1324" s="6" t="str">
        <f t="shared" si="46"/>
        <v>0103037903</v>
      </c>
    </row>
    <row r="1325" spans="1:6" x14ac:dyDescent="0.3">
      <c r="A1325" s="6" t="s">
        <v>1325</v>
      </c>
      <c r="B1325">
        <v>22365884</v>
      </c>
      <c r="C1325" s="3">
        <v>2</v>
      </c>
      <c r="D1325" s="5" t="str">
        <f t="shared" si="45"/>
        <v>02</v>
      </c>
      <c r="E1325" t="str">
        <f>VLOOKUP(B1325,'HOGARES-BASELINE'!$B:$I,8,FALSE)</f>
        <v>01030379</v>
      </c>
      <c r="F1325" s="6" t="str">
        <f t="shared" si="46"/>
        <v>0103037902</v>
      </c>
    </row>
    <row r="1326" spans="1:6" x14ac:dyDescent="0.3">
      <c r="A1326" s="6" t="s">
        <v>1326</v>
      </c>
      <c r="B1326">
        <v>22372597</v>
      </c>
      <c r="C1326" s="3">
        <v>1</v>
      </c>
      <c r="D1326" s="5" t="str">
        <f t="shared" si="45"/>
        <v>01</v>
      </c>
      <c r="E1326" t="str">
        <f>VLOOKUP(B1326,'HOGARES-BASELINE'!$B:$I,8,FALSE)</f>
        <v>00030380</v>
      </c>
      <c r="F1326" s="6" t="str">
        <f t="shared" si="46"/>
        <v>0003038001</v>
      </c>
    </row>
    <row r="1327" spans="1:6" x14ac:dyDescent="0.3">
      <c r="A1327" s="6" t="s">
        <v>1327</v>
      </c>
      <c r="B1327">
        <v>22374314</v>
      </c>
      <c r="C1327" s="3">
        <v>4</v>
      </c>
      <c r="D1327" s="5" t="str">
        <f t="shared" si="45"/>
        <v>04</v>
      </c>
      <c r="E1327" t="str">
        <f>VLOOKUP(B1327,'HOGARES-BASELINE'!$B:$I,8,FALSE)</f>
        <v>01030381</v>
      </c>
      <c r="F1327" s="6" t="str">
        <f t="shared" si="46"/>
        <v>0103038104</v>
      </c>
    </row>
    <row r="1328" spans="1:6" x14ac:dyDescent="0.3">
      <c r="A1328" s="6" t="s">
        <v>1328</v>
      </c>
      <c r="B1328">
        <v>22374314</v>
      </c>
      <c r="C1328" s="3">
        <v>2</v>
      </c>
      <c r="D1328" s="5" t="str">
        <f t="shared" ref="D1328:D1377" si="47">_xlfn.CONCAT(0,C1328)</f>
        <v>02</v>
      </c>
      <c r="E1328" t="str">
        <f>VLOOKUP(B1328,'HOGARES-BASELINE'!$B:$I,8,FALSE)</f>
        <v>01030381</v>
      </c>
      <c r="F1328" s="6" t="str">
        <f t="shared" si="46"/>
        <v>0103038102</v>
      </c>
    </row>
    <row r="1329" spans="1:6" x14ac:dyDescent="0.3">
      <c r="A1329" s="6" t="s">
        <v>1329</v>
      </c>
      <c r="B1329">
        <v>22374314</v>
      </c>
      <c r="C1329" s="3">
        <v>1</v>
      </c>
      <c r="D1329" s="5" t="str">
        <f t="shared" si="47"/>
        <v>01</v>
      </c>
      <c r="E1329" t="str">
        <f>VLOOKUP(B1329,'HOGARES-BASELINE'!$B:$I,8,FALSE)</f>
        <v>01030381</v>
      </c>
      <c r="F1329" s="6" t="str">
        <f t="shared" si="46"/>
        <v>0103038101</v>
      </c>
    </row>
    <row r="1330" spans="1:6" x14ac:dyDescent="0.3">
      <c r="A1330" s="6" t="s">
        <v>1330</v>
      </c>
      <c r="B1330">
        <v>22374314</v>
      </c>
      <c r="C1330" s="3">
        <v>3</v>
      </c>
      <c r="D1330" s="5" t="str">
        <f t="shared" si="47"/>
        <v>03</v>
      </c>
      <c r="E1330" t="str">
        <f>VLOOKUP(B1330,'HOGARES-BASELINE'!$B:$I,8,FALSE)</f>
        <v>01030381</v>
      </c>
      <c r="F1330" s="6" t="str">
        <f t="shared" si="46"/>
        <v>0103038103</v>
      </c>
    </row>
    <row r="1331" spans="1:6" x14ac:dyDescent="0.3">
      <c r="A1331" s="6" t="s">
        <v>1331</v>
      </c>
      <c r="B1331">
        <v>22374314</v>
      </c>
      <c r="C1331" s="3">
        <v>5</v>
      </c>
      <c r="D1331" s="5" t="str">
        <f t="shared" si="47"/>
        <v>05</v>
      </c>
      <c r="E1331" t="str">
        <f>VLOOKUP(B1331,'HOGARES-BASELINE'!$B:$I,8,FALSE)</f>
        <v>01030381</v>
      </c>
      <c r="F1331" s="6" t="str">
        <f t="shared" si="46"/>
        <v>0103038105</v>
      </c>
    </row>
    <row r="1332" spans="1:6" x14ac:dyDescent="0.3">
      <c r="A1332" s="6" t="s">
        <v>1332</v>
      </c>
      <c r="B1332">
        <v>22377867</v>
      </c>
      <c r="C1332" s="3">
        <v>1</v>
      </c>
      <c r="D1332" s="5" t="str">
        <f t="shared" si="47"/>
        <v>01</v>
      </c>
      <c r="E1332" t="str">
        <f>VLOOKUP(B1332,'HOGARES-BASELINE'!$B:$I,8,FALSE)</f>
        <v>01030382</v>
      </c>
      <c r="F1332" s="6" t="str">
        <f t="shared" si="46"/>
        <v>0103038201</v>
      </c>
    </row>
    <row r="1333" spans="1:6" x14ac:dyDescent="0.3">
      <c r="A1333" s="6" t="s">
        <v>1333</v>
      </c>
      <c r="B1333">
        <v>22377867</v>
      </c>
      <c r="C1333" s="3">
        <v>2</v>
      </c>
      <c r="D1333" s="5" t="str">
        <f t="shared" si="47"/>
        <v>02</v>
      </c>
      <c r="E1333" t="str">
        <f>VLOOKUP(B1333,'HOGARES-BASELINE'!$B:$I,8,FALSE)</f>
        <v>01030382</v>
      </c>
      <c r="F1333" s="6" t="str">
        <f t="shared" si="46"/>
        <v>0103038202</v>
      </c>
    </row>
    <row r="1334" spans="1:6" x14ac:dyDescent="0.3">
      <c r="A1334" s="6" t="s">
        <v>1334</v>
      </c>
      <c r="B1334">
        <v>22377867</v>
      </c>
      <c r="C1334" s="3">
        <v>3</v>
      </c>
      <c r="D1334" s="5" t="str">
        <f t="shared" si="47"/>
        <v>03</v>
      </c>
      <c r="E1334" t="str">
        <f>VLOOKUP(B1334,'HOGARES-BASELINE'!$B:$I,8,FALSE)</f>
        <v>01030382</v>
      </c>
      <c r="F1334" s="6" t="str">
        <f t="shared" si="46"/>
        <v>0103038203</v>
      </c>
    </row>
    <row r="1335" spans="1:6" x14ac:dyDescent="0.3">
      <c r="A1335" s="6" t="s">
        <v>1335</v>
      </c>
      <c r="B1335">
        <v>22378889</v>
      </c>
      <c r="C1335" s="3">
        <v>2</v>
      </c>
      <c r="D1335" s="5" t="str">
        <f t="shared" si="47"/>
        <v>02</v>
      </c>
      <c r="E1335" t="str">
        <f>VLOOKUP(B1335,'HOGARES-BASELINE'!$B:$I,8,FALSE)</f>
        <v>01030383</v>
      </c>
      <c r="F1335" s="6" t="str">
        <f t="shared" si="46"/>
        <v>0103038302</v>
      </c>
    </row>
    <row r="1336" spans="1:6" x14ac:dyDescent="0.3">
      <c r="A1336" s="6" t="s">
        <v>1336</v>
      </c>
      <c r="B1336">
        <v>22378889</v>
      </c>
      <c r="C1336" s="3">
        <v>4</v>
      </c>
      <c r="D1336" s="5" t="str">
        <f t="shared" si="47"/>
        <v>04</v>
      </c>
      <c r="E1336" t="str">
        <f>VLOOKUP(B1336,'HOGARES-BASELINE'!$B:$I,8,FALSE)</f>
        <v>01030383</v>
      </c>
      <c r="F1336" s="6" t="str">
        <f t="shared" si="46"/>
        <v>0103038304</v>
      </c>
    </row>
    <row r="1337" spans="1:6" x14ac:dyDescent="0.3">
      <c r="A1337" s="6" t="s">
        <v>1337</v>
      </c>
      <c r="B1337">
        <v>22378889</v>
      </c>
      <c r="C1337" s="3">
        <v>3</v>
      </c>
      <c r="D1337" s="5" t="str">
        <f t="shared" si="47"/>
        <v>03</v>
      </c>
      <c r="E1337" t="str">
        <f>VLOOKUP(B1337,'HOGARES-BASELINE'!$B:$I,8,FALSE)</f>
        <v>01030383</v>
      </c>
      <c r="F1337" s="6" t="str">
        <f t="shared" si="46"/>
        <v>0103038303</v>
      </c>
    </row>
    <row r="1338" spans="1:6" x14ac:dyDescent="0.3">
      <c r="A1338" s="6" t="s">
        <v>1338</v>
      </c>
      <c r="B1338">
        <v>22378889</v>
      </c>
      <c r="C1338" s="3">
        <v>1</v>
      </c>
      <c r="D1338" s="5" t="str">
        <f t="shared" si="47"/>
        <v>01</v>
      </c>
      <c r="E1338" t="str">
        <f>VLOOKUP(B1338,'HOGARES-BASELINE'!$B:$I,8,FALSE)</f>
        <v>01030383</v>
      </c>
      <c r="F1338" s="6" t="str">
        <f t="shared" si="46"/>
        <v>0103038301</v>
      </c>
    </row>
    <row r="1339" spans="1:6" x14ac:dyDescent="0.3">
      <c r="A1339" s="6" t="s">
        <v>1339</v>
      </c>
      <c r="B1339">
        <v>22383297</v>
      </c>
      <c r="C1339" s="3">
        <v>3</v>
      </c>
      <c r="D1339" s="5" t="str">
        <f t="shared" si="47"/>
        <v>03</v>
      </c>
      <c r="E1339" t="str">
        <f>VLOOKUP(B1339,'HOGARES-BASELINE'!$B:$I,8,FALSE)</f>
        <v>01030384</v>
      </c>
      <c r="F1339" s="6" t="str">
        <f t="shared" si="46"/>
        <v>0103038403</v>
      </c>
    </row>
    <row r="1340" spans="1:6" x14ac:dyDescent="0.3">
      <c r="A1340" s="6" t="s">
        <v>1340</v>
      </c>
      <c r="B1340">
        <v>22383297</v>
      </c>
      <c r="C1340" s="3">
        <v>1</v>
      </c>
      <c r="D1340" s="5" t="str">
        <f t="shared" si="47"/>
        <v>01</v>
      </c>
      <c r="E1340" t="str">
        <f>VLOOKUP(B1340,'HOGARES-BASELINE'!$B:$I,8,FALSE)</f>
        <v>01030384</v>
      </c>
      <c r="F1340" s="6" t="str">
        <f t="shared" si="46"/>
        <v>0103038401</v>
      </c>
    </row>
    <row r="1341" spans="1:6" x14ac:dyDescent="0.3">
      <c r="A1341" s="6" t="s">
        <v>1341</v>
      </c>
      <c r="B1341">
        <v>22383297</v>
      </c>
      <c r="C1341" s="3">
        <v>2</v>
      </c>
      <c r="D1341" s="5" t="str">
        <f t="shared" si="47"/>
        <v>02</v>
      </c>
      <c r="E1341" t="str">
        <f>VLOOKUP(B1341,'HOGARES-BASELINE'!$B:$I,8,FALSE)</f>
        <v>01030384</v>
      </c>
      <c r="F1341" s="6" t="str">
        <f t="shared" si="46"/>
        <v>0103038402</v>
      </c>
    </row>
    <row r="1342" spans="1:6" x14ac:dyDescent="0.3">
      <c r="A1342" s="6" t="s">
        <v>1342</v>
      </c>
      <c r="B1342">
        <v>22385229</v>
      </c>
      <c r="C1342" s="3">
        <v>4</v>
      </c>
      <c r="D1342" s="5" t="str">
        <f t="shared" si="47"/>
        <v>04</v>
      </c>
      <c r="E1342" t="str">
        <f>VLOOKUP(B1342,'HOGARES-BASELINE'!$B:$I,8,FALSE)</f>
        <v>01030385</v>
      </c>
      <c r="F1342" s="6" t="str">
        <f t="shared" si="46"/>
        <v>0103038504</v>
      </c>
    </row>
    <row r="1343" spans="1:6" x14ac:dyDescent="0.3">
      <c r="A1343" s="6" t="s">
        <v>1343</v>
      </c>
      <c r="B1343">
        <v>22385229</v>
      </c>
      <c r="C1343" s="3">
        <v>3</v>
      </c>
      <c r="D1343" s="5" t="str">
        <f t="shared" si="47"/>
        <v>03</v>
      </c>
      <c r="E1343" t="str">
        <f>VLOOKUP(B1343,'HOGARES-BASELINE'!$B:$I,8,FALSE)</f>
        <v>01030385</v>
      </c>
      <c r="F1343" s="6" t="str">
        <f t="shared" si="46"/>
        <v>0103038503</v>
      </c>
    </row>
    <row r="1344" spans="1:6" x14ac:dyDescent="0.3">
      <c r="A1344" s="6" t="s">
        <v>1344</v>
      </c>
      <c r="B1344">
        <v>22385229</v>
      </c>
      <c r="C1344" s="3">
        <v>2</v>
      </c>
      <c r="D1344" s="5" t="str">
        <f t="shared" si="47"/>
        <v>02</v>
      </c>
      <c r="E1344" t="str">
        <f>VLOOKUP(B1344,'HOGARES-BASELINE'!$B:$I,8,FALSE)</f>
        <v>01030385</v>
      </c>
      <c r="F1344" s="6" t="str">
        <f t="shared" si="46"/>
        <v>0103038502</v>
      </c>
    </row>
    <row r="1345" spans="1:6" x14ac:dyDescent="0.3">
      <c r="A1345" s="6" t="s">
        <v>1345</v>
      </c>
      <c r="B1345">
        <v>22385229</v>
      </c>
      <c r="C1345" s="3">
        <v>1</v>
      </c>
      <c r="D1345" s="5" t="str">
        <f t="shared" si="47"/>
        <v>01</v>
      </c>
      <c r="E1345" t="str">
        <f>VLOOKUP(B1345,'HOGARES-BASELINE'!$B:$I,8,FALSE)</f>
        <v>01030385</v>
      </c>
      <c r="F1345" s="6" t="str">
        <f t="shared" si="46"/>
        <v>0103038501</v>
      </c>
    </row>
    <row r="1346" spans="1:6" x14ac:dyDescent="0.3">
      <c r="A1346" s="6" t="s">
        <v>1346</v>
      </c>
      <c r="B1346">
        <v>22393271</v>
      </c>
      <c r="C1346" s="3">
        <v>1</v>
      </c>
      <c r="D1346" s="5" t="str">
        <f t="shared" si="47"/>
        <v>01</v>
      </c>
      <c r="E1346" t="str">
        <f>VLOOKUP(B1346,'HOGARES-BASELINE'!$B:$I,8,FALSE)</f>
        <v>01030386</v>
      </c>
      <c r="F1346" s="6" t="str">
        <f t="shared" si="46"/>
        <v>0103038601</v>
      </c>
    </row>
    <row r="1347" spans="1:6" x14ac:dyDescent="0.3">
      <c r="A1347" s="6" t="s">
        <v>1347</v>
      </c>
      <c r="B1347">
        <v>22410576</v>
      </c>
      <c r="C1347" s="3">
        <v>2</v>
      </c>
      <c r="D1347" s="5" t="str">
        <f t="shared" si="47"/>
        <v>02</v>
      </c>
      <c r="E1347" t="str">
        <f>VLOOKUP(B1347,'HOGARES-BASELINE'!$B:$I,8,FALSE)</f>
        <v>00030387</v>
      </c>
      <c r="F1347" s="6" t="str">
        <f t="shared" ref="F1347:F1410" si="48">_xlfn.CONCAT(E1347,D1347)</f>
        <v>0003038702</v>
      </c>
    </row>
    <row r="1348" spans="1:6" x14ac:dyDescent="0.3">
      <c r="A1348" s="6" t="s">
        <v>1348</v>
      </c>
      <c r="B1348">
        <v>22410576</v>
      </c>
      <c r="C1348" s="3">
        <v>4</v>
      </c>
      <c r="D1348" s="5" t="str">
        <f t="shared" si="47"/>
        <v>04</v>
      </c>
      <c r="E1348" t="str">
        <f>VLOOKUP(B1348,'HOGARES-BASELINE'!$B:$I,8,FALSE)</f>
        <v>00030387</v>
      </c>
      <c r="F1348" s="6" t="str">
        <f t="shared" si="48"/>
        <v>0003038704</v>
      </c>
    </row>
    <row r="1349" spans="1:6" x14ac:dyDescent="0.3">
      <c r="A1349" s="6" t="s">
        <v>1349</v>
      </c>
      <c r="B1349">
        <v>22410576</v>
      </c>
      <c r="C1349" s="3">
        <v>3</v>
      </c>
      <c r="D1349" s="5" t="str">
        <f t="shared" si="47"/>
        <v>03</v>
      </c>
      <c r="E1349" t="str">
        <f>VLOOKUP(B1349,'HOGARES-BASELINE'!$B:$I,8,FALSE)</f>
        <v>00030387</v>
      </c>
      <c r="F1349" s="6" t="str">
        <f t="shared" si="48"/>
        <v>0003038703</v>
      </c>
    </row>
    <row r="1350" spans="1:6" x14ac:dyDescent="0.3">
      <c r="A1350" s="6" t="s">
        <v>1350</v>
      </c>
      <c r="B1350">
        <v>22410576</v>
      </c>
      <c r="C1350" s="3">
        <v>1</v>
      </c>
      <c r="D1350" s="5" t="str">
        <f t="shared" si="47"/>
        <v>01</v>
      </c>
      <c r="E1350" t="str">
        <f>VLOOKUP(B1350,'HOGARES-BASELINE'!$B:$I,8,FALSE)</f>
        <v>00030387</v>
      </c>
      <c r="F1350" s="6" t="str">
        <f t="shared" si="48"/>
        <v>0003038701</v>
      </c>
    </row>
    <row r="1351" spans="1:6" x14ac:dyDescent="0.3">
      <c r="A1351" s="6" t="s">
        <v>1351</v>
      </c>
      <c r="B1351">
        <v>22414731</v>
      </c>
      <c r="C1351" s="3">
        <v>2</v>
      </c>
      <c r="D1351" s="5" t="str">
        <f t="shared" si="47"/>
        <v>02</v>
      </c>
      <c r="E1351" t="str">
        <f>VLOOKUP(B1351,'HOGARES-BASELINE'!$B:$I,8,FALSE)</f>
        <v>00030388</v>
      </c>
      <c r="F1351" s="6" t="str">
        <f t="shared" si="48"/>
        <v>0003038802</v>
      </c>
    </row>
    <row r="1352" spans="1:6" x14ac:dyDescent="0.3">
      <c r="A1352" s="6" t="s">
        <v>1352</v>
      </c>
      <c r="B1352">
        <v>22414731</v>
      </c>
      <c r="C1352" s="3">
        <v>3</v>
      </c>
      <c r="D1352" s="5" t="str">
        <f t="shared" si="47"/>
        <v>03</v>
      </c>
      <c r="E1352" t="str">
        <f>VLOOKUP(B1352,'HOGARES-BASELINE'!$B:$I,8,FALSE)</f>
        <v>00030388</v>
      </c>
      <c r="F1352" s="6" t="str">
        <f t="shared" si="48"/>
        <v>0003038803</v>
      </c>
    </row>
    <row r="1353" spans="1:6" x14ac:dyDescent="0.3">
      <c r="A1353" s="6" t="s">
        <v>1353</v>
      </c>
      <c r="B1353">
        <v>22414731</v>
      </c>
      <c r="C1353" s="3">
        <v>1</v>
      </c>
      <c r="D1353" s="5" t="str">
        <f t="shared" si="47"/>
        <v>01</v>
      </c>
      <c r="E1353" t="str">
        <f>VLOOKUP(B1353,'HOGARES-BASELINE'!$B:$I,8,FALSE)</f>
        <v>00030388</v>
      </c>
      <c r="F1353" s="6" t="str">
        <f t="shared" si="48"/>
        <v>0003038801</v>
      </c>
    </row>
    <row r="1354" spans="1:6" x14ac:dyDescent="0.3">
      <c r="A1354" s="6" t="s">
        <v>1354</v>
      </c>
      <c r="B1354">
        <v>22414805</v>
      </c>
      <c r="C1354" s="3">
        <v>6</v>
      </c>
      <c r="D1354" s="5" t="str">
        <f t="shared" si="47"/>
        <v>06</v>
      </c>
      <c r="E1354" t="str">
        <f>VLOOKUP(B1354,'HOGARES-BASELINE'!$B:$I,8,FALSE)</f>
        <v>01030389</v>
      </c>
      <c r="F1354" s="6" t="str">
        <f t="shared" si="48"/>
        <v>0103038906</v>
      </c>
    </row>
    <row r="1355" spans="1:6" x14ac:dyDescent="0.3">
      <c r="A1355" s="6" t="s">
        <v>1355</v>
      </c>
      <c r="B1355">
        <v>22414805</v>
      </c>
      <c r="C1355" s="3">
        <v>3</v>
      </c>
      <c r="D1355" s="5" t="str">
        <f t="shared" si="47"/>
        <v>03</v>
      </c>
      <c r="E1355" t="str">
        <f>VLOOKUP(B1355,'HOGARES-BASELINE'!$B:$I,8,FALSE)</f>
        <v>01030389</v>
      </c>
      <c r="F1355" s="6" t="str">
        <f t="shared" si="48"/>
        <v>0103038903</v>
      </c>
    </row>
    <row r="1356" spans="1:6" x14ac:dyDescent="0.3">
      <c r="A1356" s="6" t="s">
        <v>1356</v>
      </c>
      <c r="B1356">
        <v>22414805</v>
      </c>
      <c r="C1356" s="3">
        <v>1</v>
      </c>
      <c r="D1356" s="5" t="str">
        <f t="shared" si="47"/>
        <v>01</v>
      </c>
      <c r="E1356" t="str">
        <f>VLOOKUP(B1356,'HOGARES-BASELINE'!$B:$I,8,FALSE)</f>
        <v>01030389</v>
      </c>
      <c r="F1356" s="6" t="str">
        <f t="shared" si="48"/>
        <v>0103038901</v>
      </c>
    </row>
    <row r="1357" spans="1:6" x14ac:dyDescent="0.3">
      <c r="A1357" s="6" t="s">
        <v>1357</v>
      </c>
      <c r="B1357">
        <v>22414805</v>
      </c>
      <c r="C1357" s="3">
        <v>2</v>
      </c>
      <c r="D1357" s="5" t="str">
        <f t="shared" si="47"/>
        <v>02</v>
      </c>
      <c r="E1357" t="str">
        <f>VLOOKUP(B1357,'HOGARES-BASELINE'!$B:$I,8,FALSE)</f>
        <v>01030389</v>
      </c>
      <c r="F1357" s="6" t="str">
        <f t="shared" si="48"/>
        <v>0103038902</v>
      </c>
    </row>
    <row r="1358" spans="1:6" x14ac:dyDescent="0.3">
      <c r="A1358" s="6" t="s">
        <v>1358</v>
      </c>
      <c r="B1358">
        <v>22414805</v>
      </c>
      <c r="C1358" s="3">
        <v>5</v>
      </c>
      <c r="D1358" s="5" t="str">
        <f t="shared" si="47"/>
        <v>05</v>
      </c>
      <c r="E1358" t="str">
        <f>VLOOKUP(B1358,'HOGARES-BASELINE'!$B:$I,8,FALSE)</f>
        <v>01030389</v>
      </c>
      <c r="F1358" s="6" t="str">
        <f t="shared" si="48"/>
        <v>0103038905</v>
      </c>
    </row>
    <row r="1359" spans="1:6" x14ac:dyDescent="0.3">
      <c r="A1359" s="6" t="s">
        <v>1359</v>
      </c>
      <c r="B1359">
        <v>22414805</v>
      </c>
      <c r="C1359" s="3">
        <v>4</v>
      </c>
      <c r="D1359" s="5" t="str">
        <f t="shared" si="47"/>
        <v>04</v>
      </c>
      <c r="E1359" t="str">
        <f>VLOOKUP(B1359,'HOGARES-BASELINE'!$B:$I,8,FALSE)</f>
        <v>01030389</v>
      </c>
      <c r="F1359" s="6" t="str">
        <f t="shared" si="48"/>
        <v>0103038904</v>
      </c>
    </row>
    <row r="1360" spans="1:6" x14ac:dyDescent="0.3">
      <c r="A1360" s="6" t="s">
        <v>1360</v>
      </c>
      <c r="B1360">
        <v>22415762</v>
      </c>
      <c r="C1360" s="3">
        <v>2</v>
      </c>
      <c r="D1360" s="5" t="str">
        <f t="shared" si="47"/>
        <v>02</v>
      </c>
      <c r="E1360" t="str">
        <f>VLOOKUP(B1360,'HOGARES-BASELINE'!$B:$I,8,FALSE)</f>
        <v>00030390</v>
      </c>
      <c r="F1360" s="6" t="str">
        <f t="shared" si="48"/>
        <v>0003039002</v>
      </c>
    </row>
    <row r="1361" spans="1:6" x14ac:dyDescent="0.3">
      <c r="A1361" s="6" t="s">
        <v>1361</v>
      </c>
      <c r="B1361">
        <v>22415762</v>
      </c>
      <c r="C1361" s="3">
        <v>1</v>
      </c>
      <c r="D1361" s="5" t="str">
        <f t="shared" si="47"/>
        <v>01</v>
      </c>
      <c r="E1361" t="str">
        <f>VLOOKUP(B1361,'HOGARES-BASELINE'!$B:$I,8,FALSE)</f>
        <v>00030390</v>
      </c>
      <c r="F1361" s="6" t="str">
        <f t="shared" si="48"/>
        <v>0003039001</v>
      </c>
    </row>
    <row r="1362" spans="1:6" x14ac:dyDescent="0.3">
      <c r="A1362" s="6" t="s">
        <v>1362</v>
      </c>
      <c r="B1362">
        <v>22420818</v>
      </c>
      <c r="C1362" s="3">
        <v>3</v>
      </c>
      <c r="D1362" s="5" t="str">
        <f t="shared" si="47"/>
        <v>03</v>
      </c>
      <c r="E1362" t="str">
        <f>VLOOKUP(B1362,'HOGARES-BASELINE'!$B:$I,8,FALSE)</f>
        <v>01030391</v>
      </c>
      <c r="F1362" s="6" t="str">
        <f t="shared" si="48"/>
        <v>0103039103</v>
      </c>
    </row>
    <row r="1363" spans="1:6" x14ac:dyDescent="0.3">
      <c r="A1363" s="6" t="s">
        <v>1363</v>
      </c>
      <c r="B1363">
        <v>22420818</v>
      </c>
      <c r="C1363" s="3">
        <v>5</v>
      </c>
      <c r="D1363" s="5" t="str">
        <f t="shared" si="47"/>
        <v>05</v>
      </c>
      <c r="E1363" t="str">
        <f>VLOOKUP(B1363,'HOGARES-BASELINE'!$B:$I,8,FALSE)</f>
        <v>01030391</v>
      </c>
      <c r="F1363" s="6" t="str">
        <f t="shared" si="48"/>
        <v>0103039105</v>
      </c>
    </row>
    <row r="1364" spans="1:6" x14ac:dyDescent="0.3">
      <c r="A1364" s="6" t="s">
        <v>1364</v>
      </c>
      <c r="B1364">
        <v>22420818</v>
      </c>
      <c r="C1364" s="3">
        <v>2</v>
      </c>
      <c r="D1364" s="5" t="str">
        <f t="shared" si="47"/>
        <v>02</v>
      </c>
      <c r="E1364" t="str">
        <f>VLOOKUP(B1364,'HOGARES-BASELINE'!$B:$I,8,FALSE)</f>
        <v>01030391</v>
      </c>
      <c r="F1364" s="6" t="str">
        <f t="shared" si="48"/>
        <v>0103039102</v>
      </c>
    </row>
    <row r="1365" spans="1:6" x14ac:dyDescent="0.3">
      <c r="A1365" s="6" t="s">
        <v>1365</v>
      </c>
      <c r="B1365">
        <v>22420818</v>
      </c>
      <c r="C1365" s="3">
        <v>6</v>
      </c>
      <c r="D1365" s="5" t="str">
        <f t="shared" si="47"/>
        <v>06</v>
      </c>
      <c r="E1365" t="str">
        <f>VLOOKUP(B1365,'HOGARES-BASELINE'!$B:$I,8,FALSE)</f>
        <v>01030391</v>
      </c>
      <c r="F1365" s="6" t="str">
        <f t="shared" si="48"/>
        <v>0103039106</v>
      </c>
    </row>
    <row r="1366" spans="1:6" x14ac:dyDescent="0.3">
      <c r="A1366" s="6" t="s">
        <v>1366</v>
      </c>
      <c r="B1366">
        <v>22420818</v>
      </c>
      <c r="C1366" s="3">
        <v>1</v>
      </c>
      <c r="D1366" s="5" t="str">
        <f t="shared" si="47"/>
        <v>01</v>
      </c>
      <c r="E1366" t="str">
        <f>VLOOKUP(B1366,'HOGARES-BASELINE'!$B:$I,8,FALSE)</f>
        <v>01030391</v>
      </c>
      <c r="F1366" s="6" t="str">
        <f t="shared" si="48"/>
        <v>0103039101</v>
      </c>
    </row>
    <row r="1367" spans="1:6" x14ac:dyDescent="0.3">
      <c r="A1367" s="6" t="s">
        <v>1367</v>
      </c>
      <c r="B1367">
        <v>22420818</v>
      </c>
      <c r="C1367" s="3">
        <v>4</v>
      </c>
      <c r="D1367" s="5" t="str">
        <f t="shared" si="47"/>
        <v>04</v>
      </c>
      <c r="E1367" t="str">
        <f>VLOOKUP(B1367,'HOGARES-BASELINE'!$B:$I,8,FALSE)</f>
        <v>01030391</v>
      </c>
      <c r="F1367" s="6" t="str">
        <f t="shared" si="48"/>
        <v>0103039104</v>
      </c>
    </row>
    <row r="1368" spans="1:6" x14ac:dyDescent="0.3">
      <c r="A1368" s="6" t="s">
        <v>1368</v>
      </c>
      <c r="B1368">
        <v>22420818</v>
      </c>
      <c r="C1368" s="3">
        <v>7</v>
      </c>
      <c r="D1368" s="5" t="str">
        <f t="shared" si="47"/>
        <v>07</v>
      </c>
      <c r="E1368" t="str">
        <f>VLOOKUP(B1368,'HOGARES-BASELINE'!$B:$I,8,FALSE)</f>
        <v>01030391</v>
      </c>
      <c r="F1368" s="6" t="str">
        <f t="shared" si="48"/>
        <v>0103039107</v>
      </c>
    </row>
    <row r="1369" spans="1:6" x14ac:dyDescent="0.3">
      <c r="A1369" s="6" t="s">
        <v>1369</v>
      </c>
      <c r="B1369">
        <v>22421041</v>
      </c>
      <c r="C1369" s="3">
        <v>5</v>
      </c>
      <c r="D1369" s="5" t="str">
        <f t="shared" si="47"/>
        <v>05</v>
      </c>
      <c r="E1369" t="str">
        <f>VLOOKUP(B1369,'HOGARES-BASELINE'!$B:$I,8,FALSE)</f>
        <v>01030392</v>
      </c>
      <c r="F1369" s="6" t="str">
        <f t="shared" si="48"/>
        <v>0103039205</v>
      </c>
    </row>
    <row r="1370" spans="1:6" x14ac:dyDescent="0.3">
      <c r="A1370" s="6" t="s">
        <v>1370</v>
      </c>
      <c r="B1370">
        <v>22421041</v>
      </c>
      <c r="C1370" s="3">
        <v>2</v>
      </c>
      <c r="D1370" s="5" t="str">
        <f t="shared" si="47"/>
        <v>02</v>
      </c>
      <c r="E1370" t="str">
        <f>VLOOKUP(B1370,'HOGARES-BASELINE'!$B:$I,8,FALSE)</f>
        <v>01030392</v>
      </c>
      <c r="F1370" s="6" t="str">
        <f t="shared" si="48"/>
        <v>0103039202</v>
      </c>
    </row>
    <row r="1371" spans="1:6" x14ac:dyDescent="0.3">
      <c r="A1371" s="6" t="s">
        <v>1371</v>
      </c>
      <c r="B1371">
        <v>22421041</v>
      </c>
      <c r="C1371" s="3">
        <v>4</v>
      </c>
      <c r="D1371" s="5" t="str">
        <f t="shared" si="47"/>
        <v>04</v>
      </c>
      <c r="E1371" t="str">
        <f>VLOOKUP(B1371,'HOGARES-BASELINE'!$B:$I,8,FALSE)</f>
        <v>01030392</v>
      </c>
      <c r="F1371" s="6" t="str">
        <f t="shared" si="48"/>
        <v>0103039204</v>
      </c>
    </row>
    <row r="1372" spans="1:6" x14ac:dyDescent="0.3">
      <c r="A1372" s="6" t="s">
        <v>1372</v>
      </c>
      <c r="B1372">
        <v>22421041</v>
      </c>
      <c r="C1372" s="3">
        <v>1</v>
      </c>
      <c r="D1372" s="5" t="str">
        <f t="shared" si="47"/>
        <v>01</v>
      </c>
      <c r="E1372" t="str">
        <f>VLOOKUP(B1372,'HOGARES-BASELINE'!$B:$I,8,FALSE)</f>
        <v>01030392</v>
      </c>
      <c r="F1372" s="6" t="str">
        <f t="shared" si="48"/>
        <v>0103039201</v>
      </c>
    </row>
    <row r="1373" spans="1:6" x14ac:dyDescent="0.3">
      <c r="A1373" s="6" t="s">
        <v>1373</v>
      </c>
      <c r="B1373">
        <v>22421041</v>
      </c>
      <c r="C1373" s="3">
        <v>3</v>
      </c>
      <c r="D1373" s="5" t="str">
        <f t="shared" si="47"/>
        <v>03</v>
      </c>
      <c r="E1373" t="str">
        <f>VLOOKUP(B1373,'HOGARES-BASELINE'!$B:$I,8,FALSE)</f>
        <v>01030392</v>
      </c>
      <c r="F1373" s="6" t="str">
        <f t="shared" si="48"/>
        <v>0103039203</v>
      </c>
    </row>
    <row r="1374" spans="1:6" x14ac:dyDescent="0.3">
      <c r="A1374" s="6" t="s">
        <v>1374</v>
      </c>
      <c r="B1374">
        <v>22421549</v>
      </c>
      <c r="C1374" s="3">
        <v>1</v>
      </c>
      <c r="D1374" s="5" t="str">
        <f t="shared" si="47"/>
        <v>01</v>
      </c>
      <c r="E1374" t="str">
        <f>VLOOKUP(B1374,'HOGARES-BASELINE'!$B:$I,8,FALSE)</f>
        <v>00030393</v>
      </c>
      <c r="F1374" s="6" t="str">
        <f t="shared" si="48"/>
        <v>0003039301</v>
      </c>
    </row>
    <row r="1375" spans="1:6" x14ac:dyDescent="0.3">
      <c r="A1375" s="6" t="s">
        <v>1375</v>
      </c>
      <c r="B1375">
        <v>22421549</v>
      </c>
      <c r="C1375" s="3">
        <v>5</v>
      </c>
      <c r="D1375" s="5" t="str">
        <f t="shared" si="47"/>
        <v>05</v>
      </c>
      <c r="E1375" t="str">
        <f>VLOOKUP(B1375,'HOGARES-BASELINE'!$B:$I,8,FALSE)</f>
        <v>00030393</v>
      </c>
      <c r="F1375" s="6" t="str">
        <f t="shared" si="48"/>
        <v>0003039305</v>
      </c>
    </row>
    <row r="1376" spans="1:6" x14ac:dyDescent="0.3">
      <c r="A1376" s="6" t="s">
        <v>1376</v>
      </c>
      <c r="B1376">
        <v>22421549</v>
      </c>
      <c r="C1376" s="3">
        <v>3</v>
      </c>
      <c r="D1376" s="5" t="str">
        <f t="shared" si="47"/>
        <v>03</v>
      </c>
      <c r="E1376" t="str">
        <f>VLOOKUP(B1376,'HOGARES-BASELINE'!$B:$I,8,FALSE)</f>
        <v>00030393</v>
      </c>
      <c r="F1376" s="6" t="str">
        <f t="shared" si="48"/>
        <v>0003039303</v>
      </c>
    </row>
    <row r="1377" spans="1:6" x14ac:dyDescent="0.3">
      <c r="A1377" s="6" t="s">
        <v>1377</v>
      </c>
      <c r="B1377">
        <v>22421549</v>
      </c>
      <c r="C1377" s="3">
        <v>2</v>
      </c>
      <c r="D1377" s="5" t="str">
        <f t="shared" si="47"/>
        <v>02</v>
      </c>
      <c r="E1377" t="str">
        <f>VLOOKUP(B1377,'HOGARES-BASELINE'!$B:$I,8,FALSE)</f>
        <v>00030393</v>
      </c>
      <c r="F1377" s="6" t="str">
        <f t="shared" si="48"/>
        <v>0003039302</v>
      </c>
    </row>
    <row r="1378" spans="1:6" x14ac:dyDescent="0.3">
      <c r="A1378" s="6" t="s">
        <v>1378</v>
      </c>
      <c r="B1378">
        <v>22421549</v>
      </c>
      <c r="C1378" s="3">
        <v>10</v>
      </c>
      <c r="D1378" s="2">
        <f>C1378</f>
        <v>10</v>
      </c>
      <c r="E1378" t="str">
        <f>VLOOKUP(B1378,'HOGARES-BASELINE'!$B:$I,8,FALSE)</f>
        <v>00030393</v>
      </c>
      <c r="F1378" s="6" t="str">
        <f t="shared" si="48"/>
        <v>0003039310</v>
      </c>
    </row>
    <row r="1379" spans="1:6" x14ac:dyDescent="0.3">
      <c r="A1379" s="6" t="s">
        <v>1379</v>
      </c>
      <c r="B1379">
        <v>22421549</v>
      </c>
      <c r="C1379" s="3">
        <v>9</v>
      </c>
      <c r="D1379" s="5" t="str">
        <f t="shared" ref="D1379:D1442" si="49">_xlfn.CONCAT(0,C1379)</f>
        <v>09</v>
      </c>
      <c r="E1379" t="str">
        <f>VLOOKUP(B1379,'HOGARES-BASELINE'!$B:$I,8,FALSE)</f>
        <v>00030393</v>
      </c>
      <c r="F1379" s="6" t="str">
        <f t="shared" si="48"/>
        <v>0003039309</v>
      </c>
    </row>
    <row r="1380" spans="1:6" x14ac:dyDescent="0.3">
      <c r="A1380" s="6" t="s">
        <v>1380</v>
      </c>
      <c r="B1380">
        <v>22421549</v>
      </c>
      <c r="C1380" s="3">
        <v>7</v>
      </c>
      <c r="D1380" s="5" t="str">
        <f t="shared" si="49"/>
        <v>07</v>
      </c>
      <c r="E1380" t="str">
        <f>VLOOKUP(B1380,'HOGARES-BASELINE'!$B:$I,8,FALSE)</f>
        <v>00030393</v>
      </c>
      <c r="F1380" s="6" t="str">
        <f t="shared" si="48"/>
        <v>0003039307</v>
      </c>
    </row>
    <row r="1381" spans="1:6" x14ac:dyDescent="0.3">
      <c r="A1381" s="6" t="s">
        <v>1381</v>
      </c>
      <c r="B1381">
        <v>22421549</v>
      </c>
      <c r="C1381" s="3">
        <v>6</v>
      </c>
      <c r="D1381" s="5" t="str">
        <f t="shared" si="49"/>
        <v>06</v>
      </c>
      <c r="E1381" t="str">
        <f>VLOOKUP(B1381,'HOGARES-BASELINE'!$B:$I,8,FALSE)</f>
        <v>00030393</v>
      </c>
      <c r="F1381" s="6" t="str">
        <f t="shared" si="48"/>
        <v>0003039306</v>
      </c>
    </row>
    <row r="1382" spans="1:6" x14ac:dyDescent="0.3">
      <c r="A1382" s="6" t="s">
        <v>1382</v>
      </c>
      <c r="B1382">
        <v>22421549</v>
      </c>
      <c r="C1382" s="3">
        <v>8</v>
      </c>
      <c r="D1382" s="5" t="str">
        <f t="shared" si="49"/>
        <v>08</v>
      </c>
      <c r="E1382" t="str">
        <f>VLOOKUP(B1382,'HOGARES-BASELINE'!$B:$I,8,FALSE)</f>
        <v>00030393</v>
      </c>
      <c r="F1382" s="6" t="str">
        <f t="shared" si="48"/>
        <v>0003039308</v>
      </c>
    </row>
    <row r="1383" spans="1:6" x14ac:dyDescent="0.3">
      <c r="A1383" s="6" t="s">
        <v>1383</v>
      </c>
      <c r="B1383">
        <v>22421549</v>
      </c>
      <c r="C1383" s="3">
        <v>4</v>
      </c>
      <c r="D1383" s="5" t="str">
        <f t="shared" si="49"/>
        <v>04</v>
      </c>
      <c r="E1383" t="str">
        <f>VLOOKUP(B1383,'HOGARES-BASELINE'!$B:$I,8,FALSE)</f>
        <v>00030393</v>
      </c>
      <c r="F1383" s="6" t="str">
        <f t="shared" si="48"/>
        <v>0003039304</v>
      </c>
    </row>
    <row r="1384" spans="1:6" x14ac:dyDescent="0.3">
      <c r="A1384" s="6" t="s">
        <v>1384</v>
      </c>
      <c r="B1384">
        <v>22436611</v>
      </c>
      <c r="C1384" s="3">
        <v>2</v>
      </c>
      <c r="D1384" s="5" t="str">
        <f t="shared" si="49"/>
        <v>02</v>
      </c>
      <c r="E1384" t="str">
        <f>VLOOKUP(B1384,'HOGARES-BASELINE'!$B:$I,8,FALSE)</f>
        <v>00030394</v>
      </c>
      <c r="F1384" s="6" t="str">
        <f t="shared" si="48"/>
        <v>0003039402</v>
      </c>
    </row>
    <row r="1385" spans="1:6" x14ac:dyDescent="0.3">
      <c r="A1385" s="6" t="s">
        <v>1385</v>
      </c>
      <c r="B1385">
        <v>22436611</v>
      </c>
      <c r="C1385" s="3">
        <v>1</v>
      </c>
      <c r="D1385" s="5" t="str">
        <f t="shared" si="49"/>
        <v>01</v>
      </c>
      <c r="E1385" t="str">
        <f>VLOOKUP(B1385,'HOGARES-BASELINE'!$B:$I,8,FALSE)</f>
        <v>00030394</v>
      </c>
      <c r="F1385" s="6" t="str">
        <f t="shared" si="48"/>
        <v>0003039401</v>
      </c>
    </row>
    <row r="1386" spans="1:6" x14ac:dyDescent="0.3">
      <c r="A1386" s="6" t="s">
        <v>1386</v>
      </c>
      <c r="B1386">
        <v>22440120</v>
      </c>
      <c r="C1386" s="3">
        <v>2</v>
      </c>
      <c r="D1386" s="5" t="str">
        <f t="shared" si="49"/>
        <v>02</v>
      </c>
      <c r="E1386" t="str">
        <f>VLOOKUP(B1386,'HOGARES-BASELINE'!$B:$I,8,FALSE)</f>
        <v>01030395</v>
      </c>
      <c r="F1386" s="6" t="str">
        <f t="shared" si="48"/>
        <v>0103039502</v>
      </c>
    </row>
    <row r="1387" spans="1:6" x14ac:dyDescent="0.3">
      <c r="A1387" s="6" t="s">
        <v>1387</v>
      </c>
      <c r="B1387">
        <v>22440120</v>
      </c>
      <c r="C1387" s="3">
        <v>5</v>
      </c>
      <c r="D1387" s="5" t="str">
        <f t="shared" si="49"/>
        <v>05</v>
      </c>
      <c r="E1387" t="str">
        <f>VLOOKUP(B1387,'HOGARES-BASELINE'!$B:$I,8,FALSE)</f>
        <v>01030395</v>
      </c>
      <c r="F1387" s="6" t="str">
        <f t="shared" si="48"/>
        <v>0103039505</v>
      </c>
    </row>
    <row r="1388" spans="1:6" x14ac:dyDescent="0.3">
      <c r="A1388" s="6" t="s">
        <v>1388</v>
      </c>
      <c r="B1388">
        <v>22440120</v>
      </c>
      <c r="C1388" s="3">
        <v>4</v>
      </c>
      <c r="D1388" s="5" t="str">
        <f t="shared" si="49"/>
        <v>04</v>
      </c>
      <c r="E1388" t="str">
        <f>VLOOKUP(B1388,'HOGARES-BASELINE'!$B:$I,8,FALSE)</f>
        <v>01030395</v>
      </c>
      <c r="F1388" s="6" t="str">
        <f t="shared" si="48"/>
        <v>0103039504</v>
      </c>
    </row>
    <row r="1389" spans="1:6" x14ac:dyDescent="0.3">
      <c r="A1389" s="6" t="s">
        <v>1389</v>
      </c>
      <c r="B1389">
        <v>22440120</v>
      </c>
      <c r="C1389" s="3">
        <v>3</v>
      </c>
      <c r="D1389" s="5" t="str">
        <f t="shared" si="49"/>
        <v>03</v>
      </c>
      <c r="E1389" t="str">
        <f>VLOOKUP(B1389,'HOGARES-BASELINE'!$B:$I,8,FALSE)</f>
        <v>01030395</v>
      </c>
      <c r="F1389" s="6" t="str">
        <f t="shared" si="48"/>
        <v>0103039503</v>
      </c>
    </row>
    <row r="1390" spans="1:6" x14ac:dyDescent="0.3">
      <c r="A1390" s="6" t="s">
        <v>1390</v>
      </c>
      <c r="B1390">
        <v>22440120</v>
      </c>
      <c r="C1390" s="3">
        <v>1</v>
      </c>
      <c r="D1390" s="5" t="str">
        <f t="shared" si="49"/>
        <v>01</v>
      </c>
      <c r="E1390" t="str">
        <f>VLOOKUP(B1390,'HOGARES-BASELINE'!$B:$I,8,FALSE)</f>
        <v>01030395</v>
      </c>
      <c r="F1390" s="6" t="str">
        <f t="shared" si="48"/>
        <v>0103039501</v>
      </c>
    </row>
    <row r="1391" spans="1:6" x14ac:dyDescent="0.3">
      <c r="A1391" s="6" t="s">
        <v>1391</v>
      </c>
      <c r="B1391">
        <v>22442480</v>
      </c>
      <c r="C1391" s="3">
        <v>3</v>
      </c>
      <c r="D1391" s="5" t="str">
        <f t="shared" si="49"/>
        <v>03</v>
      </c>
      <c r="E1391" t="str">
        <f>VLOOKUP(B1391,'HOGARES-BASELINE'!$B:$I,8,FALSE)</f>
        <v>00030396</v>
      </c>
      <c r="F1391" s="6" t="str">
        <f t="shared" si="48"/>
        <v>0003039603</v>
      </c>
    </row>
    <row r="1392" spans="1:6" x14ac:dyDescent="0.3">
      <c r="A1392" s="6" t="s">
        <v>1392</v>
      </c>
      <c r="B1392">
        <v>22442480</v>
      </c>
      <c r="C1392" s="3">
        <v>2</v>
      </c>
      <c r="D1392" s="5" t="str">
        <f t="shared" si="49"/>
        <v>02</v>
      </c>
      <c r="E1392" t="str">
        <f>VLOOKUP(B1392,'HOGARES-BASELINE'!$B:$I,8,FALSE)</f>
        <v>00030396</v>
      </c>
      <c r="F1392" s="6" t="str">
        <f t="shared" si="48"/>
        <v>0003039602</v>
      </c>
    </row>
    <row r="1393" spans="1:6" x14ac:dyDescent="0.3">
      <c r="A1393" s="6" t="s">
        <v>1393</v>
      </c>
      <c r="B1393">
        <v>22442480</v>
      </c>
      <c r="C1393" s="3">
        <v>1</v>
      </c>
      <c r="D1393" s="5" t="str">
        <f t="shared" si="49"/>
        <v>01</v>
      </c>
      <c r="E1393" t="str">
        <f>VLOOKUP(B1393,'HOGARES-BASELINE'!$B:$I,8,FALSE)</f>
        <v>00030396</v>
      </c>
      <c r="F1393" s="6" t="str">
        <f t="shared" si="48"/>
        <v>0003039601</v>
      </c>
    </row>
    <row r="1394" spans="1:6" x14ac:dyDescent="0.3">
      <c r="A1394" s="6" t="s">
        <v>1394</v>
      </c>
      <c r="B1394">
        <v>22442480</v>
      </c>
      <c r="C1394" s="3">
        <v>4</v>
      </c>
      <c r="D1394" s="5" t="str">
        <f t="shared" si="49"/>
        <v>04</v>
      </c>
      <c r="E1394" t="str">
        <f>VLOOKUP(B1394,'HOGARES-BASELINE'!$B:$I,8,FALSE)</f>
        <v>00030396</v>
      </c>
      <c r="F1394" s="6" t="str">
        <f t="shared" si="48"/>
        <v>0003039604</v>
      </c>
    </row>
    <row r="1395" spans="1:6" x14ac:dyDescent="0.3">
      <c r="A1395" s="6" t="s">
        <v>1395</v>
      </c>
      <c r="B1395">
        <v>22445534</v>
      </c>
      <c r="C1395" s="3">
        <v>2</v>
      </c>
      <c r="D1395" s="5" t="str">
        <f t="shared" si="49"/>
        <v>02</v>
      </c>
      <c r="E1395" t="str">
        <f>VLOOKUP(B1395,'HOGARES-BASELINE'!$B:$I,8,FALSE)</f>
        <v>00030397</v>
      </c>
      <c r="F1395" s="6" t="str">
        <f t="shared" si="48"/>
        <v>0003039702</v>
      </c>
    </row>
    <row r="1396" spans="1:6" x14ac:dyDescent="0.3">
      <c r="A1396" s="6" t="s">
        <v>1396</v>
      </c>
      <c r="B1396">
        <v>22445534</v>
      </c>
      <c r="C1396" s="3">
        <v>1</v>
      </c>
      <c r="D1396" s="5" t="str">
        <f t="shared" si="49"/>
        <v>01</v>
      </c>
      <c r="E1396" t="str">
        <f>VLOOKUP(B1396,'HOGARES-BASELINE'!$B:$I,8,FALSE)</f>
        <v>00030397</v>
      </c>
      <c r="F1396" s="6" t="str">
        <f t="shared" si="48"/>
        <v>0003039701</v>
      </c>
    </row>
    <row r="1397" spans="1:6" x14ac:dyDescent="0.3">
      <c r="A1397" s="6" t="s">
        <v>1397</v>
      </c>
      <c r="B1397">
        <v>22446557</v>
      </c>
      <c r="C1397" s="3">
        <v>1</v>
      </c>
      <c r="D1397" s="5" t="str">
        <f t="shared" si="49"/>
        <v>01</v>
      </c>
      <c r="E1397" t="str">
        <f>VLOOKUP(B1397,'HOGARES-BASELINE'!$B:$I,8,FALSE)</f>
        <v>01030398</v>
      </c>
      <c r="F1397" s="6" t="str">
        <f t="shared" si="48"/>
        <v>0103039801</v>
      </c>
    </row>
    <row r="1398" spans="1:6" x14ac:dyDescent="0.3">
      <c r="A1398" s="6" t="s">
        <v>1398</v>
      </c>
      <c r="B1398">
        <v>22446587</v>
      </c>
      <c r="C1398" s="3">
        <v>5</v>
      </c>
      <c r="D1398" s="5" t="str">
        <f t="shared" si="49"/>
        <v>05</v>
      </c>
      <c r="E1398" t="str">
        <f>VLOOKUP(B1398,'HOGARES-BASELINE'!$B:$I,8,FALSE)</f>
        <v>01030399</v>
      </c>
      <c r="F1398" s="6" t="str">
        <f t="shared" si="48"/>
        <v>0103039905</v>
      </c>
    </row>
    <row r="1399" spans="1:6" x14ac:dyDescent="0.3">
      <c r="A1399" s="6" t="s">
        <v>1399</v>
      </c>
      <c r="B1399">
        <v>22446587</v>
      </c>
      <c r="C1399" s="3">
        <v>2</v>
      </c>
      <c r="D1399" s="5" t="str">
        <f t="shared" si="49"/>
        <v>02</v>
      </c>
      <c r="E1399" t="str">
        <f>VLOOKUP(B1399,'HOGARES-BASELINE'!$B:$I,8,FALSE)</f>
        <v>01030399</v>
      </c>
      <c r="F1399" s="6" t="str">
        <f t="shared" si="48"/>
        <v>0103039902</v>
      </c>
    </row>
    <row r="1400" spans="1:6" x14ac:dyDescent="0.3">
      <c r="A1400" s="6" t="s">
        <v>1400</v>
      </c>
      <c r="B1400">
        <v>22446587</v>
      </c>
      <c r="C1400" s="3">
        <v>6</v>
      </c>
      <c r="D1400" s="5" t="str">
        <f t="shared" si="49"/>
        <v>06</v>
      </c>
      <c r="E1400" t="str">
        <f>VLOOKUP(B1400,'HOGARES-BASELINE'!$B:$I,8,FALSE)</f>
        <v>01030399</v>
      </c>
      <c r="F1400" s="6" t="str">
        <f t="shared" si="48"/>
        <v>0103039906</v>
      </c>
    </row>
    <row r="1401" spans="1:6" x14ac:dyDescent="0.3">
      <c r="A1401" s="6" t="s">
        <v>1401</v>
      </c>
      <c r="B1401">
        <v>22446587</v>
      </c>
      <c r="C1401" s="3">
        <v>3</v>
      </c>
      <c r="D1401" s="5" t="str">
        <f t="shared" si="49"/>
        <v>03</v>
      </c>
      <c r="E1401" t="str">
        <f>VLOOKUP(B1401,'HOGARES-BASELINE'!$B:$I,8,FALSE)</f>
        <v>01030399</v>
      </c>
      <c r="F1401" s="6" t="str">
        <f t="shared" si="48"/>
        <v>0103039903</v>
      </c>
    </row>
    <row r="1402" spans="1:6" x14ac:dyDescent="0.3">
      <c r="A1402" s="6" t="s">
        <v>1402</v>
      </c>
      <c r="B1402">
        <v>22446587</v>
      </c>
      <c r="C1402" s="3">
        <v>4</v>
      </c>
      <c r="D1402" s="5" t="str">
        <f t="shared" si="49"/>
        <v>04</v>
      </c>
      <c r="E1402" t="str">
        <f>VLOOKUP(B1402,'HOGARES-BASELINE'!$B:$I,8,FALSE)</f>
        <v>01030399</v>
      </c>
      <c r="F1402" s="6" t="str">
        <f t="shared" si="48"/>
        <v>0103039904</v>
      </c>
    </row>
    <row r="1403" spans="1:6" x14ac:dyDescent="0.3">
      <c r="A1403" s="6" t="s">
        <v>1403</v>
      </c>
      <c r="B1403">
        <v>22446587</v>
      </c>
      <c r="C1403" s="3">
        <v>1</v>
      </c>
      <c r="D1403" s="5" t="str">
        <f t="shared" si="49"/>
        <v>01</v>
      </c>
      <c r="E1403" t="str">
        <f>VLOOKUP(B1403,'HOGARES-BASELINE'!$B:$I,8,FALSE)</f>
        <v>01030399</v>
      </c>
      <c r="F1403" s="6" t="str">
        <f t="shared" si="48"/>
        <v>0103039901</v>
      </c>
    </row>
    <row r="1404" spans="1:6" x14ac:dyDescent="0.3">
      <c r="A1404" s="6" t="s">
        <v>1404</v>
      </c>
      <c r="B1404">
        <v>22446902</v>
      </c>
      <c r="C1404" s="3">
        <v>1</v>
      </c>
      <c r="D1404" s="5" t="str">
        <f t="shared" si="49"/>
        <v>01</v>
      </c>
      <c r="E1404" t="str">
        <f>VLOOKUP(B1404,'HOGARES-BASELINE'!$B:$I,8,FALSE)</f>
        <v>00030400</v>
      </c>
      <c r="F1404" s="6" t="str">
        <f t="shared" si="48"/>
        <v>0003040001</v>
      </c>
    </row>
    <row r="1405" spans="1:6" x14ac:dyDescent="0.3">
      <c r="A1405" s="6" t="s">
        <v>1405</v>
      </c>
      <c r="B1405">
        <v>22446902</v>
      </c>
      <c r="C1405" s="3">
        <v>2</v>
      </c>
      <c r="D1405" s="5" t="str">
        <f t="shared" si="49"/>
        <v>02</v>
      </c>
      <c r="E1405" t="str">
        <f>VLOOKUP(B1405,'HOGARES-BASELINE'!$B:$I,8,FALSE)</f>
        <v>00030400</v>
      </c>
      <c r="F1405" s="6" t="str">
        <f t="shared" si="48"/>
        <v>0003040002</v>
      </c>
    </row>
    <row r="1406" spans="1:6" x14ac:dyDescent="0.3">
      <c r="A1406" s="6" t="s">
        <v>1406</v>
      </c>
      <c r="B1406">
        <v>22466720</v>
      </c>
      <c r="C1406" s="3">
        <v>2</v>
      </c>
      <c r="D1406" s="5" t="str">
        <f t="shared" si="49"/>
        <v>02</v>
      </c>
      <c r="E1406" t="str">
        <f>VLOOKUP(B1406,'HOGARES-BASELINE'!$B:$I,8,FALSE)</f>
        <v>00030401</v>
      </c>
      <c r="F1406" s="6" t="str">
        <f t="shared" si="48"/>
        <v>0003040102</v>
      </c>
    </row>
    <row r="1407" spans="1:6" x14ac:dyDescent="0.3">
      <c r="A1407" s="6" t="s">
        <v>1407</v>
      </c>
      <c r="B1407">
        <v>22466720</v>
      </c>
      <c r="C1407" s="3">
        <v>1</v>
      </c>
      <c r="D1407" s="5" t="str">
        <f t="shared" si="49"/>
        <v>01</v>
      </c>
      <c r="E1407" t="str">
        <f>VLOOKUP(B1407,'HOGARES-BASELINE'!$B:$I,8,FALSE)</f>
        <v>00030401</v>
      </c>
      <c r="F1407" s="6" t="str">
        <f t="shared" si="48"/>
        <v>0003040101</v>
      </c>
    </row>
    <row r="1408" spans="1:6" x14ac:dyDescent="0.3">
      <c r="A1408" s="6" t="s">
        <v>1408</v>
      </c>
      <c r="B1408">
        <v>22466720</v>
      </c>
      <c r="C1408" s="3">
        <v>4</v>
      </c>
      <c r="D1408" s="5" t="str">
        <f t="shared" si="49"/>
        <v>04</v>
      </c>
      <c r="E1408" t="str">
        <f>VLOOKUP(B1408,'HOGARES-BASELINE'!$B:$I,8,FALSE)</f>
        <v>00030401</v>
      </c>
      <c r="F1408" s="6" t="str">
        <f t="shared" si="48"/>
        <v>0003040104</v>
      </c>
    </row>
    <row r="1409" spans="1:6" x14ac:dyDescent="0.3">
      <c r="A1409" s="6" t="s">
        <v>1409</v>
      </c>
      <c r="B1409">
        <v>22466720</v>
      </c>
      <c r="C1409" s="3">
        <v>3</v>
      </c>
      <c r="D1409" s="5" t="str">
        <f t="shared" si="49"/>
        <v>03</v>
      </c>
      <c r="E1409" t="str">
        <f>VLOOKUP(B1409,'HOGARES-BASELINE'!$B:$I,8,FALSE)</f>
        <v>00030401</v>
      </c>
      <c r="F1409" s="6" t="str">
        <f t="shared" si="48"/>
        <v>0003040103</v>
      </c>
    </row>
    <row r="1410" spans="1:6" x14ac:dyDescent="0.3">
      <c r="A1410" s="6" t="s">
        <v>1410</v>
      </c>
      <c r="B1410">
        <v>22467946</v>
      </c>
      <c r="C1410" s="3">
        <v>1</v>
      </c>
      <c r="D1410" s="5" t="str">
        <f t="shared" si="49"/>
        <v>01</v>
      </c>
      <c r="E1410" t="str">
        <f>VLOOKUP(B1410,'HOGARES-BASELINE'!$B:$I,8,FALSE)</f>
        <v>01030402</v>
      </c>
      <c r="F1410" s="6" t="str">
        <f t="shared" si="48"/>
        <v>0103040201</v>
      </c>
    </row>
    <row r="1411" spans="1:6" x14ac:dyDescent="0.3">
      <c r="A1411" s="6" t="s">
        <v>1411</v>
      </c>
      <c r="B1411">
        <v>22467946</v>
      </c>
      <c r="C1411" s="3">
        <v>2</v>
      </c>
      <c r="D1411" s="5" t="str">
        <f t="shared" si="49"/>
        <v>02</v>
      </c>
      <c r="E1411" t="str">
        <f>VLOOKUP(B1411,'HOGARES-BASELINE'!$B:$I,8,FALSE)</f>
        <v>01030402</v>
      </c>
      <c r="F1411" s="6" t="str">
        <f t="shared" ref="F1411:F1474" si="50">_xlfn.CONCAT(E1411,D1411)</f>
        <v>0103040202</v>
      </c>
    </row>
    <row r="1412" spans="1:6" x14ac:dyDescent="0.3">
      <c r="A1412" s="6" t="s">
        <v>1412</v>
      </c>
      <c r="B1412">
        <v>22467946</v>
      </c>
      <c r="C1412" s="3">
        <v>3</v>
      </c>
      <c r="D1412" s="5" t="str">
        <f t="shared" si="49"/>
        <v>03</v>
      </c>
      <c r="E1412" t="str">
        <f>VLOOKUP(B1412,'HOGARES-BASELINE'!$B:$I,8,FALSE)</f>
        <v>01030402</v>
      </c>
      <c r="F1412" s="6" t="str">
        <f t="shared" si="50"/>
        <v>0103040203</v>
      </c>
    </row>
    <row r="1413" spans="1:6" x14ac:dyDescent="0.3">
      <c r="A1413" s="6" t="s">
        <v>1413</v>
      </c>
      <c r="B1413">
        <v>22468227</v>
      </c>
      <c r="C1413" s="3">
        <v>1</v>
      </c>
      <c r="D1413" s="5" t="str">
        <f t="shared" si="49"/>
        <v>01</v>
      </c>
      <c r="E1413" t="str">
        <f>VLOOKUP(B1413,'HOGARES-BASELINE'!$B:$I,8,FALSE)</f>
        <v>00030403</v>
      </c>
      <c r="F1413" s="6" t="str">
        <f t="shared" si="50"/>
        <v>0003040301</v>
      </c>
    </row>
    <row r="1414" spans="1:6" x14ac:dyDescent="0.3">
      <c r="A1414" s="6" t="s">
        <v>1414</v>
      </c>
      <c r="B1414">
        <v>22474518</v>
      </c>
      <c r="C1414" s="3">
        <v>2</v>
      </c>
      <c r="D1414" s="5" t="str">
        <f t="shared" si="49"/>
        <v>02</v>
      </c>
      <c r="E1414" t="str">
        <f>VLOOKUP(B1414,'HOGARES-BASELINE'!$B:$I,8,FALSE)</f>
        <v>00030404</v>
      </c>
      <c r="F1414" s="6" t="str">
        <f t="shared" si="50"/>
        <v>0003040402</v>
      </c>
    </row>
    <row r="1415" spans="1:6" x14ac:dyDescent="0.3">
      <c r="A1415" s="6" t="s">
        <v>1415</v>
      </c>
      <c r="B1415">
        <v>22474518</v>
      </c>
      <c r="C1415" s="3">
        <v>1</v>
      </c>
      <c r="D1415" s="5" t="str">
        <f t="shared" si="49"/>
        <v>01</v>
      </c>
      <c r="E1415" t="str">
        <f>VLOOKUP(B1415,'HOGARES-BASELINE'!$B:$I,8,FALSE)</f>
        <v>00030404</v>
      </c>
      <c r="F1415" s="6" t="str">
        <f t="shared" si="50"/>
        <v>0003040401</v>
      </c>
    </row>
    <row r="1416" spans="1:6" x14ac:dyDescent="0.3">
      <c r="A1416" s="6" t="s">
        <v>1416</v>
      </c>
      <c r="B1416">
        <v>22478356</v>
      </c>
      <c r="C1416" s="3">
        <v>2</v>
      </c>
      <c r="D1416" s="5" t="str">
        <f t="shared" si="49"/>
        <v>02</v>
      </c>
      <c r="E1416" t="str">
        <f>VLOOKUP(B1416,'HOGARES-BASELINE'!$B:$I,8,FALSE)</f>
        <v>00030405</v>
      </c>
      <c r="F1416" s="6" t="str">
        <f t="shared" si="50"/>
        <v>0003040502</v>
      </c>
    </row>
    <row r="1417" spans="1:6" x14ac:dyDescent="0.3">
      <c r="A1417" s="6" t="s">
        <v>1417</v>
      </c>
      <c r="B1417">
        <v>22478356</v>
      </c>
      <c r="C1417" s="3">
        <v>4</v>
      </c>
      <c r="D1417" s="5" t="str">
        <f t="shared" si="49"/>
        <v>04</v>
      </c>
      <c r="E1417" t="str">
        <f>VLOOKUP(B1417,'HOGARES-BASELINE'!$B:$I,8,FALSE)</f>
        <v>00030405</v>
      </c>
      <c r="F1417" s="6" t="str">
        <f t="shared" si="50"/>
        <v>0003040504</v>
      </c>
    </row>
    <row r="1418" spans="1:6" x14ac:dyDescent="0.3">
      <c r="A1418" s="6" t="s">
        <v>1418</v>
      </c>
      <c r="B1418">
        <v>22478356</v>
      </c>
      <c r="C1418" s="3">
        <v>1</v>
      </c>
      <c r="D1418" s="5" t="str">
        <f t="shared" si="49"/>
        <v>01</v>
      </c>
      <c r="E1418" t="str">
        <f>VLOOKUP(B1418,'HOGARES-BASELINE'!$B:$I,8,FALSE)</f>
        <v>00030405</v>
      </c>
      <c r="F1418" s="6" t="str">
        <f t="shared" si="50"/>
        <v>0003040501</v>
      </c>
    </row>
    <row r="1419" spans="1:6" x14ac:dyDescent="0.3">
      <c r="A1419" s="6" t="s">
        <v>1419</v>
      </c>
      <c r="B1419">
        <v>22478356</v>
      </c>
      <c r="C1419" s="3">
        <v>3</v>
      </c>
      <c r="D1419" s="5" t="str">
        <f t="shared" si="49"/>
        <v>03</v>
      </c>
      <c r="E1419" t="str">
        <f>VLOOKUP(B1419,'HOGARES-BASELINE'!$B:$I,8,FALSE)</f>
        <v>00030405</v>
      </c>
      <c r="F1419" s="6" t="str">
        <f t="shared" si="50"/>
        <v>0003040503</v>
      </c>
    </row>
    <row r="1420" spans="1:6" x14ac:dyDescent="0.3">
      <c r="A1420" s="6" t="s">
        <v>1420</v>
      </c>
      <c r="B1420">
        <v>22502121</v>
      </c>
      <c r="C1420" s="3">
        <v>2</v>
      </c>
      <c r="D1420" s="5" t="str">
        <f t="shared" si="49"/>
        <v>02</v>
      </c>
      <c r="E1420" t="str">
        <f>VLOOKUP(B1420,'HOGARES-BASELINE'!$B:$I,8,FALSE)</f>
        <v>01030406</v>
      </c>
      <c r="F1420" s="6" t="str">
        <f t="shared" si="50"/>
        <v>0103040602</v>
      </c>
    </row>
    <row r="1421" spans="1:6" x14ac:dyDescent="0.3">
      <c r="A1421" s="6" t="s">
        <v>1421</v>
      </c>
      <c r="B1421">
        <v>22502121</v>
      </c>
      <c r="C1421" s="3">
        <v>1</v>
      </c>
      <c r="D1421" s="5" t="str">
        <f t="shared" si="49"/>
        <v>01</v>
      </c>
      <c r="E1421" t="str">
        <f>VLOOKUP(B1421,'HOGARES-BASELINE'!$B:$I,8,FALSE)</f>
        <v>01030406</v>
      </c>
      <c r="F1421" s="6" t="str">
        <f t="shared" si="50"/>
        <v>0103040601</v>
      </c>
    </row>
    <row r="1422" spans="1:6" x14ac:dyDescent="0.3">
      <c r="A1422" s="6" t="s">
        <v>1422</v>
      </c>
      <c r="B1422">
        <v>22502121</v>
      </c>
      <c r="C1422" s="3">
        <v>3</v>
      </c>
      <c r="D1422" s="5" t="str">
        <f t="shared" si="49"/>
        <v>03</v>
      </c>
      <c r="E1422" t="str">
        <f>VLOOKUP(B1422,'HOGARES-BASELINE'!$B:$I,8,FALSE)</f>
        <v>01030406</v>
      </c>
      <c r="F1422" s="6" t="str">
        <f t="shared" si="50"/>
        <v>0103040603</v>
      </c>
    </row>
    <row r="1423" spans="1:6" x14ac:dyDescent="0.3">
      <c r="A1423" s="6" t="s">
        <v>1423</v>
      </c>
      <c r="B1423">
        <v>22502121</v>
      </c>
      <c r="C1423" s="3">
        <v>4</v>
      </c>
      <c r="D1423" s="5" t="str">
        <f t="shared" si="49"/>
        <v>04</v>
      </c>
      <c r="E1423" t="str">
        <f>VLOOKUP(B1423,'HOGARES-BASELINE'!$B:$I,8,FALSE)</f>
        <v>01030406</v>
      </c>
      <c r="F1423" s="6" t="str">
        <f t="shared" si="50"/>
        <v>0103040604</v>
      </c>
    </row>
    <row r="1424" spans="1:6" x14ac:dyDescent="0.3">
      <c r="A1424" s="6" t="s">
        <v>1424</v>
      </c>
      <c r="B1424">
        <v>22502647</v>
      </c>
      <c r="C1424" s="3">
        <v>1</v>
      </c>
      <c r="D1424" s="5" t="str">
        <f t="shared" si="49"/>
        <v>01</v>
      </c>
      <c r="E1424" t="str">
        <f>VLOOKUP(B1424,'HOGARES-BASELINE'!$B:$I,8,FALSE)</f>
        <v>01030407</v>
      </c>
      <c r="F1424" s="6" t="str">
        <f t="shared" si="50"/>
        <v>0103040701</v>
      </c>
    </row>
    <row r="1425" spans="1:6" x14ac:dyDescent="0.3">
      <c r="A1425" s="6" t="s">
        <v>1425</v>
      </c>
      <c r="B1425">
        <v>22502647</v>
      </c>
      <c r="C1425" s="3">
        <v>2</v>
      </c>
      <c r="D1425" s="5" t="str">
        <f t="shared" si="49"/>
        <v>02</v>
      </c>
      <c r="E1425" t="str">
        <f>VLOOKUP(B1425,'HOGARES-BASELINE'!$B:$I,8,FALSE)</f>
        <v>01030407</v>
      </c>
      <c r="F1425" s="6" t="str">
        <f t="shared" si="50"/>
        <v>0103040702</v>
      </c>
    </row>
    <row r="1426" spans="1:6" x14ac:dyDescent="0.3">
      <c r="A1426" s="6" t="s">
        <v>1426</v>
      </c>
      <c r="B1426">
        <v>22503243</v>
      </c>
      <c r="C1426" s="3">
        <v>7</v>
      </c>
      <c r="D1426" s="5" t="str">
        <f t="shared" si="49"/>
        <v>07</v>
      </c>
      <c r="E1426" t="str">
        <f>VLOOKUP(B1426,'HOGARES-BASELINE'!$B:$I,8,FALSE)</f>
        <v>01030408</v>
      </c>
      <c r="F1426" s="6" t="str">
        <f t="shared" si="50"/>
        <v>0103040807</v>
      </c>
    </row>
    <row r="1427" spans="1:6" x14ac:dyDescent="0.3">
      <c r="A1427" s="6" t="s">
        <v>1427</v>
      </c>
      <c r="B1427">
        <v>22503243</v>
      </c>
      <c r="C1427" s="3">
        <v>5</v>
      </c>
      <c r="D1427" s="5" t="str">
        <f t="shared" si="49"/>
        <v>05</v>
      </c>
      <c r="E1427" t="str">
        <f>VLOOKUP(B1427,'HOGARES-BASELINE'!$B:$I,8,FALSE)</f>
        <v>01030408</v>
      </c>
      <c r="F1427" s="6" t="str">
        <f t="shared" si="50"/>
        <v>0103040805</v>
      </c>
    </row>
    <row r="1428" spans="1:6" x14ac:dyDescent="0.3">
      <c r="A1428" s="6" t="s">
        <v>1428</v>
      </c>
      <c r="B1428">
        <v>22503243</v>
      </c>
      <c r="C1428" s="3">
        <v>2</v>
      </c>
      <c r="D1428" s="5" t="str">
        <f t="shared" si="49"/>
        <v>02</v>
      </c>
      <c r="E1428" t="str">
        <f>VLOOKUP(B1428,'HOGARES-BASELINE'!$B:$I,8,FALSE)</f>
        <v>01030408</v>
      </c>
      <c r="F1428" s="6" t="str">
        <f t="shared" si="50"/>
        <v>0103040802</v>
      </c>
    </row>
    <row r="1429" spans="1:6" x14ac:dyDescent="0.3">
      <c r="A1429" s="6" t="s">
        <v>1429</v>
      </c>
      <c r="B1429">
        <v>22503243</v>
      </c>
      <c r="C1429" s="3">
        <v>3</v>
      </c>
      <c r="D1429" s="5" t="str">
        <f t="shared" si="49"/>
        <v>03</v>
      </c>
      <c r="E1429" t="str">
        <f>VLOOKUP(B1429,'HOGARES-BASELINE'!$B:$I,8,FALSE)</f>
        <v>01030408</v>
      </c>
      <c r="F1429" s="6" t="str">
        <f t="shared" si="50"/>
        <v>0103040803</v>
      </c>
    </row>
    <row r="1430" spans="1:6" x14ac:dyDescent="0.3">
      <c r="A1430" s="6" t="s">
        <v>1430</v>
      </c>
      <c r="B1430">
        <v>22503243</v>
      </c>
      <c r="C1430" s="3">
        <v>1</v>
      </c>
      <c r="D1430" s="5" t="str">
        <f t="shared" si="49"/>
        <v>01</v>
      </c>
      <c r="E1430" t="str">
        <f>VLOOKUP(B1430,'HOGARES-BASELINE'!$B:$I,8,FALSE)</f>
        <v>01030408</v>
      </c>
      <c r="F1430" s="6" t="str">
        <f t="shared" si="50"/>
        <v>0103040801</v>
      </c>
    </row>
    <row r="1431" spans="1:6" x14ac:dyDescent="0.3">
      <c r="A1431" s="6" t="s">
        <v>1431</v>
      </c>
      <c r="B1431">
        <v>22503243</v>
      </c>
      <c r="C1431" s="3">
        <v>6</v>
      </c>
      <c r="D1431" s="5" t="str">
        <f t="shared" si="49"/>
        <v>06</v>
      </c>
      <c r="E1431" t="str">
        <f>VLOOKUP(B1431,'HOGARES-BASELINE'!$B:$I,8,FALSE)</f>
        <v>01030408</v>
      </c>
      <c r="F1431" s="6" t="str">
        <f t="shared" si="50"/>
        <v>0103040806</v>
      </c>
    </row>
    <row r="1432" spans="1:6" x14ac:dyDescent="0.3">
      <c r="A1432" s="6" t="s">
        <v>1432</v>
      </c>
      <c r="B1432">
        <v>22503243</v>
      </c>
      <c r="C1432" s="3">
        <v>4</v>
      </c>
      <c r="D1432" s="5" t="str">
        <f t="shared" si="49"/>
        <v>04</v>
      </c>
      <c r="E1432" t="str">
        <f>VLOOKUP(B1432,'HOGARES-BASELINE'!$B:$I,8,FALSE)</f>
        <v>01030408</v>
      </c>
      <c r="F1432" s="6" t="str">
        <f t="shared" si="50"/>
        <v>0103040804</v>
      </c>
    </row>
    <row r="1433" spans="1:6" x14ac:dyDescent="0.3">
      <c r="A1433" s="6" t="s">
        <v>1433</v>
      </c>
      <c r="B1433">
        <v>22505364</v>
      </c>
      <c r="C1433" s="3">
        <v>3</v>
      </c>
      <c r="D1433" s="5" t="str">
        <f t="shared" si="49"/>
        <v>03</v>
      </c>
      <c r="E1433" t="str">
        <f>VLOOKUP(B1433,'HOGARES-BASELINE'!$B:$I,8,FALSE)</f>
        <v>01030409</v>
      </c>
      <c r="F1433" s="6" t="str">
        <f t="shared" si="50"/>
        <v>0103040903</v>
      </c>
    </row>
    <row r="1434" spans="1:6" x14ac:dyDescent="0.3">
      <c r="A1434" s="6" t="s">
        <v>1434</v>
      </c>
      <c r="B1434">
        <v>22505364</v>
      </c>
      <c r="C1434" s="3">
        <v>1</v>
      </c>
      <c r="D1434" s="5" t="str">
        <f t="shared" si="49"/>
        <v>01</v>
      </c>
      <c r="E1434" t="str">
        <f>VLOOKUP(B1434,'HOGARES-BASELINE'!$B:$I,8,FALSE)</f>
        <v>01030409</v>
      </c>
      <c r="F1434" s="6" t="str">
        <f t="shared" si="50"/>
        <v>0103040901</v>
      </c>
    </row>
    <row r="1435" spans="1:6" x14ac:dyDescent="0.3">
      <c r="A1435" s="6" t="s">
        <v>1435</v>
      </c>
      <c r="B1435">
        <v>22505364</v>
      </c>
      <c r="C1435" s="3">
        <v>2</v>
      </c>
      <c r="D1435" s="5" t="str">
        <f t="shared" si="49"/>
        <v>02</v>
      </c>
      <c r="E1435" t="str">
        <f>VLOOKUP(B1435,'HOGARES-BASELINE'!$B:$I,8,FALSE)</f>
        <v>01030409</v>
      </c>
      <c r="F1435" s="6" t="str">
        <f t="shared" si="50"/>
        <v>0103040902</v>
      </c>
    </row>
    <row r="1436" spans="1:6" x14ac:dyDescent="0.3">
      <c r="A1436" s="6" t="s">
        <v>1436</v>
      </c>
      <c r="B1436">
        <v>22506208</v>
      </c>
      <c r="C1436" s="3">
        <v>1</v>
      </c>
      <c r="D1436" s="5" t="str">
        <f t="shared" si="49"/>
        <v>01</v>
      </c>
      <c r="E1436" t="str">
        <f>VLOOKUP(B1436,'HOGARES-BASELINE'!$B:$I,8,FALSE)</f>
        <v>00030410</v>
      </c>
      <c r="F1436" s="6" t="str">
        <f t="shared" si="50"/>
        <v>0003041001</v>
      </c>
    </row>
    <row r="1437" spans="1:6" x14ac:dyDescent="0.3">
      <c r="A1437" s="6" t="s">
        <v>1437</v>
      </c>
      <c r="B1437">
        <v>22506208</v>
      </c>
      <c r="C1437" s="3">
        <v>3</v>
      </c>
      <c r="D1437" s="5" t="str">
        <f t="shared" si="49"/>
        <v>03</v>
      </c>
      <c r="E1437" t="str">
        <f>VLOOKUP(B1437,'HOGARES-BASELINE'!$B:$I,8,FALSE)</f>
        <v>00030410</v>
      </c>
      <c r="F1437" s="6" t="str">
        <f t="shared" si="50"/>
        <v>0003041003</v>
      </c>
    </row>
    <row r="1438" spans="1:6" x14ac:dyDescent="0.3">
      <c r="A1438" s="6" t="s">
        <v>1438</v>
      </c>
      <c r="B1438">
        <v>22506208</v>
      </c>
      <c r="C1438" s="3">
        <v>5</v>
      </c>
      <c r="D1438" s="5" t="str">
        <f t="shared" si="49"/>
        <v>05</v>
      </c>
      <c r="E1438" t="str">
        <f>VLOOKUP(B1438,'HOGARES-BASELINE'!$B:$I,8,FALSE)</f>
        <v>00030410</v>
      </c>
      <c r="F1438" s="6" t="str">
        <f t="shared" si="50"/>
        <v>0003041005</v>
      </c>
    </row>
    <row r="1439" spans="1:6" x14ac:dyDescent="0.3">
      <c r="A1439" s="6" t="s">
        <v>1439</v>
      </c>
      <c r="B1439">
        <v>22506208</v>
      </c>
      <c r="C1439" s="3">
        <v>4</v>
      </c>
      <c r="D1439" s="5" t="str">
        <f t="shared" si="49"/>
        <v>04</v>
      </c>
      <c r="E1439" t="str">
        <f>VLOOKUP(B1439,'HOGARES-BASELINE'!$B:$I,8,FALSE)</f>
        <v>00030410</v>
      </c>
      <c r="F1439" s="6" t="str">
        <f t="shared" si="50"/>
        <v>0003041004</v>
      </c>
    </row>
    <row r="1440" spans="1:6" x14ac:dyDescent="0.3">
      <c r="A1440" s="6" t="s">
        <v>1440</v>
      </c>
      <c r="B1440">
        <v>22506208</v>
      </c>
      <c r="C1440" s="3">
        <v>2</v>
      </c>
      <c r="D1440" s="5" t="str">
        <f t="shared" si="49"/>
        <v>02</v>
      </c>
      <c r="E1440" t="str">
        <f>VLOOKUP(B1440,'HOGARES-BASELINE'!$B:$I,8,FALSE)</f>
        <v>00030410</v>
      </c>
      <c r="F1440" s="6" t="str">
        <f t="shared" si="50"/>
        <v>0003041002</v>
      </c>
    </row>
    <row r="1441" spans="1:6" x14ac:dyDescent="0.3">
      <c r="A1441" s="6" t="s">
        <v>1441</v>
      </c>
      <c r="B1441">
        <v>22506208</v>
      </c>
      <c r="C1441" s="3">
        <v>6</v>
      </c>
      <c r="D1441" s="5" t="str">
        <f t="shared" si="49"/>
        <v>06</v>
      </c>
      <c r="E1441" t="str">
        <f>VLOOKUP(B1441,'HOGARES-BASELINE'!$B:$I,8,FALSE)</f>
        <v>00030410</v>
      </c>
      <c r="F1441" s="6" t="str">
        <f t="shared" si="50"/>
        <v>0003041006</v>
      </c>
    </row>
    <row r="1442" spans="1:6" x14ac:dyDescent="0.3">
      <c r="A1442" s="6" t="s">
        <v>1442</v>
      </c>
      <c r="B1442">
        <v>22506504</v>
      </c>
      <c r="C1442" s="3">
        <v>1</v>
      </c>
      <c r="D1442" s="5" t="str">
        <f t="shared" si="49"/>
        <v>01</v>
      </c>
      <c r="E1442" t="str">
        <f>VLOOKUP(B1442,'HOGARES-BASELINE'!$B:$I,8,FALSE)</f>
        <v>00030411</v>
      </c>
      <c r="F1442" s="6" t="str">
        <f t="shared" si="50"/>
        <v>0003041101</v>
      </c>
    </row>
    <row r="1443" spans="1:6" x14ac:dyDescent="0.3">
      <c r="A1443" s="6" t="s">
        <v>1443</v>
      </c>
      <c r="B1443">
        <v>22518128</v>
      </c>
      <c r="C1443" s="3">
        <v>3</v>
      </c>
      <c r="D1443" s="5" t="str">
        <f t="shared" ref="D1443:D1506" si="51">_xlfn.CONCAT(0,C1443)</f>
        <v>03</v>
      </c>
      <c r="E1443" t="str">
        <f>VLOOKUP(B1443,'HOGARES-BASELINE'!$B:$I,8,FALSE)</f>
        <v>01030412</v>
      </c>
      <c r="F1443" s="6" t="str">
        <f t="shared" si="50"/>
        <v>0103041203</v>
      </c>
    </row>
    <row r="1444" spans="1:6" x14ac:dyDescent="0.3">
      <c r="A1444" s="6" t="s">
        <v>1444</v>
      </c>
      <c r="B1444">
        <v>22518128</v>
      </c>
      <c r="C1444" s="3">
        <v>2</v>
      </c>
      <c r="D1444" s="5" t="str">
        <f t="shared" si="51"/>
        <v>02</v>
      </c>
      <c r="E1444" t="str">
        <f>VLOOKUP(B1444,'HOGARES-BASELINE'!$B:$I,8,FALSE)</f>
        <v>01030412</v>
      </c>
      <c r="F1444" s="6" t="str">
        <f t="shared" si="50"/>
        <v>0103041202</v>
      </c>
    </row>
    <row r="1445" spans="1:6" x14ac:dyDescent="0.3">
      <c r="A1445" s="6" t="s">
        <v>1445</v>
      </c>
      <c r="B1445">
        <v>22518128</v>
      </c>
      <c r="C1445" s="3">
        <v>1</v>
      </c>
      <c r="D1445" s="5" t="str">
        <f t="shared" si="51"/>
        <v>01</v>
      </c>
      <c r="E1445" t="str">
        <f>VLOOKUP(B1445,'HOGARES-BASELINE'!$B:$I,8,FALSE)</f>
        <v>01030412</v>
      </c>
      <c r="F1445" s="6" t="str">
        <f t="shared" si="50"/>
        <v>0103041201</v>
      </c>
    </row>
    <row r="1446" spans="1:6" x14ac:dyDescent="0.3">
      <c r="A1446" s="6" t="s">
        <v>1446</v>
      </c>
      <c r="B1446">
        <v>22518128</v>
      </c>
      <c r="C1446" s="3">
        <v>4</v>
      </c>
      <c r="D1446" s="5" t="str">
        <f t="shared" si="51"/>
        <v>04</v>
      </c>
      <c r="E1446" t="str">
        <f>VLOOKUP(B1446,'HOGARES-BASELINE'!$B:$I,8,FALSE)</f>
        <v>01030412</v>
      </c>
      <c r="F1446" s="6" t="str">
        <f t="shared" si="50"/>
        <v>0103041204</v>
      </c>
    </row>
    <row r="1447" spans="1:6" x14ac:dyDescent="0.3">
      <c r="A1447" s="6" t="s">
        <v>1447</v>
      </c>
      <c r="B1447">
        <v>22527893</v>
      </c>
      <c r="C1447" s="3">
        <v>1</v>
      </c>
      <c r="D1447" s="5" t="str">
        <f t="shared" si="51"/>
        <v>01</v>
      </c>
      <c r="E1447" t="str">
        <f>VLOOKUP(B1447,'HOGARES-BASELINE'!$B:$I,8,FALSE)</f>
        <v>00030413</v>
      </c>
      <c r="F1447" s="6" t="str">
        <f t="shared" si="50"/>
        <v>0003041301</v>
      </c>
    </row>
    <row r="1448" spans="1:6" x14ac:dyDescent="0.3">
      <c r="A1448" s="6" t="s">
        <v>1448</v>
      </c>
      <c r="B1448">
        <v>22532457</v>
      </c>
      <c r="C1448" s="3">
        <v>4</v>
      </c>
      <c r="D1448" s="5" t="str">
        <f t="shared" si="51"/>
        <v>04</v>
      </c>
      <c r="E1448" t="str">
        <f>VLOOKUP(B1448,'HOGARES-BASELINE'!$B:$I,8,FALSE)</f>
        <v>01030414</v>
      </c>
      <c r="F1448" s="6" t="str">
        <f t="shared" si="50"/>
        <v>0103041404</v>
      </c>
    </row>
    <row r="1449" spans="1:6" x14ac:dyDescent="0.3">
      <c r="A1449" s="6" t="s">
        <v>1449</v>
      </c>
      <c r="B1449">
        <v>22532457</v>
      </c>
      <c r="C1449" s="3">
        <v>2</v>
      </c>
      <c r="D1449" s="5" t="str">
        <f t="shared" si="51"/>
        <v>02</v>
      </c>
      <c r="E1449" t="str">
        <f>VLOOKUP(B1449,'HOGARES-BASELINE'!$B:$I,8,FALSE)</f>
        <v>01030414</v>
      </c>
      <c r="F1449" s="6" t="str">
        <f t="shared" si="50"/>
        <v>0103041402</v>
      </c>
    </row>
    <row r="1450" spans="1:6" x14ac:dyDescent="0.3">
      <c r="A1450" s="6" t="s">
        <v>1450</v>
      </c>
      <c r="B1450">
        <v>22532457</v>
      </c>
      <c r="C1450" s="3">
        <v>3</v>
      </c>
      <c r="D1450" s="5" t="str">
        <f t="shared" si="51"/>
        <v>03</v>
      </c>
      <c r="E1450" t="str">
        <f>VLOOKUP(B1450,'HOGARES-BASELINE'!$B:$I,8,FALSE)</f>
        <v>01030414</v>
      </c>
      <c r="F1450" s="6" t="str">
        <f t="shared" si="50"/>
        <v>0103041403</v>
      </c>
    </row>
    <row r="1451" spans="1:6" x14ac:dyDescent="0.3">
      <c r="A1451" s="6" t="s">
        <v>1451</v>
      </c>
      <c r="B1451">
        <v>22532457</v>
      </c>
      <c r="C1451" s="3">
        <v>1</v>
      </c>
      <c r="D1451" s="5" t="str">
        <f t="shared" si="51"/>
        <v>01</v>
      </c>
      <c r="E1451" t="str">
        <f>VLOOKUP(B1451,'HOGARES-BASELINE'!$B:$I,8,FALSE)</f>
        <v>01030414</v>
      </c>
      <c r="F1451" s="6" t="str">
        <f t="shared" si="50"/>
        <v>0103041401</v>
      </c>
    </row>
    <row r="1452" spans="1:6" x14ac:dyDescent="0.3">
      <c r="A1452" s="6" t="s">
        <v>1452</v>
      </c>
      <c r="B1452">
        <v>22532796</v>
      </c>
      <c r="C1452" s="3">
        <v>2</v>
      </c>
      <c r="D1452" s="5" t="str">
        <f t="shared" si="51"/>
        <v>02</v>
      </c>
      <c r="E1452" t="str">
        <f>VLOOKUP(B1452,'HOGARES-BASELINE'!$B:$I,8,FALSE)</f>
        <v>00030415</v>
      </c>
      <c r="F1452" s="6" t="str">
        <f t="shared" si="50"/>
        <v>0003041502</v>
      </c>
    </row>
    <row r="1453" spans="1:6" x14ac:dyDescent="0.3">
      <c r="A1453" s="6" t="s">
        <v>1453</v>
      </c>
      <c r="B1453">
        <v>22532796</v>
      </c>
      <c r="C1453" s="3">
        <v>1</v>
      </c>
      <c r="D1453" s="5" t="str">
        <f t="shared" si="51"/>
        <v>01</v>
      </c>
      <c r="E1453" t="str">
        <f>VLOOKUP(B1453,'HOGARES-BASELINE'!$B:$I,8,FALSE)</f>
        <v>00030415</v>
      </c>
      <c r="F1453" s="6" t="str">
        <f t="shared" si="50"/>
        <v>0003041501</v>
      </c>
    </row>
    <row r="1454" spans="1:6" x14ac:dyDescent="0.3">
      <c r="A1454" s="6" t="s">
        <v>1454</v>
      </c>
      <c r="B1454">
        <v>22548648</v>
      </c>
      <c r="C1454" s="3">
        <v>1</v>
      </c>
      <c r="D1454" s="5" t="str">
        <f t="shared" si="51"/>
        <v>01</v>
      </c>
      <c r="E1454" t="str">
        <f>VLOOKUP(B1454,'HOGARES-BASELINE'!$B:$I,8,FALSE)</f>
        <v>01030416</v>
      </c>
      <c r="F1454" s="6" t="str">
        <f t="shared" si="50"/>
        <v>0103041601</v>
      </c>
    </row>
    <row r="1455" spans="1:6" x14ac:dyDescent="0.3">
      <c r="A1455" s="6" t="s">
        <v>1455</v>
      </c>
      <c r="B1455">
        <v>22548648</v>
      </c>
      <c r="C1455" s="3">
        <v>3</v>
      </c>
      <c r="D1455" s="5" t="str">
        <f t="shared" si="51"/>
        <v>03</v>
      </c>
      <c r="E1455" t="str">
        <f>VLOOKUP(B1455,'HOGARES-BASELINE'!$B:$I,8,FALSE)</f>
        <v>01030416</v>
      </c>
      <c r="F1455" s="6" t="str">
        <f t="shared" si="50"/>
        <v>0103041603</v>
      </c>
    </row>
    <row r="1456" spans="1:6" x14ac:dyDescent="0.3">
      <c r="A1456" s="6" t="s">
        <v>1456</v>
      </c>
      <c r="B1456">
        <v>22548648</v>
      </c>
      <c r="C1456" s="3">
        <v>2</v>
      </c>
      <c r="D1456" s="5" t="str">
        <f t="shared" si="51"/>
        <v>02</v>
      </c>
      <c r="E1456" t="str">
        <f>VLOOKUP(B1456,'HOGARES-BASELINE'!$B:$I,8,FALSE)</f>
        <v>01030416</v>
      </c>
      <c r="F1456" s="6" t="str">
        <f t="shared" si="50"/>
        <v>0103041602</v>
      </c>
    </row>
    <row r="1457" spans="1:6" x14ac:dyDescent="0.3">
      <c r="A1457" s="6" t="s">
        <v>1457</v>
      </c>
      <c r="B1457">
        <v>22563805</v>
      </c>
      <c r="C1457" s="3">
        <v>1</v>
      </c>
      <c r="D1457" s="5" t="str">
        <f t="shared" si="51"/>
        <v>01</v>
      </c>
      <c r="E1457" t="str">
        <f>VLOOKUP(B1457,'HOGARES-BASELINE'!$B:$I,8,FALSE)</f>
        <v>00030417</v>
      </c>
      <c r="F1457" s="6" t="str">
        <f t="shared" si="50"/>
        <v>0003041701</v>
      </c>
    </row>
    <row r="1458" spans="1:6" x14ac:dyDescent="0.3">
      <c r="A1458" s="6" t="s">
        <v>1458</v>
      </c>
      <c r="B1458">
        <v>22564910</v>
      </c>
      <c r="C1458" s="3">
        <v>1</v>
      </c>
      <c r="D1458" s="5" t="str">
        <f t="shared" si="51"/>
        <v>01</v>
      </c>
      <c r="E1458" t="str">
        <f>VLOOKUP(B1458,'HOGARES-BASELINE'!$B:$I,8,FALSE)</f>
        <v>00030418</v>
      </c>
      <c r="F1458" s="6" t="str">
        <f t="shared" si="50"/>
        <v>0003041801</v>
      </c>
    </row>
    <row r="1459" spans="1:6" x14ac:dyDescent="0.3">
      <c r="A1459" s="6" t="s">
        <v>1459</v>
      </c>
      <c r="B1459">
        <v>22567435</v>
      </c>
      <c r="C1459" s="3">
        <v>2</v>
      </c>
      <c r="D1459" s="5" t="str">
        <f t="shared" si="51"/>
        <v>02</v>
      </c>
      <c r="E1459" t="str">
        <f>VLOOKUP(B1459,'HOGARES-BASELINE'!$B:$I,8,FALSE)</f>
        <v>01030419</v>
      </c>
      <c r="F1459" s="6" t="str">
        <f t="shared" si="50"/>
        <v>0103041902</v>
      </c>
    </row>
    <row r="1460" spans="1:6" x14ac:dyDescent="0.3">
      <c r="A1460" s="6" t="s">
        <v>1460</v>
      </c>
      <c r="B1460">
        <v>22567435</v>
      </c>
      <c r="C1460" s="3">
        <v>3</v>
      </c>
      <c r="D1460" s="5" t="str">
        <f t="shared" si="51"/>
        <v>03</v>
      </c>
      <c r="E1460" t="str">
        <f>VLOOKUP(B1460,'HOGARES-BASELINE'!$B:$I,8,FALSE)</f>
        <v>01030419</v>
      </c>
      <c r="F1460" s="6" t="str">
        <f t="shared" si="50"/>
        <v>0103041903</v>
      </c>
    </row>
    <row r="1461" spans="1:6" x14ac:dyDescent="0.3">
      <c r="A1461" s="6" t="s">
        <v>1461</v>
      </c>
      <c r="B1461">
        <v>22567435</v>
      </c>
      <c r="C1461" s="3">
        <v>1</v>
      </c>
      <c r="D1461" s="5" t="str">
        <f t="shared" si="51"/>
        <v>01</v>
      </c>
      <c r="E1461" t="str">
        <f>VLOOKUP(B1461,'HOGARES-BASELINE'!$B:$I,8,FALSE)</f>
        <v>01030419</v>
      </c>
      <c r="F1461" s="6" t="str">
        <f t="shared" si="50"/>
        <v>0103041901</v>
      </c>
    </row>
    <row r="1462" spans="1:6" x14ac:dyDescent="0.3">
      <c r="A1462" s="6" t="s">
        <v>1462</v>
      </c>
      <c r="B1462">
        <v>22590461</v>
      </c>
      <c r="C1462" s="3">
        <v>1</v>
      </c>
      <c r="D1462" s="5" t="str">
        <f t="shared" si="51"/>
        <v>01</v>
      </c>
      <c r="E1462" t="str">
        <f>VLOOKUP(B1462,'HOGARES-BASELINE'!$B:$I,8,FALSE)</f>
        <v>01030420</v>
      </c>
      <c r="F1462" s="6" t="str">
        <f t="shared" si="50"/>
        <v>0103042001</v>
      </c>
    </row>
    <row r="1463" spans="1:6" x14ac:dyDescent="0.3">
      <c r="A1463" s="6" t="s">
        <v>1463</v>
      </c>
      <c r="B1463">
        <v>22590461</v>
      </c>
      <c r="C1463" s="3">
        <v>3</v>
      </c>
      <c r="D1463" s="5" t="str">
        <f t="shared" si="51"/>
        <v>03</v>
      </c>
      <c r="E1463" t="str">
        <f>VLOOKUP(B1463,'HOGARES-BASELINE'!$B:$I,8,FALSE)</f>
        <v>01030420</v>
      </c>
      <c r="F1463" s="6" t="str">
        <f t="shared" si="50"/>
        <v>0103042003</v>
      </c>
    </row>
    <row r="1464" spans="1:6" x14ac:dyDescent="0.3">
      <c r="A1464" s="6" t="s">
        <v>1464</v>
      </c>
      <c r="B1464">
        <v>22590461</v>
      </c>
      <c r="C1464" s="3">
        <v>2</v>
      </c>
      <c r="D1464" s="5" t="str">
        <f t="shared" si="51"/>
        <v>02</v>
      </c>
      <c r="E1464" t="str">
        <f>VLOOKUP(B1464,'HOGARES-BASELINE'!$B:$I,8,FALSE)</f>
        <v>01030420</v>
      </c>
      <c r="F1464" s="6" t="str">
        <f t="shared" si="50"/>
        <v>0103042002</v>
      </c>
    </row>
    <row r="1465" spans="1:6" x14ac:dyDescent="0.3">
      <c r="A1465" s="6" t="s">
        <v>1465</v>
      </c>
      <c r="B1465">
        <v>22599446</v>
      </c>
      <c r="C1465" s="3">
        <v>3</v>
      </c>
      <c r="D1465" s="5" t="str">
        <f t="shared" si="51"/>
        <v>03</v>
      </c>
      <c r="E1465" t="str">
        <f>VLOOKUP(B1465,'HOGARES-BASELINE'!$B:$I,8,FALSE)</f>
        <v>00030421</v>
      </c>
      <c r="F1465" s="6" t="str">
        <f t="shared" si="50"/>
        <v>0003042103</v>
      </c>
    </row>
    <row r="1466" spans="1:6" x14ac:dyDescent="0.3">
      <c r="A1466" s="6" t="s">
        <v>1466</v>
      </c>
      <c r="B1466">
        <v>22599446</v>
      </c>
      <c r="C1466" s="3">
        <v>1</v>
      </c>
      <c r="D1466" s="5" t="str">
        <f t="shared" si="51"/>
        <v>01</v>
      </c>
      <c r="E1466" t="str">
        <f>VLOOKUP(B1466,'HOGARES-BASELINE'!$B:$I,8,FALSE)</f>
        <v>00030421</v>
      </c>
      <c r="F1466" s="6" t="str">
        <f t="shared" si="50"/>
        <v>0003042101</v>
      </c>
    </row>
    <row r="1467" spans="1:6" x14ac:dyDescent="0.3">
      <c r="A1467" s="6" t="s">
        <v>1467</v>
      </c>
      <c r="B1467">
        <v>22599446</v>
      </c>
      <c r="C1467" s="3">
        <v>2</v>
      </c>
      <c r="D1467" s="5" t="str">
        <f t="shared" si="51"/>
        <v>02</v>
      </c>
      <c r="E1467" t="str">
        <f>VLOOKUP(B1467,'HOGARES-BASELINE'!$B:$I,8,FALSE)</f>
        <v>00030421</v>
      </c>
      <c r="F1467" s="6" t="str">
        <f t="shared" si="50"/>
        <v>0003042102</v>
      </c>
    </row>
    <row r="1468" spans="1:6" x14ac:dyDescent="0.3">
      <c r="A1468" s="6" t="s">
        <v>1468</v>
      </c>
      <c r="B1468">
        <v>22599446</v>
      </c>
      <c r="C1468" s="3">
        <v>4</v>
      </c>
      <c r="D1468" s="5" t="str">
        <f t="shared" si="51"/>
        <v>04</v>
      </c>
      <c r="E1468" t="str">
        <f>VLOOKUP(B1468,'HOGARES-BASELINE'!$B:$I,8,FALSE)</f>
        <v>00030421</v>
      </c>
      <c r="F1468" s="6" t="str">
        <f t="shared" si="50"/>
        <v>0003042104</v>
      </c>
    </row>
    <row r="1469" spans="1:6" x14ac:dyDescent="0.3">
      <c r="A1469" s="6" t="s">
        <v>1469</v>
      </c>
      <c r="B1469">
        <v>22645705</v>
      </c>
      <c r="C1469" s="3">
        <v>1</v>
      </c>
      <c r="D1469" s="5" t="str">
        <f t="shared" si="51"/>
        <v>01</v>
      </c>
      <c r="E1469" t="str">
        <f>VLOOKUP(B1469,'HOGARES-BASELINE'!$B:$I,8,FALSE)</f>
        <v>00030422</v>
      </c>
      <c r="F1469" s="6" t="str">
        <f t="shared" si="50"/>
        <v>0003042201</v>
      </c>
    </row>
    <row r="1470" spans="1:6" x14ac:dyDescent="0.3">
      <c r="A1470" s="6" t="s">
        <v>1470</v>
      </c>
      <c r="B1470">
        <v>22645705</v>
      </c>
      <c r="C1470" s="3">
        <v>3</v>
      </c>
      <c r="D1470" s="5" t="str">
        <f t="shared" si="51"/>
        <v>03</v>
      </c>
      <c r="E1470" t="str">
        <f>VLOOKUP(B1470,'HOGARES-BASELINE'!$B:$I,8,FALSE)</f>
        <v>00030422</v>
      </c>
      <c r="F1470" s="6" t="str">
        <f t="shared" si="50"/>
        <v>0003042203</v>
      </c>
    </row>
    <row r="1471" spans="1:6" x14ac:dyDescent="0.3">
      <c r="A1471" s="6" t="s">
        <v>1471</v>
      </c>
      <c r="B1471">
        <v>22645705</v>
      </c>
      <c r="C1471" s="3">
        <v>2</v>
      </c>
      <c r="D1471" s="5" t="str">
        <f t="shared" si="51"/>
        <v>02</v>
      </c>
      <c r="E1471" t="str">
        <f>VLOOKUP(B1471,'HOGARES-BASELINE'!$B:$I,8,FALSE)</f>
        <v>00030422</v>
      </c>
      <c r="F1471" s="6" t="str">
        <f t="shared" si="50"/>
        <v>0003042202</v>
      </c>
    </row>
    <row r="1472" spans="1:6" x14ac:dyDescent="0.3">
      <c r="A1472" s="6" t="s">
        <v>1472</v>
      </c>
      <c r="B1472">
        <v>22645794</v>
      </c>
      <c r="C1472" s="3">
        <v>3</v>
      </c>
      <c r="D1472" s="5" t="str">
        <f t="shared" si="51"/>
        <v>03</v>
      </c>
      <c r="E1472" t="str">
        <f>VLOOKUP(B1472,'HOGARES-BASELINE'!$B:$I,8,FALSE)</f>
        <v>01030423</v>
      </c>
      <c r="F1472" s="6" t="str">
        <f t="shared" si="50"/>
        <v>0103042303</v>
      </c>
    </row>
    <row r="1473" spans="1:6" x14ac:dyDescent="0.3">
      <c r="A1473" s="6" t="s">
        <v>1473</v>
      </c>
      <c r="B1473">
        <v>22645794</v>
      </c>
      <c r="C1473" s="3">
        <v>1</v>
      </c>
      <c r="D1473" s="5" t="str">
        <f t="shared" si="51"/>
        <v>01</v>
      </c>
      <c r="E1473" t="str">
        <f>VLOOKUP(B1473,'HOGARES-BASELINE'!$B:$I,8,FALSE)</f>
        <v>01030423</v>
      </c>
      <c r="F1473" s="6" t="str">
        <f t="shared" si="50"/>
        <v>0103042301</v>
      </c>
    </row>
    <row r="1474" spans="1:6" x14ac:dyDescent="0.3">
      <c r="A1474" s="6" t="s">
        <v>1474</v>
      </c>
      <c r="B1474">
        <v>22645794</v>
      </c>
      <c r="C1474" s="3">
        <v>2</v>
      </c>
      <c r="D1474" s="5" t="str">
        <f t="shared" si="51"/>
        <v>02</v>
      </c>
      <c r="E1474" t="str">
        <f>VLOOKUP(B1474,'HOGARES-BASELINE'!$B:$I,8,FALSE)</f>
        <v>01030423</v>
      </c>
      <c r="F1474" s="6" t="str">
        <f t="shared" si="50"/>
        <v>0103042302</v>
      </c>
    </row>
    <row r="1475" spans="1:6" x14ac:dyDescent="0.3">
      <c r="A1475" s="6" t="s">
        <v>1475</v>
      </c>
      <c r="B1475">
        <v>22645794</v>
      </c>
      <c r="C1475" s="3">
        <v>4</v>
      </c>
      <c r="D1475" s="5" t="str">
        <f t="shared" si="51"/>
        <v>04</v>
      </c>
      <c r="E1475" t="str">
        <f>VLOOKUP(B1475,'HOGARES-BASELINE'!$B:$I,8,FALSE)</f>
        <v>01030423</v>
      </c>
      <c r="F1475" s="6" t="str">
        <f t="shared" ref="F1475:F1538" si="52">_xlfn.CONCAT(E1475,D1475)</f>
        <v>0103042304</v>
      </c>
    </row>
    <row r="1476" spans="1:6" x14ac:dyDescent="0.3">
      <c r="A1476" s="6" t="s">
        <v>1476</v>
      </c>
      <c r="B1476">
        <v>22645794</v>
      </c>
      <c r="C1476" s="3">
        <v>5</v>
      </c>
      <c r="D1476" s="5" t="str">
        <f t="shared" si="51"/>
        <v>05</v>
      </c>
      <c r="E1476" t="str">
        <f>VLOOKUP(B1476,'HOGARES-BASELINE'!$B:$I,8,FALSE)</f>
        <v>01030423</v>
      </c>
      <c r="F1476" s="6" t="str">
        <f t="shared" si="52"/>
        <v>0103042305</v>
      </c>
    </row>
    <row r="1477" spans="1:6" x14ac:dyDescent="0.3">
      <c r="A1477" s="6" t="s">
        <v>1477</v>
      </c>
      <c r="B1477">
        <v>22646716</v>
      </c>
      <c r="C1477" s="3">
        <v>4</v>
      </c>
      <c r="D1477" s="5" t="str">
        <f t="shared" si="51"/>
        <v>04</v>
      </c>
      <c r="E1477" t="str">
        <f>VLOOKUP(B1477,'HOGARES-BASELINE'!$B:$I,8,FALSE)</f>
        <v>01030424</v>
      </c>
      <c r="F1477" s="6" t="str">
        <f t="shared" si="52"/>
        <v>0103042404</v>
      </c>
    </row>
    <row r="1478" spans="1:6" x14ac:dyDescent="0.3">
      <c r="A1478" s="6" t="s">
        <v>1478</v>
      </c>
      <c r="B1478">
        <v>22646716</v>
      </c>
      <c r="C1478" s="3">
        <v>1</v>
      </c>
      <c r="D1478" s="5" t="str">
        <f t="shared" si="51"/>
        <v>01</v>
      </c>
      <c r="E1478" t="str">
        <f>VLOOKUP(B1478,'HOGARES-BASELINE'!$B:$I,8,FALSE)</f>
        <v>01030424</v>
      </c>
      <c r="F1478" s="6" t="str">
        <f t="shared" si="52"/>
        <v>0103042401</v>
      </c>
    </row>
    <row r="1479" spans="1:6" x14ac:dyDescent="0.3">
      <c r="A1479" s="6" t="s">
        <v>1479</v>
      </c>
      <c r="B1479">
        <v>22646716</v>
      </c>
      <c r="C1479" s="3">
        <v>2</v>
      </c>
      <c r="D1479" s="5" t="str">
        <f t="shared" si="51"/>
        <v>02</v>
      </c>
      <c r="E1479" t="str">
        <f>VLOOKUP(B1479,'HOGARES-BASELINE'!$B:$I,8,FALSE)</f>
        <v>01030424</v>
      </c>
      <c r="F1479" s="6" t="str">
        <f t="shared" si="52"/>
        <v>0103042402</v>
      </c>
    </row>
    <row r="1480" spans="1:6" x14ac:dyDescent="0.3">
      <c r="A1480" s="6" t="s">
        <v>1480</v>
      </c>
      <c r="B1480">
        <v>22646716</v>
      </c>
      <c r="C1480" s="3">
        <v>3</v>
      </c>
      <c r="D1480" s="5" t="str">
        <f t="shared" si="51"/>
        <v>03</v>
      </c>
      <c r="E1480" t="str">
        <f>VLOOKUP(B1480,'HOGARES-BASELINE'!$B:$I,8,FALSE)</f>
        <v>01030424</v>
      </c>
      <c r="F1480" s="6" t="str">
        <f t="shared" si="52"/>
        <v>0103042403</v>
      </c>
    </row>
    <row r="1481" spans="1:6" x14ac:dyDescent="0.3">
      <c r="A1481" s="6" t="s">
        <v>1481</v>
      </c>
      <c r="B1481">
        <v>22648878</v>
      </c>
      <c r="C1481" s="3">
        <v>1</v>
      </c>
      <c r="D1481" s="5" t="str">
        <f t="shared" si="51"/>
        <v>01</v>
      </c>
      <c r="E1481" t="str">
        <f>VLOOKUP(B1481,'HOGARES-BASELINE'!$B:$I,8,FALSE)</f>
        <v>01030425</v>
      </c>
      <c r="F1481" s="6" t="str">
        <f t="shared" si="52"/>
        <v>0103042501</v>
      </c>
    </row>
    <row r="1482" spans="1:6" x14ac:dyDescent="0.3">
      <c r="A1482" s="6" t="s">
        <v>1482</v>
      </c>
      <c r="B1482">
        <v>22648878</v>
      </c>
      <c r="C1482" s="3">
        <v>2</v>
      </c>
      <c r="D1482" s="5" t="str">
        <f t="shared" si="51"/>
        <v>02</v>
      </c>
      <c r="E1482" t="str">
        <f>VLOOKUP(B1482,'HOGARES-BASELINE'!$B:$I,8,FALSE)</f>
        <v>01030425</v>
      </c>
      <c r="F1482" s="6" t="str">
        <f t="shared" si="52"/>
        <v>0103042502</v>
      </c>
    </row>
    <row r="1483" spans="1:6" x14ac:dyDescent="0.3">
      <c r="A1483" s="6" t="s">
        <v>1483</v>
      </c>
      <c r="B1483">
        <v>22650279</v>
      </c>
      <c r="C1483" s="3">
        <v>3</v>
      </c>
      <c r="D1483" s="5" t="str">
        <f t="shared" si="51"/>
        <v>03</v>
      </c>
      <c r="E1483" t="str">
        <f>VLOOKUP(B1483,'HOGARES-BASELINE'!$B:$I,8,FALSE)</f>
        <v>00030426</v>
      </c>
      <c r="F1483" s="6" t="str">
        <f t="shared" si="52"/>
        <v>0003042603</v>
      </c>
    </row>
    <row r="1484" spans="1:6" x14ac:dyDescent="0.3">
      <c r="A1484" s="6" t="s">
        <v>1484</v>
      </c>
      <c r="B1484">
        <v>22650279</v>
      </c>
      <c r="C1484" s="3">
        <v>2</v>
      </c>
      <c r="D1484" s="5" t="str">
        <f t="shared" si="51"/>
        <v>02</v>
      </c>
      <c r="E1484" t="str">
        <f>VLOOKUP(B1484,'HOGARES-BASELINE'!$B:$I,8,FALSE)</f>
        <v>00030426</v>
      </c>
      <c r="F1484" s="6" t="str">
        <f t="shared" si="52"/>
        <v>0003042602</v>
      </c>
    </row>
    <row r="1485" spans="1:6" x14ac:dyDescent="0.3">
      <c r="A1485" s="6" t="s">
        <v>1485</v>
      </c>
      <c r="B1485">
        <v>22650279</v>
      </c>
      <c r="C1485" s="3">
        <v>1</v>
      </c>
      <c r="D1485" s="5" t="str">
        <f t="shared" si="51"/>
        <v>01</v>
      </c>
      <c r="E1485" t="str">
        <f>VLOOKUP(B1485,'HOGARES-BASELINE'!$B:$I,8,FALSE)</f>
        <v>00030426</v>
      </c>
      <c r="F1485" s="6" t="str">
        <f t="shared" si="52"/>
        <v>0003042601</v>
      </c>
    </row>
    <row r="1486" spans="1:6" x14ac:dyDescent="0.3">
      <c r="A1486" s="6" t="s">
        <v>1486</v>
      </c>
      <c r="B1486">
        <v>22650279</v>
      </c>
      <c r="C1486" s="3">
        <v>4</v>
      </c>
      <c r="D1486" s="5" t="str">
        <f t="shared" si="51"/>
        <v>04</v>
      </c>
      <c r="E1486" t="str">
        <f>VLOOKUP(B1486,'HOGARES-BASELINE'!$B:$I,8,FALSE)</f>
        <v>00030426</v>
      </c>
      <c r="F1486" s="6" t="str">
        <f t="shared" si="52"/>
        <v>0003042604</v>
      </c>
    </row>
    <row r="1487" spans="1:6" x14ac:dyDescent="0.3">
      <c r="A1487" s="6" t="s">
        <v>1487</v>
      </c>
      <c r="B1487">
        <v>22650279</v>
      </c>
      <c r="C1487" s="3">
        <v>5</v>
      </c>
      <c r="D1487" s="5" t="str">
        <f t="shared" si="51"/>
        <v>05</v>
      </c>
      <c r="E1487" t="str">
        <f>VLOOKUP(B1487,'HOGARES-BASELINE'!$B:$I,8,FALSE)</f>
        <v>00030426</v>
      </c>
      <c r="F1487" s="6" t="str">
        <f t="shared" si="52"/>
        <v>0003042605</v>
      </c>
    </row>
    <row r="1488" spans="1:6" x14ac:dyDescent="0.3">
      <c r="A1488" s="6" t="s">
        <v>1488</v>
      </c>
      <c r="B1488">
        <v>22650279</v>
      </c>
      <c r="C1488" s="3">
        <v>6</v>
      </c>
      <c r="D1488" s="5" t="str">
        <f t="shared" si="51"/>
        <v>06</v>
      </c>
      <c r="E1488" t="str">
        <f>VLOOKUP(B1488,'HOGARES-BASELINE'!$B:$I,8,FALSE)</f>
        <v>00030426</v>
      </c>
      <c r="F1488" s="6" t="str">
        <f t="shared" si="52"/>
        <v>0003042606</v>
      </c>
    </row>
    <row r="1489" spans="1:6" x14ac:dyDescent="0.3">
      <c r="A1489" s="6" t="s">
        <v>1489</v>
      </c>
      <c r="B1489">
        <v>22655403</v>
      </c>
      <c r="C1489" s="3">
        <v>5</v>
      </c>
      <c r="D1489" s="5" t="str">
        <f t="shared" si="51"/>
        <v>05</v>
      </c>
      <c r="E1489" t="str">
        <f>VLOOKUP(B1489,'HOGARES-BASELINE'!$B:$I,8,FALSE)</f>
        <v>01030427</v>
      </c>
      <c r="F1489" s="6" t="str">
        <f t="shared" si="52"/>
        <v>0103042705</v>
      </c>
    </row>
    <row r="1490" spans="1:6" x14ac:dyDescent="0.3">
      <c r="A1490" s="6" t="s">
        <v>1490</v>
      </c>
      <c r="B1490">
        <v>22655403</v>
      </c>
      <c r="C1490" s="3">
        <v>2</v>
      </c>
      <c r="D1490" s="5" t="str">
        <f t="shared" si="51"/>
        <v>02</v>
      </c>
      <c r="E1490" t="str">
        <f>VLOOKUP(B1490,'HOGARES-BASELINE'!$B:$I,8,FALSE)</f>
        <v>01030427</v>
      </c>
      <c r="F1490" s="6" t="str">
        <f t="shared" si="52"/>
        <v>0103042702</v>
      </c>
    </row>
    <row r="1491" spans="1:6" x14ac:dyDescent="0.3">
      <c r="A1491" s="6" t="s">
        <v>1491</v>
      </c>
      <c r="B1491">
        <v>22655403</v>
      </c>
      <c r="C1491" s="3">
        <v>3</v>
      </c>
      <c r="D1491" s="5" t="str">
        <f t="shared" si="51"/>
        <v>03</v>
      </c>
      <c r="E1491" t="str">
        <f>VLOOKUP(B1491,'HOGARES-BASELINE'!$B:$I,8,FALSE)</f>
        <v>01030427</v>
      </c>
      <c r="F1491" s="6" t="str">
        <f t="shared" si="52"/>
        <v>0103042703</v>
      </c>
    </row>
    <row r="1492" spans="1:6" x14ac:dyDescent="0.3">
      <c r="A1492" s="6" t="s">
        <v>1492</v>
      </c>
      <c r="B1492">
        <v>22655403</v>
      </c>
      <c r="C1492" s="3">
        <v>4</v>
      </c>
      <c r="D1492" s="5" t="str">
        <f t="shared" si="51"/>
        <v>04</v>
      </c>
      <c r="E1492" t="str">
        <f>VLOOKUP(B1492,'HOGARES-BASELINE'!$B:$I,8,FALSE)</f>
        <v>01030427</v>
      </c>
      <c r="F1492" s="6" t="str">
        <f t="shared" si="52"/>
        <v>0103042704</v>
      </c>
    </row>
    <row r="1493" spans="1:6" x14ac:dyDescent="0.3">
      <c r="A1493" s="6" t="s">
        <v>1493</v>
      </c>
      <c r="B1493">
        <v>22655403</v>
      </c>
      <c r="C1493" s="3">
        <v>1</v>
      </c>
      <c r="D1493" s="5" t="str">
        <f t="shared" si="51"/>
        <v>01</v>
      </c>
      <c r="E1493" t="str">
        <f>VLOOKUP(B1493,'HOGARES-BASELINE'!$B:$I,8,FALSE)</f>
        <v>01030427</v>
      </c>
      <c r="F1493" s="6" t="str">
        <f t="shared" si="52"/>
        <v>0103042701</v>
      </c>
    </row>
    <row r="1494" spans="1:6" x14ac:dyDescent="0.3">
      <c r="A1494" s="6" t="s">
        <v>1494</v>
      </c>
      <c r="B1494">
        <v>22703396</v>
      </c>
      <c r="C1494" s="3">
        <v>1</v>
      </c>
      <c r="D1494" s="5" t="str">
        <f t="shared" si="51"/>
        <v>01</v>
      </c>
      <c r="E1494" t="str">
        <f>VLOOKUP(B1494,'HOGARES-BASELINE'!$B:$I,8,FALSE)</f>
        <v>01030428</v>
      </c>
      <c r="F1494" s="6" t="str">
        <f t="shared" si="52"/>
        <v>0103042801</v>
      </c>
    </row>
    <row r="1495" spans="1:6" x14ac:dyDescent="0.3">
      <c r="A1495" s="6" t="s">
        <v>1495</v>
      </c>
      <c r="B1495">
        <v>22703396</v>
      </c>
      <c r="C1495" s="3">
        <v>4</v>
      </c>
      <c r="D1495" s="5" t="str">
        <f t="shared" si="51"/>
        <v>04</v>
      </c>
      <c r="E1495" t="str">
        <f>VLOOKUP(B1495,'HOGARES-BASELINE'!$B:$I,8,FALSE)</f>
        <v>01030428</v>
      </c>
      <c r="F1495" s="6" t="str">
        <f t="shared" si="52"/>
        <v>0103042804</v>
      </c>
    </row>
    <row r="1496" spans="1:6" x14ac:dyDescent="0.3">
      <c r="A1496" s="6" t="s">
        <v>1496</v>
      </c>
      <c r="B1496">
        <v>22703396</v>
      </c>
      <c r="C1496" s="3">
        <v>2</v>
      </c>
      <c r="D1496" s="5" t="str">
        <f t="shared" si="51"/>
        <v>02</v>
      </c>
      <c r="E1496" t="str">
        <f>VLOOKUP(B1496,'HOGARES-BASELINE'!$B:$I,8,FALSE)</f>
        <v>01030428</v>
      </c>
      <c r="F1496" s="6" t="str">
        <f t="shared" si="52"/>
        <v>0103042802</v>
      </c>
    </row>
    <row r="1497" spans="1:6" x14ac:dyDescent="0.3">
      <c r="A1497" s="6" t="s">
        <v>1497</v>
      </c>
      <c r="B1497">
        <v>22703396</v>
      </c>
      <c r="C1497" s="3">
        <v>5</v>
      </c>
      <c r="D1497" s="5" t="str">
        <f t="shared" si="51"/>
        <v>05</v>
      </c>
      <c r="E1497" t="str">
        <f>VLOOKUP(B1497,'HOGARES-BASELINE'!$B:$I,8,FALSE)</f>
        <v>01030428</v>
      </c>
      <c r="F1497" s="6" t="str">
        <f t="shared" si="52"/>
        <v>0103042805</v>
      </c>
    </row>
    <row r="1498" spans="1:6" x14ac:dyDescent="0.3">
      <c r="A1498" s="6" t="s">
        <v>1498</v>
      </c>
      <c r="B1498">
        <v>22703396</v>
      </c>
      <c r="C1498" s="3">
        <v>3</v>
      </c>
      <c r="D1498" s="5" t="str">
        <f t="shared" si="51"/>
        <v>03</v>
      </c>
      <c r="E1498" t="str">
        <f>VLOOKUP(B1498,'HOGARES-BASELINE'!$B:$I,8,FALSE)</f>
        <v>01030428</v>
      </c>
      <c r="F1498" s="6" t="str">
        <f t="shared" si="52"/>
        <v>0103042803</v>
      </c>
    </row>
    <row r="1499" spans="1:6" x14ac:dyDescent="0.3">
      <c r="A1499" s="6" t="s">
        <v>1499</v>
      </c>
      <c r="B1499">
        <v>22712132</v>
      </c>
      <c r="C1499" s="3">
        <v>3</v>
      </c>
      <c r="D1499" s="5" t="str">
        <f t="shared" si="51"/>
        <v>03</v>
      </c>
      <c r="E1499" t="str">
        <f>VLOOKUP(B1499,'HOGARES-BASELINE'!$B:$I,8,FALSE)</f>
        <v>00030429</v>
      </c>
      <c r="F1499" s="6" t="str">
        <f t="shared" si="52"/>
        <v>0003042903</v>
      </c>
    </row>
    <row r="1500" spans="1:6" x14ac:dyDescent="0.3">
      <c r="A1500" s="6" t="s">
        <v>1500</v>
      </c>
      <c r="B1500">
        <v>22712132</v>
      </c>
      <c r="C1500" s="3">
        <v>2</v>
      </c>
      <c r="D1500" s="5" t="str">
        <f t="shared" si="51"/>
        <v>02</v>
      </c>
      <c r="E1500" t="str">
        <f>VLOOKUP(B1500,'HOGARES-BASELINE'!$B:$I,8,FALSE)</f>
        <v>00030429</v>
      </c>
      <c r="F1500" s="6" t="str">
        <f t="shared" si="52"/>
        <v>0003042902</v>
      </c>
    </row>
    <row r="1501" spans="1:6" x14ac:dyDescent="0.3">
      <c r="A1501" s="6" t="s">
        <v>1501</v>
      </c>
      <c r="B1501">
        <v>22712132</v>
      </c>
      <c r="C1501" s="3">
        <v>5</v>
      </c>
      <c r="D1501" s="5" t="str">
        <f t="shared" si="51"/>
        <v>05</v>
      </c>
      <c r="E1501" t="str">
        <f>VLOOKUP(B1501,'HOGARES-BASELINE'!$B:$I,8,FALSE)</f>
        <v>00030429</v>
      </c>
      <c r="F1501" s="6" t="str">
        <f t="shared" si="52"/>
        <v>0003042905</v>
      </c>
    </row>
    <row r="1502" spans="1:6" x14ac:dyDescent="0.3">
      <c r="A1502" s="6" t="s">
        <v>1502</v>
      </c>
      <c r="B1502">
        <v>22712132</v>
      </c>
      <c r="C1502" s="3">
        <v>1</v>
      </c>
      <c r="D1502" s="5" t="str">
        <f t="shared" si="51"/>
        <v>01</v>
      </c>
      <c r="E1502" t="str">
        <f>VLOOKUP(B1502,'HOGARES-BASELINE'!$B:$I,8,FALSE)</f>
        <v>00030429</v>
      </c>
      <c r="F1502" s="6" t="str">
        <f t="shared" si="52"/>
        <v>0003042901</v>
      </c>
    </row>
    <row r="1503" spans="1:6" x14ac:dyDescent="0.3">
      <c r="A1503" s="6" t="s">
        <v>1503</v>
      </c>
      <c r="B1503">
        <v>22712132</v>
      </c>
      <c r="C1503" s="3">
        <v>4</v>
      </c>
      <c r="D1503" s="5" t="str">
        <f t="shared" si="51"/>
        <v>04</v>
      </c>
      <c r="E1503" t="str">
        <f>VLOOKUP(B1503,'HOGARES-BASELINE'!$B:$I,8,FALSE)</f>
        <v>00030429</v>
      </c>
      <c r="F1503" s="6" t="str">
        <f t="shared" si="52"/>
        <v>0003042904</v>
      </c>
    </row>
    <row r="1504" spans="1:6" x14ac:dyDescent="0.3">
      <c r="A1504" s="6" t="s">
        <v>1504</v>
      </c>
      <c r="B1504">
        <v>2272778</v>
      </c>
      <c r="C1504" s="3">
        <v>1</v>
      </c>
      <c r="D1504" s="5" t="str">
        <f t="shared" si="51"/>
        <v>01</v>
      </c>
      <c r="E1504" t="str">
        <f>VLOOKUP(B1504,'HOGARES-BASELINE'!$B:$I,8,FALSE)</f>
        <v>00020430</v>
      </c>
      <c r="F1504" s="6" t="str">
        <f t="shared" si="52"/>
        <v>0002043001</v>
      </c>
    </row>
    <row r="1505" spans="1:6" x14ac:dyDescent="0.3">
      <c r="A1505" s="6" t="s">
        <v>1505</v>
      </c>
      <c r="B1505">
        <v>2272778</v>
      </c>
      <c r="C1505" s="3">
        <v>2</v>
      </c>
      <c r="D1505" s="5" t="str">
        <f t="shared" si="51"/>
        <v>02</v>
      </c>
      <c r="E1505" t="str">
        <f>VLOOKUP(B1505,'HOGARES-BASELINE'!$B:$I,8,FALSE)</f>
        <v>00020430</v>
      </c>
      <c r="F1505" s="6" t="str">
        <f t="shared" si="52"/>
        <v>0002043002</v>
      </c>
    </row>
    <row r="1506" spans="1:6" x14ac:dyDescent="0.3">
      <c r="A1506" s="6" t="s">
        <v>1506</v>
      </c>
      <c r="B1506">
        <v>22732410</v>
      </c>
      <c r="C1506" s="3">
        <v>3</v>
      </c>
      <c r="D1506" s="5" t="str">
        <f t="shared" si="51"/>
        <v>03</v>
      </c>
      <c r="E1506" t="str">
        <f>VLOOKUP(B1506,'HOGARES-BASELINE'!$B:$I,8,FALSE)</f>
        <v>01030431</v>
      </c>
      <c r="F1506" s="6" t="str">
        <f t="shared" si="52"/>
        <v>0103043103</v>
      </c>
    </row>
    <row r="1507" spans="1:6" x14ac:dyDescent="0.3">
      <c r="A1507" s="6" t="s">
        <v>1507</v>
      </c>
      <c r="B1507">
        <v>22732410</v>
      </c>
      <c r="C1507" s="3">
        <v>5</v>
      </c>
      <c r="D1507" s="5" t="str">
        <f t="shared" ref="D1507:D1570" si="53">_xlfn.CONCAT(0,C1507)</f>
        <v>05</v>
      </c>
      <c r="E1507" t="str">
        <f>VLOOKUP(B1507,'HOGARES-BASELINE'!$B:$I,8,FALSE)</f>
        <v>01030431</v>
      </c>
      <c r="F1507" s="6" t="str">
        <f t="shared" si="52"/>
        <v>0103043105</v>
      </c>
    </row>
    <row r="1508" spans="1:6" x14ac:dyDescent="0.3">
      <c r="A1508" s="6" t="s">
        <v>1508</v>
      </c>
      <c r="B1508">
        <v>22732410</v>
      </c>
      <c r="C1508" s="3">
        <v>2</v>
      </c>
      <c r="D1508" s="5" t="str">
        <f t="shared" si="53"/>
        <v>02</v>
      </c>
      <c r="E1508" t="str">
        <f>VLOOKUP(B1508,'HOGARES-BASELINE'!$B:$I,8,FALSE)</f>
        <v>01030431</v>
      </c>
      <c r="F1508" s="6" t="str">
        <f t="shared" si="52"/>
        <v>0103043102</v>
      </c>
    </row>
    <row r="1509" spans="1:6" x14ac:dyDescent="0.3">
      <c r="A1509" s="6" t="s">
        <v>1509</v>
      </c>
      <c r="B1509">
        <v>22732410</v>
      </c>
      <c r="C1509" s="3">
        <v>4</v>
      </c>
      <c r="D1509" s="5" t="str">
        <f t="shared" si="53"/>
        <v>04</v>
      </c>
      <c r="E1509" t="str">
        <f>VLOOKUP(B1509,'HOGARES-BASELINE'!$B:$I,8,FALSE)</f>
        <v>01030431</v>
      </c>
      <c r="F1509" s="6" t="str">
        <f t="shared" si="52"/>
        <v>0103043104</v>
      </c>
    </row>
    <row r="1510" spans="1:6" x14ac:dyDescent="0.3">
      <c r="A1510" s="6" t="s">
        <v>1510</v>
      </c>
      <c r="B1510">
        <v>22732410</v>
      </c>
      <c r="C1510" s="3">
        <v>1</v>
      </c>
      <c r="D1510" s="5" t="str">
        <f t="shared" si="53"/>
        <v>01</v>
      </c>
      <c r="E1510" t="str">
        <f>VLOOKUP(B1510,'HOGARES-BASELINE'!$B:$I,8,FALSE)</f>
        <v>01030431</v>
      </c>
      <c r="F1510" s="6" t="str">
        <f t="shared" si="52"/>
        <v>0103043101</v>
      </c>
    </row>
    <row r="1511" spans="1:6" x14ac:dyDescent="0.3">
      <c r="A1511" s="6" t="s">
        <v>1511</v>
      </c>
      <c r="B1511">
        <v>22733884</v>
      </c>
      <c r="C1511" s="3">
        <v>2</v>
      </c>
      <c r="D1511" s="5" t="str">
        <f t="shared" si="53"/>
        <v>02</v>
      </c>
      <c r="E1511" t="str">
        <f>VLOOKUP(B1511,'HOGARES-BASELINE'!$B:$I,8,FALSE)</f>
        <v>00030432</v>
      </c>
      <c r="F1511" s="6" t="str">
        <f t="shared" si="52"/>
        <v>0003043202</v>
      </c>
    </row>
    <row r="1512" spans="1:6" x14ac:dyDescent="0.3">
      <c r="A1512" s="6" t="s">
        <v>1512</v>
      </c>
      <c r="B1512">
        <v>22733884</v>
      </c>
      <c r="C1512" s="3">
        <v>6</v>
      </c>
      <c r="D1512" s="5" t="str">
        <f t="shared" si="53"/>
        <v>06</v>
      </c>
      <c r="E1512" t="str">
        <f>VLOOKUP(B1512,'HOGARES-BASELINE'!$B:$I,8,FALSE)</f>
        <v>00030432</v>
      </c>
      <c r="F1512" s="6" t="str">
        <f t="shared" si="52"/>
        <v>0003043206</v>
      </c>
    </row>
    <row r="1513" spans="1:6" x14ac:dyDescent="0.3">
      <c r="A1513" s="6" t="s">
        <v>1513</v>
      </c>
      <c r="B1513">
        <v>22733884</v>
      </c>
      <c r="C1513" s="3">
        <v>5</v>
      </c>
      <c r="D1513" s="5" t="str">
        <f t="shared" si="53"/>
        <v>05</v>
      </c>
      <c r="E1513" t="str">
        <f>VLOOKUP(B1513,'HOGARES-BASELINE'!$B:$I,8,FALSE)</f>
        <v>00030432</v>
      </c>
      <c r="F1513" s="6" t="str">
        <f t="shared" si="52"/>
        <v>0003043205</v>
      </c>
    </row>
    <row r="1514" spans="1:6" x14ac:dyDescent="0.3">
      <c r="A1514" s="6" t="s">
        <v>1514</v>
      </c>
      <c r="B1514">
        <v>22733884</v>
      </c>
      <c r="C1514" s="3">
        <v>4</v>
      </c>
      <c r="D1514" s="5" t="str">
        <f t="shared" si="53"/>
        <v>04</v>
      </c>
      <c r="E1514" t="str">
        <f>VLOOKUP(B1514,'HOGARES-BASELINE'!$B:$I,8,FALSE)</f>
        <v>00030432</v>
      </c>
      <c r="F1514" s="6" t="str">
        <f t="shared" si="52"/>
        <v>0003043204</v>
      </c>
    </row>
    <row r="1515" spans="1:6" x14ac:dyDescent="0.3">
      <c r="A1515" s="6" t="s">
        <v>1515</v>
      </c>
      <c r="B1515">
        <v>22733884</v>
      </c>
      <c r="C1515" s="3">
        <v>3</v>
      </c>
      <c r="D1515" s="5" t="str">
        <f t="shared" si="53"/>
        <v>03</v>
      </c>
      <c r="E1515" t="str">
        <f>VLOOKUP(B1515,'HOGARES-BASELINE'!$B:$I,8,FALSE)</f>
        <v>00030432</v>
      </c>
      <c r="F1515" s="6" t="str">
        <f t="shared" si="52"/>
        <v>0003043203</v>
      </c>
    </row>
    <row r="1516" spans="1:6" x14ac:dyDescent="0.3">
      <c r="A1516" s="6" t="s">
        <v>1516</v>
      </c>
      <c r="B1516">
        <v>22733884</v>
      </c>
      <c r="C1516" s="3">
        <v>1</v>
      </c>
      <c r="D1516" s="5" t="str">
        <f t="shared" si="53"/>
        <v>01</v>
      </c>
      <c r="E1516" t="str">
        <f>VLOOKUP(B1516,'HOGARES-BASELINE'!$B:$I,8,FALSE)</f>
        <v>00030432</v>
      </c>
      <c r="F1516" s="6" t="str">
        <f t="shared" si="52"/>
        <v>0003043201</v>
      </c>
    </row>
    <row r="1517" spans="1:6" x14ac:dyDescent="0.3">
      <c r="A1517" s="6" t="s">
        <v>1517</v>
      </c>
      <c r="B1517">
        <v>22736024</v>
      </c>
      <c r="C1517" s="3">
        <v>3</v>
      </c>
      <c r="D1517" s="5" t="str">
        <f t="shared" si="53"/>
        <v>03</v>
      </c>
      <c r="E1517" t="str">
        <f>VLOOKUP(B1517,'HOGARES-BASELINE'!$B:$I,8,FALSE)</f>
        <v>01030433</v>
      </c>
      <c r="F1517" s="6" t="str">
        <f t="shared" si="52"/>
        <v>0103043303</v>
      </c>
    </row>
    <row r="1518" spans="1:6" x14ac:dyDescent="0.3">
      <c r="A1518" s="6" t="s">
        <v>1518</v>
      </c>
      <c r="B1518">
        <v>22736024</v>
      </c>
      <c r="C1518" s="3">
        <v>6</v>
      </c>
      <c r="D1518" s="5" t="str">
        <f t="shared" si="53"/>
        <v>06</v>
      </c>
      <c r="E1518" t="str">
        <f>VLOOKUP(B1518,'HOGARES-BASELINE'!$B:$I,8,FALSE)</f>
        <v>01030433</v>
      </c>
      <c r="F1518" s="6" t="str">
        <f t="shared" si="52"/>
        <v>0103043306</v>
      </c>
    </row>
    <row r="1519" spans="1:6" x14ac:dyDescent="0.3">
      <c r="A1519" s="6" t="s">
        <v>1519</v>
      </c>
      <c r="B1519">
        <v>22736024</v>
      </c>
      <c r="C1519" s="3">
        <v>1</v>
      </c>
      <c r="D1519" s="5" t="str">
        <f t="shared" si="53"/>
        <v>01</v>
      </c>
      <c r="E1519" t="str">
        <f>VLOOKUP(B1519,'HOGARES-BASELINE'!$B:$I,8,FALSE)</f>
        <v>01030433</v>
      </c>
      <c r="F1519" s="6" t="str">
        <f t="shared" si="52"/>
        <v>0103043301</v>
      </c>
    </row>
    <row r="1520" spans="1:6" x14ac:dyDescent="0.3">
      <c r="A1520" s="6" t="s">
        <v>1520</v>
      </c>
      <c r="B1520">
        <v>22736024</v>
      </c>
      <c r="C1520" s="3">
        <v>4</v>
      </c>
      <c r="D1520" s="5" t="str">
        <f t="shared" si="53"/>
        <v>04</v>
      </c>
      <c r="E1520" t="str">
        <f>VLOOKUP(B1520,'HOGARES-BASELINE'!$B:$I,8,FALSE)</f>
        <v>01030433</v>
      </c>
      <c r="F1520" s="6" t="str">
        <f t="shared" si="52"/>
        <v>0103043304</v>
      </c>
    </row>
    <row r="1521" spans="1:6" x14ac:dyDescent="0.3">
      <c r="A1521" s="6" t="s">
        <v>1521</v>
      </c>
      <c r="B1521">
        <v>22736024</v>
      </c>
      <c r="C1521" s="3">
        <v>5</v>
      </c>
      <c r="D1521" s="5" t="str">
        <f t="shared" si="53"/>
        <v>05</v>
      </c>
      <c r="E1521" t="str">
        <f>VLOOKUP(B1521,'HOGARES-BASELINE'!$B:$I,8,FALSE)</f>
        <v>01030433</v>
      </c>
      <c r="F1521" s="6" t="str">
        <f t="shared" si="52"/>
        <v>0103043305</v>
      </c>
    </row>
    <row r="1522" spans="1:6" x14ac:dyDescent="0.3">
      <c r="A1522" s="6" t="s">
        <v>1522</v>
      </c>
      <c r="B1522">
        <v>22736024</v>
      </c>
      <c r="C1522" s="3">
        <v>2</v>
      </c>
      <c r="D1522" s="5" t="str">
        <f t="shared" si="53"/>
        <v>02</v>
      </c>
      <c r="E1522" t="str">
        <f>VLOOKUP(B1522,'HOGARES-BASELINE'!$B:$I,8,FALSE)</f>
        <v>01030433</v>
      </c>
      <c r="F1522" s="6" t="str">
        <f t="shared" si="52"/>
        <v>0103043302</v>
      </c>
    </row>
    <row r="1523" spans="1:6" x14ac:dyDescent="0.3">
      <c r="A1523" s="6" t="s">
        <v>1523</v>
      </c>
      <c r="B1523">
        <v>22738294</v>
      </c>
      <c r="C1523" s="3">
        <v>4</v>
      </c>
      <c r="D1523" s="5" t="str">
        <f t="shared" si="53"/>
        <v>04</v>
      </c>
      <c r="E1523" t="str">
        <f>VLOOKUP(B1523,'HOGARES-BASELINE'!$B:$I,8,FALSE)</f>
        <v>00030434</v>
      </c>
      <c r="F1523" s="6" t="str">
        <f t="shared" si="52"/>
        <v>0003043404</v>
      </c>
    </row>
    <row r="1524" spans="1:6" x14ac:dyDescent="0.3">
      <c r="A1524" s="6" t="s">
        <v>1524</v>
      </c>
      <c r="B1524">
        <v>22738294</v>
      </c>
      <c r="C1524" s="3">
        <v>1</v>
      </c>
      <c r="D1524" s="5" t="str">
        <f t="shared" si="53"/>
        <v>01</v>
      </c>
      <c r="E1524" t="str">
        <f>VLOOKUP(B1524,'HOGARES-BASELINE'!$B:$I,8,FALSE)</f>
        <v>00030434</v>
      </c>
      <c r="F1524" s="6" t="str">
        <f t="shared" si="52"/>
        <v>0003043401</v>
      </c>
    </row>
    <row r="1525" spans="1:6" x14ac:dyDescent="0.3">
      <c r="A1525" s="6" t="s">
        <v>1525</v>
      </c>
      <c r="B1525">
        <v>22738294</v>
      </c>
      <c r="C1525" s="3">
        <v>3</v>
      </c>
      <c r="D1525" s="5" t="str">
        <f t="shared" si="53"/>
        <v>03</v>
      </c>
      <c r="E1525" t="str">
        <f>VLOOKUP(B1525,'HOGARES-BASELINE'!$B:$I,8,FALSE)</f>
        <v>00030434</v>
      </c>
      <c r="F1525" s="6" t="str">
        <f t="shared" si="52"/>
        <v>0003043403</v>
      </c>
    </row>
    <row r="1526" spans="1:6" x14ac:dyDescent="0.3">
      <c r="A1526" s="6" t="s">
        <v>1526</v>
      </c>
      <c r="B1526">
        <v>22738294</v>
      </c>
      <c r="C1526" s="3">
        <v>2</v>
      </c>
      <c r="D1526" s="5" t="str">
        <f t="shared" si="53"/>
        <v>02</v>
      </c>
      <c r="E1526" t="str">
        <f>VLOOKUP(B1526,'HOGARES-BASELINE'!$B:$I,8,FALSE)</f>
        <v>00030434</v>
      </c>
      <c r="F1526" s="6" t="str">
        <f t="shared" si="52"/>
        <v>0003043402</v>
      </c>
    </row>
    <row r="1527" spans="1:6" x14ac:dyDescent="0.3">
      <c r="A1527" s="6" t="s">
        <v>1527</v>
      </c>
      <c r="B1527">
        <v>22739665</v>
      </c>
      <c r="C1527" s="3">
        <v>1</v>
      </c>
      <c r="D1527" s="5" t="str">
        <f t="shared" si="53"/>
        <v>01</v>
      </c>
      <c r="E1527" t="str">
        <f>VLOOKUP(B1527,'HOGARES-BASELINE'!$B:$I,8,FALSE)</f>
        <v>00030435</v>
      </c>
      <c r="F1527" s="6" t="str">
        <f t="shared" si="52"/>
        <v>0003043501</v>
      </c>
    </row>
    <row r="1528" spans="1:6" x14ac:dyDescent="0.3">
      <c r="A1528" s="6" t="s">
        <v>1528</v>
      </c>
      <c r="B1528">
        <v>22744065</v>
      </c>
      <c r="C1528" s="3">
        <v>2</v>
      </c>
      <c r="D1528" s="5" t="str">
        <f t="shared" si="53"/>
        <v>02</v>
      </c>
      <c r="E1528" t="str">
        <f>VLOOKUP(B1528,'HOGARES-BASELINE'!$B:$I,8,FALSE)</f>
        <v>00030436</v>
      </c>
      <c r="F1528" s="6" t="str">
        <f t="shared" si="52"/>
        <v>0003043602</v>
      </c>
    </row>
    <row r="1529" spans="1:6" x14ac:dyDescent="0.3">
      <c r="A1529" s="6" t="s">
        <v>1529</v>
      </c>
      <c r="B1529">
        <v>22744065</v>
      </c>
      <c r="C1529" s="3">
        <v>1</v>
      </c>
      <c r="D1529" s="5" t="str">
        <f t="shared" si="53"/>
        <v>01</v>
      </c>
      <c r="E1529" t="str">
        <f>VLOOKUP(B1529,'HOGARES-BASELINE'!$B:$I,8,FALSE)</f>
        <v>00030436</v>
      </c>
      <c r="F1529" s="6" t="str">
        <f t="shared" si="52"/>
        <v>0003043601</v>
      </c>
    </row>
    <row r="1530" spans="1:6" x14ac:dyDescent="0.3">
      <c r="A1530" s="6" t="s">
        <v>1530</v>
      </c>
      <c r="B1530">
        <v>22744065</v>
      </c>
      <c r="C1530" s="3">
        <v>3</v>
      </c>
      <c r="D1530" s="5" t="str">
        <f t="shared" si="53"/>
        <v>03</v>
      </c>
      <c r="E1530" t="str">
        <f>VLOOKUP(B1530,'HOGARES-BASELINE'!$B:$I,8,FALSE)</f>
        <v>00030436</v>
      </c>
      <c r="F1530" s="6" t="str">
        <f t="shared" si="52"/>
        <v>0003043603</v>
      </c>
    </row>
    <row r="1531" spans="1:6" x14ac:dyDescent="0.3">
      <c r="A1531" s="6" t="s">
        <v>1531</v>
      </c>
      <c r="B1531">
        <v>22744065</v>
      </c>
      <c r="C1531" s="3">
        <v>4</v>
      </c>
      <c r="D1531" s="5" t="str">
        <f t="shared" si="53"/>
        <v>04</v>
      </c>
      <c r="E1531" t="str">
        <f>VLOOKUP(B1531,'HOGARES-BASELINE'!$B:$I,8,FALSE)</f>
        <v>00030436</v>
      </c>
      <c r="F1531" s="6" t="str">
        <f t="shared" si="52"/>
        <v>0003043604</v>
      </c>
    </row>
    <row r="1532" spans="1:6" x14ac:dyDescent="0.3">
      <c r="A1532" s="6" t="s">
        <v>1532</v>
      </c>
      <c r="B1532">
        <v>22744065</v>
      </c>
      <c r="C1532" s="3">
        <v>6</v>
      </c>
      <c r="D1532" s="5" t="str">
        <f t="shared" si="53"/>
        <v>06</v>
      </c>
      <c r="E1532" t="str">
        <f>VLOOKUP(B1532,'HOGARES-BASELINE'!$B:$I,8,FALSE)</f>
        <v>00030436</v>
      </c>
      <c r="F1532" s="6" t="str">
        <f t="shared" si="52"/>
        <v>0003043606</v>
      </c>
    </row>
    <row r="1533" spans="1:6" x14ac:dyDescent="0.3">
      <c r="A1533" s="6" t="s">
        <v>1533</v>
      </c>
      <c r="B1533">
        <v>22744065</v>
      </c>
      <c r="C1533" s="3">
        <v>5</v>
      </c>
      <c r="D1533" s="5" t="str">
        <f t="shared" si="53"/>
        <v>05</v>
      </c>
      <c r="E1533" t="str">
        <f>VLOOKUP(B1533,'HOGARES-BASELINE'!$B:$I,8,FALSE)</f>
        <v>00030436</v>
      </c>
      <c r="F1533" s="6" t="str">
        <f t="shared" si="52"/>
        <v>0003043605</v>
      </c>
    </row>
    <row r="1534" spans="1:6" x14ac:dyDescent="0.3">
      <c r="A1534" s="6" t="s">
        <v>1534</v>
      </c>
      <c r="B1534">
        <v>22744721</v>
      </c>
      <c r="C1534" s="3">
        <v>1</v>
      </c>
      <c r="D1534" s="5" t="str">
        <f t="shared" si="53"/>
        <v>01</v>
      </c>
      <c r="E1534" t="str">
        <f>VLOOKUP(B1534,'HOGARES-BASELINE'!$B:$I,8,FALSE)</f>
        <v>01030437</v>
      </c>
      <c r="F1534" s="6" t="str">
        <f t="shared" si="52"/>
        <v>0103043701</v>
      </c>
    </row>
    <row r="1535" spans="1:6" x14ac:dyDescent="0.3">
      <c r="A1535" s="6" t="s">
        <v>1535</v>
      </c>
      <c r="B1535">
        <v>22845935</v>
      </c>
      <c r="C1535" s="3">
        <v>1</v>
      </c>
      <c r="D1535" s="5" t="str">
        <f t="shared" si="53"/>
        <v>01</v>
      </c>
      <c r="E1535" t="str">
        <f>VLOOKUP(B1535,'HOGARES-BASELINE'!$B:$I,8,FALSE)</f>
        <v>01030438</v>
      </c>
      <c r="F1535" s="6" t="str">
        <f t="shared" si="52"/>
        <v>0103043801</v>
      </c>
    </row>
    <row r="1536" spans="1:6" x14ac:dyDescent="0.3">
      <c r="A1536" s="6" t="s">
        <v>1536</v>
      </c>
      <c r="B1536">
        <v>22845935</v>
      </c>
      <c r="C1536" s="3">
        <v>2</v>
      </c>
      <c r="D1536" s="5" t="str">
        <f t="shared" si="53"/>
        <v>02</v>
      </c>
      <c r="E1536" t="str">
        <f>VLOOKUP(B1536,'HOGARES-BASELINE'!$B:$I,8,FALSE)</f>
        <v>01030438</v>
      </c>
      <c r="F1536" s="6" t="str">
        <f t="shared" si="52"/>
        <v>0103043802</v>
      </c>
    </row>
    <row r="1537" spans="1:6" x14ac:dyDescent="0.3">
      <c r="A1537" s="6" t="s">
        <v>1537</v>
      </c>
      <c r="B1537">
        <v>22845935</v>
      </c>
      <c r="C1537" s="3">
        <v>3</v>
      </c>
      <c r="D1537" s="5" t="str">
        <f t="shared" si="53"/>
        <v>03</v>
      </c>
      <c r="E1537" t="str">
        <f>VLOOKUP(B1537,'HOGARES-BASELINE'!$B:$I,8,FALSE)</f>
        <v>01030438</v>
      </c>
      <c r="F1537" s="6" t="str">
        <f t="shared" si="52"/>
        <v>0103043803</v>
      </c>
    </row>
    <row r="1538" spans="1:6" x14ac:dyDescent="0.3">
      <c r="A1538" s="6" t="s">
        <v>1538</v>
      </c>
      <c r="B1538">
        <v>22858815</v>
      </c>
      <c r="C1538" s="3">
        <v>1</v>
      </c>
      <c r="D1538" s="5" t="str">
        <f t="shared" si="53"/>
        <v>01</v>
      </c>
      <c r="E1538" t="str">
        <f>VLOOKUP(B1538,'HOGARES-BASELINE'!$B:$I,8,FALSE)</f>
        <v>00030439</v>
      </c>
      <c r="F1538" s="6" t="str">
        <f t="shared" si="52"/>
        <v>0003043901</v>
      </c>
    </row>
    <row r="1539" spans="1:6" x14ac:dyDescent="0.3">
      <c r="A1539" s="6" t="s">
        <v>1539</v>
      </c>
      <c r="B1539">
        <v>22858815</v>
      </c>
      <c r="C1539" s="3">
        <v>2</v>
      </c>
      <c r="D1539" s="5" t="str">
        <f t="shared" si="53"/>
        <v>02</v>
      </c>
      <c r="E1539" t="str">
        <f>VLOOKUP(B1539,'HOGARES-BASELINE'!$B:$I,8,FALSE)</f>
        <v>00030439</v>
      </c>
      <c r="F1539" s="6" t="str">
        <f t="shared" ref="F1539:F1602" si="54">_xlfn.CONCAT(E1539,D1539)</f>
        <v>0003043902</v>
      </c>
    </row>
    <row r="1540" spans="1:6" x14ac:dyDescent="0.3">
      <c r="A1540" s="6" t="s">
        <v>1540</v>
      </c>
      <c r="B1540">
        <v>22954309</v>
      </c>
      <c r="C1540" s="3">
        <v>7</v>
      </c>
      <c r="D1540" s="5" t="str">
        <f t="shared" si="53"/>
        <v>07</v>
      </c>
      <c r="E1540" t="str">
        <f>VLOOKUP(B1540,'HOGARES-BASELINE'!$B:$I,8,FALSE)</f>
        <v>01030440</v>
      </c>
      <c r="F1540" s="6" t="str">
        <f t="shared" si="54"/>
        <v>0103044007</v>
      </c>
    </row>
    <row r="1541" spans="1:6" x14ac:dyDescent="0.3">
      <c r="A1541" s="6" t="s">
        <v>1541</v>
      </c>
      <c r="B1541">
        <v>22954309</v>
      </c>
      <c r="C1541" s="3">
        <v>2</v>
      </c>
      <c r="D1541" s="5" t="str">
        <f t="shared" si="53"/>
        <v>02</v>
      </c>
      <c r="E1541" t="str">
        <f>VLOOKUP(B1541,'HOGARES-BASELINE'!$B:$I,8,FALSE)</f>
        <v>01030440</v>
      </c>
      <c r="F1541" s="6" t="str">
        <f t="shared" si="54"/>
        <v>0103044002</v>
      </c>
    </row>
    <row r="1542" spans="1:6" x14ac:dyDescent="0.3">
      <c r="A1542" s="6" t="s">
        <v>1542</v>
      </c>
      <c r="B1542">
        <v>22954309</v>
      </c>
      <c r="C1542" s="3">
        <v>5</v>
      </c>
      <c r="D1542" s="5" t="str">
        <f t="shared" si="53"/>
        <v>05</v>
      </c>
      <c r="E1542" t="str">
        <f>VLOOKUP(B1542,'HOGARES-BASELINE'!$B:$I,8,FALSE)</f>
        <v>01030440</v>
      </c>
      <c r="F1542" s="6" t="str">
        <f t="shared" si="54"/>
        <v>0103044005</v>
      </c>
    </row>
    <row r="1543" spans="1:6" x14ac:dyDescent="0.3">
      <c r="A1543" s="6" t="s">
        <v>1543</v>
      </c>
      <c r="B1543">
        <v>22954309</v>
      </c>
      <c r="C1543" s="3">
        <v>3</v>
      </c>
      <c r="D1543" s="5" t="str">
        <f t="shared" si="53"/>
        <v>03</v>
      </c>
      <c r="E1543" t="str">
        <f>VLOOKUP(B1543,'HOGARES-BASELINE'!$B:$I,8,FALSE)</f>
        <v>01030440</v>
      </c>
      <c r="F1543" s="6" t="str">
        <f t="shared" si="54"/>
        <v>0103044003</v>
      </c>
    </row>
    <row r="1544" spans="1:6" x14ac:dyDescent="0.3">
      <c r="A1544" s="6" t="s">
        <v>1544</v>
      </c>
      <c r="B1544">
        <v>22954309</v>
      </c>
      <c r="C1544" s="3">
        <v>1</v>
      </c>
      <c r="D1544" s="5" t="str">
        <f t="shared" si="53"/>
        <v>01</v>
      </c>
      <c r="E1544" t="str">
        <f>VLOOKUP(B1544,'HOGARES-BASELINE'!$B:$I,8,FALSE)</f>
        <v>01030440</v>
      </c>
      <c r="F1544" s="6" t="str">
        <f t="shared" si="54"/>
        <v>0103044001</v>
      </c>
    </row>
    <row r="1545" spans="1:6" x14ac:dyDescent="0.3">
      <c r="A1545" s="6" t="s">
        <v>1545</v>
      </c>
      <c r="B1545">
        <v>22954309</v>
      </c>
      <c r="C1545" s="3">
        <v>6</v>
      </c>
      <c r="D1545" s="5" t="str">
        <f t="shared" si="53"/>
        <v>06</v>
      </c>
      <c r="E1545" t="str">
        <f>VLOOKUP(B1545,'HOGARES-BASELINE'!$B:$I,8,FALSE)</f>
        <v>01030440</v>
      </c>
      <c r="F1545" s="6" t="str">
        <f t="shared" si="54"/>
        <v>0103044006</v>
      </c>
    </row>
    <row r="1546" spans="1:6" x14ac:dyDescent="0.3">
      <c r="A1546" s="6" t="s">
        <v>1546</v>
      </c>
      <c r="B1546">
        <v>22954309</v>
      </c>
      <c r="C1546" s="3">
        <v>4</v>
      </c>
      <c r="D1546" s="5" t="str">
        <f t="shared" si="53"/>
        <v>04</v>
      </c>
      <c r="E1546" t="str">
        <f>VLOOKUP(B1546,'HOGARES-BASELINE'!$B:$I,8,FALSE)</f>
        <v>01030440</v>
      </c>
      <c r="F1546" s="6" t="str">
        <f t="shared" si="54"/>
        <v>0103044004</v>
      </c>
    </row>
    <row r="1547" spans="1:6" x14ac:dyDescent="0.3">
      <c r="A1547" s="6" t="s">
        <v>1547</v>
      </c>
      <c r="B1547">
        <v>23070779</v>
      </c>
      <c r="C1547" s="3">
        <v>1</v>
      </c>
      <c r="D1547" s="5" t="str">
        <f t="shared" si="53"/>
        <v>01</v>
      </c>
      <c r="E1547" t="str">
        <f>VLOOKUP(B1547,'HOGARES-BASELINE'!$B:$I,8,FALSE)</f>
        <v>01030441</v>
      </c>
      <c r="F1547" s="6" t="str">
        <f t="shared" si="54"/>
        <v>0103044101</v>
      </c>
    </row>
    <row r="1548" spans="1:6" x14ac:dyDescent="0.3">
      <c r="A1548" s="6" t="s">
        <v>1548</v>
      </c>
      <c r="B1548">
        <v>23070779</v>
      </c>
      <c r="C1548" s="3">
        <v>3</v>
      </c>
      <c r="D1548" s="5" t="str">
        <f t="shared" si="53"/>
        <v>03</v>
      </c>
      <c r="E1548" t="str">
        <f>VLOOKUP(B1548,'HOGARES-BASELINE'!$B:$I,8,FALSE)</f>
        <v>01030441</v>
      </c>
      <c r="F1548" s="6" t="str">
        <f t="shared" si="54"/>
        <v>0103044103</v>
      </c>
    </row>
    <row r="1549" spans="1:6" x14ac:dyDescent="0.3">
      <c r="A1549" s="6" t="s">
        <v>1549</v>
      </c>
      <c r="B1549">
        <v>23070779</v>
      </c>
      <c r="C1549" s="3">
        <v>2</v>
      </c>
      <c r="D1549" s="5" t="str">
        <f t="shared" si="53"/>
        <v>02</v>
      </c>
      <c r="E1549" t="str">
        <f>VLOOKUP(B1549,'HOGARES-BASELINE'!$B:$I,8,FALSE)</f>
        <v>01030441</v>
      </c>
      <c r="F1549" s="6" t="str">
        <f t="shared" si="54"/>
        <v>0103044102</v>
      </c>
    </row>
    <row r="1550" spans="1:6" x14ac:dyDescent="0.3">
      <c r="A1550" s="6" t="s">
        <v>1550</v>
      </c>
      <c r="B1550">
        <v>23142186</v>
      </c>
      <c r="C1550" s="3">
        <v>1</v>
      </c>
      <c r="D1550" s="5" t="str">
        <f t="shared" si="53"/>
        <v>01</v>
      </c>
      <c r="E1550" t="str">
        <f>VLOOKUP(B1550,'HOGARES-BASELINE'!$B:$I,8,FALSE)</f>
        <v>00030442</v>
      </c>
      <c r="F1550" s="6" t="str">
        <f t="shared" si="54"/>
        <v>0003044201</v>
      </c>
    </row>
    <row r="1551" spans="1:6" x14ac:dyDescent="0.3">
      <c r="A1551" s="6" t="s">
        <v>1551</v>
      </c>
      <c r="B1551">
        <v>23142186</v>
      </c>
      <c r="C1551" s="3">
        <v>3</v>
      </c>
      <c r="D1551" s="5" t="str">
        <f t="shared" si="53"/>
        <v>03</v>
      </c>
      <c r="E1551" t="str">
        <f>VLOOKUP(B1551,'HOGARES-BASELINE'!$B:$I,8,FALSE)</f>
        <v>00030442</v>
      </c>
      <c r="F1551" s="6" t="str">
        <f t="shared" si="54"/>
        <v>0003044203</v>
      </c>
    </row>
    <row r="1552" spans="1:6" x14ac:dyDescent="0.3">
      <c r="A1552" s="6" t="s">
        <v>1552</v>
      </c>
      <c r="B1552">
        <v>23142186</v>
      </c>
      <c r="C1552" s="3">
        <v>2</v>
      </c>
      <c r="D1552" s="5" t="str">
        <f t="shared" si="53"/>
        <v>02</v>
      </c>
      <c r="E1552" t="str">
        <f>VLOOKUP(B1552,'HOGARES-BASELINE'!$B:$I,8,FALSE)</f>
        <v>00030442</v>
      </c>
      <c r="F1552" s="6" t="str">
        <f t="shared" si="54"/>
        <v>0003044202</v>
      </c>
    </row>
    <row r="1553" spans="1:6" x14ac:dyDescent="0.3">
      <c r="A1553" s="6" t="s">
        <v>1553</v>
      </c>
      <c r="B1553">
        <v>23242735</v>
      </c>
      <c r="C1553" s="3">
        <v>3</v>
      </c>
      <c r="D1553" s="5" t="str">
        <f t="shared" si="53"/>
        <v>03</v>
      </c>
      <c r="E1553" t="str">
        <f>VLOOKUP(B1553,'HOGARES-BASELINE'!$B:$I,8,FALSE)</f>
        <v>01030443</v>
      </c>
      <c r="F1553" s="6" t="str">
        <f t="shared" si="54"/>
        <v>0103044303</v>
      </c>
    </row>
    <row r="1554" spans="1:6" x14ac:dyDescent="0.3">
      <c r="A1554" s="6" t="s">
        <v>1554</v>
      </c>
      <c r="B1554">
        <v>23242735</v>
      </c>
      <c r="C1554" s="3">
        <v>2</v>
      </c>
      <c r="D1554" s="5" t="str">
        <f t="shared" si="53"/>
        <v>02</v>
      </c>
      <c r="E1554" t="str">
        <f>VLOOKUP(B1554,'HOGARES-BASELINE'!$B:$I,8,FALSE)</f>
        <v>01030443</v>
      </c>
      <c r="F1554" s="6" t="str">
        <f t="shared" si="54"/>
        <v>0103044302</v>
      </c>
    </row>
    <row r="1555" spans="1:6" x14ac:dyDescent="0.3">
      <c r="A1555" s="6" t="s">
        <v>1555</v>
      </c>
      <c r="B1555">
        <v>23242735</v>
      </c>
      <c r="C1555" s="3">
        <v>1</v>
      </c>
      <c r="D1555" s="5" t="str">
        <f t="shared" si="53"/>
        <v>01</v>
      </c>
      <c r="E1555" t="str">
        <f>VLOOKUP(B1555,'HOGARES-BASELINE'!$B:$I,8,FALSE)</f>
        <v>01030443</v>
      </c>
      <c r="F1555" s="6" t="str">
        <f t="shared" si="54"/>
        <v>0103044301</v>
      </c>
    </row>
    <row r="1556" spans="1:6" x14ac:dyDescent="0.3">
      <c r="A1556" s="6" t="s">
        <v>1556</v>
      </c>
      <c r="B1556">
        <v>24117503</v>
      </c>
      <c r="C1556" s="3">
        <v>2</v>
      </c>
      <c r="D1556" s="5" t="str">
        <f t="shared" si="53"/>
        <v>02</v>
      </c>
      <c r="E1556" t="str">
        <f>VLOOKUP(B1556,'HOGARES-BASELINE'!$B:$I,8,FALSE)</f>
        <v>00020444</v>
      </c>
      <c r="F1556" s="6" t="str">
        <f t="shared" si="54"/>
        <v>0002044402</v>
      </c>
    </row>
    <row r="1557" spans="1:6" x14ac:dyDescent="0.3">
      <c r="A1557" s="6" t="s">
        <v>1557</v>
      </c>
      <c r="B1557">
        <v>24117503</v>
      </c>
      <c r="C1557" s="3">
        <v>3</v>
      </c>
      <c r="D1557" s="5" t="str">
        <f t="shared" si="53"/>
        <v>03</v>
      </c>
      <c r="E1557" t="str">
        <f>VLOOKUP(B1557,'HOGARES-BASELINE'!$B:$I,8,FALSE)</f>
        <v>00020444</v>
      </c>
      <c r="F1557" s="6" t="str">
        <f t="shared" si="54"/>
        <v>0002044403</v>
      </c>
    </row>
    <row r="1558" spans="1:6" x14ac:dyDescent="0.3">
      <c r="A1558" s="6" t="s">
        <v>1558</v>
      </c>
      <c r="B1558">
        <v>24117503</v>
      </c>
      <c r="C1558" s="3">
        <v>1</v>
      </c>
      <c r="D1558" s="5" t="str">
        <f t="shared" si="53"/>
        <v>01</v>
      </c>
      <c r="E1558" t="str">
        <f>VLOOKUP(B1558,'HOGARES-BASELINE'!$B:$I,8,FALSE)</f>
        <v>00020444</v>
      </c>
      <c r="F1558" s="6" t="str">
        <f t="shared" si="54"/>
        <v>0002044401</v>
      </c>
    </row>
    <row r="1559" spans="1:6" x14ac:dyDescent="0.3">
      <c r="A1559" s="6" t="s">
        <v>1559</v>
      </c>
      <c r="B1559">
        <v>24529522</v>
      </c>
      <c r="C1559" s="3">
        <v>3</v>
      </c>
      <c r="D1559" s="5" t="str">
        <f t="shared" si="53"/>
        <v>03</v>
      </c>
      <c r="E1559" t="str">
        <f>VLOOKUP(B1559,'HOGARES-BASELINE'!$B:$I,8,FALSE)</f>
        <v>01020445</v>
      </c>
      <c r="F1559" s="6" t="str">
        <f t="shared" si="54"/>
        <v>0102044503</v>
      </c>
    </row>
    <row r="1560" spans="1:6" x14ac:dyDescent="0.3">
      <c r="A1560" s="6" t="s">
        <v>1560</v>
      </c>
      <c r="B1560">
        <v>24529522</v>
      </c>
      <c r="C1560" s="3">
        <v>5</v>
      </c>
      <c r="D1560" s="5" t="str">
        <f t="shared" si="53"/>
        <v>05</v>
      </c>
      <c r="E1560" t="str">
        <f>VLOOKUP(B1560,'HOGARES-BASELINE'!$B:$I,8,FALSE)</f>
        <v>01020445</v>
      </c>
      <c r="F1560" s="6" t="str">
        <f t="shared" si="54"/>
        <v>0102044505</v>
      </c>
    </row>
    <row r="1561" spans="1:6" x14ac:dyDescent="0.3">
      <c r="A1561" s="6" t="s">
        <v>1561</v>
      </c>
      <c r="B1561">
        <v>24529522</v>
      </c>
      <c r="C1561" s="3">
        <v>2</v>
      </c>
      <c r="D1561" s="5" t="str">
        <f t="shared" si="53"/>
        <v>02</v>
      </c>
      <c r="E1561" t="str">
        <f>VLOOKUP(B1561,'HOGARES-BASELINE'!$B:$I,8,FALSE)</f>
        <v>01020445</v>
      </c>
      <c r="F1561" s="6" t="str">
        <f t="shared" si="54"/>
        <v>0102044502</v>
      </c>
    </row>
    <row r="1562" spans="1:6" x14ac:dyDescent="0.3">
      <c r="A1562" s="6" t="s">
        <v>1562</v>
      </c>
      <c r="B1562">
        <v>24529522</v>
      </c>
      <c r="C1562" s="3">
        <v>1</v>
      </c>
      <c r="D1562" s="5" t="str">
        <f t="shared" si="53"/>
        <v>01</v>
      </c>
      <c r="E1562" t="str">
        <f>VLOOKUP(B1562,'HOGARES-BASELINE'!$B:$I,8,FALSE)</f>
        <v>01020445</v>
      </c>
      <c r="F1562" s="6" t="str">
        <f t="shared" si="54"/>
        <v>0102044501</v>
      </c>
    </row>
    <row r="1563" spans="1:6" x14ac:dyDescent="0.3">
      <c r="A1563" s="6" t="s">
        <v>1563</v>
      </c>
      <c r="B1563">
        <v>24529522</v>
      </c>
      <c r="C1563" s="3">
        <v>4</v>
      </c>
      <c r="D1563" s="5" t="str">
        <f t="shared" si="53"/>
        <v>04</v>
      </c>
      <c r="E1563" t="str">
        <f>VLOOKUP(B1563,'HOGARES-BASELINE'!$B:$I,8,FALSE)</f>
        <v>01020445</v>
      </c>
      <c r="F1563" s="6" t="str">
        <f t="shared" si="54"/>
        <v>0102044504</v>
      </c>
    </row>
    <row r="1564" spans="1:6" x14ac:dyDescent="0.3">
      <c r="A1564" s="6" t="s">
        <v>1564</v>
      </c>
      <c r="B1564">
        <v>24552101</v>
      </c>
      <c r="C1564" s="3">
        <v>2</v>
      </c>
      <c r="D1564" s="5" t="str">
        <f t="shared" si="53"/>
        <v>02</v>
      </c>
      <c r="E1564" t="str">
        <f>VLOOKUP(B1564,'HOGARES-BASELINE'!$B:$I,8,FALSE)</f>
        <v>01010446</v>
      </c>
      <c r="F1564" s="6" t="str">
        <f t="shared" si="54"/>
        <v>0101044602</v>
      </c>
    </row>
    <row r="1565" spans="1:6" x14ac:dyDescent="0.3">
      <c r="A1565" s="6" t="s">
        <v>1565</v>
      </c>
      <c r="B1565">
        <v>24552101</v>
      </c>
      <c r="C1565" s="3">
        <v>1</v>
      </c>
      <c r="D1565" s="5" t="str">
        <f t="shared" si="53"/>
        <v>01</v>
      </c>
      <c r="E1565" t="str">
        <f>VLOOKUP(B1565,'HOGARES-BASELINE'!$B:$I,8,FALSE)</f>
        <v>01010446</v>
      </c>
      <c r="F1565" s="6" t="str">
        <f t="shared" si="54"/>
        <v>0101044601</v>
      </c>
    </row>
    <row r="1566" spans="1:6" x14ac:dyDescent="0.3">
      <c r="A1566" s="6" t="s">
        <v>1566</v>
      </c>
      <c r="B1566">
        <v>2484445</v>
      </c>
      <c r="C1566" s="3">
        <v>2</v>
      </c>
      <c r="D1566" s="5" t="str">
        <f t="shared" si="53"/>
        <v>02</v>
      </c>
      <c r="E1566" t="str">
        <f>VLOOKUP(B1566,'HOGARES-BASELINE'!$B:$I,8,FALSE)</f>
        <v>00020447</v>
      </c>
      <c r="F1566" s="6" t="str">
        <f t="shared" si="54"/>
        <v>0002044702</v>
      </c>
    </row>
    <row r="1567" spans="1:6" x14ac:dyDescent="0.3">
      <c r="A1567" s="6" t="s">
        <v>1567</v>
      </c>
      <c r="B1567">
        <v>2484445</v>
      </c>
      <c r="C1567" s="3">
        <v>4</v>
      </c>
      <c r="D1567" s="5" t="str">
        <f t="shared" si="53"/>
        <v>04</v>
      </c>
      <c r="E1567" t="str">
        <f>VLOOKUP(B1567,'HOGARES-BASELINE'!$B:$I,8,FALSE)</f>
        <v>00020447</v>
      </c>
      <c r="F1567" s="6" t="str">
        <f t="shared" si="54"/>
        <v>0002044704</v>
      </c>
    </row>
    <row r="1568" spans="1:6" x14ac:dyDescent="0.3">
      <c r="A1568" s="6" t="s">
        <v>1568</v>
      </c>
      <c r="B1568">
        <v>2484445</v>
      </c>
      <c r="C1568" s="3">
        <v>1</v>
      </c>
      <c r="D1568" s="5" t="str">
        <f t="shared" si="53"/>
        <v>01</v>
      </c>
      <c r="E1568" t="str">
        <f>VLOOKUP(B1568,'HOGARES-BASELINE'!$B:$I,8,FALSE)</f>
        <v>00020447</v>
      </c>
      <c r="F1568" s="6" t="str">
        <f t="shared" si="54"/>
        <v>0002044701</v>
      </c>
    </row>
    <row r="1569" spans="1:6" x14ac:dyDescent="0.3">
      <c r="A1569" s="6" t="s">
        <v>1569</v>
      </c>
      <c r="B1569">
        <v>2484445</v>
      </c>
      <c r="C1569" s="3">
        <v>3</v>
      </c>
      <c r="D1569" s="5" t="str">
        <f t="shared" si="53"/>
        <v>03</v>
      </c>
      <c r="E1569" t="str">
        <f>VLOOKUP(B1569,'HOGARES-BASELINE'!$B:$I,8,FALSE)</f>
        <v>00020447</v>
      </c>
      <c r="F1569" s="6" t="str">
        <f t="shared" si="54"/>
        <v>0002044703</v>
      </c>
    </row>
    <row r="1570" spans="1:6" x14ac:dyDescent="0.3">
      <c r="A1570" s="6" t="s">
        <v>1570</v>
      </c>
      <c r="B1570">
        <v>24923028</v>
      </c>
      <c r="C1570" s="3">
        <v>2</v>
      </c>
      <c r="D1570" s="5" t="str">
        <f t="shared" si="53"/>
        <v>02</v>
      </c>
      <c r="E1570" t="str">
        <f>VLOOKUP(B1570,'HOGARES-BASELINE'!$B:$I,8,FALSE)</f>
        <v>00020448</v>
      </c>
      <c r="F1570" s="6" t="str">
        <f t="shared" si="54"/>
        <v>0002044802</v>
      </c>
    </row>
    <row r="1571" spans="1:6" x14ac:dyDescent="0.3">
      <c r="A1571" s="6" t="s">
        <v>1571</v>
      </c>
      <c r="B1571">
        <v>24923028</v>
      </c>
      <c r="C1571" s="3">
        <v>1</v>
      </c>
      <c r="D1571" s="5" t="str">
        <f t="shared" ref="D1571:D1634" si="55">_xlfn.CONCAT(0,C1571)</f>
        <v>01</v>
      </c>
      <c r="E1571" t="str">
        <f>VLOOKUP(B1571,'HOGARES-BASELINE'!$B:$I,8,FALSE)</f>
        <v>00020448</v>
      </c>
      <c r="F1571" s="6" t="str">
        <f t="shared" si="54"/>
        <v>0002044801</v>
      </c>
    </row>
    <row r="1572" spans="1:6" x14ac:dyDescent="0.3">
      <c r="A1572" s="6" t="s">
        <v>1572</v>
      </c>
      <c r="B1572">
        <v>24923028</v>
      </c>
      <c r="C1572" s="3">
        <v>3</v>
      </c>
      <c r="D1572" s="5" t="str">
        <f t="shared" si="55"/>
        <v>03</v>
      </c>
      <c r="E1572" t="str">
        <f>VLOOKUP(B1572,'HOGARES-BASELINE'!$B:$I,8,FALSE)</f>
        <v>00020448</v>
      </c>
      <c r="F1572" s="6" t="str">
        <f t="shared" si="54"/>
        <v>0002044803</v>
      </c>
    </row>
    <row r="1573" spans="1:6" x14ac:dyDescent="0.3">
      <c r="A1573" s="6" t="s">
        <v>1573</v>
      </c>
      <c r="B1573">
        <v>24999258</v>
      </c>
      <c r="C1573" s="3">
        <v>1</v>
      </c>
      <c r="D1573" s="5" t="str">
        <f t="shared" si="55"/>
        <v>01</v>
      </c>
      <c r="E1573" t="str">
        <f>VLOOKUP(B1573,'HOGARES-BASELINE'!$B:$I,8,FALSE)</f>
        <v>01010449</v>
      </c>
      <c r="F1573" s="6" t="str">
        <f t="shared" si="54"/>
        <v>0101044901</v>
      </c>
    </row>
    <row r="1574" spans="1:6" x14ac:dyDescent="0.3">
      <c r="A1574" s="6" t="s">
        <v>1574</v>
      </c>
      <c r="B1574">
        <v>24999258</v>
      </c>
      <c r="C1574" s="3">
        <v>2</v>
      </c>
      <c r="D1574" s="5" t="str">
        <f t="shared" si="55"/>
        <v>02</v>
      </c>
      <c r="E1574" t="str">
        <f>VLOOKUP(B1574,'HOGARES-BASELINE'!$B:$I,8,FALSE)</f>
        <v>01010449</v>
      </c>
      <c r="F1574" s="6" t="str">
        <f t="shared" si="54"/>
        <v>0101044902</v>
      </c>
    </row>
    <row r="1575" spans="1:6" x14ac:dyDescent="0.3">
      <c r="A1575" s="6" t="s">
        <v>1575</v>
      </c>
      <c r="B1575">
        <v>24999258</v>
      </c>
      <c r="C1575" s="3">
        <v>3</v>
      </c>
      <c r="D1575" s="5" t="str">
        <f t="shared" si="55"/>
        <v>03</v>
      </c>
      <c r="E1575" t="str">
        <f>VLOOKUP(B1575,'HOGARES-BASELINE'!$B:$I,8,FALSE)</f>
        <v>01010449</v>
      </c>
      <c r="F1575" s="6" t="str">
        <f t="shared" si="54"/>
        <v>0101044903</v>
      </c>
    </row>
    <row r="1576" spans="1:6" x14ac:dyDescent="0.3">
      <c r="A1576" s="6" t="s">
        <v>1576</v>
      </c>
      <c r="B1576">
        <v>25036381</v>
      </c>
      <c r="C1576" s="3">
        <v>1</v>
      </c>
      <c r="D1576" s="5" t="str">
        <f t="shared" si="55"/>
        <v>01</v>
      </c>
      <c r="E1576" t="str">
        <f>VLOOKUP(B1576,'HOGARES-BASELINE'!$B:$I,8,FALSE)</f>
        <v>01020450</v>
      </c>
      <c r="F1576" s="6" t="str">
        <f t="shared" si="54"/>
        <v>0102045001</v>
      </c>
    </row>
    <row r="1577" spans="1:6" x14ac:dyDescent="0.3">
      <c r="A1577" s="6" t="s">
        <v>1577</v>
      </c>
      <c r="B1577">
        <v>25036381</v>
      </c>
      <c r="C1577" s="3">
        <v>2</v>
      </c>
      <c r="D1577" s="5" t="str">
        <f t="shared" si="55"/>
        <v>02</v>
      </c>
      <c r="E1577" t="str">
        <f>VLOOKUP(B1577,'HOGARES-BASELINE'!$B:$I,8,FALSE)</f>
        <v>01020450</v>
      </c>
      <c r="F1577" s="6" t="str">
        <f t="shared" si="54"/>
        <v>0102045002</v>
      </c>
    </row>
    <row r="1578" spans="1:6" x14ac:dyDescent="0.3">
      <c r="A1578" s="6" t="s">
        <v>1578</v>
      </c>
      <c r="B1578">
        <v>25097620</v>
      </c>
      <c r="C1578" s="3">
        <v>1</v>
      </c>
      <c r="D1578" s="5" t="str">
        <f t="shared" si="55"/>
        <v>01</v>
      </c>
      <c r="E1578" t="str">
        <f>VLOOKUP(B1578,'HOGARES-BASELINE'!$B:$I,8,FALSE)</f>
        <v>01020451</v>
      </c>
      <c r="F1578" s="6" t="str">
        <f t="shared" si="54"/>
        <v>0102045101</v>
      </c>
    </row>
    <row r="1579" spans="1:6" x14ac:dyDescent="0.3">
      <c r="A1579" s="6" t="s">
        <v>1579</v>
      </c>
      <c r="B1579">
        <v>25097620</v>
      </c>
      <c r="C1579" s="3">
        <v>2</v>
      </c>
      <c r="D1579" s="5" t="str">
        <f t="shared" si="55"/>
        <v>02</v>
      </c>
      <c r="E1579" t="str">
        <f>VLOOKUP(B1579,'HOGARES-BASELINE'!$B:$I,8,FALSE)</f>
        <v>01020451</v>
      </c>
      <c r="F1579" s="6" t="str">
        <f t="shared" si="54"/>
        <v>0102045102</v>
      </c>
    </row>
    <row r="1580" spans="1:6" x14ac:dyDescent="0.3">
      <c r="A1580" s="6" t="s">
        <v>1580</v>
      </c>
      <c r="B1580">
        <v>25265831</v>
      </c>
      <c r="C1580" s="3">
        <v>1</v>
      </c>
      <c r="D1580" s="5" t="str">
        <f t="shared" si="55"/>
        <v>01</v>
      </c>
      <c r="E1580" t="str">
        <f>VLOOKUP(B1580,'HOGARES-BASELINE'!$B:$I,8,FALSE)</f>
        <v>00020452</v>
      </c>
      <c r="F1580" s="6" t="str">
        <f t="shared" si="54"/>
        <v>0002045201</v>
      </c>
    </row>
    <row r="1581" spans="1:6" x14ac:dyDescent="0.3">
      <c r="A1581" s="6" t="s">
        <v>1581</v>
      </c>
      <c r="B1581">
        <v>25265831</v>
      </c>
      <c r="C1581" s="3">
        <v>2</v>
      </c>
      <c r="D1581" s="5" t="str">
        <f t="shared" si="55"/>
        <v>02</v>
      </c>
      <c r="E1581" t="str">
        <f>VLOOKUP(B1581,'HOGARES-BASELINE'!$B:$I,8,FALSE)</f>
        <v>00020452</v>
      </c>
      <c r="F1581" s="6" t="str">
        <f t="shared" si="54"/>
        <v>0002045202</v>
      </c>
    </row>
    <row r="1582" spans="1:6" x14ac:dyDescent="0.3">
      <c r="A1582" s="6" t="s">
        <v>1582</v>
      </c>
      <c r="B1582">
        <v>25340411</v>
      </c>
      <c r="C1582" s="3">
        <v>2</v>
      </c>
      <c r="D1582" s="5" t="str">
        <f t="shared" si="55"/>
        <v>02</v>
      </c>
      <c r="E1582" t="str">
        <f>VLOOKUP(B1582,'HOGARES-BASELINE'!$B:$I,8,FALSE)</f>
        <v>01020453</v>
      </c>
      <c r="F1582" s="6" t="str">
        <f t="shared" si="54"/>
        <v>0102045302</v>
      </c>
    </row>
    <row r="1583" spans="1:6" x14ac:dyDescent="0.3">
      <c r="A1583" s="6" t="s">
        <v>1583</v>
      </c>
      <c r="B1583">
        <v>25340411</v>
      </c>
      <c r="C1583" s="3">
        <v>3</v>
      </c>
      <c r="D1583" s="5" t="str">
        <f t="shared" si="55"/>
        <v>03</v>
      </c>
      <c r="E1583" t="str">
        <f>VLOOKUP(B1583,'HOGARES-BASELINE'!$B:$I,8,FALSE)</f>
        <v>01020453</v>
      </c>
      <c r="F1583" s="6" t="str">
        <f t="shared" si="54"/>
        <v>0102045303</v>
      </c>
    </row>
    <row r="1584" spans="1:6" x14ac:dyDescent="0.3">
      <c r="A1584" s="6" t="s">
        <v>1584</v>
      </c>
      <c r="B1584">
        <v>25340411</v>
      </c>
      <c r="C1584" s="3">
        <v>4</v>
      </c>
      <c r="D1584" s="5" t="str">
        <f t="shared" si="55"/>
        <v>04</v>
      </c>
      <c r="E1584" t="str">
        <f>VLOOKUP(B1584,'HOGARES-BASELINE'!$B:$I,8,FALSE)</f>
        <v>01020453</v>
      </c>
      <c r="F1584" s="6" t="str">
        <f t="shared" si="54"/>
        <v>0102045304</v>
      </c>
    </row>
    <row r="1585" spans="1:6" x14ac:dyDescent="0.3">
      <c r="A1585" s="6" t="s">
        <v>1585</v>
      </c>
      <c r="B1585">
        <v>25340411</v>
      </c>
      <c r="C1585" s="3">
        <v>1</v>
      </c>
      <c r="D1585" s="5" t="str">
        <f t="shared" si="55"/>
        <v>01</v>
      </c>
      <c r="E1585" t="str">
        <f>VLOOKUP(B1585,'HOGARES-BASELINE'!$B:$I,8,FALSE)</f>
        <v>01020453</v>
      </c>
      <c r="F1585" s="6" t="str">
        <f t="shared" si="54"/>
        <v>0102045301</v>
      </c>
    </row>
    <row r="1586" spans="1:6" x14ac:dyDescent="0.3">
      <c r="A1586" s="6" t="s">
        <v>1586</v>
      </c>
      <c r="B1586">
        <v>25340770</v>
      </c>
      <c r="C1586" s="3">
        <v>1</v>
      </c>
      <c r="D1586" s="5" t="str">
        <f t="shared" si="55"/>
        <v>01</v>
      </c>
      <c r="E1586" t="str">
        <f>VLOOKUP(B1586,'HOGARES-BASELINE'!$B:$I,8,FALSE)</f>
        <v>01020454</v>
      </c>
      <c r="F1586" s="6" t="str">
        <f t="shared" si="54"/>
        <v>0102045401</v>
      </c>
    </row>
    <row r="1587" spans="1:6" x14ac:dyDescent="0.3">
      <c r="A1587" s="6" t="s">
        <v>1587</v>
      </c>
      <c r="B1587">
        <v>25351368</v>
      </c>
      <c r="C1587" s="3">
        <v>2</v>
      </c>
      <c r="D1587" s="5" t="str">
        <f t="shared" si="55"/>
        <v>02</v>
      </c>
      <c r="E1587" t="str">
        <f>VLOOKUP(B1587,'HOGARES-BASELINE'!$B:$I,8,FALSE)</f>
        <v>01020455</v>
      </c>
      <c r="F1587" s="6" t="str">
        <f t="shared" si="54"/>
        <v>0102045502</v>
      </c>
    </row>
    <row r="1588" spans="1:6" x14ac:dyDescent="0.3">
      <c r="A1588" s="6" t="s">
        <v>1588</v>
      </c>
      <c r="B1588">
        <v>25351368</v>
      </c>
      <c r="C1588" s="3">
        <v>3</v>
      </c>
      <c r="D1588" s="5" t="str">
        <f t="shared" si="55"/>
        <v>03</v>
      </c>
      <c r="E1588" t="str">
        <f>VLOOKUP(B1588,'HOGARES-BASELINE'!$B:$I,8,FALSE)</f>
        <v>01020455</v>
      </c>
      <c r="F1588" s="6" t="str">
        <f t="shared" si="54"/>
        <v>0102045503</v>
      </c>
    </row>
    <row r="1589" spans="1:6" x14ac:dyDescent="0.3">
      <c r="A1589" s="6" t="s">
        <v>1589</v>
      </c>
      <c r="B1589">
        <v>25351368</v>
      </c>
      <c r="C1589" s="3">
        <v>4</v>
      </c>
      <c r="D1589" s="5" t="str">
        <f t="shared" si="55"/>
        <v>04</v>
      </c>
      <c r="E1589" t="str">
        <f>VLOOKUP(B1589,'HOGARES-BASELINE'!$B:$I,8,FALSE)</f>
        <v>01020455</v>
      </c>
      <c r="F1589" s="6" t="str">
        <f t="shared" si="54"/>
        <v>0102045504</v>
      </c>
    </row>
    <row r="1590" spans="1:6" x14ac:dyDescent="0.3">
      <c r="A1590" s="6" t="s">
        <v>1590</v>
      </c>
      <c r="B1590">
        <v>25351368</v>
      </c>
      <c r="C1590" s="3">
        <v>1</v>
      </c>
      <c r="D1590" s="5" t="str">
        <f t="shared" si="55"/>
        <v>01</v>
      </c>
      <c r="E1590" t="str">
        <f>VLOOKUP(B1590,'HOGARES-BASELINE'!$B:$I,8,FALSE)</f>
        <v>01020455</v>
      </c>
      <c r="F1590" s="6" t="str">
        <f t="shared" si="54"/>
        <v>0102045501</v>
      </c>
    </row>
    <row r="1591" spans="1:6" x14ac:dyDescent="0.3">
      <c r="A1591" s="6" t="s">
        <v>1591</v>
      </c>
      <c r="B1591">
        <v>25413263</v>
      </c>
      <c r="C1591" s="3">
        <v>2</v>
      </c>
      <c r="D1591" s="5" t="str">
        <f t="shared" si="55"/>
        <v>02</v>
      </c>
      <c r="E1591" t="str">
        <f>VLOOKUP(B1591,'HOGARES-BASELINE'!$B:$I,8,FALSE)</f>
        <v>00020456</v>
      </c>
      <c r="F1591" s="6" t="str">
        <f t="shared" si="54"/>
        <v>0002045602</v>
      </c>
    </row>
    <row r="1592" spans="1:6" x14ac:dyDescent="0.3">
      <c r="A1592" s="6" t="s">
        <v>1592</v>
      </c>
      <c r="B1592">
        <v>25413263</v>
      </c>
      <c r="C1592" s="3">
        <v>1</v>
      </c>
      <c r="D1592" s="5" t="str">
        <f t="shared" si="55"/>
        <v>01</v>
      </c>
      <c r="E1592" t="str">
        <f>VLOOKUP(B1592,'HOGARES-BASELINE'!$B:$I,8,FALSE)</f>
        <v>00020456</v>
      </c>
      <c r="F1592" s="6" t="str">
        <f t="shared" si="54"/>
        <v>0002045601</v>
      </c>
    </row>
    <row r="1593" spans="1:6" x14ac:dyDescent="0.3">
      <c r="A1593" s="6" t="s">
        <v>1593</v>
      </c>
      <c r="B1593">
        <v>25485764</v>
      </c>
      <c r="C1593" s="3">
        <v>1</v>
      </c>
      <c r="D1593" s="5" t="str">
        <f t="shared" si="55"/>
        <v>01</v>
      </c>
      <c r="E1593" t="str">
        <f>VLOOKUP(B1593,'HOGARES-BASELINE'!$B:$I,8,FALSE)</f>
        <v>00020457</v>
      </c>
      <c r="F1593" s="6" t="str">
        <f t="shared" si="54"/>
        <v>0002045701</v>
      </c>
    </row>
    <row r="1594" spans="1:6" x14ac:dyDescent="0.3">
      <c r="A1594" s="6" t="s">
        <v>1594</v>
      </c>
      <c r="B1594">
        <v>25485764</v>
      </c>
      <c r="C1594" s="3">
        <v>2</v>
      </c>
      <c r="D1594" s="5" t="str">
        <f t="shared" si="55"/>
        <v>02</v>
      </c>
      <c r="E1594" t="str">
        <f>VLOOKUP(B1594,'HOGARES-BASELINE'!$B:$I,8,FALSE)</f>
        <v>00020457</v>
      </c>
      <c r="F1594" s="6" t="str">
        <f t="shared" si="54"/>
        <v>0002045702</v>
      </c>
    </row>
    <row r="1595" spans="1:6" x14ac:dyDescent="0.3">
      <c r="A1595" s="6" t="s">
        <v>1595</v>
      </c>
      <c r="B1595">
        <v>25487137</v>
      </c>
      <c r="C1595" s="3">
        <v>1</v>
      </c>
      <c r="D1595" s="5" t="str">
        <f t="shared" si="55"/>
        <v>01</v>
      </c>
      <c r="E1595" t="str">
        <f>VLOOKUP(B1595,'HOGARES-BASELINE'!$B:$I,8,FALSE)</f>
        <v>00020458</v>
      </c>
      <c r="F1595" s="6" t="str">
        <f t="shared" si="54"/>
        <v>0002045801</v>
      </c>
    </row>
    <row r="1596" spans="1:6" x14ac:dyDescent="0.3">
      <c r="A1596" s="6" t="s">
        <v>1596</v>
      </c>
      <c r="B1596">
        <v>25489365</v>
      </c>
      <c r="C1596" s="3">
        <v>3</v>
      </c>
      <c r="D1596" s="5" t="str">
        <f t="shared" si="55"/>
        <v>03</v>
      </c>
      <c r="E1596" t="str">
        <f>VLOOKUP(B1596,'HOGARES-BASELINE'!$B:$I,8,FALSE)</f>
        <v>00020459</v>
      </c>
      <c r="F1596" s="6" t="str">
        <f t="shared" si="54"/>
        <v>0002045903</v>
      </c>
    </row>
    <row r="1597" spans="1:6" x14ac:dyDescent="0.3">
      <c r="A1597" s="6" t="s">
        <v>1597</v>
      </c>
      <c r="B1597">
        <v>25489365</v>
      </c>
      <c r="C1597" s="3">
        <v>2</v>
      </c>
      <c r="D1597" s="5" t="str">
        <f t="shared" si="55"/>
        <v>02</v>
      </c>
      <c r="E1597" t="str">
        <f>VLOOKUP(B1597,'HOGARES-BASELINE'!$B:$I,8,FALSE)</f>
        <v>00020459</v>
      </c>
      <c r="F1597" s="6" t="str">
        <f t="shared" si="54"/>
        <v>0002045902</v>
      </c>
    </row>
    <row r="1598" spans="1:6" x14ac:dyDescent="0.3">
      <c r="A1598" s="6" t="s">
        <v>1598</v>
      </c>
      <c r="B1598">
        <v>25489365</v>
      </c>
      <c r="C1598" s="3">
        <v>1</v>
      </c>
      <c r="D1598" s="5" t="str">
        <f t="shared" si="55"/>
        <v>01</v>
      </c>
      <c r="E1598" t="str">
        <f>VLOOKUP(B1598,'HOGARES-BASELINE'!$B:$I,8,FALSE)</f>
        <v>00020459</v>
      </c>
      <c r="F1598" s="6" t="str">
        <f t="shared" si="54"/>
        <v>0002045901</v>
      </c>
    </row>
    <row r="1599" spans="1:6" x14ac:dyDescent="0.3">
      <c r="A1599" s="6" t="s">
        <v>1599</v>
      </c>
      <c r="B1599">
        <v>25490780</v>
      </c>
      <c r="C1599" s="3">
        <v>4</v>
      </c>
      <c r="D1599" s="5" t="str">
        <f t="shared" si="55"/>
        <v>04</v>
      </c>
      <c r="E1599" t="str">
        <f>VLOOKUP(B1599,'HOGARES-BASELINE'!$B:$I,8,FALSE)</f>
        <v>00020460</v>
      </c>
      <c r="F1599" s="6" t="str">
        <f t="shared" si="54"/>
        <v>0002046004</v>
      </c>
    </row>
    <row r="1600" spans="1:6" x14ac:dyDescent="0.3">
      <c r="A1600" s="6" t="s">
        <v>1600</v>
      </c>
      <c r="B1600">
        <v>25490780</v>
      </c>
      <c r="C1600" s="3">
        <v>3</v>
      </c>
      <c r="D1600" s="5" t="str">
        <f t="shared" si="55"/>
        <v>03</v>
      </c>
      <c r="E1600" t="str">
        <f>VLOOKUP(B1600,'HOGARES-BASELINE'!$B:$I,8,FALSE)</f>
        <v>00020460</v>
      </c>
      <c r="F1600" s="6" t="str">
        <f t="shared" si="54"/>
        <v>0002046003</v>
      </c>
    </row>
    <row r="1601" spans="1:6" x14ac:dyDescent="0.3">
      <c r="A1601" s="6" t="s">
        <v>1601</v>
      </c>
      <c r="B1601">
        <v>25490780</v>
      </c>
      <c r="C1601" s="3">
        <v>2</v>
      </c>
      <c r="D1601" s="5" t="str">
        <f t="shared" si="55"/>
        <v>02</v>
      </c>
      <c r="E1601" t="str">
        <f>VLOOKUP(B1601,'HOGARES-BASELINE'!$B:$I,8,FALSE)</f>
        <v>00020460</v>
      </c>
      <c r="F1601" s="6" t="str">
        <f t="shared" si="54"/>
        <v>0002046002</v>
      </c>
    </row>
    <row r="1602" spans="1:6" x14ac:dyDescent="0.3">
      <c r="A1602" s="6" t="s">
        <v>1602</v>
      </c>
      <c r="B1602">
        <v>25490780</v>
      </c>
      <c r="C1602" s="3">
        <v>1</v>
      </c>
      <c r="D1602" s="5" t="str">
        <f t="shared" si="55"/>
        <v>01</v>
      </c>
      <c r="E1602" t="str">
        <f>VLOOKUP(B1602,'HOGARES-BASELINE'!$B:$I,8,FALSE)</f>
        <v>00020460</v>
      </c>
      <c r="F1602" s="6" t="str">
        <f t="shared" si="54"/>
        <v>0002046001</v>
      </c>
    </row>
    <row r="1603" spans="1:6" x14ac:dyDescent="0.3">
      <c r="A1603" s="6" t="s">
        <v>1603</v>
      </c>
      <c r="B1603">
        <v>25492271</v>
      </c>
      <c r="C1603" s="3">
        <v>1</v>
      </c>
      <c r="D1603" s="5" t="str">
        <f t="shared" si="55"/>
        <v>01</v>
      </c>
      <c r="E1603" t="str">
        <f>VLOOKUP(B1603,'HOGARES-BASELINE'!$B:$I,8,FALSE)</f>
        <v>01020461</v>
      </c>
      <c r="F1603" s="6" t="str">
        <f t="shared" ref="F1603:F1666" si="56">_xlfn.CONCAT(E1603,D1603)</f>
        <v>0102046101</v>
      </c>
    </row>
    <row r="1604" spans="1:6" x14ac:dyDescent="0.3">
      <c r="A1604" s="6" t="s">
        <v>1604</v>
      </c>
      <c r="B1604">
        <v>25619493</v>
      </c>
      <c r="C1604" s="3">
        <v>1</v>
      </c>
      <c r="D1604" s="5" t="str">
        <f t="shared" si="55"/>
        <v>01</v>
      </c>
      <c r="E1604" t="str">
        <f>VLOOKUP(B1604,'HOGARES-BASELINE'!$B:$I,8,FALSE)</f>
        <v>01020462</v>
      </c>
      <c r="F1604" s="6" t="str">
        <f t="shared" si="56"/>
        <v>0102046201</v>
      </c>
    </row>
    <row r="1605" spans="1:6" x14ac:dyDescent="0.3">
      <c r="A1605" s="6" t="s">
        <v>1605</v>
      </c>
      <c r="B1605">
        <v>25638302</v>
      </c>
      <c r="C1605" s="3">
        <v>1</v>
      </c>
      <c r="D1605" s="5" t="str">
        <f t="shared" si="55"/>
        <v>01</v>
      </c>
      <c r="E1605" t="str">
        <f>VLOOKUP(B1605,'HOGARES-BASELINE'!$B:$I,8,FALSE)</f>
        <v>00020463</v>
      </c>
      <c r="F1605" s="6" t="str">
        <f t="shared" si="56"/>
        <v>0002046301</v>
      </c>
    </row>
    <row r="1606" spans="1:6" x14ac:dyDescent="0.3">
      <c r="A1606" s="6" t="s">
        <v>1606</v>
      </c>
      <c r="B1606">
        <v>25638302</v>
      </c>
      <c r="C1606" s="3">
        <v>2</v>
      </c>
      <c r="D1606" s="5" t="str">
        <f t="shared" si="55"/>
        <v>02</v>
      </c>
      <c r="E1606" t="str">
        <f>VLOOKUP(B1606,'HOGARES-BASELINE'!$B:$I,8,FALSE)</f>
        <v>00020463</v>
      </c>
      <c r="F1606" s="6" t="str">
        <f t="shared" si="56"/>
        <v>0002046302</v>
      </c>
    </row>
    <row r="1607" spans="1:6" x14ac:dyDescent="0.3">
      <c r="A1607" s="6" t="s">
        <v>1607</v>
      </c>
      <c r="B1607">
        <v>25683891</v>
      </c>
      <c r="C1607" s="3">
        <v>1</v>
      </c>
      <c r="D1607" s="5" t="str">
        <f t="shared" si="55"/>
        <v>01</v>
      </c>
      <c r="E1607" t="str">
        <f>VLOOKUP(B1607,'HOGARES-BASELINE'!$B:$I,8,FALSE)</f>
        <v>01020464</v>
      </c>
      <c r="F1607" s="6" t="str">
        <f t="shared" si="56"/>
        <v>0102046401</v>
      </c>
    </row>
    <row r="1608" spans="1:6" x14ac:dyDescent="0.3">
      <c r="A1608" s="6" t="s">
        <v>1608</v>
      </c>
      <c r="B1608">
        <v>25683891</v>
      </c>
      <c r="C1608" s="3">
        <v>4</v>
      </c>
      <c r="D1608" s="5" t="str">
        <f t="shared" si="55"/>
        <v>04</v>
      </c>
      <c r="E1608" t="str">
        <f>VLOOKUP(B1608,'HOGARES-BASELINE'!$B:$I,8,FALSE)</f>
        <v>01020464</v>
      </c>
      <c r="F1608" s="6" t="str">
        <f t="shared" si="56"/>
        <v>0102046404</v>
      </c>
    </row>
    <row r="1609" spans="1:6" x14ac:dyDescent="0.3">
      <c r="A1609" s="6" t="s">
        <v>1609</v>
      </c>
      <c r="B1609">
        <v>25683891</v>
      </c>
      <c r="C1609" s="3">
        <v>5</v>
      </c>
      <c r="D1609" s="5" t="str">
        <f t="shared" si="55"/>
        <v>05</v>
      </c>
      <c r="E1609" t="str">
        <f>VLOOKUP(B1609,'HOGARES-BASELINE'!$B:$I,8,FALSE)</f>
        <v>01020464</v>
      </c>
      <c r="F1609" s="6" t="str">
        <f t="shared" si="56"/>
        <v>0102046405</v>
      </c>
    </row>
    <row r="1610" spans="1:6" x14ac:dyDescent="0.3">
      <c r="A1610" s="6" t="s">
        <v>1610</v>
      </c>
      <c r="B1610">
        <v>25683891</v>
      </c>
      <c r="C1610" s="3">
        <v>6</v>
      </c>
      <c r="D1610" s="5" t="str">
        <f t="shared" si="55"/>
        <v>06</v>
      </c>
      <c r="E1610" t="str">
        <f>VLOOKUP(B1610,'HOGARES-BASELINE'!$B:$I,8,FALSE)</f>
        <v>01020464</v>
      </c>
      <c r="F1610" s="6" t="str">
        <f t="shared" si="56"/>
        <v>0102046406</v>
      </c>
    </row>
    <row r="1611" spans="1:6" x14ac:dyDescent="0.3">
      <c r="A1611" s="6" t="s">
        <v>1611</v>
      </c>
      <c r="B1611">
        <v>25683891</v>
      </c>
      <c r="C1611" s="3">
        <v>3</v>
      </c>
      <c r="D1611" s="5" t="str">
        <f t="shared" si="55"/>
        <v>03</v>
      </c>
      <c r="E1611" t="str">
        <f>VLOOKUP(B1611,'HOGARES-BASELINE'!$B:$I,8,FALSE)</f>
        <v>01020464</v>
      </c>
      <c r="F1611" s="6" t="str">
        <f t="shared" si="56"/>
        <v>0102046403</v>
      </c>
    </row>
    <row r="1612" spans="1:6" x14ac:dyDescent="0.3">
      <c r="A1612" s="6" t="s">
        <v>1612</v>
      </c>
      <c r="B1612">
        <v>25683891</v>
      </c>
      <c r="C1612" s="3">
        <v>2</v>
      </c>
      <c r="D1612" s="5" t="str">
        <f t="shared" si="55"/>
        <v>02</v>
      </c>
      <c r="E1612" t="str">
        <f>VLOOKUP(B1612,'HOGARES-BASELINE'!$B:$I,8,FALSE)</f>
        <v>01020464</v>
      </c>
      <c r="F1612" s="6" t="str">
        <f t="shared" si="56"/>
        <v>0102046402</v>
      </c>
    </row>
    <row r="1613" spans="1:6" x14ac:dyDescent="0.3">
      <c r="A1613" s="6" t="s">
        <v>1613</v>
      </c>
      <c r="B1613">
        <v>25954420</v>
      </c>
      <c r="C1613" s="3">
        <v>1</v>
      </c>
      <c r="D1613" s="5" t="str">
        <f t="shared" si="55"/>
        <v>01</v>
      </c>
      <c r="E1613" t="str">
        <f>VLOOKUP(B1613,'HOGARES-BASELINE'!$B:$I,8,FALSE)</f>
        <v>01030465</v>
      </c>
      <c r="F1613" s="6" t="str">
        <f t="shared" si="56"/>
        <v>0103046501</v>
      </c>
    </row>
    <row r="1614" spans="1:6" x14ac:dyDescent="0.3">
      <c r="A1614" s="6" t="s">
        <v>1614</v>
      </c>
      <c r="B1614">
        <v>25954420</v>
      </c>
      <c r="C1614" s="3">
        <v>2</v>
      </c>
      <c r="D1614" s="5" t="str">
        <f t="shared" si="55"/>
        <v>02</v>
      </c>
      <c r="E1614" t="str">
        <f>VLOOKUP(B1614,'HOGARES-BASELINE'!$B:$I,8,FALSE)</f>
        <v>01030465</v>
      </c>
      <c r="F1614" s="6" t="str">
        <f t="shared" si="56"/>
        <v>0103046502</v>
      </c>
    </row>
    <row r="1615" spans="1:6" x14ac:dyDescent="0.3">
      <c r="A1615" s="6" t="s">
        <v>1615</v>
      </c>
      <c r="B1615">
        <v>25954420</v>
      </c>
      <c r="C1615" s="3">
        <v>3</v>
      </c>
      <c r="D1615" s="5" t="str">
        <f t="shared" si="55"/>
        <v>03</v>
      </c>
      <c r="E1615" t="str">
        <f>VLOOKUP(B1615,'HOGARES-BASELINE'!$B:$I,8,FALSE)</f>
        <v>01030465</v>
      </c>
      <c r="F1615" s="6" t="str">
        <f t="shared" si="56"/>
        <v>0103046503</v>
      </c>
    </row>
    <row r="1616" spans="1:6" x14ac:dyDescent="0.3">
      <c r="A1616" s="6" t="s">
        <v>1616</v>
      </c>
      <c r="B1616">
        <v>26256330</v>
      </c>
      <c r="C1616" s="3">
        <v>2</v>
      </c>
      <c r="D1616" s="5" t="str">
        <f t="shared" si="55"/>
        <v>02</v>
      </c>
      <c r="E1616" t="str">
        <f>VLOOKUP(B1616,'HOGARES-BASELINE'!$B:$I,8,FALSE)</f>
        <v>01020466</v>
      </c>
      <c r="F1616" s="6" t="str">
        <f t="shared" si="56"/>
        <v>0102046602</v>
      </c>
    </row>
    <row r="1617" spans="1:6" x14ac:dyDescent="0.3">
      <c r="A1617" s="6" t="s">
        <v>1617</v>
      </c>
      <c r="B1617">
        <v>26256330</v>
      </c>
      <c r="C1617" s="3">
        <v>1</v>
      </c>
      <c r="D1617" s="5" t="str">
        <f t="shared" si="55"/>
        <v>01</v>
      </c>
      <c r="E1617" t="str">
        <f>VLOOKUP(B1617,'HOGARES-BASELINE'!$B:$I,8,FALSE)</f>
        <v>01020466</v>
      </c>
      <c r="F1617" s="6" t="str">
        <f t="shared" si="56"/>
        <v>0102046601</v>
      </c>
    </row>
    <row r="1618" spans="1:6" x14ac:dyDescent="0.3">
      <c r="A1618" s="6" t="s">
        <v>1618</v>
      </c>
      <c r="B1618">
        <v>26256330</v>
      </c>
      <c r="C1618" s="3">
        <v>3</v>
      </c>
      <c r="D1618" s="5" t="str">
        <f t="shared" si="55"/>
        <v>03</v>
      </c>
      <c r="E1618" t="str">
        <f>VLOOKUP(B1618,'HOGARES-BASELINE'!$B:$I,8,FALSE)</f>
        <v>01020466</v>
      </c>
      <c r="F1618" s="6" t="str">
        <f t="shared" si="56"/>
        <v>0102046603</v>
      </c>
    </row>
    <row r="1619" spans="1:6" x14ac:dyDescent="0.3">
      <c r="A1619" s="6" t="s">
        <v>1619</v>
      </c>
      <c r="B1619">
        <v>26256767</v>
      </c>
      <c r="C1619" s="3">
        <v>1</v>
      </c>
      <c r="D1619" s="5" t="str">
        <f t="shared" si="55"/>
        <v>01</v>
      </c>
      <c r="E1619" t="str">
        <f>VLOOKUP(B1619,'HOGARES-BASELINE'!$B:$I,8,FALSE)</f>
        <v>00010467</v>
      </c>
      <c r="F1619" s="6" t="str">
        <f t="shared" si="56"/>
        <v>0001046701</v>
      </c>
    </row>
    <row r="1620" spans="1:6" x14ac:dyDescent="0.3">
      <c r="A1620" s="6" t="s">
        <v>1620</v>
      </c>
      <c r="B1620">
        <v>26393898</v>
      </c>
      <c r="C1620" s="3">
        <v>2</v>
      </c>
      <c r="D1620" s="5" t="str">
        <f t="shared" si="55"/>
        <v>02</v>
      </c>
      <c r="E1620" t="str">
        <f>VLOOKUP(B1620,'HOGARES-BASELINE'!$B:$I,8,FALSE)</f>
        <v>01010468</v>
      </c>
      <c r="F1620" s="6" t="str">
        <f t="shared" si="56"/>
        <v>0101046802</v>
      </c>
    </row>
    <row r="1621" spans="1:6" x14ac:dyDescent="0.3">
      <c r="A1621" s="6" t="s">
        <v>1621</v>
      </c>
      <c r="B1621">
        <v>26393898</v>
      </c>
      <c r="C1621" s="3">
        <v>3</v>
      </c>
      <c r="D1621" s="5" t="str">
        <f t="shared" si="55"/>
        <v>03</v>
      </c>
      <c r="E1621" t="str">
        <f>VLOOKUP(B1621,'HOGARES-BASELINE'!$B:$I,8,FALSE)</f>
        <v>01010468</v>
      </c>
      <c r="F1621" s="6" t="str">
        <f t="shared" si="56"/>
        <v>0101046803</v>
      </c>
    </row>
    <row r="1622" spans="1:6" x14ac:dyDescent="0.3">
      <c r="A1622" s="6" t="s">
        <v>1622</v>
      </c>
      <c r="B1622">
        <v>26393898</v>
      </c>
      <c r="C1622" s="3">
        <v>1</v>
      </c>
      <c r="D1622" s="5" t="str">
        <f t="shared" si="55"/>
        <v>01</v>
      </c>
      <c r="E1622" t="str">
        <f>VLOOKUP(B1622,'HOGARES-BASELINE'!$B:$I,8,FALSE)</f>
        <v>01010468</v>
      </c>
      <c r="F1622" s="6" t="str">
        <f t="shared" si="56"/>
        <v>0101046801</v>
      </c>
    </row>
    <row r="1623" spans="1:6" x14ac:dyDescent="0.3">
      <c r="A1623" s="6" t="s">
        <v>1623</v>
      </c>
      <c r="B1623">
        <v>26718435</v>
      </c>
      <c r="C1623" s="3">
        <v>1</v>
      </c>
      <c r="D1623" s="5" t="str">
        <f t="shared" si="55"/>
        <v>01</v>
      </c>
      <c r="E1623" t="str">
        <f>VLOOKUP(B1623,'HOGARES-BASELINE'!$B:$I,8,FALSE)</f>
        <v>01030469</v>
      </c>
      <c r="F1623" s="6" t="str">
        <f t="shared" si="56"/>
        <v>0103046901</v>
      </c>
    </row>
    <row r="1624" spans="1:6" x14ac:dyDescent="0.3">
      <c r="A1624" s="6" t="s">
        <v>1624</v>
      </c>
      <c r="B1624">
        <v>26718435</v>
      </c>
      <c r="C1624" s="3">
        <v>2</v>
      </c>
      <c r="D1624" s="5" t="str">
        <f t="shared" si="55"/>
        <v>02</v>
      </c>
      <c r="E1624" t="str">
        <f>VLOOKUP(B1624,'HOGARES-BASELINE'!$B:$I,8,FALSE)</f>
        <v>01030469</v>
      </c>
      <c r="F1624" s="6" t="str">
        <f t="shared" si="56"/>
        <v>0103046902</v>
      </c>
    </row>
    <row r="1625" spans="1:6" x14ac:dyDescent="0.3">
      <c r="A1625" s="6" t="s">
        <v>1625</v>
      </c>
      <c r="B1625">
        <v>26757628</v>
      </c>
      <c r="C1625" s="3">
        <v>1</v>
      </c>
      <c r="D1625" s="5" t="str">
        <f t="shared" si="55"/>
        <v>01</v>
      </c>
      <c r="E1625" t="str">
        <f>VLOOKUP(B1625,'HOGARES-BASELINE'!$B:$I,8,FALSE)</f>
        <v>00030470</v>
      </c>
      <c r="F1625" s="6" t="str">
        <f t="shared" si="56"/>
        <v>0003047001</v>
      </c>
    </row>
    <row r="1626" spans="1:6" x14ac:dyDescent="0.3">
      <c r="A1626" s="6" t="s">
        <v>1626</v>
      </c>
      <c r="B1626">
        <v>26757628</v>
      </c>
      <c r="C1626" s="3">
        <v>2</v>
      </c>
      <c r="D1626" s="5" t="str">
        <f t="shared" si="55"/>
        <v>02</v>
      </c>
      <c r="E1626" t="str">
        <f>VLOOKUP(B1626,'HOGARES-BASELINE'!$B:$I,8,FALSE)</f>
        <v>00030470</v>
      </c>
      <c r="F1626" s="6" t="str">
        <f t="shared" si="56"/>
        <v>0003047002</v>
      </c>
    </row>
    <row r="1627" spans="1:6" x14ac:dyDescent="0.3">
      <c r="A1627" s="6" t="s">
        <v>1627</v>
      </c>
      <c r="B1627">
        <v>26757731</v>
      </c>
      <c r="C1627" s="3">
        <v>1</v>
      </c>
      <c r="D1627" s="5" t="str">
        <f t="shared" si="55"/>
        <v>01</v>
      </c>
      <c r="E1627" t="str">
        <f>VLOOKUP(B1627,'HOGARES-BASELINE'!$B:$I,8,FALSE)</f>
        <v>00030471</v>
      </c>
      <c r="F1627" s="6" t="str">
        <f t="shared" si="56"/>
        <v>0003047101</v>
      </c>
    </row>
    <row r="1628" spans="1:6" x14ac:dyDescent="0.3">
      <c r="A1628" s="6" t="s">
        <v>1628</v>
      </c>
      <c r="B1628">
        <v>26757731</v>
      </c>
      <c r="C1628" s="3">
        <v>2</v>
      </c>
      <c r="D1628" s="5" t="str">
        <f t="shared" si="55"/>
        <v>02</v>
      </c>
      <c r="E1628" t="str">
        <f>VLOOKUP(B1628,'HOGARES-BASELINE'!$B:$I,8,FALSE)</f>
        <v>00030471</v>
      </c>
      <c r="F1628" s="6" t="str">
        <f t="shared" si="56"/>
        <v>0003047102</v>
      </c>
    </row>
    <row r="1629" spans="1:6" x14ac:dyDescent="0.3">
      <c r="A1629" s="6" t="s">
        <v>1629</v>
      </c>
      <c r="B1629">
        <v>2680456</v>
      </c>
      <c r="C1629" s="3">
        <v>1</v>
      </c>
      <c r="D1629" s="5" t="str">
        <f t="shared" si="55"/>
        <v>01</v>
      </c>
      <c r="E1629" t="str">
        <f>VLOOKUP(B1629,'HOGARES-BASELINE'!$B:$I,8,FALSE)</f>
        <v>00020472</v>
      </c>
      <c r="F1629" s="6" t="str">
        <f t="shared" si="56"/>
        <v>0002047201</v>
      </c>
    </row>
    <row r="1630" spans="1:6" x14ac:dyDescent="0.3">
      <c r="A1630" s="6" t="s">
        <v>1630</v>
      </c>
      <c r="B1630">
        <v>2699661</v>
      </c>
      <c r="C1630" s="3">
        <v>3</v>
      </c>
      <c r="D1630" s="5" t="str">
        <f t="shared" si="55"/>
        <v>03</v>
      </c>
      <c r="E1630" t="str">
        <f>VLOOKUP(B1630,'HOGARES-BASELINE'!$B:$I,8,FALSE)</f>
        <v>01020473</v>
      </c>
      <c r="F1630" s="6" t="str">
        <f t="shared" si="56"/>
        <v>0102047303</v>
      </c>
    </row>
    <row r="1631" spans="1:6" x14ac:dyDescent="0.3">
      <c r="A1631" s="6" t="s">
        <v>1631</v>
      </c>
      <c r="B1631">
        <v>2699661</v>
      </c>
      <c r="C1631" s="3">
        <v>5</v>
      </c>
      <c r="D1631" s="5" t="str">
        <f t="shared" si="55"/>
        <v>05</v>
      </c>
      <c r="E1631" t="str">
        <f>VLOOKUP(B1631,'HOGARES-BASELINE'!$B:$I,8,FALSE)</f>
        <v>01020473</v>
      </c>
      <c r="F1631" s="6" t="str">
        <f t="shared" si="56"/>
        <v>0102047305</v>
      </c>
    </row>
    <row r="1632" spans="1:6" x14ac:dyDescent="0.3">
      <c r="A1632" s="6" t="s">
        <v>1632</v>
      </c>
      <c r="B1632">
        <v>2699661</v>
      </c>
      <c r="C1632" s="3">
        <v>1</v>
      </c>
      <c r="D1632" s="5" t="str">
        <f t="shared" si="55"/>
        <v>01</v>
      </c>
      <c r="E1632" t="str">
        <f>VLOOKUP(B1632,'HOGARES-BASELINE'!$B:$I,8,FALSE)</f>
        <v>01020473</v>
      </c>
      <c r="F1632" s="6" t="str">
        <f t="shared" si="56"/>
        <v>0102047301</v>
      </c>
    </row>
    <row r="1633" spans="1:6" x14ac:dyDescent="0.3">
      <c r="A1633" s="6" t="s">
        <v>1633</v>
      </c>
      <c r="B1633">
        <v>2699661</v>
      </c>
      <c r="C1633" s="3">
        <v>6</v>
      </c>
      <c r="D1633" s="5" t="str">
        <f t="shared" si="55"/>
        <v>06</v>
      </c>
      <c r="E1633" t="str">
        <f>VLOOKUP(B1633,'HOGARES-BASELINE'!$B:$I,8,FALSE)</f>
        <v>01020473</v>
      </c>
      <c r="F1633" s="6" t="str">
        <f t="shared" si="56"/>
        <v>0102047306</v>
      </c>
    </row>
    <row r="1634" spans="1:6" x14ac:dyDescent="0.3">
      <c r="A1634" s="6" t="s">
        <v>1634</v>
      </c>
      <c r="B1634">
        <v>2699661</v>
      </c>
      <c r="C1634" s="3">
        <v>4</v>
      </c>
      <c r="D1634" s="5" t="str">
        <f t="shared" si="55"/>
        <v>04</v>
      </c>
      <c r="E1634" t="str">
        <f>VLOOKUP(B1634,'HOGARES-BASELINE'!$B:$I,8,FALSE)</f>
        <v>01020473</v>
      </c>
      <c r="F1634" s="6" t="str">
        <f t="shared" si="56"/>
        <v>0102047304</v>
      </c>
    </row>
    <row r="1635" spans="1:6" x14ac:dyDescent="0.3">
      <c r="A1635" s="6" t="s">
        <v>1635</v>
      </c>
      <c r="B1635">
        <v>2699661</v>
      </c>
      <c r="C1635" s="3">
        <v>2</v>
      </c>
      <c r="D1635" s="5" t="str">
        <f t="shared" ref="D1635:D1698" si="57">_xlfn.CONCAT(0,C1635)</f>
        <v>02</v>
      </c>
      <c r="E1635" t="str">
        <f>VLOOKUP(B1635,'HOGARES-BASELINE'!$B:$I,8,FALSE)</f>
        <v>01020473</v>
      </c>
      <c r="F1635" s="6" t="str">
        <f t="shared" si="56"/>
        <v>0102047302</v>
      </c>
    </row>
    <row r="1636" spans="1:6" x14ac:dyDescent="0.3">
      <c r="A1636" s="6" t="s">
        <v>1636</v>
      </c>
      <c r="B1636">
        <v>27104551</v>
      </c>
      <c r="C1636" s="3">
        <v>1</v>
      </c>
      <c r="D1636" s="5" t="str">
        <f t="shared" si="57"/>
        <v>01</v>
      </c>
      <c r="E1636" t="str">
        <f>VLOOKUP(B1636,'HOGARES-BASELINE'!$B:$I,8,FALSE)</f>
        <v>00020474</v>
      </c>
      <c r="F1636" s="6" t="str">
        <f t="shared" si="56"/>
        <v>0002047401</v>
      </c>
    </row>
    <row r="1637" spans="1:6" x14ac:dyDescent="0.3">
      <c r="A1637" s="6" t="s">
        <v>1637</v>
      </c>
      <c r="B1637">
        <v>27104551</v>
      </c>
      <c r="C1637" s="3">
        <v>2</v>
      </c>
      <c r="D1637" s="5" t="str">
        <f t="shared" si="57"/>
        <v>02</v>
      </c>
      <c r="E1637" t="str">
        <f>VLOOKUP(B1637,'HOGARES-BASELINE'!$B:$I,8,FALSE)</f>
        <v>00020474</v>
      </c>
      <c r="F1637" s="6" t="str">
        <f t="shared" si="56"/>
        <v>0002047402</v>
      </c>
    </row>
    <row r="1638" spans="1:6" x14ac:dyDescent="0.3">
      <c r="A1638" s="6" t="s">
        <v>1638</v>
      </c>
      <c r="B1638">
        <v>27123795</v>
      </c>
      <c r="C1638" s="3">
        <v>2</v>
      </c>
      <c r="D1638" s="5" t="str">
        <f t="shared" si="57"/>
        <v>02</v>
      </c>
      <c r="E1638" t="str">
        <f>VLOOKUP(B1638,'HOGARES-BASELINE'!$B:$I,8,FALSE)</f>
        <v>00020475</v>
      </c>
      <c r="F1638" s="6" t="str">
        <f t="shared" si="56"/>
        <v>0002047502</v>
      </c>
    </row>
    <row r="1639" spans="1:6" x14ac:dyDescent="0.3">
      <c r="A1639" s="6" t="s">
        <v>1639</v>
      </c>
      <c r="B1639">
        <v>27123795</v>
      </c>
      <c r="C1639" s="3">
        <v>1</v>
      </c>
      <c r="D1639" s="5" t="str">
        <f t="shared" si="57"/>
        <v>01</v>
      </c>
      <c r="E1639" t="str">
        <f>VLOOKUP(B1639,'HOGARES-BASELINE'!$B:$I,8,FALSE)</f>
        <v>00020475</v>
      </c>
      <c r="F1639" s="6" t="str">
        <f t="shared" si="56"/>
        <v>0002047501</v>
      </c>
    </row>
    <row r="1640" spans="1:6" x14ac:dyDescent="0.3">
      <c r="A1640" s="6" t="s">
        <v>1640</v>
      </c>
      <c r="B1640">
        <v>2775711</v>
      </c>
      <c r="C1640" s="3">
        <v>1</v>
      </c>
      <c r="D1640" s="5" t="str">
        <f t="shared" si="57"/>
        <v>01</v>
      </c>
      <c r="E1640" t="str">
        <f>VLOOKUP(B1640,'HOGARES-BASELINE'!$B:$I,8,FALSE)</f>
        <v>00010476</v>
      </c>
      <c r="F1640" s="6" t="str">
        <f t="shared" si="56"/>
        <v>0001047601</v>
      </c>
    </row>
    <row r="1641" spans="1:6" x14ac:dyDescent="0.3">
      <c r="A1641" s="6" t="s">
        <v>1641</v>
      </c>
      <c r="B1641">
        <v>2775711</v>
      </c>
      <c r="C1641" s="3">
        <v>2</v>
      </c>
      <c r="D1641" s="5" t="str">
        <f t="shared" si="57"/>
        <v>02</v>
      </c>
      <c r="E1641" t="str">
        <f>VLOOKUP(B1641,'HOGARES-BASELINE'!$B:$I,8,FALSE)</f>
        <v>00010476</v>
      </c>
      <c r="F1641" s="6" t="str">
        <f t="shared" si="56"/>
        <v>0001047602</v>
      </c>
    </row>
    <row r="1642" spans="1:6" x14ac:dyDescent="0.3">
      <c r="A1642" s="6" t="s">
        <v>1642</v>
      </c>
      <c r="B1642">
        <v>28588708</v>
      </c>
      <c r="C1642" s="3">
        <v>2</v>
      </c>
      <c r="D1642" s="5" t="str">
        <f t="shared" si="57"/>
        <v>02</v>
      </c>
      <c r="E1642" t="str">
        <f>VLOOKUP(B1642,'HOGARES-BASELINE'!$B:$I,8,FALSE)</f>
        <v>01020477</v>
      </c>
      <c r="F1642" s="6" t="str">
        <f t="shared" si="56"/>
        <v>0102047702</v>
      </c>
    </row>
    <row r="1643" spans="1:6" x14ac:dyDescent="0.3">
      <c r="A1643" s="6" t="s">
        <v>1643</v>
      </c>
      <c r="B1643">
        <v>28588708</v>
      </c>
      <c r="C1643" s="3">
        <v>3</v>
      </c>
      <c r="D1643" s="5" t="str">
        <f t="shared" si="57"/>
        <v>03</v>
      </c>
      <c r="E1643" t="str">
        <f>VLOOKUP(B1643,'HOGARES-BASELINE'!$B:$I,8,FALSE)</f>
        <v>01020477</v>
      </c>
      <c r="F1643" s="6" t="str">
        <f t="shared" si="56"/>
        <v>0102047703</v>
      </c>
    </row>
    <row r="1644" spans="1:6" x14ac:dyDescent="0.3">
      <c r="A1644" s="6" t="s">
        <v>1644</v>
      </c>
      <c r="B1644">
        <v>28588708</v>
      </c>
      <c r="C1644" s="3">
        <v>1</v>
      </c>
      <c r="D1644" s="5" t="str">
        <f t="shared" si="57"/>
        <v>01</v>
      </c>
      <c r="E1644" t="str">
        <f>VLOOKUP(B1644,'HOGARES-BASELINE'!$B:$I,8,FALSE)</f>
        <v>01020477</v>
      </c>
      <c r="F1644" s="6" t="str">
        <f t="shared" si="56"/>
        <v>0102047701</v>
      </c>
    </row>
    <row r="1645" spans="1:6" x14ac:dyDescent="0.3">
      <c r="A1645" s="6" t="s">
        <v>1645</v>
      </c>
      <c r="B1645">
        <v>29105566</v>
      </c>
      <c r="C1645" s="3">
        <v>3</v>
      </c>
      <c r="D1645" s="5" t="str">
        <f t="shared" si="57"/>
        <v>03</v>
      </c>
      <c r="E1645" t="str">
        <f>VLOOKUP(B1645,'HOGARES-BASELINE'!$B:$I,8,FALSE)</f>
        <v>00020478</v>
      </c>
      <c r="F1645" s="6" t="str">
        <f t="shared" si="56"/>
        <v>0002047803</v>
      </c>
    </row>
    <row r="1646" spans="1:6" x14ac:dyDescent="0.3">
      <c r="A1646" s="6" t="s">
        <v>1646</v>
      </c>
      <c r="B1646">
        <v>29105566</v>
      </c>
      <c r="C1646" s="3">
        <v>5</v>
      </c>
      <c r="D1646" s="5" t="str">
        <f t="shared" si="57"/>
        <v>05</v>
      </c>
      <c r="E1646" t="str">
        <f>VLOOKUP(B1646,'HOGARES-BASELINE'!$B:$I,8,FALSE)</f>
        <v>00020478</v>
      </c>
      <c r="F1646" s="6" t="str">
        <f t="shared" si="56"/>
        <v>0002047805</v>
      </c>
    </row>
    <row r="1647" spans="1:6" x14ac:dyDescent="0.3">
      <c r="A1647" s="6" t="s">
        <v>1647</v>
      </c>
      <c r="B1647">
        <v>29105566</v>
      </c>
      <c r="C1647" s="3">
        <v>2</v>
      </c>
      <c r="D1647" s="5" t="str">
        <f t="shared" si="57"/>
        <v>02</v>
      </c>
      <c r="E1647" t="str">
        <f>VLOOKUP(B1647,'HOGARES-BASELINE'!$B:$I,8,FALSE)</f>
        <v>00020478</v>
      </c>
      <c r="F1647" s="6" t="str">
        <f t="shared" si="56"/>
        <v>0002047802</v>
      </c>
    </row>
    <row r="1648" spans="1:6" x14ac:dyDescent="0.3">
      <c r="A1648" s="6" t="s">
        <v>1648</v>
      </c>
      <c r="B1648">
        <v>29105566</v>
      </c>
      <c r="C1648" s="3">
        <v>4</v>
      </c>
      <c r="D1648" s="5" t="str">
        <f t="shared" si="57"/>
        <v>04</v>
      </c>
      <c r="E1648" t="str">
        <f>VLOOKUP(B1648,'HOGARES-BASELINE'!$B:$I,8,FALSE)</f>
        <v>00020478</v>
      </c>
      <c r="F1648" s="6" t="str">
        <f t="shared" si="56"/>
        <v>0002047804</v>
      </c>
    </row>
    <row r="1649" spans="1:6" x14ac:dyDescent="0.3">
      <c r="A1649" s="6" t="s">
        <v>1649</v>
      </c>
      <c r="B1649">
        <v>29105566</v>
      </c>
      <c r="C1649" s="3">
        <v>1</v>
      </c>
      <c r="D1649" s="5" t="str">
        <f t="shared" si="57"/>
        <v>01</v>
      </c>
      <c r="E1649" t="str">
        <f>VLOOKUP(B1649,'HOGARES-BASELINE'!$B:$I,8,FALSE)</f>
        <v>00020478</v>
      </c>
      <c r="F1649" s="6" t="str">
        <f t="shared" si="56"/>
        <v>0002047801</v>
      </c>
    </row>
    <row r="1650" spans="1:6" x14ac:dyDescent="0.3">
      <c r="A1650" s="6" t="s">
        <v>1650</v>
      </c>
      <c r="B1650">
        <v>29119222</v>
      </c>
      <c r="C1650" s="3">
        <v>1</v>
      </c>
      <c r="D1650" s="5" t="str">
        <f t="shared" si="57"/>
        <v>01</v>
      </c>
      <c r="E1650" t="str">
        <f>VLOOKUP(B1650,'HOGARES-BASELINE'!$B:$I,8,FALSE)</f>
        <v>01020479</v>
      </c>
      <c r="F1650" s="6" t="str">
        <f t="shared" si="56"/>
        <v>0102047901</v>
      </c>
    </row>
    <row r="1651" spans="1:6" x14ac:dyDescent="0.3">
      <c r="A1651" s="6" t="s">
        <v>1651</v>
      </c>
      <c r="B1651">
        <v>29119222</v>
      </c>
      <c r="C1651" s="3">
        <v>6</v>
      </c>
      <c r="D1651" s="5" t="str">
        <f t="shared" si="57"/>
        <v>06</v>
      </c>
      <c r="E1651" t="str">
        <f>VLOOKUP(B1651,'HOGARES-BASELINE'!$B:$I,8,FALSE)</f>
        <v>01020479</v>
      </c>
      <c r="F1651" s="6" t="str">
        <f t="shared" si="56"/>
        <v>0102047906</v>
      </c>
    </row>
    <row r="1652" spans="1:6" x14ac:dyDescent="0.3">
      <c r="A1652" s="6" t="s">
        <v>1652</v>
      </c>
      <c r="B1652">
        <v>29119222</v>
      </c>
      <c r="C1652" s="3">
        <v>3</v>
      </c>
      <c r="D1652" s="5" t="str">
        <f t="shared" si="57"/>
        <v>03</v>
      </c>
      <c r="E1652" t="str">
        <f>VLOOKUP(B1652,'HOGARES-BASELINE'!$B:$I,8,FALSE)</f>
        <v>01020479</v>
      </c>
      <c r="F1652" s="6" t="str">
        <f t="shared" si="56"/>
        <v>0102047903</v>
      </c>
    </row>
    <row r="1653" spans="1:6" x14ac:dyDescent="0.3">
      <c r="A1653" s="6" t="s">
        <v>1653</v>
      </c>
      <c r="B1653">
        <v>29119222</v>
      </c>
      <c r="C1653" s="3">
        <v>5</v>
      </c>
      <c r="D1653" s="5" t="str">
        <f t="shared" si="57"/>
        <v>05</v>
      </c>
      <c r="E1653" t="str">
        <f>VLOOKUP(B1653,'HOGARES-BASELINE'!$B:$I,8,FALSE)</f>
        <v>01020479</v>
      </c>
      <c r="F1653" s="6" t="str">
        <f t="shared" si="56"/>
        <v>0102047905</v>
      </c>
    </row>
    <row r="1654" spans="1:6" x14ac:dyDescent="0.3">
      <c r="A1654" s="6" t="s">
        <v>1654</v>
      </c>
      <c r="B1654">
        <v>29119222</v>
      </c>
      <c r="C1654" s="3">
        <v>4</v>
      </c>
      <c r="D1654" s="5" t="str">
        <f t="shared" si="57"/>
        <v>04</v>
      </c>
      <c r="E1654" t="str">
        <f>VLOOKUP(B1654,'HOGARES-BASELINE'!$B:$I,8,FALSE)</f>
        <v>01020479</v>
      </c>
      <c r="F1654" s="6" t="str">
        <f t="shared" si="56"/>
        <v>0102047904</v>
      </c>
    </row>
    <row r="1655" spans="1:6" x14ac:dyDescent="0.3">
      <c r="A1655" s="6" t="s">
        <v>1655</v>
      </c>
      <c r="B1655">
        <v>29119222</v>
      </c>
      <c r="C1655" s="3">
        <v>2</v>
      </c>
      <c r="D1655" s="5" t="str">
        <f t="shared" si="57"/>
        <v>02</v>
      </c>
      <c r="E1655" t="str">
        <f>VLOOKUP(B1655,'HOGARES-BASELINE'!$B:$I,8,FALSE)</f>
        <v>01020479</v>
      </c>
      <c r="F1655" s="6" t="str">
        <f t="shared" si="56"/>
        <v>0102047902</v>
      </c>
    </row>
    <row r="1656" spans="1:6" x14ac:dyDescent="0.3">
      <c r="A1656" s="6" t="s">
        <v>1656</v>
      </c>
      <c r="B1656">
        <v>29120687</v>
      </c>
      <c r="C1656" s="3">
        <v>1</v>
      </c>
      <c r="D1656" s="5" t="str">
        <f t="shared" si="57"/>
        <v>01</v>
      </c>
      <c r="E1656" t="str">
        <f>VLOOKUP(B1656,'HOGARES-BASELINE'!$B:$I,8,FALSE)</f>
        <v>00020480</v>
      </c>
      <c r="F1656" s="6" t="str">
        <f t="shared" si="56"/>
        <v>0002048001</v>
      </c>
    </row>
    <row r="1657" spans="1:6" x14ac:dyDescent="0.3">
      <c r="A1657" s="6" t="s">
        <v>1657</v>
      </c>
      <c r="B1657">
        <v>29120687</v>
      </c>
      <c r="C1657" s="3">
        <v>3</v>
      </c>
      <c r="D1657" s="5" t="str">
        <f t="shared" si="57"/>
        <v>03</v>
      </c>
      <c r="E1657" t="str">
        <f>VLOOKUP(B1657,'HOGARES-BASELINE'!$B:$I,8,FALSE)</f>
        <v>00020480</v>
      </c>
      <c r="F1657" s="6" t="str">
        <f t="shared" si="56"/>
        <v>0002048003</v>
      </c>
    </row>
    <row r="1658" spans="1:6" x14ac:dyDescent="0.3">
      <c r="A1658" s="6" t="s">
        <v>1658</v>
      </c>
      <c r="B1658">
        <v>29120687</v>
      </c>
      <c r="C1658" s="3">
        <v>2</v>
      </c>
      <c r="D1658" s="5" t="str">
        <f t="shared" si="57"/>
        <v>02</v>
      </c>
      <c r="E1658" t="str">
        <f>VLOOKUP(B1658,'HOGARES-BASELINE'!$B:$I,8,FALSE)</f>
        <v>00020480</v>
      </c>
      <c r="F1658" s="6" t="str">
        <f t="shared" si="56"/>
        <v>0002048002</v>
      </c>
    </row>
    <row r="1659" spans="1:6" x14ac:dyDescent="0.3">
      <c r="A1659" s="6" t="s">
        <v>1659</v>
      </c>
      <c r="B1659">
        <v>29177698</v>
      </c>
      <c r="C1659" s="3">
        <v>2</v>
      </c>
      <c r="D1659" s="5" t="str">
        <f t="shared" si="57"/>
        <v>02</v>
      </c>
      <c r="E1659" t="str">
        <f>VLOOKUP(B1659,'HOGARES-BASELINE'!$B:$I,8,FALSE)</f>
        <v>00020481</v>
      </c>
      <c r="F1659" s="6" t="str">
        <f t="shared" si="56"/>
        <v>0002048102</v>
      </c>
    </row>
    <row r="1660" spans="1:6" x14ac:dyDescent="0.3">
      <c r="A1660" s="6" t="s">
        <v>1660</v>
      </c>
      <c r="B1660">
        <v>29177698</v>
      </c>
      <c r="C1660" s="3">
        <v>4</v>
      </c>
      <c r="D1660" s="5" t="str">
        <f t="shared" si="57"/>
        <v>04</v>
      </c>
      <c r="E1660" t="str">
        <f>VLOOKUP(B1660,'HOGARES-BASELINE'!$B:$I,8,FALSE)</f>
        <v>00020481</v>
      </c>
      <c r="F1660" s="6" t="str">
        <f t="shared" si="56"/>
        <v>0002048104</v>
      </c>
    </row>
    <row r="1661" spans="1:6" x14ac:dyDescent="0.3">
      <c r="A1661" s="6" t="s">
        <v>1661</v>
      </c>
      <c r="B1661">
        <v>29177698</v>
      </c>
      <c r="C1661" s="3">
        <v>3</v>
      </c>
      <c r="D1661" s="5" t="str">
        <f t="shared" si="57"/>
        <v>03</v>
      </c>
      <c r="E1661" t="str">
        <f>VLOOKUP(B1661,'HOGARES-BASELINE'!$B:$I,8,FALSE)</f>
        <v>00020481</v>
      </c>
      <c r="F1661" s="6" t="str">
        <f t="shared" si="56"/>
        <v>0002048103</v>
      </c>
    </row>
    <row r="1662" spans="1:6" x14ac:dyDescent="0.3">
      <c r="A1662" s="6" t="s">
        <v>1662</v>
      </c>
      <c r="B1662">
        <v>29177698</v>
      </c>
      <c r="C1662" s="3">
        <v>1</v>
      </c>
      <c r="D1662" s="5" t="str">
        <f t="shared" si="57"/>
        <v>01</v>
      </c>
      <c r="E1662" t="str">
        <f>VLOOKUP(B1662,'HOGARES-BASELINE'!$B:$I,8,FALSE)</f>
        <v>00020481</v>
      </c>
      <c r="F1662" s="6" t="str">
        <f t="shared" si="56"/>
        <v>0002048101</v>
      </c>
    </row>
    <row r="1663" spans="1:6" x14ac:dyDescent="0.3">
      <c r="A1663" s="6" t="s">
        <v>1663</v>
      </c>
      <c r="B1663">
        <v>29178636</v>
      </c>
      <c r="C1663" s="3">
        <v>1</v>
      </c>
      <c r="D1663" s="5" t="str">
        <f t="shared" si="57"/>
        <v>01</v>
      </c>
      <c r="E1663" t="str">
        <f>VLOOKUP(B1663,'HOGARES-BASELINE'!$B:$I,8,FALSE)</f>
        <v>00020482</v>
      </c>
      <c r="F1663" s="6" t="str">
        <f t="shared" si="56"/>
        <v>0002048201</v>
      </c>
    </row>
    <row r="1664" spans="1:6" x14ac:dyDescent="0.3">
      <c r="A1664" s="6" t="s">
        <v>1664</v>
      </c>
      <c r="B1664">
        <v>29179765</v>
      </c>
      <c r="C1664" s="3">
        <v>1</v>
      </c>
      <c r="D1664" s="5" t="str">
        <f t="shared" si="57"/>
        <v>01</v>
      </c>
      <c r="E1664" t="str">
        <f>VLOOKUP(B1664,'HOGARES-BASELINE'!$B:$I,8,FALSE)</f>
        <v>01020483</v>
      </c>
      <c r="F1664" s="6" t="str">
        <f t="shared" si="56"/>
        <v>0102048301</v>
      </c>
    </row>
    <row r="1665" spans="1:6" x14ac:dyDescent="0.3">
      <c r="A1665" s="6" t="s">
        <v>1665</v>
      </c>
      <c r="B1665">
        <v>29179765</v>
      </c>
      <c r="C1665" s="3">
        <v>2</v>
      </c>
      <c r="D1665" s="5" t="str">
        <f t="shared" si="57"/>
        <v>02</v>
      </c>
      <c r="E1665" t="str">
        <f>VLOOKUP(B1665,'HOGARES-BASELINE'!$B:$I,8,FALSE)</f>
        <v>01020483</v>
      </c>
      <c r="F1665" s="6" t="str">
        <f t="shared" si="56"/>
        <v>0102048302</v>
      </c>
    </row>
    <row r="1666" spans="1:6" x14ac:dyDescent="0.3">
      <c r="A1666" s="6" t="s">
        <v>1666</v>
      </c>
      <c r="B1666">
        <v>29179902</v>
      </c>
      <c r="C1666" s="3">
        <v>2</v>
      </c>
      <c r="D1666" s="5" t="str">
        <f t="shared" si="57"/>
        <v>02</v>
      </c>
      <c r="E1666" t="str">
        <f>VLOOKUP(B1666,'HOGARES-BASELINE'!$B:$I,8,FALSE)</f>
        <v>00020484</v>
      </c>
      <c r="F1666" s="6" t="str">
        <f t="shared" si="56"/>
        <v>0002048402</v>
      </c>
    </row>
    <row r="1667" spans="1:6" x14ac:dyDescent="0.3">
      <c r="A1667" s="6" t="s">
        <v>1667</v>
      </c>
      <c r="B1667">
        <v>29179902</v>
      </c>
      <c r="C1667" s="3">
        <v>1</v>
      </c>
      <c r="D1667" s="5" t="str">
        <f t="shared" si="57"/>
        <v>01</v>
      </c>
      <c r="E1667" t="str">
        <f>VLOOKUP(B1667,'HOGARES-BASELINE'!$B:$I,8,FALSE)</f>
        <v>00020484</v>
      </c>
      <c r="F1667" s="6" t="str">
        <f t="shared" ref="F1667:F1730" si="58">_xlfn.CONCAT(E1667,D1667)</f>
        <v>0002048401</v>
      </c>
    </row>
    <row r="1668" spans="1:6" x14ac:dyDescent="0.3">
      <c r="A1668" s="6" t="s">
        <v>1668</v>
      </c>
      <c r="B1668">
        <v>29179902</v>
      </c>
      <c r="C1668" s="3">
        <v>3</v>
      </c>
      <c r="D1668" s="5" t="str">
        <f t="shared" si="57"/>
        <v>03</v>
      </c>
      <c r="E1668" t="str">
        <f>VLOOKUP(B1668,'HOGARES-BASELINE'!$B:$I,8,FALSE)</f>
        <v>00020484</v>
      </c>
      <c r="F1668" s="6" t="str">
        <f t="shared" si="58"/>
        <v>0002048403</v>
      </c>
    </row>
    <row r="1669" spans="1:6" x14ac:dyDescent="0.3">
      <c r="A1669" s="6" t="s">
        <v>1669</v>
      </c>
      <c r="B1669">
        <v>29346502</v>
      </c>
      <c r="C1669" s="3">
        <v>2</v>
      </c>
      <c r="D1669" s="5" t="str">
        <f t="shared" si="57"/>
        <v>02</v>
      </c>
      <c r="E1669" t="str">
        <f>VLOOKUP(B1669,'HOGARES-BASELINE'!$B:$I,8,FALSE)</f>
        <v>01020485</v>
      </c>
      <c r="F1669" s="6" t="str">
        <f t="shared" si="58"/>
        <v>0102048502</v>
      </c>
    </row>
    <row r="1670" spans="1:6" x14ac:dyDescent="0.3">
      <c r="A1670" s="6" t="s">
        <v>1670</v>
      </c>
      <c r="B1670">
        <v>29346502</v>
      </c>
      <c r="C1670" s="3">
        <v>3</v>
      </c>
      <c r="D1670" s="5" t="str">
        <f t="shared" si="57"/>
        <v>03</v>
      </c>
      <c r="E1670" t="str">
        <f>VLOOKUP(B1670,'HOGARES-BASELINE'!$B:$I,8,FALSE)</f>
        <v>01020485</v>
      </c>
      <c r="F1670" s="6" t="str">
        <f t="shared" si="58"/>
        <v>0102048503</v>
      </c>
    </row>
    <row r="1671" spans="1:6" x14ac:dyDescent="0.3">
      <c r="A1671" s="6" t="s">
        <v>1671</v>
      </c>
      <c r="B1671">
        <v>29346502</v>
      </c>
      <c r="C1671" s="3">
        <v>4</v>
      </c>
      <c r="D1671" s="5" t="str">
        <f t="shared" si="57"/>
        <v>04</v>
      </c>
      <c r="E1671" t="str">
        <f>VLOOKUP(B1671,'HOGARES-BASELINE'!$B:$I,8,FALSE)</f>
        <v>01020485</v>
      </c>
      <c r="F1671" s="6" t="str">
        <f t="shared" si="58"/>
        <v>0102048504</v>
      </c>
    </row>
    <row r="1672" spans="1:6" x14ac:dyDescent="0.3">
      <c r="A1672" s="6" t="s">
        <v>1672</v>
      </c>
      <c r="B1672">
        <v>29346502</v>
      </c>
      <c r="C1672" s="3">
        <v>1</v>
      </c>
      <c r="D1672" s="5" t="str">
        <f t="shared" si="57"/>
        <v>01</v>
      </c>
      <c r="E1672" t="str">
        <f>VLOOKUP(B1672,'HOGARES-BASELINE'!$B:$I,8,FALSE)</f>
        <v>01020485</v>
      </c>
      <c r="F1672" s="6" t="str">
        <f t="shared" si="58"/>
        <v>0102048501</v>
      </c>
    </row>
    <row r="1673" spans="1:6" x14ac:dyDescent="0.3">
      <c r="A1673" s="6" t="s">
        <v>1673</v>
      </c>
      <c r="B1673">
        <v>29377098</v>
      </c>
      <c r="C1673" s="3">
        <v>1</v>
      </c>
      <c r="D1673" s="5" t="str">
        <f t="shared" si="57"/>
        <v>01</v>
      </c>
      <c r="E1673" t="str">
        <f>VLOOKUP(B1673,'HOGARES-BASELINE'!$B:$I,8,FALSE)</f>
        <v>00020486</v>
      </c>
      <c r="F1673" s="6" t="str">
        <f t="shared" si="58"/>
        <v>0002048601</v>
      </c>
    </row>
    <row r="1674" spans="1:6" x14ac:dyDescent="0.3">
      <c r="A1674" s="6" t="s">
        <v>1674</v>
      </c>
      <c r="B1674">
        <v>29377098</v>
      </c>
      <c r="C1674" s="3">
        <v>2</v>
      </c>
      <c r="D1674" s="5" t="str">
        <f t="shared" si="57"/>
        <v>02</v>
      </c>
      <c r="E1674" t="str">
        <f>VLOOKUP(B1674,'HOGARES-BASELINE'!$B:$I,8,FALSE)</f>
        <v>00020486</v>
      </c>
      <c r="F1674" s="6" t="str">
        <f t="shared" si="58"/>
        <v>0002048602</v>
      </c>
    </row>
    <row r="1675" spans="1:6" x14ac:dyDescent="0.3">
      <c r="A1675" s="6" t="s">
        <v>1675</v>
      </c>
      <c r="B1675">
        <v>29398776</v>
      </c>
      <c r="C1675" s="3">
        <v>4</v>
      </c>
      <c r="D1675" s="5" t="str">
        <f t="shared" si="57"/>
        <v>04</v>
      </c>
      <c r="E1675" t="str">
        <f>VLOOKUP(B1675,'HOGARES-BASELINE'!$B:$I,8,FALSE)</f>
        <v>00020487</v>
      </c>
      <c r="F1675" s="6" t="str">
        <f t="shared" si="58"/>
        <v>0002048704</v>
      </c>
    </row>
    <row r="1676" spans="1:6" x14ac:dyDescent="0.3">
      <c r="A1676" s="6" t="s">
        <v>1676</v>
      </c>
      <c r="B1676">
        <v>29398776</v>
      </c>
      <c r="C1676" s="3">
        <v>2</v>
      </c>
      <c r="D1676" s="5" t="str">
        <f t="shared" si="57"/>
        <v>02</v>
      </c>
      <c r="E1676" t="str">
        <f>VLOOKUP(B1676,'HOGARES-BASELINE'!$B:$I,8,FALSE)</f>
        <v>00020487</v>
      </c>
      <c r="F1676" s="6" t="str">
        <f t="shared" si="58"/>
        <v>0002048702</v>
      </c>
    </row>
    <row r="1677" spans="1:6" x14ac:dyDescent="0.3">
      <c r="A1677" s="6" t="s">
        <v>1677</v>
      </c>
      <c r="B1677">
        <v>29398776</v>
      </c>
      <c r="C1677" s="3">
        <v>3</v>
      </c>
      <c r="D1677" s="5" t="str">
        <f t="shared" si="57"/>
        <v>03</v>
      </c>
      <c r="E1677" t="str">
        <f>VLOOKUP(B1677,'HOGARES-BASELINE'!$B:$I,8,FALSE)</f>
        <v>00020487</v>
      </c>
      <c r="F1677" s="6" t="str">
        <f t="shared" si="58"/>
        <v>0002048703</v>
      </c>
    </row>
    <row r="1678" spans="1:6" x14ac:dyDescent="0.3">
      <c r="A1678" s="6" t="s">
        <v>1678</v>
      </c>
      <c r="B1678">
        <v>29398776</v>
      </c>
      <c r="C1678" s="3">
        <v>1</v>
      </c>
      <c r="D1678" s="5" t="str">
        <f t="shared" si="57"/>
        <v>01</v>
      </c>
      <c r="E1678" t="str">
        <f>VLOOKUP(B1678,'HOGARES-BASELINE'!$B:$I,8,FALSE)</f>
        <v>00020487</v>
      </c>
      <c r="F1678" s="6" t="str">
        <f t="shared" si="58"/>
        <v>0002048701</v>
      </c>
    </row>
    <row r="1679" spans="1:6" x14ac:dyDescent="0.3">
      <c r="A1679" s="6" t="s">
        <v>1679</v>
      </c>
      <c r="B1679">
        <v>29534923</v>
      </c>
      <c r="C1679" s="3">
        <v>1</v>
      </c>
      <c r="D1679" s="5" t="str">
        <f t="shared" si="57"/>
        <v>01</v>
      </c>
      <c r="E1679" t="str">
        <f>VLOOKUP(B1679,'HOGARES-BASELINE'!$B:$I,8,FALSE)</f>
        <v>00020488</v>
      </c>
      <c r="F1679" s="6" t="str">
        <f t="shared" si="58"/>
        <v>0002048801</v>
      </c>
    </row>
    <row r="1680" spans="1:6" x14ac:dyDescent="0.3">
      <c r="A1680" s="6" t="s">
        <v>1680</v>
      </c>
      <c r="B1680">
        <v>29534923</v>
      </c>
      <c r="C1680" s="3">
        <v>4</v>
      </c>
      <c r="D1680" s="5" t="str">
        <f t="shared" si="57"/>
        <v>04</v>
      </c>
      <c r="E1680" t="str">
        <f>VLOOKUP(B1680,'HOGARES-BASELINE'!$B:$I,8,FALSE)</f>
        <v>00020488</v>
      </c>
      <c r="F1680" s="6" t="str">
        <f t="shared" si="58"/>
        <v>0002048804</v>
      </c>
    </row>
    <row r="1681" spans="1:6" x14ac:dyDescent="0.3">
      <c r="A1681" s="6" t="s">
        <v>1681</v>
      </c>
      <c r="B1681">
        <v>29534923</v>
      </c>
      <c r="C1681" s="3">
        <v>3</v>
      </c>
      <c r="D1681" s="5" t="str">
        <f t="shared" si="57"/>
        <v>03</v>
      </c>
      <c r="E1681" t="str">
        <f>VLOOKUP(B1681,'HOGARES-BASELINE'!$B:$I,8,FALSE)</f>
        <v>00020488</v>
      </c>
      <c r="F1681" s="6" t="str">
        <f t="shared" si="58"/>
        <v>0002048803</v>
      </c>
    </row>
    <row r="1682" spans="1:6" x14ac:dyDescent="0.3">
      <c r="A1682" s="6" t="s">
        <v>1682</v>
      </c>
      <c r="B1682">
        <v>29534923</v>
      </c>
      <c r="C1682" s="3">
        <v>2</v>
      </c>
      <c r="D1682" s="5" t="str">
        <f t="shared" si="57"/>
        <v>02</v>
      </c>
      <c r="E1682" t="str">
        <f>VLOOKUP(B1682,'HOGARES-BASELINE'!$B:$I,8,FALSE)</f>
        <v>00020488</v>
      </c>
      <c r="F1682" s="6" t="str">
        <f t="shared" si="58"/>
        <v>0002048802</v>
      </c>
    </row>
    <row r="1683" spans="1:6" x14ac:dyDescent="0.3">
      <c r="A1683" s="6" t="s">
        <v>1683</v>
      </c>
      <c r="B1683">
        <v>29555202</v>
      </c>
      <c r="C1683" s="3">
        <v>1</v>
      </c>
      <c r="D1683" s="5" t="str">
        <f t="shared" si="57"/>
        <v>01</v>
      </c>
      <c r="E1683" t="str">
        <f>VLOOKUP(B1683,'HOGARES-BASELINE'!$B:$I,8,FALSE)</f>
        <v>00020489</v>
      </c>
      <c r="F1683" s="6" t="str">
        <f t="shared" si="58"/>
        <v>0002048901</v>
      </c>
    </row>
    <row r="1684" spans="1:6" x14ac:dyDescent="0.3">
      <c r="A1684" s="6" t="s">
        <v>1684</v>
      </c>
      <c r="B1684">
        <v>29563232</v>
      </c>
      <c r="C1684" s="3">
        <v>1</v>
      </c>
      <c r="D1684" s="5" t="str">
        <f t="shared" si="57"/>
        <v>01</v>
      </c>
      <c r="E1684" t="str">
        <f>VLOOKUP(B1684,'HOGARES-BASELINE'!$B:$I,8,FALSE)</f>
        <v>01020490</v>
      </c>
      <c r="F1684" s="6" t="str">
        <f t="shared" si="58"/>
        <v>0102049001</v>
      </c>
    </row>
    <row r="1685" spans="1:6" x14ac:dyDescent="0.3">
      <c r="A1685" s="6" t="s">
        <v>1685</v>
      </c>
      <c r="B1685">
        <v>29563360</v>
      </c>
      <c r="C1685" s="3">
        <v>1</v>
      </c>
      <c r="D1685" s="5" t="str">
        <f t="shared" si="57"/>
        <v>01</v>
      </c>
      <c r="E1685" t="str">
        <f>VLOOKUP(B1685,'HOGARES-BASELINE'!$B:$I,8,FALSE)</f>
        <v>01020491</v>
      </c>
      <c r="F1685" s="6" t="str">
        <f t="shared" si="58"/>
        <v>0102049101</v>
      </c>
    </row>
    <row r="1686" spans="1:6" x14ac:dyDescent="0.3">
      <c r="A1686" s="6" t="s">
        <v>1686</v>
      </c>
      <c r="B1686">
        <v>29563360</v>
      </c>
      <c r="C1686" s="3">
        <v>2</v>
      </c>
      <c r="D1686" s="5" t="str">
        <f t="shared" si="57"/>
        <v>02</v>
      </c>
      <c r="E1686" t="str">
        <f>VLOOKUP(B1686,'HOGARES-BASELINE'!$B:$I,8,FALSE)</f>
        <v>01020491</v>
      </c>
      <c r="F1686" s="6" t="str">
        <f t="shared" si="58"/>
        <v>0102049102</v>
      </c>
    </row>
    <row r="1687" spans="1:6" x14ac:dyDescent="0.3">
      <c r="A1687" s="6" t="s">
        <v>1687</v>
      </c>
      <c r="B1687">
        <v>29563360</v>
      </c>
      <c r="C1687" s="3">
        <v>3</v>
      </c>
      <c r="D1687" s="5" t="str">
        <f t="shared" si="57"/>
        <v>03</v>
      </c>
      <c r="E1687" t="str">
        <f>VLOOKUP(B1687,'HOGARES-BASELINE'!$B:$I,8,FALSE)</f>
        <v>01020491</v>
      </c>
      <c r="F1687" s="6" t="str">
        <f t="shared" si="58"/>
        <v>0102049103</v>
      </c>
    </row>
    <row r="1688" spans="1:6" x14ac:dyDescent="0.3">
      <c r="A1688" s="6" t="s">
        <v>1688</v>
      </c>
      <c r="B1688">
        <v>29568155</v>
      </c>
      <c r="C1688" s="3">
        <v>1</v>
      </c>
      <c r="D1688" s="5" t="str">
        <f t="shared" si="57"/>
        <v>01</v>
      </c>
      <c r="E1688" t="str">
        <f>VLOOKUP(B1688,'HOGARES-BASELINE'!$B:$I,8,FALSE)</f>
        <v>00020492</v>
      </c>
      <c r="F1688" s="6" t="str">
        <f t="shared" si="58"/>
        <v>0002049201</v>
      </c>
    </row>
    <row r="1689" spans="1:6" x14ac:dyDescent="0.3">
      <c r="A1689" s="6" t="s">
        <v>1689</v>
      </c>
      <c r="B1689">
        <v>29686407</v>
      </c>
      <c r="C1689" s="3">
        <v>1</v>
      </c>
      <c r="D1689" s="5" t="str">
        <f t="shared" si="57"/>
        <v>01</v>
      </c>
      <c r="E1689" t="str">
        <f>VLOOKUP(B1689,'HOGARES-BASELINE'!$B:$I,8,FALSE)</f>
        <v>01020493</v>
      </c>
      <c r="F1689" s="6" t="str">
        <f t="shared" si="58"/>
        <v>0102049301</v>
      </c>
    </row>
    <row r="1690" spans="1:6" x14ac:dyDescent="0.3">
      <c r="A1690" s="6" t="s">
        <v>1690</v>
      </c>
      <c r="B1690">
        <v>29686407</v>
      </c>
      <c r="C1690" s="3">
        <v>2</v>
      </c>
      <c r="D1690" s="5" t="str">
        <f t="shared" si="57"/>
        <v>02</v>
      </c>
      <c r="E1690" t="str">
        <f>VLOOKUP(B1690,'HOGARES-BASELINE'!$B:$I,8,FALSE)</f>
        <v>01020493</v>
      </c>
      <c r="F1690" s="6" t="str">
        <f t="shared" si="58"/>
        <v>0102049302</v>
      </c>
    </row>
    <row r="1691" spans="1:6" x14ac:dyDescent="0.3">
      <c r="A1691" s="6" t="s">
        <v>1691</v>
      </c>
      <c r="B1691">
        <v>29703356</v>
      </c>
      <c r="C1691" s="3">
        <v>1</v>
      </c>
      <c r="D1691" s="5" t="str">
        <f t="shared" si="57"/>
        <v>01</v>
      </c>
      <c r="E1691" t="str">
        <f>VLOOKUP(B1691,'HOGARES-BASELINE'!$B:$I,8,FALSE)</f>
        <v>00020494</v>
      </c>
      <c r="F1691" s="6" t="str">
        <f t="shared" si="58"/>
        <v>0002049401</v>
      </c>
    </row>
    <row r="1692" spans="1:6" x14ac:dyDescent="0.3">
      <c r="A1692" s="6" t="s">
        <v>1692</v>
      </c>
      <c r="B1692">
        <v>29703356</v>
      </c>
      <c r="C1692" s="3">
        <v>2</v>
      </c>
      <c r="D1692" s="5" t="str">
        <f t="shared" si="57"/>
        <v>02</v>
      </c>
      <c r="E1692" t="str">
        <f>VLOOKUP(B1692,'HOGARES-BASELINE'!$B:$I,8,FALSE)</f>
        <v>00020494</v>
      </c>
      <c r="F1692" s="6" t="str">
        <f t="shared" si="58"/>
        <v>0002049402</v>
      </c>
    </row>
    <row r="1693" spans="1:6" x14ac:dyDescent="0.3">
      <c r="A1693" s="6" t="s">
        <v>1693</v>
      </c>
      <c r="B1693">
        <v>29703356</v>
      </c>
      <c r="C1693" s="3">
        <v>3</v>
      </c>
      <c r="D1693" s="5" t="str">
        <f t="shared" si="57"/>
        <v>03</v>
      </c>
      <c r="E1693" t="str">
        <f>VLOOKUP(B1693,'HOGARES-BASELINE'!$B:$I,8,FALSE)</f>
        <v>00020494</v>
      </c>
      <c r="F1693" s="6" t="str">
        <f t="shared" si="58"/>
        <v>0002049403</v>
      </c>
    </row>
    <row r="1694" spans="1:6" x14ac:dyDescent="0.3">
      <c r="A1694" s="6" t="s">
        <v>1694</v>
      </c>
      <c r="B1694">
        <v>30402150</v>
      </c>
      <c r="C1694" s="3">
        <v>6</v>
      </c>
      <c r="D1694" s="5" t="str">
        <f t="shared" si="57"/>
        <v>06</v>
      </c>
      <c r="E1694" t="str">
        <f>VLOOKUP(B1694,'HOGARES-BASELINE'!$B:$I,8,FALSE)</f>
        <v>01010495</v>
      </c>
      <c r="F1694" s="6" t="str">
        <f t="shared" si="58"/>
        <v>0101049506</v>
      </c>
    </row>
    <row r="1695" spans="1:6" x14ac:dyDescent="0.3">
      <c r="A1695" s="6" t="s">
        <v>1695</v>
      </c>
      <c r="B1695">
        <v>30402150</v>
      </c>
      <c r="C1695" s="3">
        <v>2</v>
      </c>
      <c r="D1695" s="5" t="str">
        <f t="shared" si="57"/>
        <v>02</v>
      </c>
      <c r="E1695" t="str">
        <f>VLOOKUP(B1695,'HOGARES-BASELINE'!$B:$I,8,FALSE)</f>
        <v>01010495</v>
      </c>
      <c r="F1695" s="6" t="str">
        <f t="shared" si="58"/>
        <v>0101049502</v>
      </c>
    </row>
    <row r="1696" spans="1:6" x14ac:dyDescent="0.3">
      <c r="A1696" s="6" t="s">
        <v>1696</v>
      </c>
      <c r="B1696">
        <v>30402150</v>
      </c>
      <c r="C1696" s="3">
        <v>3</v>
      </c>
      <c r="D1696" s="5" t="str">
        <f t="shared" si="57"/>
        <v>03</v>
      </c>
      <c r="E1696" t="str">
        <f>VLOOKUP(B1696,'HOGARES-BASELINE'!$B:$I,8,FALSE)</f>
        <v>01010495</v>
      </c>
      <c r="F1696" s="6" t="str">
        <f t="shared" si="58"/>
        <v>0101049503</v>
      </c>
    </row>
    <row r="1697" spans="1:6" x14ac:dyDescent="0.3">
      <c r="A1697" s="6" t="s">
        <v>1697</v>
      </c>
      <c r="B1697">
        <v>30402150</v>
      </c>
      <c r="C1697" s="3">
        <v>4</v>
      </c>
      <c r="D1697" s="5" t="str">
        <f t="shared" si="57"/>
        <v>04</v>
      </c>
      <c r="E1697" t="str">
        <f>VLOOKUP(B1697,'HOGARES-BASELINE'!$B:$I,8,FALSE)</f>
        <v>01010495</v>
      </c>
      <c r="F1697" s="6" t="str">
        <f t="shared" si="58"/>
        <v>0101049504</v>
      </c>
    </row>
    <row r="1698" spans="1:6" x14ac:dyDescent="0.3">
      <c r="A1698" s="6" t="s">
        <v>1698</v>
      </c>
      <c r="B1698">
        <v>30402150</v>
      </c>
      <c r="C1698" s="3">
        <v>5</v>
      </c>
      <c r="D1698" s="5" t="str">
        <f t="shared" si="57"/>
        <v>05</v>
      </c>
      <c r="E1698" t="str">
        <f>VLOOKUP(B1698,'HOGARES-BASELINE'!$B:$I,8,FALSE)</f>
        <v>01010495</v>
      </c>
      <c r="F1698" s="6" t="str">
        <f t="shared" si="58"/>
        <v>0101049505</v>
      </c>
    </row>
    <row r="1699" spans="1:6" x14ac:dyDescent="0.3">
      <c r="A1699" s="6" t="s">
        <v>1699</v>
      </c>
      <c r="B1699">
        <v>30402150</v>
      </c>
      <c r="C1699" s="3">
        <v>1</v>
      </c>
      <c r="D1699" s="5" t="str">
        <f t="shared" ref="D1699:D1762" si="59">_xlfn.CONCAT(0,C1699)</f>
        <v>01</v>
      </c>
      <c r="E1699" t="str">
        <f>VLOOKUP(B1699,'HOGARES-BASELINE'!$B:$I,8,FALSE)</f>
        <v>01010495</v>
      </c>
      <c r="F1699" s="6" t="str">
        <f t="shared" si="58"/>
        <v>0101049501</v>
      </c>
    </row>
    <row r="1700" spans="1:6" x14ac:dyDescent="0.3">
      <c r="A1700" s="6" t="s">
        <v>1700</v>
      </c>
      <c r="B1700">
        <v>30579593</v>
      </c>
      <c r="C1700" s="3">
        <v>2</v>
      </c>
      <c r="D1700" s="5" t="str">
        <f t="shared" si="59"/>
        <v>02</v>
      </c>
      <c r="E1700" t="str">
        <f>VLOOKUP(B1700,'HOGARES-BASELINE'!$B:$I,8,FALSE)</f>
        <v>00030496</v>
      </c>
      <c r="F1700" s="6" t="str">
        <f t="shared" si="58"/>
        <v>0003049602</v>
      </c>
    </row>
    <row r="1701" spans="1:6" x14ac:dyDescent="0.3">
      <c r="A1701" s="6" t="s">
        <v>1701</v>
      </c>
      <c r="B1701">
        <v>30579593</v>
      </c>
      <c r="C1701" s="3">
        <v>1</v>
      </c>
      <c r="D1701" s="5" t="str">
        <f t="shared" si="59"/>
        <v>01</v>
      </c>
      <c r="E1701" t="str">
        <f>VLOOKUP(B1701,'HOGARES-BASELINE'!$B:$I,8,FALSE)</f>
        <v>00030496</v>
      </c>
      <c r="F1701" s="6" t="str">
        <f t="shared" si="58"/>
        <v>0003049601</v>
      </c>
    </row>
    <row r="1702" spans="1:6" x14ac:dyDescent="0.3">
      <c r="A1702" s="6" t="s">
        <v>1702</v>
      </c>
      <c r="B1702">
        <v>30855437</v>
      </c>
      <c r="C1702" s="3">
        <v>1</v>
      </c>
      <c r="D1702" s="5" t="str">
        <f t="shared" si="59"/>
        <v>01</v>
      </c>
      <c r="E1702" t="str">
        <f>VLOOKUP(B1702,'HOGARES-BASELINE'!$B:$I,8,FALSE)</f>
        <v>00030497</v>
      </c>
      <c r="F1702" s="6" t="str">
        <f t="shared" si="58"/>
        <v>0003049701</v>
      </c>
    </row>
    <row r="1703" spans="1:6" x14ac:dyDescent="0.3">
      <c r="A1703" s="6" t="s">
        <v>1703</v>
      </c>
      <c r="B1703">
        <v>30855437</v>
      </c>
      <c r="C1703" s="3">
        <v>2</v>
      </c>
      <c r="D1703" s="5" t="str">
        <f t="shared" si="59"/>
        <v>02</v>
      </c>
      <c r="E1703" t="str">
        <f>VLOOKUP(B1703,'HOGARES-BASELINE'!$B:$I,8,FALSE)</f>
        <v>00030497</v>
      </c>
      <c r="F1703" s="6" t="str">
        <f t="shared" si="58"/>
        <v>0003049702</v>
      </c>
    </row>
    <row r="1704" spans="1:6" x14ac:dyDescent="0.3">
      <c r="A1704" s="6" t="s">
        <v>1704</v>
      </c>
      <c r="B1704">
        <v>31162284</v>
      </c>
      <c r="C1704" s="3">
        <v>1</v>
      </c>
      <c r="D1704" s="5" t="str">
        <f t="shared" si="59"/>
        <v>01</v>
      </c>
      <c r="E1704" t="str">
        <f>VLOOKUP(B1704,'HOGARES-BASELINE'!$B:$I,8,FALSE)</f>
        <v>00020498</v>
      </c>
      <c r="F1704" s="6" t="str">
        <f t="shared" si="58"/>
        <v>0002049801</v>
      </c>
    </row>
    <row r="1705" spans="1:6" x14ac:dyDescent="0.3">
      <c r="A1705" s="6" t="s">
        <v>1705</v>
      </c>
      <c r="B1705">
        <v>31162284</v>
      </c>
      <c r="C1705" s="3">
        <v>2</v>
      </c>
      <c r="D1705" s="5" t="str">
        <f t="shared" si="59"/>
        <v>02</v>
      </c>
      <c r="E1705" t="str">
        <f>VLOOKUP(B1705,'HOGARES-BASELINE'!$B:$I,8,FALSE)</f>
        <v>00020498</v>
      </c>
      <c r="F1705" s="6" t="str">
        <f t="shared" si="58"/>
        <v>0002049802</v>
      </c>
    </row>
    <row r="1706" spans="1:6" x14ac:dyDescent="0.3">
      <c r="A1706" s="6" t="s">
        <v>1706</v>
      </c>
      <c r="B1706">
        <v>31214997</v>
      </c>
      <c r="C1706" s="3">
        <v>1</v>
      </c>
      <c r="D1706" s="5" t="str">
        <f t="shared" si="59"/>
        <v>01</v>
      </c>
      <c r="E1706" t="str">
        <f>VLOOKUP(B1706,'HOGARES-BASELINE'!$B:$I,8,FALSE)</f>
        <v>01020499</v>
      </c>
      <c r="F1706" s="6" t="str">
        <f t="shared" si="58"/>
        <v>0102049901</v>
      </c>
    </row>
    <row r="1707" spans="1:6" x14ac:dyDescent="0.3">
      <c r="A1707" s="6" t="s">
        <v>1707</v>
      </c>
      <c r="B1707">
        <v>31219519</v>
      </c>
      <c r="C1707" s="3">
        <v>5</v>
      </c>
      <c r="D1707" s="5" t="str">
        <f t="shared" si="59"/>
        <v>05</v>
      </c>
      <c r="E1707" t="str">
        <f>VLOOKUP(B1707,'HOGARES-BASELINE'!$B:$I,8,FALSE)</f>
        <v>00020500</v>
      </c>
      <c r="F1707" s="6" t="str">
        <f t="shared" si="58"/>
        <v>0002050005</v>
      </c>
    </row>
    <row r="1708" spans="1:6" x14ac:dyDescent="0.3">
      <c r="A1708" s="6" t="s">
        <v>1708</v>
      </c>
      <c r="B1708">
        <v>31219519</v>
      </c>
      <c r="C1708" s="3">
        <v>3</v>
      </c>
      <c r="D1708" s="5" t="str">
        <f t="shared" si="59"/>
        <v>03</v>
      </c>
      <c r="E1708" t="str">
        <f>VLOOKUP(B1708,'HOGARES-BASELINE'!$B:$I,8,FALSE)</f>
        <v>00020500</v>
      </c>
      <c r="F1708" s="6" t="str">
        <f t="shared" si="58"/>
        <v>0002050003</v>
      </c>
    </row>
    <row r="1709" spans="1:6" x14ac:dyDescent="0.3">
      <c r="A1709" s="6" t="s">
        <v>1709</v>
      </c>
      <c r="B1709">
        <v>31219519</v>
      </c>
      <c r="C1709" s="3">
        <v>4</v>
      </c>
      <c r="D1709" s="5" t="str">
        <f t="shared" si="59"/>
        <v>04</v>
      </c>
      <c r="E1709" t="str">
        <f>VLOOKUP(B1709,'HOGARES-BASELINE'!$B:$I,8,FALSE)</f>
        <v>00020500</v>
      </c>
      <c r="F1709" s="6" t="str">
        <f t="shared" si="58"/>
        <v>0002050004</v>
      </c>
    </row>
    <row r="1710" spans="1:6" x14ac:dyDescent="0.3">
      <c r="A1710" s="6" t="s">
        <v>1710</v>
      </c>
      <c r="B1710">
        <v>31219519</v>
      </c>
      <c r="C1710" s="3">
        <v>1</v>
      </c>
      <c r="D1710" s="5" t="str">
        <f t="shared" si="59"/>
        <v>01</v>
      </c>
      <c r="E1710" t="str">
        <f>VLOOKUP(B1710,'HOGARES-BASELINE'!$B:$I,8,FALSE)</f>
        <v>00020500</v>
      </c>
      <c r="F1710" s="6" t="str">
        <f t="shared" si="58"/>
        <v>0002050001</v>
      </c>
    </row>
    <row r="1711" spans="1:6" x14ac:dyDescent="0.3">
      <c r="A1711" s="6" t="s">
        <v>1711</v>
      </c>
      <c r="B1711">
        <v>31219519</v>
      </c>
      <c r="C1711" s="3">
        <v>2</v>
      </c>
      <c r="D1711" s="5" t="str">
        <f t="shared" si="59"/>
        <v>02</v>
      </c>
      <c r="E1711" t="str">
        <f>VLOOKUP(B1711,'HOGARES-BASELINE'!$B:$I,8,FALSE)</f>
        <v>00020500</v>
      </c>
      <c r="F1711" s="6" t="str">
        <f t="shared" si="58"/>
        <v>0002050002</v>
      </c>
    </row>
    <row r="1712" spans="1:6" x14ac:dyDescent="0.3">
      <c r="A1712" s="6" t="s">
        <v>1712</v>
      </c>
      <c r="B1712">
        <v>31223132</v>
      </c>
      <c r="C1712" s="3">
        <v>1</v>
      </c>
      <c r="D1712" s="5" t="str">
        <f t="shared" si="59"/>
        <v>01</v>
      </c>
      <c r="E1712" t="str">
        <f>VLOOKUP(B1712,'HOGARES-BASELINE'!$B:$I,8,FALSE)</f>
        <v>00020501</v>
      </c>
      <c r="F1712" s="6" t="str">
        <f t="shared" si="58"/>
        <v>0002050101</v>
      </c>
    </row>
    <row r="1713" spans="1:6" x14ac:dyDescent="0.3">
      <c r="A1713" s="6" t="s">
        <v>1713</v>
      </c>
      <c r="B1713">
        <v>31223132</v>
      </c>
      <c r="C1713" s="3">
        <v>2</v>
      </c>
      <c r="D1713" s="5" t="str">
        <f t="shared" si="59"/>
        <v>02</v>
      </c>
      <c r="E1713" t="str">
        <f>VLOOKUP(B1713,'HOGARES-BASELINE'!$B:$I,8,FALSE)</f>
        <v>00020501</v>
      </c>
      <c r="F1713" s="6" t="str">
        <f t="shared" si="58"/>
        <v>0002050102</v>
      </c>
    </row>
    <row r="1714" spans="1:6" x14ac:dyDescent="0.3">
      <c r="A1714" s="6" t="s">
        <v>1714</v>
      </c>
      <c r="B1714">
        <v>31231329</v>
      </c>
      <c r="C1714" s="3">
        <v>3</v>
      </c>
      <c r="D1714" s="5" t="str">
        <f t="shared" si="59"/>
        <v>03</v>
      </c>
      <c r="E1714" t="str">
        <f>VLOOKUP(B1714,'HOGARES-BASELINE'!$B:$I,8,FALSE)</f>
        <v>00020502</v>
      </c>
      <c r="F1714" s="6" t="str">
        <f t="shared" si="58"/>
        <v>0002050203</v>
      </c>
    </row>
    <row r="1715" spans="1:6" x14ac:dyDescent="0.3">
      <c r="A1715" s="6" t="s">
        <v>1715</v>
      </c>
      <c r="B1715">
        <v>31231329</v>
      </c>
      <c r="C1715" s="3">
        <v>2</v>
      </c>
      <c r="D1715" s="5" t="str">
        <f t="shared" si="59"/>
        <v>02</v>
      </c>
      <c r="E1715" t="str">
        <f>VLOOKUP(B1715,'HOGARES-BASELINE'!$B:$I,8,FALSE)</f>
        <v>00020502</v>
      </c>
      <c r="F1715" s="6" t="str">
        <f t="shared" si="58"/>
        <v>0002050202</v>
      </c>
    </row>
    <row r="1716" spans="1:6" x14ac:dyDescent="0.3">
      <c r="A1716" s="6" t="s">
        <v>1716</v>
      </c>
      <c r="B1716">
        <v>31231329</v>
      </c>
      <c r="C1716" s="3">
        <v>1</v>
      </c>
      <c r="D1716" s="5" t="str">
        <f t="shared" si="59"/>
        <v>01</v>
      </c>
      <c r="E1716" t="str">
        <f>VLOOKUP(B1716,'HOGARES-BASELINE'!$B:$I,8,FALSE)</f>
        <v>00020502</v>
      </c>
      <c r="F1716" s="6" t="str">
        <f t="shared" si="58"/>
        <v>0002050201</v>
      </c>
    </row>
    <row r="1717" spans="1:6" x14ac:dyDescent="0.3">
      <c r="A1717" s="6" t="s">
        <v>1717</v>
      </c>
      <c r="B1717">
        <v>31244762</v>
      </c>
      <c r="C1717" s="3">
        <v>1</v>
      </c>
      <c r="D1717" s="5" t="str">
        <f t="shared" si="59"/>
        <v>01</v>
      </c>
      <c r="E1717" t="str">
        <f>VLOOKUP(B1717,'HOGARES-BASELINE'!$B:$I,8,FALSE)</f>
        <v>00020503</v>
      </c>
      <c r="F1717" s="6" t="str">
        <f t="shared" si="58"/>
        <v>0002050301</v>
      </c>
    </row>
    <row r="1718" spans="1:6" x14ac:dyDescent="0.3">
      <c r="A1718" s="6" t="s">
        <v>1718</v>
      </c>
      <c r="B1718">
        <v>31248209</v>
      </c>
      <c r="C1718" s="3">
        <v>2</v>
      </c>
      <c r="D1718" s="5" t="str">
        <f t="shared" si="59"/>
        <v>02</v>
      </c>
      <c r="E1718" t="str">
        <f>VLOOKUP(B1718,'HOGARES-BASELINE'!$B:$I,8,FALSE)</f>
        <v>00020504</v>
      </c>
      <c r="F1718" s="6" t="str">
        <f t="shared" si="58"/>
        <v>0002050402</v>
      </c>
    </row>
    <row r="1719" spans="1:6" x14ac:dyDescent="0.3">
      <c r="A1719" s="6" t="s">
        <v>1719</v>
      </c>
      <c r="B1719">
        <v>31248209</v>
      </c>
      <c r="C1719" s="3">
        <v>1</v>
      </c>
      <c r="D1719" s="5" t="str">
        <f t="shared" si="59"/>
        <v>01</v>
      </c>
      <c r="E1719" t="str">
        <f>VLOOKUP(B1719,'HOGARES-BASELINE'!$B:$I,8,FALSE)</f>
        <v>00020504</v>
      </c>
      <c r="F1719" s="6" t="str">
        <f t="shared" si="58"/>
        <v>0002050401</v>
      </c>
    </row>
    <row r="1720" spans="1:6" x14ac:dyDescent="0.3">
      <c r="A1720" s="6" t="s">
        <v>1720</v>
      </c>
      <c r="B1720">
        <v>31249710</v>
      </c>
      <c r="C1720" s="3">
        <v>4</v>
      </c>
      <c r="D1720" s="5" t="str">
        <f t="shared" si="59"/>
        <v>04</v>
      </c>
      <c r="E1720" t="str">
        <f>VLOOKUP(B1720,'HOGARES-BASELINE'!$B:$I,8,FALSE)</f>
        <v>00020505</v>
      </c>
      <c r="F1720" s="6" t="str">
        <f t="shared" si="58"/>
        <v>0002050504</v>
      </c>
    </row>
    <row r="1721" spans="1:6" x14ac:dyDescent="0.3">
      <c r="A1721" s="6" t="s">
        <v>1721</v>
      </c>
      <c r="B1721">
        <v>31249710</v>
      </c>
      <c r="C1721" s="3">
        <v>3</v>
      </c>
      <c r="D1721" s="5" t="str">
        <f t="shared" si="59"/>
        <v>03</v>
      </c>
      <c r="E1721" t="str">
        <f>VLOOKUP(B1721,'HOGARES-BASELINE'!$B:$I,8,FALSE)</f>
        <v>00020505</v>
      </c>
      <c r="F1721" s="6" t="str">
        <f t="shared" si="58"/>
        <v>0002050503</v>
      </c>
    </row>
    <row r="1722" spans="1:6" x14ac:dyDescent="0.3">
      <c r="A1722" s="6" t="s">
        <v>1722</v>
      </c>
      <c r="B1722">
        <v>31249710</v>
      </c>
      <c r="C1722" s="3">
        <v>6</v>
      </c>
      <c r="D1722" s="5" t="str">
        <f t="shared" si="59"/>
        <v>06</v>
      </c>
      <c r="E1722" t="str">
        <f>VLOOKUP(B1722,'HOGARES-BASELINE'!$B:$I,8,FALSE)</f>
        <v>00020505</v>
      </c>
      <c r="F1722" s="6" t="str">
        <f t="shared" si="58"/>
        <v>0002050506</v>
      </c>
    </row>
    <row r="1723" spans="1:6" x14ac:dyDescent="0.3">
      <c r="A1723" s="6" t="s">
        <v>1723</v>
      </c>
      <c r="B1723">
        <v>31249710</v>
      </c>
      <c r="C1723" s="3">
        <v>5</v>
      </c>
      <c r="D1723" s="5" t="str">
        <f t="shared" si="59"/>
        <v>05</v>
      </c>
      <c r="E1723" t="str">
        <f>VLOOKUP(B1723,'HOGARES-BASELINE'!$B:$I,8,FALSE)</f>
        <v>00020505</v>
      </c>
      <c r="F1723" s="6" t="str">
        <f t="shared" si="58"/>
        <v>0002050505</v>
      </c>
    </row>
    <row r="1724" spans="1:6" x14ac:dyDescent="0.3">
      <c r="A1724" s="6" t="s">
        <v>1724</v>
      </c>
      <c r="B1724">
        <v>31249710</v>
      </c>
      <c r="C1724" s="3">
        <v>2</v>
      </c>
      <c r="D1724" s="5" t="str">
        <f t="shared" si="59"/>
        <v>02</v>
      </c>
      <c r="E1724" t="str">
        <f>VLOOKUP(B1724,'HOGARES-BASELINE'!$B:$I,8,FALSE)</f>
        <v>00020505</v>
      </c>
      <c r="F1724" s="6" t="str">
        <f t="shared" si="58"/>
        <v>0002050502</v>
      </c>
    </row>
    <row r="1725" spans="1:6" x14ac:dyDescent="0.3">
      <c r="A1725" s="6" t="s">
        <v>1725</v>
      </c>
      <c r="B1725">
        <v>31249710</v>
      </c>
      <c r="C1725" s="3">
        <v>1</v>
      </c>
      <c r="D1725" s="5" t="str">
        <f t="shared" si="59"/>
        <v>01</v>
      </c>
      <c r="E1725" t="str">
        <f>VLOOKUP(B1725,'HOGARES-BASELINE'!$B:$I,8,FALSE)</f>
        <v>00020505</v>
      </c>
      <c r="F1725" s="6" t="str">
        <f t="shared" si="58"/>
        <v>0002050501</v>
      </c>
    </row>
    <row r="1726" spans="1:6" x14ac:dyDescent="0.3">
      <c r="A1726" s="6" t="s">
        <v>1726</v>
      </c>
      <c r="B1726">
        <v>31255887</v>
      </c>
      <c r="C1726" s="3">
        <v>2</v>
      </c>
      <c r="D1726" s="5" t="str">
        <f t="shared" si="59"/>
        <v>02</v>
      </c>
      <c r="E1726" t="str">
        <f>VLOOKUP(B1726,'HOGARES-BASELINE'!$B:$I,8,FALSE)</f>
        <v>00020506</v>
      </c>
      <c r="F1726" s="6" t="str">
        <f t="shared" si="58"/>
        <v>0002050602</v>
      </c>
    </row>
    <row r="1727" spans="1:6" x14ac:dyDescent="0.3">
      <c r="A1727" s="6" t="s">
        <v>1727</v>
      </c>
      <c r="B1727">
        <v>31255887</v>
      </c>
      <c r="C1727" s="3">
        <v>4</v>
      </c>
      <c r="D1727" s="5" t="str">
        <f t="shared" si="59"/>
        <v>04</v>
      </c>
      <c r="E1727" t="str">
        <f>VLOOKUP(B1727,'HOGARES-BASELINE'!$B:$I,8,FALSE)</f>
        <v>00020506</v>
      </c>
      <c r="F1727" s="6" t="str">
        <f t="shared" si="58"/>
        <v>0002050604</v>
      </c>
    </row>
    <row r="1728" spans="1:6" x14ac:dyDescent="0.3">
      <c r="A1728" s="6" t="s">
        <v>1728</v>
      </c>
      <c r="B1728">
        <v>31255887</v>
      </c>
      <c r="C1728" s="3">
        <v>3</v>
      </c>
      <c r="D1728" s="5" t="str">
        <f t="shared" si="59"/>
        <v>03</v>
      </c>
      <c r="E1728" t="str">
        <f>VLOOKUP(B1728,'HOGARES-BASELINE'!$B:$I,8,FALSE)</f>
        <v>00020506</v>
      </c>
      <c r="F1728" s="6" t="str">
        <f t="shared" si="58"/>
        <v>0002050603</v>
      </c>
    </row>
    <row r="1729" spans="1:6" x14ac:dyDescent="0.3">
      <c r="A1729" s="6" t="s">
        <v>1729</v>
      </c>
      <c r="B1729">
        <v>31255887</v>
      </c>
      <c r="C1729" s="3">
        <v>1</v>
      </c>
      <c r="D1729" s="5" t="str">
        <f t="shared" si="59"/>
        <v>01</v>
      </c>
      <c r="E1729" t="str">
        <f>VLOOKUP(B1729,'HOGARES-BASELINE'!$B:$I,8,FALSE)</f>
        <v>00020506</v>
      </c>
      <c r="F1729" s="6" t="str">
        <f t="shared" si="58"/>
        <v>0002050601</v>
      </c>
    </row>
    <row r="1730" spans="1:6" x14ac:dyDescent="0.3">
      <c r="A1730" s="6" t="s">
        <v>1730</v>
      </c>
      <c r="B1730">
        <v>31264863</v>
      </c>
      <c r="C1730" s="3">
        <v>2</v>
      </c>
      <c r="D1730" s="5" t="str">
        <f t="shared" si="59"/>
        <v>02</v>
      </c>
      <c r="E1730" t="str">
        <f>VLOOKUP(B1730,'HOGARES-BASELINE'!$B:$I,8,FALSE)</f>
        <v>00020507</v>
      </c>
      <c r="F1730" s="6" t="str">
        <f t="shared" si="58"/>
        <v>0002050702</v>
      </c>
    </row>
    <row r="1731" spans="1:6" x14ac:dyDescent="0.3">
      <c r="A1731" s="6" t="s">
        <v>1731</v>
      </c>
      <c r="B1731">
        <v>31264863</v>
      </c>
      <c r="C1731" s="3">
        <v>1</v>
      </c>
      <c r="D1731" s="5" t="str">
        <f t="shared" si="59"/>
        <v>01</v>
      </c>
      <c r="E1731" t="str">
        <f>VLOOKUP(B1731,'HOGARES-BASELINE'!$B:$I,8,FALSE)</f>
        <v>00020507</v>
      </c>
      <c r="F1731" s="6" t="str">
        <f t="shared" ref="F1731:F1794" si="60">_xlfn.CONCAT(E1731,D1731)</f>
        <v>0002050701</v>
      </c>
    </row>
    <row r="1732" spans="1:6" x14ac:dyDescent="0.3">
      <c r="A1732" s="6" t="s">
        <v>1732</v>
      </c>
      <c r="B1732">
        <v>31264863</v>
      </c>
      <c r="C1732" s="3">
        <v>3</v>
      </c>
      <c r="D1732" s="5" t="str">
        <f t="shared" si="59"/>
        <v>03</v>
      </c>
      <c r="E1732" t="str">
        <f>VLOOKUP(B1732,'HOGARES-BASELINE'!$B:$I,8,FALSE)</f>
        <v>00020507</v>
      </c>
      <c r="F1732" s="6" t="str">
        <f t="shared" si="60"/>
        <v>0002050703</v>
      </c>
    </row>
    <row r="1733" spans="1:6" x14ac:dyDescent="0.3">
      <c r="A1733" s="6" t="s">
        <v>1733</v>
      </c>
      <c r="B1733">
        <v>31264907</v>
      </c>
      <c r="C1733" s="3">
        <v>2</v>
      </c>
      <c r="D1733" s="5" t="str">
        <f t="shared" si="59"/>
        <v>02</v>
      </c>
      <c r="E1733" t="str">
        <f>VLOOKUP(B1733,'HOGARES-BASELINE'!$B:$I,8,FALSE)</f>
        <v>00020508</v>
      </c>
      <c r="F1733" s="6" t="str">
        <f t="shared" si="60"/>
        <v>0002050802</v>
      </c>
    </row>
    <row r="1734" spans="1:6" x14ac:dyDescent="0.3">
      <c r="A1734" s="6" t="s">
        <v>1734</v>
      </c>
      <c r="B1734">
        <v>31264907</v>
      </c>
      <c r="C1734" s="3">
        <v>1</v>
      </c>
      <c r="D1734" s="5" t="str">
        <f t="shared" si="59"/>
        <v>01</v>
      </c>
      <c r="E1734" t="str">
        <f>VLOOKUP(B1734,'HOGARES-BASELINE'!$B:$I,8,FALSE)</f>
        <v>00020508</v>
      </c>
      <c r="F1734" s="6" t="str">
        <f t="shared" si="60"/>
        <v>0002050801</v>
      </c>
    </row>
    <row r="1735" spans="1:6" x14ac:dyDescent="0.3">
      <c r="A1735" s="6" t="s">
        <v>1735</v>
      </c>
      <c r="B1735">
        <v>31272555</v>
      </c>
      <c r="C1735" s="3">
        <v>1</v>
      </c>
      <c r="D1735" s="5" t="str">
        <f t="shared" si="59"/>
        <v>01</v>
      </c>
      <c r="E1735" t="str">
        <f>VLOOKUP(B1735,'HOGARES-BASELINE'!$B:$I,8,FALSE)</f>
        <v>00020509</v>
      </c>
      <c r="F1735" s="6" t="str">
        <f t="shared" si="60"/>
        <v>0002050901</v>
      </c>
    </row>
    <row r="1736" spans="1:6" x14ac:dyDescent="0.3">
      <c r="A1736" s="6" t="s">
        <v>1736</v>
      </c>
      <c r="B1736">
        <v>31282345</v>
      </c>
      <c r="C1736" s="3">
        <v>1</v>
      </c>
      <c r="D1736" s="5" t="str">
        <f t="shared" si="59"/>
        <v>01</v>
      </c>
      <c r="E1736" t="str">
        <f>VLOOKUP(B1736,'HOGARES-BASELINE'!$B:$I,8,FALSE)</f>
        <v>01020510</v>
      </c>
      <c r="F1736" s="6" t="str">
        <f t="shared" si="60"/>
        <v>0102051001</v>
      </c>
    </row>
    <row r="1737" spans="1:6" x14ac:dyDescent="0.3">
      <c r="A1737" s="6" t="s">
        <v>1737</v>
      </c>
      <c r="B1737">
        <v>31282655</v>
      </c>
      <c r="C1737" s="3">
        <v>2</v>
      </c>
      <c r="D1737" s="5" t="str">
        <f t="shared" si="59"/>
        <v>02</v>
      </c>
      <c r="E1737" t="str">
        <f>VLOOKUP(B1737,'HOGARES-BASELINE'!$B:$I,8,FALSE)</f>
        <v>00020511</v>
      </c>
      <c r="F1737" s="6" t="str">
        <f t="shared" si="60"/>
        <v>0002051102</v>
      </c>
    </row>
    <row r="1738" spans="1:6" x14ac:dyDescent="0.3">
      <c r="A1738" s="6" t="s">
        <v>1738</v>
      </c>
      <c r="B1738">
        <v>31282655</v>
      </c>
      <c r="C1738" s="3">
        <v>1</v>
      </c>
      <c r="D1738" s="5" t="str">
        <f t="shared" si="59"/>
        <v>01</v>
      </c>
      <c r="E1738" t="str">
        <f>VLOOKUP(B1738,'HOGARES-BASELINE'!$B:$I,8,FALSE)</f>
        <v>00020511</v>
      </c>
      <c r="F1738" s="6" t="str">
        <f t="shared" si="60"/>
        <v>0002051101</v>
      </c>
    </row>
    <row r="1739" spans="1:6" x14ac:dyDescent="0.3">
      <c r="A1739" s="6" t="s">
        <v>1739</v>
      </c>
      <c r="B1739">
        <v>31282655</v>
      </c>
      <c r="C1739" s="3">
        <v>3</v>
      </c>
      <c r="D1739" s="5" t="str">
        <f t="shared" si="59"/>
        <v>03</v>
      </c>
      <c r="E1739" t="str">
        <f>VLOOKUP(B1739,'HOGARES-BASELINE'!$B:$I,8,FALSE)</f>
        <v>00020511</v>
      </c>
      <c r="F1739" s="6" t="str">
        <f t="shared" si="60"/>
        <v>0002051103</v>
      </c>
    </row>
    <row r="1740" spans="1:6" x14ac:dyDescent="0.3">
      <c r="A1740" s="6" t="s">
        <v>1740</v>
      </c>
      <c r="B1740">
        <v>31288307</v>
      </c>
      <c r="C1740" s="3">
        <v>1</v>
      </c>
      <c r="D1740" s="5" t="str">
        <f t="shared" si="59"/>
        <v>01</v>
      </c>
      <c r="E1740" t="str">
        <f>VLOOKUP(B1740,'HOGARES-BASELINE'!$B:$I,8,FALSE)</f>
        <v>01020512</v>
      </c>
      <c r="F1740" s="6" t="str">
        <f t="shared" si="60"/>
        <v>0102051201</v>
      </c>
    </row>
    <row r="1741" spans="1:6" x14ac:dyDescent="0.3">
      <c r="A1741" s="6" t="s">
        <v>1741</v>
      </c>
      <c r="B1741">
        <v>31288307</v>
      </c>
      <c r="C1741" s="3">
        <v>2</v>
      </c>
      <c r="D1741" s="5" t="str">
        <f t="shared" si="59"/>
        <v>02</v>
      </c>
      <c r="E1741" t="str">
        <f>VLOOKUP(B1741,'HOGARES-BASELINE'!$B:$I,8,FALSE)</f>
        <v>01020512</v>
      </c>
      <c r="F1741" s="6" t="str">
        <f t="shared" si="60"/>
        <v>0102051202</v>
      </c>
    </row>
    <row r="1742" spans="1:6" x14ac:dyDescent="0.3">
      <c r="A1742" s="6" t="s">
        <v>1742</v>
      </c>
      <c r="B1742">
        <v>31288307</v>
      </c>
      <c r="C1742" s="3">
        <v>3</v>
      </c>
      <c r="D1742" s="5" t="str">
        <f t="shared" si="59"/>
        <v>03</v>
      </c>
      <c r="E1742" t="str">
        <f>VLOOKUP(B1742,'HOGARES-BASELINE'!$B:$I,8,FALSE)</f>
        <v>01020512</v>
      </c>
      <c r="F1742" s="6" t="str">
        <f t="shared" si="60"/>
        <v>0102051203</v>
      </c>
    </row>
    <row r="1743" spans="1:6" x14ac:dyDescent="0.3">
      <c r="A1743" s="6" t="s">
        <v>1743</v>
      </c>
      <c r="B1743">
        <v>31289498</v>
      </c>
      <c r="C1743" s="3">
        <v>2</v>
      </c>
      <c r="D1743" s="5" t="str">
        <f t="shared" si="59"/>
        <v>02</v>
      </c>
      <c r="E1743" t="str">
        <f>VLOOKUP(B1743,'HOGARES-BASELINE'!$B:$I,8,FALSE)</f>
        <v>01020513</v>
      </c>
      <c r="F1743" s="6" t="str">
        <f t="shared" si="60"/>
        <v>0102051302</v>
      </c>
    </row>
    <row r="1744" spans="1:6" x14ac:dyDescent="0.3">
      <c r="A1744" s="6" t="s">
        <v>1744</v>
      </c>
      <c r="B1744">
        <v>31289498</v>
      </c>
      <c r="C1744" s="3">
        <v>1</v>
      </c>
      <c r="D1744" s="5" t="str">
        <f t="shared" si="59"/>
        <v>01</v>
      </c>
      <c r="E1744" t="str">
        <f>VLOOKUP(B1744,'HOGARES-BASELINE'!$B:$I,8,FALSE)</f>
        <v>01020513</v>
      </c>
      <c r="F1744" s="6" t="str">
        <f t="shared" si="60"/>
        <v>0102051301</v>
      </c>
    </row>
    <row r="1745" spans="1:6" x14ac:dyDescent="0.3">
      <c r="A1745" s="6" t="s">
        <v>1745</v>
      </c>
      <c r="B1745">
        <v>31295696</v>
      </c>
      <c r="C1745" s="3">
        <v>2</v>
      </c>
      <c r="D1745" s="5" t="str">
        <f t="shared" si="59"/>
        <v>02</v>
      </c>
      <c r="E1745" t="str">
        <f>VLOOKUP(B1745,'HOGARES-BASELINE'!$B:$I,8,FALSE)</f>
        <v>00020514</v>
      </c>
      <c r="F1745" s="6" t="str">
        <f t="shared" si="60"/>
        <v>0002051402</v>
      </c>
    </row>
    <row r="1746" spans="1:6" x14ac:dyDescent="0.3">
      <c r="A1746" s="6" t="s">
        <v>1746</v>
      </c>
      <c r="B1746">
        <v>31295696</v>
      </c>
      <c r="C1746" s="3">
        <v>1</v>
      </c>
      <c r="D1746" s="5" t="str">
        <f t="shared" si="59"/>
        <v>01</v>
      </c>
      <c r="E1746" t="str">
        <f>VLOOKUP(B1746,'HOGARES-BASELINE'!$B:$I,8,FALSE)</f>
        <v>00020514</v>
      </c>
      <c r="F1746" s="6" t="str">
        <f t="shared" si="60"/>
        <v>0002051401</v>
      </c>
    </row>
    <row r="1747" spans="1:6" x14ac:dyDescent="0.3">
      <c r="A1747" s="6" t="s">
        <v>1747</v>
      </c>
      <c r="B1747">
        <v>31298525</v>
      </c>
      <c r="C1747" s="3">
        <v>2</v>
      </c>
      <c r="D1747" s="5" t="str">
        <f t="shared" si="59"/>
        <v>02</v>
      </c>
      <c r="E1747" t="str">
        <f>VLOOKUP(B1747,'HOGARES-BASELINE'!$B:$I,8,FALSE)</f>
        <v>01020515</v>
      </c>
      <c r="F1747" s="6" t="str">
        <f t="shared" si="60"/>
        <v>0102051502</v>
      </c>
    </row>
    <row r="1748" spans="1:6" x14ac:dyDescent="0.3">
      <c r="A1748" s="6" t="s">
        <v>1748</v>
      </c>
      <c r="B1748">
        <v>31298525</v>
      </c>
      <c r="C1748" s="3">
        <v>3</v>
      </c>
      <c r="D1748" s="5" t="str">
        <f t="shared" si="59"/>
        <v>03</v>
      </c>
      <c r="E1748" t="str">
        <f>VLOOKUP(B1748,'HOGARES-BASELINE'!$B:$I,8,FALSE)</f>
        <v>01020515</v>
      </c>
      <c r="F1748" s="6" t="str">
        <f t="shared" si="60"/>
        <v>0102051503</v>
      </c>
    </row>
    <row r="1749" spans="1:6" x14ac:dyDescent="0.3">
      <c r="A1749" s="6" t="s">
        <v>1749</v>
      </c>
      <c r="B1749">
        <v>31298525</v>
      </c>
      <c r="C1749" s="3">
        <v>1</v>
      </c>
      <c r="D1749" s="5" t="str">
        <f t="shared" si="59"/>
        <v>01</v>
      </c>
      <c r="E1749" t="str">
        <f>VLOOKUP(B1749,'HOGARES-BASELINE'!$B:$I,8,FALSE)</f>
        <v>01020515</v>
      </c>
      <c r="F1749" s="6" t="str">
        <f t="shared" si="60"/>
        <v>0102051501</v>
      </c>
    </row>
    <row r="1750" spans="1:6" x14ac:dyDescent="0.3">
      <c r="A1750" s="6" t="s">
        <v>1750</v>
      </c>
      <c r="B1750">
        <v>31299759</v>
      </c>
      <c r="C1750" s="3">
        <v>1</v>
      </c>
      <c r="D1750" s="5" t="str">
        <f t="shared" si="59"/>
        <v>01</v>
      </c>
      <c r="E1750" t="str">
        <f>VLOOKUP(B1750,'HOGARES-BASELINE'!$B:$I,8,FALSE)</f>
        <v>00020516</v>
      </c>
      <c r="F1750" s="6" t="str">
        <f t="shared" si="60"/>
        <v>0002051601</v>
      </c>
    </row>
    <row r="1751" spans="1:6" x14ac:dyDescent="0.3">
      <c r="A1751" s="6" t="s">
        <v>1751</v>
      </c>
      <c r="B1751">
        <v>31299759</v>
      </c>
      <c r="C1751" s="3">
        <v>2</v>
      </c>
      <c r="D1751" s="5" t="str">
        <f t="shared" si="59"/>
        <v>02</v>
      </c>
      <c r="E1751" t="str">
        <f>VLOOKUP(B1751,'HOGARES-BASELINE'!$B:$I,8,FALSE)</f>
        <v>00020516</v>
      </c>
      <c r="F1751" s="6" t="str">
        <f t="shared" si="60"/>
        <v>0002051602</v>
      </c>
    </row>
    <row r="1752" spans="1:6" x14ac:dyDescent="0.3">
      <c r="A1752" s="6" t="s">
        <v>1752</v>
      </c>
      <c r="B1752">
        <v>31304801</v>
      </c>
      <c r="C1752" s="3">
        <v>1</v>
      </c>
      <c r="D1752" s="5" t="str">
        <f t="shared" si="59"/>
        <v>01</v>
      </c>
      <c r="E1752" t="str">
        <f>VLOOKUP(B1752,'HOGARES-BASELINE'!$B:$I,8,FALSE)</f>
        <v>01020517</v>
      </c>
      <c r="F1752" s="6" t="str">
        <f t="shared" si="60"/>
        <v>0102051701</v>
      </c>
    </row>
    <row r="1753" spans="1:6" x14ac:dyDescent="0.3">
      <c r="A1753" s="6" t="s">
        <v>1753</v>
      </c>
      <c r="B1753">
        <v>31304801</v>
      </c>
      <c r="C1753" s="3">
        <v>3</v>
      </c>
      <c r="D1753" s="5" t="str">
        <f t="shared" si="59"/>
        <v>03</v>
      </c>
      <c r="E1753" t="str">
        <f>VLOOKUP(B1753,'HOGARES-BASELINE'!$B:$I,8,FALSE)</f>
        <v>01020517</v>
      </c>
      <c r="F1753" s="6" t="str">
        <f t="shared" si="60"/>
        <v>0102051703</v>
      </c>
    </row>
    <row r="1754" spans="1:6" x14ac:dyDescent="0.3">
      <c r="A1754" s="6" t="s">
        <v>1754</v>
      </c>
      <c r="B1754">
        <v>31304801</v>
      </c>
      <c r="C1754" s="3">
        <v>2</v>
      </c>
      <c r="D1754" s="5" t="str">
        <f t="shared" si="59"/>
        <v>02</v>
      </c>
      <c r="E1754" t="str">
        <f>VLOOKUP(B1754,'HOGARES-BASELINE'!$B:$I,8,FALSE)</f>
        <v>01020517</v>
      </c>
      <c r="F1754" s="6" t="str">
        <f t="shared" si="60"/>
        <v>0102051702</v>
      </c>
    </row>
    <row r="1755" spans="1:6" x14ac:dyDescent="0.3">
      <c r="A1755" s="6" t="s">
        <v>1755</v>
      </c>
      <c r="B1755">
        <v>31304971</v>
      </c>
      <c r="C1755" s="3">
        <v>3</v>
      </c>
      <c r="D1755" s="5" t="str">
        <f t="shared" si="59"/>
        <v>03</v>
      </c>
      <c r="E1755" t="str">
        <f>VLOOKUP(B1755,'HOGARES-BASELINE'!$B:$I,8,FALSE)</f>
        <v>00020518</v>
      </c>
      <c r="F1755" s="6" t="str">
        <f t="shared" si="60"/>
        <v>0002051803</v>
      </c>
    </row>
    <row r="1756" spans="1:6" x14ac:dyDescent="0.3">
      <c r="A1756" s="6" t="s">
        <v>1756</v>
      </c>
      <c r="B1756">
        <v>31304971</v>
      </c>
      <c r="C1756" s="3">
        <v>2</v>
      </c>
      <c r="D1756" s="5" t="str">
        <f t="shared" si="59"/>
        <v>02</v>
      </c>
      <c r="E1756" t="str">
        <f>VLOOKUP(B1756,'HOGARES-BASELINE'!$B:$I,8,FALSE)</f>
        <v>00020518</v>
      </c>
      <c r="F1756" s="6" t="str">
        <f t="shared" si="60"/>
        <v>0002051802</v>
      </c>
    </row>
    <row r="1757" spans="1:6" x14ac:dyDescent="0.3">
      <c r="A1757" s="6" t="s">
        <v>1757</v>
      </c>
      <c r="B1757">
        <v>31304971</v>
      </c>
      <c r="C1757" s="3">
        <v>4</v>
      </c>
      <c r="D1757" s="5" t="str">
        <f t="shared" si="59"/>
        <v>04</v>
      </c>
      <c r="E1757" t="str">
        <f>VLOOKUP(B1757,'HOGARES-BASELINE'!$B:$I,8,FALSE)</f>
        <v>00020518</v>
      </c>
      <c r="F1757" s="6" t="str">
        <f t="shared" si="60"/>
        <v>0002051804</v>
      </c>
    </row>
    <row r="1758" spans="1:6" x14ac:dyDescent="0.3">
      <c r="A1758" s="6" t="s">
        <v>1758</v>
      </c>
      <c r="B1758">
        <v>31304971</v>
      </c>
      <c r="C1758" s="3">
        <v>1</v>
      </c>
      <c r="D1758" s="5" t="str">
        <f t="shared" si="59"/>
        <v>01</v>
      </c>
      <c r="E1758" t="str">
        <f>VLOOKUP(B1758,'HOGARES-BASELINE'!$B:$I,8,FALSE)</f>
        <v>00020518</v>
      </c>
      <c r="F1758" s="6" t="str">
        <f t="shared" si="60"/>
        <v>0002051801</v>
      </c>
    </row>
    <row r="1759" spans="1:6" x14ac:dyDescent="0.3">
      <c r="A1759" s="6" t="s">
        <v>1759</v>
      </c>
      <c r="B1759">
        <v>31304999</v>
      </c>
      <c r="C1759" s="3">
        <v>1</v>
      </c>
      <c r="D1759" s="5" t="str">
        <f t="shared" si="59"/>
        <v>01</v>
      </c>
      <c r="E1759" t="str">
        <f>VLOOKUP(B1759,'HOGARES-BASELINE'!$B:$I,8,FALSE)</f>
        <v>00020519</v>
      </c>
      <c r="F1759" s="6" t="str">
        <f t="shared" si="60"/>
        <v>0002051901</v>
      </c>
    </row>
    <row r="1760" spans="1:6" x14ac:dyDescent="0.3">
      <c r="A1760" s="6" t="s">
        <v>1760</v>
      </c>
      <c r="B1760">
        <v>31304999</v>
      </c>
      <c r="C1760" s="3">
        <v>2</v>
      </c>
      <c r="D1760" s="5" t="str">
        <f t="shared" si="59"/>
        <v>02</v>
      </c>
      <c r="E1760" t="str">
        <f>VLOOKUP(B1760,'HOGARES-BASELINE'!$B:$I,8,FALSE)</f>
        <v>00020519</v>
      </c>
      <c r="F1760" s="6" t="str">
        <f t="shared" si="60"/>
        <v>0002051902</v>
      </c>
    </row>
    <row r="1761" spans="1:6" x14ac:dyDescent="0.3">
      <c r="A1761" s="6" t="s">
        <v>1761</v>
      </c>
      <c r="B1761">
        <v>31304999</v>
      </c>
      <c r="C1761" s="3">
        <v>3</v>
      </c>
      <c r="D1761" s="5" t="str">
        <f t="shared" si="59"/>
        <v>03</v>
      </c>
      <c r="E1761" t="str">
        <f>VLOOKUP(B1761,'HOGARES-BASELINE'!$B:$I,8,FALSE)</f>
        <v>00020519</v>
      </c>
      <c r="F1761" s="6" t="str">
        <f t="shared" si="60"/>
        <v>0002051903</v>
      </c>
    </row>
    <row r="1762" spans="1:6" x14ac:dyDescent="0.3">
      <c r="A1762" s="6" t="s">
        <v>1762</v>
      </c>
      <c r="B1762">
        <v>31400886</v>
      </c>
      <c r="C1762" s="3">
        <v>3</v>
      </c>
      <c r="D1762" s="5" t="str">
        <f t="shared" si="59"/>
        <v>03</v>
      </c>
      <c r="E1762" t="str">
        <f>VLOOKUP(B1762,'HOGARES-BASELINE'!$B:$I,8,FALSE)</f>
        <v>00020520</v>
      </c>
      <c r="F1762" s="6" t="str">
        <f t="shared" si="60"/>
        <v>0002052003</v>
      </c>
    </row>
    <row r="1763" spans="1:6" x14ac:dyDescent="0.3">
      <c r="A1763" s="6" t="s">
        <v>1763</v>
      </c>
      <c r="B1763">
        <v>31400886</v>
      </c>
      <c r="C1763" s="3">
        <v>2</v>
      </c>
      <c r="D1763" s="5" t="str">
        <f t="shared" ref="D1763:D1826" si="61">_xlfn.CONCAT(0,C1763)</f>
        <v>02</v>
      </c>
      <c r="E1763" t="str">
        <f>VLOOKUP(B1763,'HOGARES-BASELINE'!$B:$I,8,FALSE)</f>
        <v>00020520</v>
      </c>
      <c r="F1763" s="6" t="str">
        <f t="shared" si="60"/>
        <v>0002052002</v>
      </c>
    </row>
    <row r="1764" spans="1:6" x14ac:dyDescent="0.3">
      <c r="A1764" s="6" t="s">
        <v>1764</v>
      </c>
      <c r="B1764">
        <v>31400886</v>
      </c>
      <c r="C1764" s="3">
        <v>1</v>
      </c>
      <c r="D1764" s="5" t="str">
        <f t="shared" si="61"/>
        <v>01</v>
      </c>
      <c r="E1764" t="str">
        <f>VLOOKUP(B1764,'HOGARES-BASELINE'!$B:$I,8,FALSE)</f>
        <v>00020520</v>
      </c>
      <c r="F1764" s="6" t="str">
        <f t="shared" si="60"/>
        <v>0002052001</v>
      </c>
    </row>
    <row r="1765" spans="1:6" x14ac:dyDescent="0.3">
      <c r="A1765" s="6" t="s">
        <v>1765</v>
      </c>
      <c r="B1765">
        <v>31445562</v>
      </c>
      <c r="C1765" s="3">
        <v>2</v>
      </c>
      <c r="D1765" s="5" t="str">
        <f t="shared" si="61"/>
        <v>02</v>
      </c>
      <c r="E1765" t="str">
        <f>VLOOKUP(B1765,'HOGARES-BASELINE'!$B:$I,8,FALSE)</f>
        <v>01020521</v>
      </c>
      <c r="F1765" s="6" t="str">
        <f t="shared" si="60"/>
        <v>0102052102</v>
      </c>
    </row>
    <row r="1766" spans="1:6" x14ac:dyDescent="0.3">
      <c r="A1766" s="6" t="s">
        <v>1766</v>
      </c>
      <c r="B1766">
        <v>31445562</v>
      </c>
      <c r="C1766" s="3">
        <v>4</v>
      </c>
      <c r="D1766" s="5" t="str">
        <f t="shared" si="61"/>
        <v>04</v>
      </c>
      <c r="E1766" t="str">
        <f>VLOOKUP(B1766,'HOGARES-BASELINE'!$B:$I,8,FALSE)</f>
        <v>01020521</v>
      </c>
      <c r="F1766" s="6" t="str">
        <f t="shared" si="60"/>
        <v>0102052104</v>
      </c>
    </row>
    <row r="1767" spans="1:6" x14ac:dyDescent="0.3">
      <c r="A1767" s="6" t="s">
        <v>1767</v>
      </c>
      <c r="B1767">
        <v>31445562</v>
      </c>
      <c r="C1767" s="3">
        <v>3</v>
      </c>
      <c r="D1767" s="5" t="str">
        <f t="shared" si="61"/>
        <v>03</v>
      </c>
      <c r="E1767" t="str">
        <f>VLOOKUP(B1767,'HOGARES-BASELINE'!$B:$I,8,FALSE)</f>
        <v>01020521</v>
      </c>
      <c r="F1767" s="6" t="str">
        <f t="shared" si="60"/>
        <v>0102052103</v>
      </c>
    </row>
    <row r="1768" spans="1:6" x14ac:dyDescent="0.3">
      <c r="A1768" s="6" t="s">
        <v>1768</v>
      </c>
      <c r="B1768">
        <v>31445562</v>
      </c>
      <c r="C1768" s="3">
        <v>1</v>
      </c>
      <c r="D1768" s="5" t="str">
        <f t="shared" si="61"/>
        <v>01</v>
      </c>
      <c r="E1768" t="str">
        <f>VLOOKUP(B1768,'HOGARES-BASELINE'!$B:$I,8,FALSE)</f>
        <v>01020521</v>
      </c>
      <c r="F1768" s="6" t="str">
        <f t="shared" si="60"/>
        <v>0102052101</v>
      </c>
    </row>
    <row r="1769" spans="1:6" x14ac:dyDescent="0.3">
      <c r="A1769" s="6" t="s">
        <v>1769</v>
      </c>
      <c r="B1769">
        <v>31445562</v>
      </c>
      <c r="C1769" s="3">
        <v>5</v>
      </c>
      <c r="D1769" s="5" t="str">
        <f t="shared" si="61"/>
        <v>05</v>
      </c>
      <c r="E1769" t="str">
        <f>VLOOKUP(B1769,'HOGARES-BASELINE'!$B:$I,8,FALSE)</f>
        <v>01020521</v>
      </c>
      <c r="F1769" s="6" t="str">
        <f t="shared" si="60"/>
        <v>0102052105</v>
      </c>
    </row>
    <row r="1770" spans="1:6" x14ac:dyDescent="0.3">
      <c r="A1770" s="6" t="s">
        <v>1770</v>
      </c>
      <c r="B1770">
        <v>31445743</v>
      </c>
      <c r="C1770" s="3">
        <v>2</v>
      </c>
      <c r="D1770" s="5" t="str">
        <f t="shared" si="61"/>
        <v>02</v>
      </c>
      <c r="E1770" t="str">
        <f>VLOOKUP(B1770,'HOGARES-BASELINE'!$B:$I,8,FALSE)</f>
        <v>01020522</v>
      </c>
      <c r="F1770" s="6" t="str">
        <f t="shared" si="60"/>
        <v>0102052202</v>
      </c>
    </row>
    <row r="1771" spans="1:6" x14ac:dyDescent="0.3">
      <c r="A1771" s="6" t="s">
        <v>1771</v>
      </c>
      <c r="B1771">
        <v>31445743</v>
      </c>
      <c r="C1771" s="3">
        <v>3</v>
      </c>
      <c r="D1771" s="5" t="str">
        <f t="shared" si="61"/>
        <v>03</v>
      </c>
      <c r="E1771" t="str">
        <f>VLOOKUP(B1771,'HOGARES-BASELINE'!$B:$I,8,FALSE)</f>
        <v>01020522</v>
      </c>
      <c r="F1771" s="6" t="str">
        <f t="shared" si="60"/>
        <v>0102052203</v>
      </c>
    </row>
    <row r="1772" spans="1:6" x14ac:dyDescent="0.3">
      <c r="A1772" s="6" t="s">
        <v>1772</v>
      </c>
      <c r="B1772">
        <v>31445743</v>
      </c>
      <c r="C1772" s="3">
        <v>1</v>
      </c>
      <c r="D1772" s="5" t="str">
        <f t="shared" si="61"/>
        <v>01</v>
      </c>
      <c r="E1772" t="str">
        <f>VLOOKUP(B1772,'HOGARES-BASELINE'!$B:$I,8,FALSE)</f>
        <v>01020522</v>
      </c>
      <c r="F1772" s="6" t="str">
        <f t="shared" si="60"/>
        <v>0102052201</v>
      </c>
    </row>
    <row r="1773" spans="1:6" x14ac:dyDescent="0.3">
      <c r="A1773" s="6" t="s">
        <v>1773</v>
      </c>
      <c r="B1773">
        <v>31446617</v>
      </c>
      <c r="C1773" s="3">
        <v>1</v>
      </c>
      <c r="D1773" s="5" t="str">
        <f t="shared" si="61"/>
        <v>01</v>
      </c>
      <c r="E1773" t="str">
        <f>VLOOKUP(B1773,'HOGARES-BASELINE'!$B:$I,8,FALSE)</f>
        <v>01020523</v>
      </c>
      <c r="F1773" s="6" t="str">
        <f t="shared" si="60"/>
        <v>0102052301</v>
      </c>
    </row>
    <row r="1774" spans="1:6" x14ac:dyDescent="0.3">
      <c r="A1774" s="6" t="s">
        <v>1774</v>
      </c>
      <c r="B1774">
        <v>31446617</v>
      </c>
      <c r="C1774" s="3">
        <v>3</v>
      </c>
      <c r="D1774" s="5" t="str">
        <f t="shared" si="61"/>
        <v>03</v>
      </c>
      <c r="E1774" t="str">
        <f>VLOOKUP(B1774,'HOGARES-BASELINE'!$B:$I,8,FALSE)</f>
        <v>01020523</v>
      </c>
      <c r="F1774" s="6" t="str">
        <f t="shared" si="60"/>
        <v>0102052303</v>
      </c>
    </row>
    <row r="1775" spans="1:6" x14ac:dyDescent="0.3">
      <c r="A1775" s="6" t="s">
        <v>1775</v>
      </c>
      <c r="B1775">
        <v>31446617</v>
      </c>
      <c r="C1775" s="3">
        <v>2</v>
      </c>
      <c r="D1775" s="5" t="str">
        <f t="shared" si="61"/>
        <v>02</v>
      </c>
      <c r="E1775" t="str">
        <f>VLOOKUP(B1775,'HOGARES-BASELINE'!$B:$I,8,FALSE)</f>
        <v>01020523</v>
      </c>
      <c r="F1775" s="6" t="str">
        <f t="shared" si="60"/>
        <v>0102052302</v>
      </c>
    </row>
    <row r="1776" spans="1:6" x14ac:dyDescent="0.3">
      <c r="A1776" s="6" t="s">
        <v>1776</v>
      </c>
      <c r="B1776">
        <v>31449382</v>
      </c>
      <c r="C1776" s="3">
        <v>4</v>
      </c>
      <c r="D1776" s="5" t="str">
        <f t="shared" si="61"/>
        <v>04</v>
      </c>
      <c r="E1776" t="str">
        <f>VLOOKUP(B1776,'HOGARES-BASELINE'!$B:$I,8,FALSE)</f>
        <v>01020524</v>
      </c>
      <c r="F1776" s="6" t="str">
        <f t="shared" si="60"/>
        <v>0102052404</v>
      </c>
    </row>
    <row r="1777" spans="1:6" x14ac:dyDescent="0.3">
      <c r="A1777" s="6" t="s">
        <v>1777</v>
      </c>
      <c r="B1777">
        <v>31449382</v>
      </c>
      <c r="C1777" s="3">
        <v>6</v>
      </c>
      <c r="D1777" s="5" t="str">
        <f t="shared" si="61"/>
        <v>06</v>
      </c>
      <c r="E1777" t="str">
        <f>VLOOKUP(B1777,'HOGARES-BASELINE'!$B:$I,8,FALSE)</f>
        <v>01020524</v>
      </c>
      <c r="F1777" s="6" t="str">
        <f t="shared" si="60"/>
        <v>0102052406</v>
      </c>
    </row>
    <row r="1778" spans="1:6" x14ac:dyDescent="0.3">
      <c r="A1778" s="6" t="s">
        <v>1778</v>
      </c>
      <c r="B1778">
        <v>31449382</v>
      </c>
      <c r="C1778" s="3">
        <v>2</v>
      </c>
      <c r="D1778" s="5" t="str">
        <f t="shared" si="61"/>
        <v>02</v>
      </c>
      <c r="E1778" t="str">
        <f>VLOOKUP(B1778,'HOGARES-BASELINE'!$B:$I,8,FALSE)</f>
        <v>01020524</v>
      </c>
      <c r="F1778" s="6" t="str">
        <f t="shared" si="60"/>
        <v>0102052402</v>
      </c>
    </row>
    <row r="1779" spans="1:6" x14ac:dyDescent="0.3">
      <c r="A1779" s="6" t="s">
        <v>1779</v>
      </c>
      <c r="B1779">
        <v>31449382</v>
      </c>
      <c r="C1779" s="3">
        <v>3</v>
      </c>
      <c r="D1779" s="5" t="str">
        <f t="shared" si="61"/>
        <v>03</v>
      </c>
      <c r="E1779" t="str">
        <f>VLOOKUP(B1779,'HOGARES-BASELINE'!$B:$I,8,FALSE)</f>
        <v>01020524</v>
      </c>
      <c r="F1779" s="6" t="str">
        <f t="shared" si="60"/>
        <v>0102052403</v>
      </c>
    </row>
    <row r="1780" spans="1:6" x14ac:dyDescent="0.3">
      <c r="A1780" s="6" t="s">
        <v>1780</v>
      </c>
      <c r="B1780">
        <v>31449382</v>
      </c>
      <c r="C1780" s="3">
        <v>5</v>
      </c>
      <c r="D1780" s="5" t="str">
        <f t="shared" si="61"/>
        <v>05</v>
      </c>
      <c r="E1780" t="str">
        <f>VLOOKUP(B1780,'HOGARES-BASELINE'!$B:$I,8,FALSE)</f>
        <v>01020524</v>
      </c>
      <c r="F1780" s="6" t="str">
        <f t="shared" si="60"/>
        <v>0102052405</v>
      </c>
    </row>
    <row r="1781" spans="1:6" x14ac:dyDescent="0.3">
      <c r="A1781" s="6" t="s">
        <v>1781</v>
      </c>
      <c r="B1781">
        <v>31449382</v>
      </c>
      <c r="C1781" s="3">
        <v>1</v>
      </c>
      <c r="D1781" s="5" t="str">
        <f t="shared" si="61"/>
        <v>01</v>
      </c>
      <c r="E1781" t="str">
        <f>VLOOKUP(B1781,'HOGARES-BASELINE'!$B:$I,8,FALSE)</f>
        <v>01020524</v>
      </c>
      <c r="F1781" s="6" t="str">
        <f t="shared" si="60"/>
        <v>0102052401</v>
      </c>
    </row>
    <row r="1782" spans="1:6" x14ac:dyDescent="0.3">
      <c r="A1782" s="6" t="s">
        <v>1782</v>
      </c>
      <c r="B1782">
        <v>31474654</v>
      </c>
      <c r="C1782" s="3">
        <v>2</v>
      </c>
      <c r="D1782" s="5" t="str">
        <f t="shared" si="61"/>
        <v>02</v>
      </c>
      <c r="E1782" t="str">
        <f>VLOOKUP(B1782,'HOGARES-BASELINE'!$B:$I,8,FALSE)</f>
        <v>00020525</v>
      </c>
      <c r="F1782" s="6" t="str">
        <f t="shared" si="60"/>
        <v>0002052502</v>
      </c>
    </row>
    <row r="1783" spans="1:6" x14ac:dyDescent="0.3">
      <c r="A1783" s="6" t="s">
        <v>1783</v>
      </c>
      <c r="B1783">
        <v>31474654</v>
      </c>
      <c r="C1783" s="3">
        <v>1</v>
      </c>
      <c r="D1783" s="5" t="str">
        <f t="shared" si="61"/>
        <v>01</v>
      </c>
      <c r="E1783" t="str">
        <f>VLOOKUP(B1783,'HOGARES-BASELINE'!$B:$I,8,FALSE)</f>
        <v>00020525</v>
      </c>
      <c r="F1783" s="6" t="str">
        <f t="shared" si="60"/>
        <v>0002052501</v>
      </c>
    </row>
    <row r="1784" spans="1:6" x14ac:dyDescent="0.3">
      <c r="A1784" s="6" t="s">
        <v>1784</v>
      </c>
      <c r="B1784">
        <v>31524379</v>
      </c>
      <c r="C1784" s="3">
        <v>2</v>
      </c>
      <c r="D1784" s="5" t="str">
        <f t="shared" si="61"/>
        <v>02</v>
      </c>
      <c r="E1784" t="str">
        <f>VLOOKUP(B1784,'HOGARES-BASELINE'!$B:$I,8,FALSE)</f>
        <v>01020526</v>
      </c>
      <c r="F1784" s="6" t="str">
        <f t="shared" si="60"/>
        <v>0102052602</v>
      </c>
    </row>
    <row r="1785" spans="1:6" x14ac:dyDescent="0.3">
      <c r="A1785" s="6" t="s">
        <v>1785</v>
      </c>
      <c r="B1785">
        <v>31524379</v>
      </c>
      <c r="C1785" s="3">
        <v>1</v>
      </c>
      <c r="D1785" s="5" t="str">
        <f t="shared" si="61"/>
        <v>01</v>
      </c>
      <c r="E1785" t="str">
        <f>VLOOKUP(B1785,'HOGARES-BASELINE'!$B:$I,8,FALSE)</f>
        <v>01020526</v>
      </c>
      <c r="F1785" s="6" t="str">
        <f t="shared" si="60"/>
        <v>0102052601</v>
      </c>
    </row>
    <row r="1786" spans="1:6" x14ac:dyDescent="0.3">
      <c r="A1786" s="6" t="s">
        <v>1786</v>
      </c>
      <c r="B1786">
        <v>31524379</v>
      </c>
      <c r="C1786" s="3">
        <v>3</v>
      </c>
      <c r="D1786" s="5" t="str">
        <f t="shared" si="61"/>
        <v>03</v>
      </c>
      <c r="E1786" t="str">
        <f>VLOOKUP(B1786,'HOGARES-BASELINE'!$B:$I,8,FALSE)</f>
        <v>01020526</v>
      </c>
      <c r="F1786" s="6" t="str">
        <f t="shared" si="60"/>
        <v>0102052603</v>
      </c>
    </row>
    <row r="1787" spans="1:6" x14ac:dyDescent="0.3">
      <c r="A1787" s="6" t="s">
        <v>1787</v>
      </c>
      <c r="B1787">
        <v>31525011</v>
      </c>
      <c r="C1787" s="3">
        <v>3</v>
      </c>
      <c r="D1787" s="5" t="str">
        <f t="shared" si="61"/>
        <v>03</v>
      </c>
      <c r="E1787" t="str">
        <f>VLOOKUP(B1787,'HOGARES-BASELINE'!$B:$I,8,FALSE)</f>
        <v>01020527</v>
      </c>
      <c r="F1787" s="6" t="str">
        <f t="shared" si="60"/>
        <v>0102052703</v>
      </c>
    </row>
    <row r="1788" spans="1:6" x14ac:dyDescent="0.3">
      <c r="A1788" s="6" t="s">
        <v>1788</v>
      </c>
      <c r="B1788">
        <v>31525011</v>
      </c>
      <c r="C1788" s="3">
        <v>2</v>
      </c>
      <c r="D1788" s="5" t="str">
        <f t="shared" si="61"/>
        <v>02</v>
      </c>
      <c r="E1788" t="str">
        <f>VLOOKUP(B1788,'HOGARES-BASELINE'!$B:$I,8,FALSE)</f>
        <v>01020527</v>
      </c>
      <c r="F1788" s="6" t="str">
        <f t="shared" si="60"/>
        <v>0102052702</v>
      </c>
    </row>
    <row r="1789" spans="1:6" x14ac:dyDescent="0.3">
      <c r="A1789" s="6" t="s">
        <v>1789</v>
      </c>
      <c r="B1789">
        <v>31525011</v>
      </c>
      <c r="C1789" s="3">
        <v>1</v>
      </c>
      <c r="D1789" s="5" t="str">
        <f t="shared" si="61"/>
        <v>01</v>
      </c>
      <c r="E1789" t="str">
        <f>VLOOKUP(B1789,'HOGARES-BASELINE'!$B:$I,8,FALSE)</f>
        <v>01020527</v>
      </c>
      <c r="F1789" s="6" t="str">
        <f t="shared" si="60"/>
        <v>0102052701</v>
      </c>
    </row>
    <row r="1790" spans="1:6" x14ac:dyDescent="0.3">
      <c r="A1790" s="6" t="s">
        <v>1790</v>
      </c>
      <c r="B1790">
        <v>31525413</v>
      </c>
      <c r="C1790" s="3">
        <v>3</v>
      </c>
      <c r="D1790" s="5" t="str">
        <f t="shared" si="61"/>
        <v>03</v>
      </c>
      <c r="E1790" t="str">
        <f>VLOOKUP(B1790,'HOGARES-BASELINE'!$B:$I,8,FALSE)</f>
        <v>01020528</v>
      </c>
      <c r="F1790" s="6" t="str">
        <f t="shared" si="60"/>
        <v>0102052803</v>
      </c>
    </row>
    <row r="1791" spans="1:6" x14ac:dyDescent="0.3">
      <c r="A1791" s="6" t="s">
        <v>1791</v>
      </c>
      <c r="B1791">
        <v>31525413</v>
      </c>
      <c r="C1791" s="3">
        <v>2</v>
      </c>
      <c r="D1791" s="5" t="str">
        <f t="shared" si="61"/>
        <v>02</v>
      </c>
      <c r="E1791" t="str">
        <f>VLOOKUP(B1791,'HOGARES-BASELINE'!$B:$I,8,FALSE)</f>
        <v>01020528</v>
      </c>
      <c r="F1791" s="6" t="str">
        <f t="shared" si="60"/>
        <v>0102052802</v>
      </c>
    </row>
    <row r="1792" spans="1:6" x14ac:dyDescent="0.3">
      <c r="A1792" s="6" t="s">
        <v>1792</v>
      </c>
      <c r="B1792">
        <v>31525413</v>
      </c>
      <c r="C1792" s="3">
        <v>1</v>
      </c>
      <c r="D1792" s="5" t="str">
        <f t="shared" si="61"/>
        <v>01</v>
      </c>
      <c r="E1792" t="str">
        <f>VLOOKUP(B1792,'HOGARES-BASELINE'!$B:$I,8,FALSE)</f>
        <v>01020528</v>
      </c>
      <c r="F1792" s="6" t="str">
        <f t="shared" si="60"/>
        <v>0102052801</v>
      </c>
    </row>
    <row r="1793" spans="1:6" x14ac:dyDescent="0.3">
      <c r="A1793" s="6" t="s">
        <v>1793</v>
      </c>
      <c r="B1793">
        <v>31534174</v>
      </c>
      <c r="C1793" s="3">
        <v>1</v>
      </c>
      <c r="D1793" s="5" t="str">
        <f t="shared" si="61"/>
        <v>01</v>
      </c>
      <c r="E1793" t="str">
        <f>VLOOKUP(B1793,'HOGARES-BASELINE'!$B:$I,8,FALSE)</f>
        <v>01020529</v>
      </c>
      <c r="F1793" s="6" t="str">
        <f t="shared" si="60"/>
        <v>0102052901</v>
      </c>
    </row>
    <row r="1794" spans="1:6" x14ac:dyDescent="0.3">
      <c r="A1794" s="6" t="s">
        <v>1794</v>
      </c>
      <c r="B1794">
        <v>31534174</v>
      </c>
      <c r="C1794" s="3">
        <v>3</v>
      </c>
      <c r="D1794" s="5" t="str">
        <f t="shared" si="61"/>
        <v>03</v>
      </c>
      <c r="E1794" t="str">
        <f>VLOOKUP(B1794,'HOGARES-BASELINE'!$B:$I,8,FALSE)</f>
        <v>01020529</v>
      </c>
      <c r="F1794" s="6" t="str">
        <f t="shared" si="60"/>
        <v>0102052903</v>
      </c>
    </row>
    <row r="1795" spans="1:6" x14ac:dyDescent="0.3">
      <c r="A1795" s="6" t="s">
        <v>1795</v>
      </c>
      <c r="B1795">
        <v>31534174</v>
      </c>
      <c r="C1795" s="3">
        <v>6</v>
      </c>
      <c r="D1795" s="5" t="str">
        <f t="shared" si="61"/>
        <v>06</v>
      </c>
      <c r="E1795" t="str">
        <f>VLOOKUP(B1795,'HOGARES-BASELINE'!$B:$I,8,FALSE)</f>
        <v>01020529</v>
      </c>
      <c r="F1795" s="6" t="str">
        <f t="shared" ref="F1795:F1858" si="62">_xlfn.CONCAT(E1795,D1795)</f>
        <v>0102052906</v>
      </c>
    </row>
    <row r="1796" spans="1:6" x14ac:dyDescent="0.3">
      <c r="A1796" s="6" t="s">
        <v>1796</v>
      </c>
      <c r="B1796">
        <v>31534174</v>
      </c>
      <c r="C1796" s="3">
        <v>7</v>
      </c>
      <c r="D1796" s="5" t="str">
        <f t="shared" si="61"/>
        <v>07</v>
      </c>
      <c r="E1796" t="str">
        <f>VLOOKUP(B1796,'HOGARES-BASELINE'!$B:$I,8,FALSE)</f>
        <v>01020529</v>
      </c>
      <c r="F1796" s="6" t="str">
        <f t="shared" si="62"/>
        <v>0102052907</v>
      </c>
    </row>
    <row r="1797" spans="1:6" x14ac:dyDescent="0.3">
      <c r="A1797" s="6" t="s">
        <v>1797</v>
      </c>
      <c r="B1797">
        <v>31534174</v>
      </c>
      <c r="C1797" s="3">
        <v>4</v>
      </c>
      <c r="D1797" s="5" t="str">
        <f t="shared" si="61"/>
        <v>04</v>
      </c>
      <c r="E1797" t="str">
        <f>VLOOKUP(B1797,'HOGARES-BASELINE'!$B:$I,8,FALSE)</f>
        <v>01020529</v>
      </c>
      <c r="F1797" s="6" t="str">
        <f t="shared" si="62"/>
        <v>0102052904</v>
      </c>
    </row>
    <row r="1798" spans="1:6" x14ac:dyDescent="0.3">
      <c r="A1798" s="6" t="s">
        <v>1798</v>
      </c>
      <c r="B1798">
        <v>31534174</v>
      </c>
      <c r="C1798" s="3">
        <v>5</v>
      </c>
      <c r="D1798" s="5" t="str">
        <f t="shared" si="61"/>
        <v>05</v>
      </c>
      <c r="E1798" t="str">
        <f>VLOOKUP(B1798,'HOGARES-BASELINE'!$B:$I,8,FALSE)</f>
        <v>01020529</v>
      </c>
      <c r="F1798" s="6" t="str">
        <f t="shared" si="62"/>
        <v>0102052905</v>
      </c>
    </row>
    <row r="1799" spans="1:6" x14ac:dyDescent="0.3">
      <c r="A1799" s="6" t="s">
        <v>1799</v>
      </c>
      <c r="B1799">
        <v>31534174</v>
      </c>
      <c r="C1799" s="3">
        <v>2</v>
      </c>
      <c r="D1799" s="5" t="str">
        <f t="shared" si="61"/>
        <v>02</v>
      </c>
      <c r="E1799" t="str">
        <f>VLOOKUP(B1799,'HOGARES-BASELINE'!$B:$I,8,FALSE)</f>
        <v>01020529</v>
      </c>
      <c r="F1799" s="6" t="str">
        <f t="shared" si="62"/>
        <v>0102052902</v>
      </c>
    </row>
    <row r="1800" spans="1:6" x14ac:dyDescent="0.3">
      <c r="A1800" s="6" t="s">
        <v>1800</v>
      </c>
      <c r="B1800">
        <v>31535355</v>
      </c>
      <c r="C1800" s="3">
        <v>2</v>
      </c>
      <c r="D1800" s="5" t="str">
        <f t="shared" si="61"/>
        <v>02</v>
      </c>
      <c r="E1800" t="str">
        <f>VLOOKUP(B1800,'HOGARES-BASELINE'!$B:$I,8,FALSE)</f>
        <v>01020530</v>
      </c>
      <c r="F1800" s="6" t="str">
        <f t="shared" si="62"/>
        <v>0102053002</v>
      </c>
    </row>
    <row r="1801" spans="1:6" x14ac:dyDescent="0.3">
      <c r="A1801" s="6" t="s">
        <v>1801</v>
      </c>
      <c r="B1801">
        <v>31535355</v>
      </c>
      <c r="C1801" s="3">
        <v>5</v>
      </c>
      <c r="D1801" s="5" t="str">
        <f t="shared" si="61"/>
        <v>05</v>
      </c>
      <c r="E1801" t="str">
        <f>VLOOKUP(B1801,'HOGARES-BASELINE'!$B:$I,8,FALSE)</f>
        <v>01020530</v>
      </c>
      <c r="F1801" s="6" t="str">
        <f t="shared" si="62"/>
        <v>0102053005</v>
      </c>
    </row>
    <row r="1802" spans="1:6" x14ac:dyDescent="0.3">
      <c r="A1802" s="6" t="s">
        <v>1802</v>
      </c>
      <c r="B1802">
        <v>31535355</v>
      </c>
      <c r="C1802" s="3">
        <v>1</v>
      </c>
      <c r="D1802" s="5" t="str">
        <f t="shared" si="61"/>
        <v>01</v>
      </c>
      <c r="E1802" t="str">
        <f>VLOOKUP(B1802,'HOGARES-BASELINE'!$B:$I,8,FALSE)</f>
        <v>01020530</v>
      </c>
      <c r="F1802" s="6" t="str">
        <f t="shared" si="62"/>
        <v>0102053001</v>
      </c>
    </row>
    <row r="1803" spans="1:6" x14ac:dyDescent="0.3">
      <c r="A1803" s="6" t="s">
        <v>1803</v>
      </c>
      <c r="B1803">
        <v>31535355</v>
      </c>
      <c r="C1803" s="3">
        <v>4</v>
      </c>
      <c r="D1803" s="5" t="str">
        <f t="shared" si="61"/>
        <v>04</v>
      </c>
      <c r="E1803" t="str">
        <f>VLOOKUP(B1803,'HOGARES-BASELINE'!$B:$I,8,FALSE)</f>
        <v>01020530</v>
      </c>
      <c r="F1803" s="6" t="str">
        <f t="shared" si="62"/>
        <v>0102053004</v>
      </c>
    </row>
    <row r="1804" spans="1:6" x14ac:dyDescent="0.3">
      <c r="A1804" s="6" t="s">
        <v>1804</v>
      </c>
      <c r="B1804">
        <v>31535355</v>
      </c>
      <c r="C1804" s="3">
        <v>3</v>
      </c>
      <c r="D1804" s="5" t="str">
        <f t="shared" si="61"/>
        <v>03</v>
      </c>
      <c r="E1804" t="str">
        <f>VLOOKUP(B1804,'HOGARES-BASELINE'!$B:$I,8,FALSE)</f>
        <v>01020530</v>
      </c>
      <c r="F1804" s="6" t="str">
        <f t="shared" si="62"/>
        <v>0102053003</v>
      </c>
    </row>
    <row r="1805" spans="1:6" x14ac:dyDescent="0.3">
      <c r="A1805" s="6" t="s">
        <v>1805</v>
      </c>
      <c r="B1805">
        <v>31537995</v>
      </c>
      <c r="C1805" s="3">
        <v>2</v>
      </c>
      <c r="D1805" s="5" t="str">
        <f t="shared" si="61"/>
        <v>02</v>
      </c>
      <c r="E1805" t="str">
        <f>VLOOKUP(B1805,'HOGARES-BASELINE'!$B:$I,8,FALSE)</f>
        <v>01020531</v>
      </c>
      <c r="F1805" s="6" t="str">
        <f t="shared" si="62"/>
        <v>0102053102</v>
      </c>
    </row>
    <row r="1806" spans="1:6" x14ac:dyDescent="0.3">
      <c r="A1806" s="6" t="s">
        <v>1806</v>
      </c>
      <c r="B1806">
        <v>31537995</v>
      </c>
      <c r="C1806" s="3">
        <v>4</v>
      </c>
      <c r="D1806" s="5" t="str">
        <f t="shared" si="61"/>
        <v>04</v>
      </c>
      <c r="E1806" t="str">
        <f>VLOOKUP(B1806,'HOGARES-BASELINE'!$B:$I,8,FALSE)</f>
        <v>01020531</v>
      </c>
      <c r="F1806" s="6" t="str">
        <f t="shared" si="62"/>
        <v>0102053104</v>
      </c>
    </row>
    <row r="1807" spans="1:6" x14ac:dyDescent="0.3">
      <c r="A1807" s="6" t="s">
        <v>1807</v>
      </c>
      <c r="B1807">
        <v>31537995</v>
      </c>
      <c r="C1807" s="3">
        <v>3</v>
      </c>
      <c r="D1807" s="5" t="str">
        <f t="shared" si="61"/>
        <v>03</v>
      </c>
      <c r="E1807" t="str">
        <f>VLOOKUP(B1807,'HOGARES-BASELINE'!$B:$I,8,FALSE)</f>
        <v>01020531</v>
      </c>
      <c r="F1807" s="6" t="str">
        <f t="shared" si="62"/>
        <v>0102053103</v>
      </c>
    </row>
    <row r="1808" spans="1:6" x14ac:dyDescent="0.3">
      <c r="A1808" s="6" t="s">
        <v>1808</v>
      </c>
      <c r="B1808">
        <v>31537995</v>
      </c>
      <c r="C1808" s="3">
        <v>1</v>
      </c>
      <c r="D1808" s="5" t="str">
        <f t="shared" si="61"/>
        <v>01</v>
      </c>
      <c r="E1808" t="str">
        <f>VLOOKUP(B1808,'HOGARES-BASELINE'!$B:$I,8,FALSE)</f>
        <v>01020531</v>
      </c>
      <c r="F1808" s="6" t="str">
        <f t="shared" si="62"/>
        <v>0102053101</v>
      </c>
    </row>
    <row r="1809" spans="1:6" x14ac:dyDescent="0.3">
      <c r="A1809" s="6" t="s">
        <v>1809</v>
      </c>
      <c r="B1809">
        <v>31574328</v>
      </c>
      <c r="C1809" s="3">
        <v>3</v>
      </c>
      <c r="D1809" s="5" t="str">
        <f t="shared" si="61"/>
        <v>03</v>
      </c>
      <c r="E1809" t="str">
        <f>VLOOKUP(B1809,'HOGARES-BASELINE'!$B:$I,8,FALSE)</f>
        <v>00020532</v>
      </c>
      <c r="F1809" s="6" t="str">
        <f t="shared" si="62"/>
        <v>0002053203</v>
      </c>
    </row>
    <row r="1810" spans="1:6" x14ac:dyDescent="0.3">
      <c r="A1810" s="6" t="s">
        <v>1810</v>
      </c>
      <c r="B1810">
        <v>31574328</v>
      </c>
      <c r="C1810" s="3">
        <v>2</v>
      </c>
      <c r="D1810" s="5" t="str">
        <f t="shared" si="61"/>
        <v>02</v>
      </c>
      <c r="E1810" t="str">
        <f>VLOOKUP(B1810,'HOGARES-BASELINE'!$B:$I,8,FALSE)</f>
        <v>00020532</v>
      </c>
      <c r="F1810" s="6" t="str">
        <f t="shared" si="62"/>
        <v>0002053202</v>
      </c>
    </row>
    <row r="1811" spans="1:6" x14ac:dyDescent="0.3">
      <c r="A1811" s="6" t="s">
        <v>1811</v>
      </c>
      <c r="B1811">
        <v>31574328</v>
      </c>
      <c r="C1811" s="3">
        <v>1</v>
      </c>
      <c r="D1811" s="5" t="str">
        <f t="shared" si="61"/>
        <v>01</v>
      </c>
      <c r="E1811" t="str">
        <f>VLOOKUP(B1811,'HOGARES-BASELINE'!$B:$I,8,FALSE)</f>
        <v>00020532</v>
      </c>
      <c r="F1811" s="6" t="str">
        <f t="shared" si="62"/>
        <v>0002053201</v>
      </c>
    </row>
    <row r="1812" spans="1:6" x14ac:dyDescent="0.3">
      <c r="A1812" s="6" t="s">
        <v>1812</v>
      </c>
      <c r="B1812">
        <v>31577413</v>
      </c>
      <c r="C1812" s="3">
        <v>2</v>
      </c>
      <c r="D1812" s="5" t="str">
        <f t="shared" si="61"/>
        <v>02</v>
      </c>
      <c r="E1812" t="str">
        <f>VLOOKUP(B1812,'HOGARES-BASELINE'!$B:$I,8,FALSE)</f>
        <v>01020533</v>
      </c>
      <c r="F1812" s="6" t="str">
        <f t="shared" si="62"/>
        <v>0102053302</v>
      </c>
    </row>
    <row r="1813" spans="1:6" x14ac:dyDescent="0.3">
      <c r="A1813" s="6" t="s">
        <v>1813</v>
      </c>
      <c r="B1813">
        <v>31577413</v>
      </c>
      <c r="C1813" s="3">
        <v>1</v>
      </c>
      <c r="D1813" s="5" t="str">
        <f t="shared" si="61"/>
        <v>01</v>
      </c>
      <c r="E1813" t="str">
        <f>VLOOKUP(B1813,'HOGARES-BASELINE'!$B:$I,8,FALSE)</f>
        <v>01020533</v>
      </c>
      <c r="F1813" s="6" t="str">
        <f t="shared" si="62"/>
        <v>0102053301</v>
      </c>
    </row>
    <row r="1814" spans="1:6" x14ac:dyDescent="0.3">
      <c r="A1814" s="6" t="s">
        <v>1814</v>
      </c>
      <c r="B1814">
        <v>31578203</v>
      </c>
      <c r="C1814" s="3">
        <v>1</v>
      </c>
      <c r="D1814" s="5" t="str">
        <f t="shared" si="61"/>
        <v>01</v>
      </c>
      <c r="E1814" t="str">
        <f>VLOOKUP(B1814,'HOGARES-BASELINE'!$B:$I,8,FALSE)</f>
        <v>01020534</v>
      </c>
      <c r="F1814" s="6" t="str">
        <f t="shared" si="62"/>
        <v>0102053401</v>
      </c>
    </row>
    <row r="1815" spans="1:6" x14ac:dyDescent="0.3">
      <c r="A1815" s="6" t="s">
        <v>1815</v>
      </c>
      <c r="B1815">
        <v>31578203</v>
      </c>
      <c r="C1815" s="3">
        <v>3</v>
      </c>
      <c r="D1815" s="5" t="str">
        <f t="shared" si="61"/>
        <v>03</v>
      </c>
      <c r="E1815" t="str">
        <f>VLOOKUP(B1815,'HOGARES-BASELINE'!$B:$I,8,FALSE)</f>
        <v>01020534</v>
      </c>
      <c r="F1815" s="6" t="str">
        <f t="shared" si="62"/>
        <v>0102053403</v>
      </c>
    </row>
    <row r="1816" spans="1:6" x14ac:dyDescent="0.3">
      <c r="A1816" s="6" t="s">
        <v>1816</v>
      </c>
      <c r="B1816">
        <v>31578203</v>
      </c>
      <c r="C1816" s="3">
        <v>4</v>
      </c>
      <c r="D1816" s="5" t="str">
        <f t="shared" si="61"/>
        <v>04</v>
      </c>
      <c r="E1816" t="str">
        <f>VLOOKUP(B1816,'HOGARES-BASELINE'!$B:$I,8,FALSE)</f>
        <v>01020534</v>
      </c>
      <c r="F1816" s="6" t="str">
        <f t="shared" si="62"/>
        <v>0102053404</v>
      </c>
    </row>
    <row r="1817" spans="1:6" x14ac:dyDescent="0.3">
      <c r="A1817" s="6" t="s">
        <v>1817</v>
      </c>
      <c r="B1817">
        <v>31578203</v>
      </c>
      <c r="C1817" s="3">
        <v>2</v>
      </c>
      <c r="D1817" s="5" t="str">
        <f t="shared" si="61"/>
        <v>02</v>
      </c>
      <c r="E1817" t="str">
        <f>VLOOKUP(B1817,'HOGARES-BASELINE'!$B:$I,8,FALSE)</f>
        <v>01020534</v>
      </c>
      <c r="F1817" s="6" t="str">
        <f t="shared" si="62"/>
        <v>0102053402</v>
      </c>
    </row>
    <row r="1818" spans="1:6" x14ac:dyDescent="0.3">
      <c r="A1818" s="6" t="s">
        <v>1818</v>
      </c>
      <c r="B1818">
        <v>31579325</v>
      </c>
      <c r="C1818" s="3">
        <v>3</v>
      </c>
      <c r="D1818" s="5" t="str">
        <f t="shared" si="61"/>
        <v>03</v>
      </c>
      <c r="E1818" t="str">
        <f>VLOOKUP(B1818,'HOGARES-BASELINE'!$B:$I,8,FALSE)</f>
        <v>00020535</v>
      </c>
      <c r="F1818" s="6" t="str">
        <f t="shared" si="62"/>
        <v>0002053503</v>
      </c>
    </row>
    <row r="1819" spans="1:6" x14ac:dyDescent="0.3">
      <c r="A1819" s="6" t="s">
        <v>1819</v>
      </c>
      <c r="B1819">
        <v>31579325</v>
      </c>
      <c r="C1819" s="3">
        <v>2</v>
      </c>
      <c r="D1819" s="5" t="str">
        <f t="shared" si="61"/>
        <v>02</v>
      </c>
      <c r="E1819" t="str">
        <f>VLOOKUP(B1819,'HOGARES-BASELINE'!$B:$I,8,FALSE)</f>
        <v>00020535</v>
      </c>
      <c r="F1819" s="6" t="str">
        <f t="shared" si="62"/>
        <v>0002053502</v>
      </c>
    </row>
    <row r="1820" spans="1:6" x14ac:dyDescent="0.3">
      <c r="A1820" s="6" t="s">
        <v>1820</v>
      </c>
      <c r="B1820">
        <v>31579325</v>
      </c>
      <c r="C1820" s="3">
        <v>1</v>
      </c>
      <c r="D1820" s="5" t="str">
        <f t="shared" si="61"/>
        <v>01</v>
      </c>
      <c r="E1820" t="str">
        <f>VLOOKUP(B1820,'HOGARES-BASELINE'!$B:$I,8,FALSE)</f>
        <v>00020535</v>
      </c>
      <c r="F1820" s="6" t="str">
        <f t="shared" si="62"/>
        <v>0002053501</v>
      </c>
    </row>
    <row r="1821" spans="1:6" x14ac:dyDescent="0.3">
      <c r="A1821" s="6" t="s">
        <v>1821</v>
      </c>
      <c r="B1821">
        <v>31830427</v>
      </c>
      <c r="C1821" s="3">
        <v>1</v>
      </c>
      <c r="D1821" s="5" t="str">
        <f t="shared" si="61"/>
        <v>01</v>
      </c>
      <c r="E1821" t="str">
        <f>VLOOKUP(B1821,'HOGARES-BASELINE'!$B:$I,8,FALSE)</f>
        <v>01020536</v>
      </c>
      <c r="F1821" s="6" t="str">
        <f t="shared" si="62"/>
        <v>0102053601</v>
      </c>
    </row>
    <row r="1822" spans="1:6" x14ac:dyDescent="0.3">
      <c r="A1822" s="6" t="s">
        <v>1822</v>
      </c>
      <c r="B1822">
        <v>31838102</v>
      </c>
      <c r="C1822" s="3">
        <v>2</v>
      </c>
      <c r="D1822" s="5" t="str">
        <f t="shared" si="61"/>
        <v>02</v>
      </c>
      <c r="E1822" t="str">
        <f>VLOOKUP(B1822,'HOGARES-BASELINE'!$B:$I,8,FALSE)</f>
        <v>00020537</v>
      </c>
      <c r="F1822" s="6" t="str">
        <f t="shared" si="62"/>
        <v>0002053702</v>
      </c>
    </row>
    <row r="1823" spans="1:6" x14ac:dyDescent="0.3">
      <c r="A1823" s="6" t="s">
        <v>1823</v>
      </c>
      <c r="B1823">
        <v>31838102</v>
      </c>
      <c r="C1823" s="3">
        <v>1</v>
      </c>
      <c r="D1823" s="5" t="str">
        <f t="shared" si="61"/>
        <v>01</v>
      </c>
      <c r="E1823" t="str">
        <f>VLOOKUP(B1823,'HOGARES-BASELINE'!$B:$I,8,FALSE)</f>
        <v>00020537</v>
      </c>
      <c r="F1823" s="6" t="str">
        <f t="shared" si="62"/>
        <v>0002053701</v>
      </c>
    </row>
    <row r="1824" spans="1:6" x14ac:dyDescent="0.3">
      <c r="A1824" s="6" t="s">
        <v>1824</v>
      </c>
      <c r="B1824">
        <v>31844574</v>
      </c>
      <c r="C1824" s="3">
        <v>2</v>
      </c>
      <c r="D1824" s="5" t="str">
        <f t="shared" si="61"/>
        <v>02</v>
      </c>
      <c r="E1824" t="str">
        <f>VLOOKUP(B1824,'HOGARES-BASELINE'!$B:$I,8,FALSE)</f>
        <v>01020538</v>
      </c>
      <c r="F1824" s="6" t="str">
        <f t="shared" si="62"/>
        <v>0102053802</v>
      </c>
    </row>
    <row r="1825" spans="1:6" x14ac:dyDescent="0.3">
      <c r="A1825" s="6" t="s">
        <v>1825</v>
      </c>
      <c r="B1825">
        <v>31844574</v>
      </c>
      <c r="C1825" s="3">
        <v>1</v>
      </c>
      <c r="D1825" s="5" t="str">
        <f t="shared" si="61"/>
        <v>01</v>
      </c>
      <c r="E1825" t="str">
        <f>VLOOKUP(B1825,'HOGARES-BASELINE'!$B:$I,8,FALSE)</f>
        <v>01020538</v>
      </c>
      <c r="F1825" s="6" t="str">
        <f t="shared" si="62"/>
        <v>0102053801</v>
      </c>
    </row>
    <row r="1826" spans="1:6" x14ac:dyDescent="0.3">
      <c r="A1826" s="6" t="s">
        <v>1826</v>
      </c>
      <c r="B1826">
        <v>31844574</v>
      </c>
      <c r="C1826" s="3">
        <v>3</v>
      </c>
      <c r="D1826" s="5" t="str">
        <f t="shared" si="61"/>
        <v>03</v>
      </c>
      <c r="E1826" t="str">
        <f>VLOOKUP(B1826,'HOGARES-BASELINE'!$B:$I,8,FALSE)</f>
        <v>01020538</v>
      </c>
      <c r="F1826" s="6" t="str">
        <f t="shared" si="62"/>
        <v>0102053803</v>
      </c>
    </row>
    <row r="1827" spans="1:6" x14ac:dyDescent="0.3">
      <c r="A1827" s="6" t="s">
        <v>1827</v>
      </c>
      <c r="B1827">
        <v>31849780</v>
      </c>
      <c r="C1827" s="3">
        <v>3</v>
      </c>
      <c r="D1827" s="5" t="str">
        <f t="shared" ref="D1827:D1890" si="63">_xlfn.CONCAT(0,C1827)</f>
        <v>03</v>
      </c>
      <c r="E1827" t="str">
        <f>VLOOKUP(B1827,'HOGARES-BASELINE'!$B:$I,8,FALSE)</f>
        <v>00020539</v>
      </c>
      <c r="F1827" s="6" t="str">
        <f t="shared" si="62"/>
        <v>0002053903</v>
      </c>
    </row>
    <row r="1828" spans="1:6" x14ac:dyDescent="0.3">
      <c r="A1828" s="6" t="s">
        <v>1828</v>
      </c>
      <c r="B1828">
        <v>31849780</v>
      </c>
      <c r="C1828" s="3">
        <v>4</v>
      </c>
      <c r="D1828" s="5" t="str">
        <f t="shared" si="63"/>
        <v>04</v>
      </c>
      <c r="E1828" t="str">
        <f>VLOOKUP(B1828,'HOGARES-BASELINE'!$B:$I,8,FALSE)</f>
        <v>00020539</v>
      </c>
      <c r="F1828" s="6" t="str">
        <f t="shared" si="62"/>
        <v>0002053904</v>
      </c>
    </row>
    <row r="1829" spans="1:6" x14ac:dyDescent="0.3">
      <c r="A1829" s="6" t="s">
        <v>1829</v>
      </c>
      <c r="B1829">
        <v>31849780</v>
      </c>
      <c r="C1829" s="3">
        <v>2</v>
      </c>
      <c r="D1829" s="5" t="str">
        <f t="shared" si="63"/>
        <v>02</v>
      </c>
      <c r="E1829" t="str">
        <f>VLOOKUP(B1829,'HOGARES-BASELINE'!$B:$I,8,FALSE)</f>
        <v>00020539</v>
      </c>
      <c r="F1829" s="6" t="str">
        <f t="shared" si="62"/>
        <v>0002053902</v>
      </c>
    </row>
    <row r="1830" spans="1:6" x14ac:dyDescent="0.3">
      <c r="A1830" s="6" t="s">
        <v>1830</v>
      </c>
      <c r="B1830">
        <v>31849780</v>
      </c>
      <c r="C1830" s="3">
        <v>1</v>
      </c>
      <c r="D1830" s="5" t="str">
        <f t="shared" si="63"/>
        <v>01</v>
      </c>
      <c r="E1830" t="str">
        <f>VLOOKUP(B1830,'HOGARES-BASELINE'!$B:$I,8,FALSE)</f>
        <v>00020539</v>
      </c>
      <c r="F1830" s="6" t="str">
        <f t="shared" si="62"/>
        <v>0002053901</v>
      </c>
    </row>
    <row r="1831" spans="1:6" x14ac:dyDescent="0.3">
      <c r="A1831" s="6" t="s">
        <v>1831</v>
      </c>
      <c r="B1831">
        <v>31853274</v>
      </c>
      <c r="C1831" s="3">
        <v>3</v>
      </c>
      <c r="D1831" s="5" t="str">
        <f t="shared" si="63"/>
        <v>03</v>
      </c>
      <c r="E1831" t="str">
        <f>VLOOKUP(B1831,'HOGARES-BASELINE'!$B:$I,8,FALSE)</f>
        <v>00020540</v>
      </c>
      <c r="F1831" s="6" t="str">
        <f t="shared" si="62"/>
        <v>0002054003</v>
      </c>
    </row>
    <row r="1832" spans="1:6" x14ac:dyDescent="0.3">
      <c r="A1832" s="6" t="s">
        <v>1832</v>
      </c>
      <c r="B1832">
        <v>31853274</v>
      </c>
      <c r="C1832" s="3">
        <v>2</v>
      </c>
      <c r="D1832" s="5" t="str">
        <f t="shared" si="63"/>
        <v>02</v>
      </c>
      <c r="E1832" t="str">
        <f>VLOOKUP(B1832,'HOGARES-BASELINE'!$B:$I,8,FALSE)</f>
        <v>00020540</v>
      </c>
      <c r="F1832" s="6" t="str">
        <f t="shared" si="62"/>
        <v>0002054002</v>
      </c>
    </row>
    <row r="1833" spans="1:6" x14ac:dyDescent="0.3">
      <c r="A1833" s="6" t="s">
        <v>1833</v>
      </c>
      <c r="B1833">
        <v>31853274</v>
      </c>
      <c r="C1833" s="3">
        <v>1</v>
      </c>
      <c r="D1833" s="5" t="str">
        <f t="shared" si="63"/>
        <v>01</v>
      </c>
      <c r="E1833" t="str">
        <f>VLOOKUP(B1833,'HOGARES-BASELINE'!$B:$I,8,FALSE)</f>
        <v>00020540</v>
      </c>
      <c r="F1833" s="6" t="str">
        <f t="shared" si="62"/>
        <v>0002054001</v>
      </c>
    </row>
    <row r="1834" spans="1:6" x14ac:dyDescent="0.3">
      <c r="A1834" s="6" t="s">
        <v>1834</v>
      </c>
      <c r="B1834">
        <v>31855498</v>
      </c>
      <c r="C1834" s="3">
        <v>1</v>
      </c>
      <c r="D1834" s="5" t="str">
        <f t="shared" si="63"/>
        <v>01</v>
      </c>
      <c r="E1834" t="str">
        <f>VLOOKUP(B1834,'HOGARES-BASELINE'!$B:$I,8,FALSE)</f>
        <v>00020541</v>
      </c>
      <c r="F1834" s="6" t="str">
        <f t="shared" si="62"/>
        <v>0002054101</v>
      </c>
    </row>
    <row r="1835" spans="1:6" x14ac:dyDescent="0.3">
      <c r="A1835" s="6" t="s">
        <v>1835</v>
      </c>
      <c r="B1835">
        <v>31855498</v>
      </c>
      <c r="C1835" s="3">
        <v>2</v>
      </c>
      <c r="D1835" s="5" t="str">
        <f t="shared" si="63"/>
        <v>02</v>
      </c>
      <c r="E1835" t="str">
        <f>VLOOKUP(B1835,'HOGARES-BASELINE'!$B:$I,8,FALSE)</f>
        <v>00020541</v>
      </c>
      <c r="F1835" s="6" t="str">
        <f t="shared" si="62"/>
        <v>0002054102</v>
      </c>
    </row>
    <row r="1836" spans="1:6" x14ac:dyDescent="0.3">
      <c r="A1836" s="6" t="s">
        <v>1836</v>
      </c>
      <c r="B1836">
        <v>31855556</v>
      </c>
      <c r="C1836" s="3">
        <v>1</v>
      </c>
      <c r="D1836" s="5" t="str">
        <f t="shared" si="63"/>
        <v>01</v>
      </c>
      <c r="E1836" t="str">
        <f>VLOOKUP(B1836,'HOGARES-BASELINE'!$B:$I,8,FALSE)</f>
        <v>00020542</v>
      </c>
      <c r="F1836" s="6" t="str">
        <f t="shared" si="62"/>
        <v>0002054201</v>
      </c>
    </row>
    <row r="1837" spans="1:6" x14ac:dyDescent="0.3">
      <c r="A1837" s="6" t="s">
        <v>1837</v>
      </c>
      <c r="B1837">
        <v>31857033</v>
      </c>
      <c r="C1837" s="3">
        <v>1</v>
      </c>
      <c r="D1837" s="5" t="str">
        <f t="shared" si="63"/>
        <v>01</v>
      </c>
      <c r="E1837" t="str">
        <f>VLOOKUP(B1837,'HOGARES-BASELINE'!$B:$I,8,FALSE)</f>
        <v>00020543</v>
      </c>
      <c r="F1837" s="6" t="str">
        <f t="shared" si="62"/>
        <v>0002054301</v>
      </c>
    </row>
    <row r="1838" spans="1:6" x14ac:dyDescent="0.3">
      <c r="A1838" s="6" t="s">
        <v>1838</v>
      </c>
      <c r="B1838">
        <v>31857560</v>
      </c>
      <c r="C1838" s="3">
        <v>1</v>
      </c>
      <c r="D1838" s="5" t="str">
        <f t="shared" si="63"/>
        <v>01</v>
      </c>
      <c r="E1838" t="str">
        <f>VLOOKUP(B1838,'HOGARES-BASELINE'!$B:$I,8,FALSE)</f>
        <v>00020544</v>
      </c>
      <c r="F1838" s="6" t="str">
        <f t="shared" si="62"/>
        <v>0002054401</v>
      </c>
    </row>
    <row r="1839" spans="1:6" x14ac:dyDescent="0.3">
      <c r="A1839" s="6" t="s">
        <v>1839</v>
      </c>
      <c r="B1839">
        <v>31858321</v>
      </c>
      <c r="C1839" s="3">
        <v>1</v>
      </c>
      <c r="D1839" s="5" t="str">
        <f t="shared" si="63"/>
        <v>01</v>
      </c>
      <c r="E1839" t="str">
        <f>VLOOKUP(B1839,'HOGARES-BASELINE'!$B:$I,8,FALSE)</f>
        <v>00020545</v>
      </c>
      <c r="F1839" s="6" t="str">
        <f t="shared" si="62"/>
        <v>0002054501</v>
      </c>
    </row>
    <row r="1840" spans="1:6" x14ac:dyDescent="0.3">
      <c r="A1840" s="6" t="s">
        <v>1840</v>
      </c>
      <c r="B1840">
        <v>31870926</v>
      </c>
      <c r="C1840" s="3">
        <v>1</v>
      </c>
      <c r="D1840" s="5" t="str">
        <f t="shared" si="63"/>
        <v>01</v>
      </c>
      <c r="E1840" t="str">
        <f>VLOOKUP(B1840,'HOGARES-BASELINE'!$B:$I,8,FALSE)</f>
        <v>00020546</v>
      </c>
      <c r="F1840" s="6" t="str">
        <f t="shared" si="62"/>
        <v>0002054601</v>
      </c>
    </row>
    <row r="1841" spans="1:6" x14ac:dyDescent="0.3">
      <c r="A1841" s="6" t="s">
        <v>1841</v>
      </c>
      <c r="B1841">
        <v>31870926</v>
      </c>
      <c r="C1841" s="3">
        <v>2</v>
      </c>
      <c r="D1841" s="5" t="str">
        <f t="shared" si="63"/>
        <v>02</v>
      </c>
      <c r="E1841" t="str">
        <f>VLOOKUP(B1841,'HOGARES-BASELINE'!$B:$I,8,FALSE)</f>
        <v>00020546</v>
      </c>
      <c r="F1841" s="6" t="str">
        <f t="shared" si="62"/>
        <v>0002054602</v>
      </c>
    </row>
    <row r="1842" spans="1:6" x14ac:dyDescent="0.3">
      <c r="A1842" s="6" t="s">
        <v>1842</v>
      </c>
      <c r="B1842">
        <v>31871549</v>
      </c>
      <c r="C1842" s="3">
        <v>1</v>
      </c>
      <c r="D1842" s="5" t="str">
        <f t="shared" si="63"/>
        <v>01</v>
      </c>
      <c r="E1842" t="str">
        <f>VLOOKUP(B1842,'HOGARES-BASELINE'!$B:$I,8,FALSE)</f>
        <v>01020547</v>
      </c>
      <c r="F1842" s="6" t="str">
        <f t="shared" si="62"/>
        <v>0102054701</v>
      </c>
    </row>
    <row r="1843" spans="1:6" x14ac:dyDescent="0.3">
      <c r="A1843" s="6" t="s">
        <v>1843</v>
      </c>
      <c r="B1843">
        <v>31871549</v>
      </c>
      <c r="C1843" s="3">
        <v>2</v>
      </c>
      <c r="D1843" s="5" t="str">
        <f t="shared" si="63"/>
        <v>02</v>
      </c>
      <c r="E1843" t="str">
        <f>VLOOKUP(B1843,'HOGARES-BASELINE'!$B:$I,8,FALSE)</f>
        <v>01020547</v>
      </c>
      <c r="F1843" s="6" t="str">
        <f t="shared" si="62"/>
        <v>0102054702</v>
      </c>
    </row>
    <row r="1844" spans="1:6" x14ac:dyDescent="0.3">
      <c r="A1844" s="6" t="s">
        <v>1844</v>
      </c>
      <c r="B1844">
        <v>31873574</v>
      </c>
      <c r="C1844" s="3">
        <v>2</v>
      </c>
      <c r="D1844" s="5" t="str">
        <f t="shared" si="63"/>
        <v>02</v>
      </c>
      <c r="E1844" t="str">
        <f>VLOOKUP(B1844,'HOGARES-BASELINE'!$B:$I,8,FALSE)</f>
        <v>00020548</v>
      </c>
      <c r="F1844" s="6" t="str">
        <f t="shared" si="62"/>
        <v>0002054802</v>
      </c>
    </row>
    <row r="1845" spans="1:6" x14ac:dyDescent="0.3">
      <c r="A1845" s="6" t="s">
        <v>1845</v>
      </c>
      <c r="B1845">
        <v>31873574</v>
      </c>
      <c r="C1845" s="3">
        <v>1</v>
      </c>
      <c r="D1845" s="5" t="str">
        <f t="shared" si="63"/>
        <v>01</v>
      </c>
      <c r="E1845" t="str">
        <f>VLOOKUP(B1845,'HOGARES-BASELINE'!$B:$I,8,FALSE)</f>
        <v>00020548</v>
      </c>
      <c r="F1845" s="6" t="str">
        <f t="shared" si="62"/>
        <v>0002054801</v>
      </c>
    </row>
    <row r="1846" spans="1:6" x14ac:dyDescent="0.3">
      <c r="A1846" s="6" t="s">
        <v>1846</v>
      </c>
      <c r="B1846">
        <v>31876572</v>
      </c>
      <c r="C1846" s="3">
        <v>1</v>
      </c>
      <c r="D1846" s="5" t="str">
        <f t="shared" si="63"/>
        <v>01</v>
      </c>
      <c r="E1846" t="str">
        <f>VLOOKUP(B1846,'HOGARES-BASELINE'!$B:$I,8,FALSE)</f>
        <v>00020549</v>
      </c>
      <c r="F1846" s="6" t="str">
        <f t="shared" si="62"/>
        <v>0002054901</v>
      </c>
    </row>
    <row r="1847" spans="1:6" x14ac:dyDescent="0.3">
      <c r="A1847" s="6" t="s">
        <v>1847</v>
      </c>
      <c r="B1847">
        <v>31876572</v>
      </c>
      <c r="C1847" s="3">
        <v>3</v>
      </c>
      <c r="D1847" s="5" t="str">
        <f t="shared" si="63"/>
        <v>03</v>
      </c>
      <c r="E1847" t="str">
        <f>VLOOKUP(B1847,'HOGARES-BASELINE'!$B:$I,8,FALSE)</f>
        <v>00020549</v>
      </c>
      <c r="F1847" s="6" t="str">
        <f t="shared" si="62"/>
        <v>0002054903</v>
      </c>
    </row>
    <row r="1848" spans="1:6" x14ac:dyDescent="0.3">
      <c r="A1848" s="6" t="s">
        <v>1848</v>
      </c>
      <c r="B1848">
        <v>31876572</v>
      </c>
      <c r="C1848" s="3">
        <v>2</v>
      </c>
      <c r="D1848" s="5" t="str">
        <f t="shared" si="63"/>
        <v>02</v>
      </c>
      <c r="E1848" t="str">
        <f>VLOOKUP(B1848,'HOGARES-BASELINE'!$B:$I,8,FALSE)</f>
        <v>00020549</v>
      </c>
      <c r="F1848" s="6" t="str">
        <f t="shared" si="62"/>
        <v>0002054902</v>
      </c>
    </row>
    <row r="1849" spans="1:6" x14ac:dyDescent="0.3">
      <c r="A1849" s="6" t="s">
        <v>1849</v>
      </c>
      <c r="B1849">
        <v>31884956</v>
      </c>
      <c r="C1849" s="3">
        <v>1</v>
      </c>
      <c r="D1849" s="5" t="str">
        <f t="shared" si="63"/>
        <v>01</v>
      </c>
      <c r="E1849" t="str">
        <f>VLOOKUP(B1849,'HOGARES-BASELINE'!$B:$I,8,FALSE)</f>
        <v>00020550</v>
      </c>
      <c r="F1849" s="6" t="str">
        <f t="shared" si="62"/>
        <v>0002055001</v>
      </c>
    </row>
    <row r="1850" spans="1:6" x14ac:dyDescent="0.3">
      <c r="A1850" s="6" t="s">
        <v>1850</v>
      </c>
      <c r="B1850">
        <v>31884956</v>
      </c>
      <c r="C1850" s="3">
        <v>3</v>
      </c>
      <c r="D1850" s="5" t="str">
        <f t="shared" si="63"/>
        <v>03</v>
      </c>
      <c r="E1850" t="str">
        <f>VLOOKUP(B1850,'HOGARES-BASELINE'!$B:$I,8,FALSE)</f>
        <v>00020550</v>
      </c>
      <c r="F1850" s="6" t="str">
        <f t="shared" si="62"/>
        <v>0002055003</v>
      </c>
    </row>
    <row r="1851" spans="1:6" x14ac:dyDescent="0.3">
      <c r="A1851" s="6" t="s">
        <v>1851</v>
      </c>
      <c r="B1851">
        <v>31884956</v>
      </c>
      <c r="C1851" s="3">
        <v>2</v>
      </c>
      <c r="D1851" s="5" t="str">
        <f t="shared" si="63"/>
        <v>02</v>
      </c>
      <c r="E1851" t="str">
        <f>VLOOKUP(B1851,'HOGARES-BASELINE'!$B:$I,8,FALSE)</f>
        <v>00020550</v>
      </c>
      <c r="F1851" s="6" t="str">
        <f t="shared" si="62"/>
        <v>0002055002</v>
      </c>
    </row>
    <row r="1852" spans="1:6" x14ac:dyDescent="0.3">
      <c r="A1852" s="6" t="s">
        <v>1852</v>
      </c>
      <c r="B1852">
        <v>31887694</v>
      </c>
      <c r="C1852" s="3">
        <v>1</v>
      </c>
      <c r="D1852" s="5" t="str">
        <f t="shared" si="63"/>
        <v>01</v>
      </c>
      <c r="E1852" t="str">
        <f>VLOOKUP(B1852,'HOGARES-BASELINE'!$B:$I,8,FALSE)</f>
        <v>01020551</v>
      </c>
      <c r="F1852" s="6" t="str">
        <f t="shared" si="62"/>
        <v>0102055101</v>
      </c>
    </row>
    <row r="1853" spans="1:6" x14ac:dyDescent="0.3">
      <c r="A1853" s="6" t="s">
        <v>1853</v>
      </c>
      <c r="B1853">
        <v>31887694</v>
      </c>
      <c r="C1853" s="3">
        <v>2</v>
      </c>
      <c r="D1853" s="5" t="str">
        <f t="shared" si="63"/>
        <v>02</v>
      </c>
      <c r="E1853" t="str">
        <f>VLOOKUP(B1853,'HOGARES-BASELINE'!$B:$I,8,FALSE)</f>
        <v>01020551</v>
      </c>
      <c r="F1853" s="6" t="str">
        <f t="shared" si="62"/>
        <v>0102055102</v>
      </c>
    </row>
    <row r="1854" spans="1:6" x14ac:dyDescent="0.3">
      <c r="A1854" s="6" t="s">
        <v>1854</v>
      </c>
      <c r="B1854">
        <v>31895484</v>
      </c>
      <c r="C1854" s="3">
        <v>1</v>
      </c>
      <c r="D1854" s="5" t="str">
        <f t="shared" si="63"/>
        <v>01</v>
      </c>
      <c r="E1854" t="str">
        <f>VLOOKUP(B1854,'HOGARES-BASELINE'!$B:$I,8,FALSE)</f>
        <v>00020552</v>
      </c>
      <c r="F1854" s="6" t="str">
        <f t="shared" si="62"/>
        <v>0002055201</v>
      </c>
    </row>
    <row r="1855" spans="1:6" x14ac:dyDescent="0.3">
      <c r="A1855" s="6" t="s">
        <v>1855</v>
      </c>
      <c r="B1855">
        <v>31895484</v>
      </c>
      <c r="C1855" s="3">
        <v>3</v>
      </c>
      <c r="D1855" s="5" t="str">
        <f t="shared" si="63"/>
        <v>03</v>
      </c>
      <c r="E1855" t="str">
        <f>VLOOKUP(B1855,'HOGARES-BASELINE'!$B:$I,8,FALSE)</f>
        <v>00020552</v>
      </c>
      <c r="F1855" s="6" t="str">
        <f t="shared" si="62"/>
        <v>0002055203</v>
      </c>
    </row>
    <row r="1856" spans="1:6" x14ac:dyDescent="0.3">
      <c r="A1856" s="6" t="s">
        <v>1856</v>
      </c>
      <c r="B1856">
        <v>31895484</v>
      </c>
      <c r="C1856" s="3">
        <v>2</v>
      </c>
      <c r="D1856" s="5" t="str">
        <f t="shared" si="63"/>
        <v>02</v>
      </c>
      <c r="E1856" t="str">
        <f>VLOOKUP(B1856,'HOGARES-BASELINE'!$B:$I,8,FALSE)</f>
        <v>00020552</v>
      </c>
      <c r="F1856" s="6" t="str">
        <f t="shared" si="62"/>
        <v>0002055202</v>
      </c>
    </row>
    <row r="1857" spans="1:6" x14ac:dyDescent="0.3">
      <c r="A1857" s="6" t="s">
        <v>1857</v>
      </c>
      <c r="B1857">
        <v>31902498</v>
      </c>
      <c r="C1857" s="3">
        <v>1</v>
      </c>
      <c r="D1857" s="5" t="str">
        <f t="shared" si="63"/>
        <v>01</v>
      </c>
      <c r="E1857" t="str">
        <f>VLOOKUP(B1857,'HOGARES-BASELINE'!$B:$I,8,FALSE)</f>
        <v>01020553</v>
      </c>
      <c r="F1857" s="6" t="str">
        <f t="shared" si="62"/>
        <v>0102055301</v>
      </c>
    </row>
    <row r="1858" spans="1:6" x14ac:dyDescent="0.3">
      <c r="A1858" s="6" t="s">
        <v>1858</v>
      </c>
      <c r="B1858">
        <v>31902498</v>
      </c>
      <c r="C1858" s="3">
        <v>2</v>
      </c>
      <c r="D1858" s="5" t="str">
        <f t="shared" si="63"/>
        <v>02</v>
      </c>
      <c r="E1858" t="str">
        <f>VLOOKUP(B1858,'HOGARES-BASELINE'!$B:$I,8,FALSE)</f>
        <v>01020553</v>
      </c>
      <c r="F1858" s="6" t="str">
        <f t="shared" si="62"/>
        <v>0102055302</v>
      </c>
    </row>
    <row r="1859" spans="1:6" x14ac:dyDescent="0.3">
      <c r="A1859" s="6" t="s">
        <v>1859</v>
      </c>
      <c r="B1859">
        <v>31905712</v>
      </c>
      <c r="C1859" s="3">
        <v>1</v>
      </c>
      <c r="D1859" s="5" t="str">
        <f t="shared" si="63"/>
        <v>01</v>
      </c>
      <c r="E1859" t="str">
        <f>VLOOKUP(B1859,'HOGARES-BASELINE'!$B:$I,8,FALSE)</f>
        <v>00020554</v>
      </c>
      <c r="F1859" s="6" t="str">
        <f t="shared" ref="F1859:F1922" si="64">_xlfn.CONCAT(E1859,D1859)</f>
        <v>0002055401</v>
      </c>
    </row>
    <row r="1860" spans="1:6" x14ac:dyDescent="0.3">
      <c r="A1860" s="6" t="s">
        <v>1860</v>
      </c>
      <c r="B1860">
        <v>31909149</v>
      </c>
      <c r="C1860" s="3">
        <v>1</v>
      </c>
      <c r="D1860" s="5" t="str">
        <f t="shared" si="63"/>
        <v>01</v>
      </c>
      <c r="E1860" t="str">
        <f>VLOOKUP(B1860,'HOGARES-BASELINE'!$B:$I,8,FALSE)</f>
        <v>01020555</v>
      </c>
      <c r="F1860" s="6" t="str">
        <f t="shared" si="64"/>
        <v>0102055501</v>
      </c>
    </row>
    <row r="1861" spans="1:6" x14ac:dyDescent="0.3">
      <c r="A1861" s="6" t="s">
        <v>1861</v>
      </c>
      <c r="B1861">
        <v>31909838</v>
      </c>
      <c r="C1861" s="3">
        <v>2</v>
      </c>
      <c r="D1861" s="5" t="str">
        <f t="shared" si="63"/>
        <v>02</v>
      </c>
      <c r="E1861" t="str">
        <f>VLOOKUP(B1861,'HOGARES-BASELINE'!$B:$I,8,FALSE)</f>
        <v>00020556</v>
      </c>
      <c r="F1861" s="6" t="str">
        <f t="shared" si="64"/>
        <v>0002055602</v>
      </c>
    </row>
    <row r="1862" spans="1:6" x14ac:dyDescent="0.3">
      <c r="A1862" s="6" t="s">
        <v>1862</v>
      </c>
      <c r="B1862">
        <v>31909838</v>
      </c>
      <c r="C1862" s="3">
        <v>1</v>
      </c>
      <c r="D1862" s="5" t="str">
        <f t="shared" si="63"/>
        <v>01</v>
      </c>
      <c r="E1862" t="str">
        <f>VLOOKUP(B1862,'HOGARES-BASELINE'!$B:$I,8,FALSE)</f>
        <v>00020556</v>
      </c>
      <c r="F1862" s="6" t="str">
        <f t="shared" si="64"/>
        <v>0002055601</v>
      </c>
    </row>
    <row r="1863" spans="1:6" x14ac:dyDescent="0.3">
      <c r="A1863" s="6" t="s">
        <v>1863</v>
      </c>
      <c r="B1863">
        <v>31914369</v>
      </c>
      <c r="C1863" s="3">
        <v>5</v>
      </c>
      <c r="D1863" s="5" t="str">
        <f t="shared" si="63"/>
        <v>05</v>
      </c>
      <c r="E1863" t="str">
        <f>VLOOKUP(B1863,'HOGARES-BASELINE'!$B:$I,8,FALSE)</f>
        <v>00020557</v>
      </c>
      <c r="F1863" s="6" t="str">
        <f t="shared" si="64"/>
        <v>0002055705</v>
      </c>
    </row>
    <row r="1864" spans="1:6" x14ac:dyDescent="0.3">
      <c r="A1864" s="6" t="s">
        <v>1864</v>
      </c>
      <c r="B1864">
        <v>31914369</v>
      </c>
      <c r="C1864" s="3">
        <v>7</v>
      </c>
      <c r="D1864" s="5" t="str">
        <f t="shared" si="63"/>
        <v>07</v>
      </c>
      <c r="E1864" t="str">
        <f>VLOOKUP(B1864,'HOGARES-BASELINE'!$B:$I,8,FALSE)</f>
        <v>00020557</v>
      </c>
      <c r="F1864" s="6" t="str">
        <f t="shared" si="64"/>
        <v>0002055707</v>
      </c>
    </row>
    <row r="1865" spans="1:6" x14ac:dyDescent="0.3">
      <c r="A1865" s="6" t="s">
        <v>1865</v>
      </c>
      <c r="B1865">
        <v>31914369</v>
      </c>
      <c r="C1865" s="3">
        <v>6</v>
      </c>
      <c r="D1865" s="5" t="str">
        <f t="shared" si="63"/>
        <v>06</v>
      </c>
      <c r="E1865" t="str">
        <f>VLOOKUP(B1865,'HOGARES-BASELINE'!$B:$I,8,FALSE)</f>
        <v>00020557</v>
      </c>
      <c r="F1865" s="6" t="str">
        <f t="shared" si="64"/>
        <v>0002055706</v>
      </c>
    </row>
    <row r="1866" spans="1:6" x14ac:dyDescent="0.3">
      <c r="A1866" s="6" t="s">
        <v>1866</v>
      </c>
      <c r="B1866">
        <v>31914369</v>
      </c>
      <c r="C1866" s="3">
        <v>2</v>
      </c>
      <c r="D1866" s="5" t="str">
        <f t="shared" si="63"/>
        <v>02</v>
      </c>
      <c r="E1866" t="str">
        <f>VLOOKUP(B1866,'HOGARES-BASELINE'!$B:$I,8,FALSE)</f>
        <v>00020557</v>
      </c>
      <c r="F1866" s="6" t="str">
        <f t="shared" si="64"/>
        <v>0002055702</v>
      </c>
    </row>
    <row r="1867" spans="1:6" x14ac:dyDescent="0.3">
      <c r="A1867" s="6" t="s">
        <v>1867</v>
      </c>
      <c r="B1867">
        <v>31914369</v>
      </c>
      <c r="C1867" s="3">
        <v>4</v>
      </c>
      <c r="D1867" s="5" t="str">
        <f t="shared" si="63"/>
        <v>04</v>
      </c>
      <c r="E1867" t="str">
        <f>VLOOKUP(B1867,'HOGARES-BASELINE'!$B:$I,8,FALSE)</f>
        <v>00020557</v>
      </c>
      <c r="F1867" s="6" t="str">
        <f t="shared" si="64"/>
        <v>0002055704</v>
      </c>
    </row>
    <row r="1868" spans="1:6" x14ac:dyDescent="0.3">
      <c r="A1868" s="6" t="s">
        <v>1868</v>
      </c>
      <c r="B1868">
        <v>31914369</v>
      </c>
      <c r="C1868" s="3">
        <v>3</v>
      </c>
      <c r="D1868" s="5" t="str">
        <f t="shared" si="63"/>
        <v>03</v>
      </c>
      <c r="E1868" t="str">
        <f>VLOOKUP(B1868,'HOGARES-BASELINE'!$B:$I,8,FALSE)</f>
        <v>00020557</v>
      </c>
      <c r="F1868" s="6" t="str">
        <f t="shared" si="64"/>
        <v>0002055703</v>
      </c>
    </row>
    <row r="1869" spans="1:6" x14ac:dyDescent="0.3">
      <c r="A1869" s="6" t="s">
        <v>1869</v>
      </c>
      <c r="B1869">
        <v>31914369</v>
      </c>
      <c r="C1869" s="3">
        <v>1</v>
      </c>
      <c r="D1869" s="5" t="str">
        <f t="shared" si="63"/>
        <v>01</v>
      </c>
      <c r="E1869" t="str">
        <f>VLOOKUP(B1869,'HOGARES-BASELINE'!$B:$I,8,FALSE)</f>
        <v>00020557</v>
      </c>
      <c r="F1869" s="6" t="str">
        <f t="shared" si="64"/>
        <v>0002055701</v>
      </c>
    </row>
    <row r="1870" spans="1:6" x14ac:dyDescent="0.3">
      <c r="A1870" s="6" t="s">
        <v>1870</v>
      </c>
      <c r="B1870">
        <v>31916260</v>
      </c>
      <c r="C1870" s="3">
        <v>2</v>
      </c>
      <c r="D1870" s="5" t="str">
        <f t="shared" si="63"/>
        <v>02</v>
      </c>
      <c r="E1870" t="str">
        <f>VLOOKUP(B1870,'HOGARES-BASELINE'!$B:$I,8,FALSE)</f>
        <v>00020558</v>
      </c>
      <c r="F1870" s="6" t="str">
        <f t="shared" si="64"/>
        <v>0002055802</v>
      </c>
    </row>
    <row r="1871" spans="1:6" x14ac:dyDescent="0.3">
      <c r="A1871" s="6" t="s">
        <v>1871</v>
      </c>
      <c r="B1871">
        <v>31916260</v>
      </c>
      <c r="C1871" s="3">
        <v>3</v>
      </c>
      <c r="D1871" s="5" t="str">
        <f t="shared" si="63"/>
        <v>03</v>
      </c>
      <c r="E1871" t="str">
        <f>VLOOKUP(B1871,'HOGARES-BASELINE'!$B:$I,8,FALSE)</f>
        <v>00020558</v>
      </c>
      <c r="F1871" s="6" t="str">
        <f t="shared" si="64"/>
        <v>0002055803</v>
      </c>
    </row>
    <row r="1872" spans="1:6" x14ac:dyDescent="0.3">
      <c r="A1872" s="6" t="s">
        <v>1872</v>
      </c>
      <c r="B1872">
        <v>31916260</v>
      </c>
      <c r="C1872" s="3">
        <v>1</v>
      </c>
      <c r="D1872" s="5" t="str">
        <f t="shared" si="63"/>
        <v>01</v>
      </c>
      <c r="E1872" t="str">
        <f>VLOOKUP(B1872,'HOGARES-BASELINE'!$B:$I,8,FALSE)</f>
        <v>00020558</v>
      </c>
      <c r="F1872" s="6" t="str">
        <f t="shared" si="64"/>
        <v>0002055801</v>
      </c>
    </row>
    <row r="1873" spans="1:6" x14ac:dyDescent="0.3">
      <c r="A1873" s="6" t="s">
        <v>1873</v>
      </c>
      <c r="B1873">
        <v>31923598</v>
      </c>
      <c r="C1873" s="3">
        <v>1</v>
      </c>
      <c r="D1873" s="5" t="str">
        <f t="shared" si="63"/>
        <v>01</v>
      </c>
      <c r="E1873" t="str">
        <f>VLOOKUP(B1873,'HOGARES-BASELINE'!$B:$I,8,FALSE)</f>
        <v>01020559</v>
      </c>
      <c r="F1873" s="6" t="str">
        <f t="shared" si="64"/>
        <v>0102055901</v>
      </c>
    </row>
    <row r="1874" spans="1:6" x14ac:dyDescent="0.3">
      <c r="A1874" s="6" t="s">
        <v>1874</v>
      </c>
      <c r="B1874">
        <v>31923598</v>
      </c>
      <c r="C1874" s="3">
        <v>4</v>
      </c>
      <c r="D1874" s="5" t="str">
        <f t="shared" si="63"/>
        <v>04</v>
      </c>
      <c r="E1874" t="str">
        <f>VLOOKUP(B1874,'HOGARES-BASELINE'!$B:$I,8,FALSE)</f>
        <v>01020559</v>
      </c>
      <c r="F1874" s="6" t="str">
        <f t="shared" si="64"/>
        <v>0102055904</v>
      </c>
    </row>
    <row r="1875" spans="1:6" x14ac:dyDescent="0.3">
      <c r="A1875" s="6" t="s">
        <v>1875</v>
      </c>
      <c r="B1875">
        <v>31923598</v>
      </c>
      <c r="C1875" s="3">
        <v>3</v>
      </c>
      <c r="D1875" s="5" t="str">
        <f t="shared" si="63"/>
        <v>03</v>
      </c>
      <c r="E1875" t="str">
        <f>VLOOKUP(B1875,'HOGARES-BASELINE'!$B:$I,8,FALSE)</f>
        <v>01020559</v>
      </c>
      <c r="F1875" s="6" t="str">
        <f t="shared" si="64"/>
        <v>0102055903</v>
      </c>
    </row>
    <row r="1876" spans="1:6" x14ac:dyDescent="0.3">
      <c r="A1876" s="6" t="s">
        <v>1876</v>
      </c>
      <c r="B1876">
        <v>31923598</v>
      </c>
      <c r="C1876" s="3">
        <v>6</v>
      </c>
      <c r="D1876" s="5" t="str">
        <f t="shared" si="63"/>
        <v>06</v>
      </c>
      <c r="E1876" t="str">
        <f>VLOOKUP(B1876,'HOGARES-BASELINE'!$B:$I,8,FALSE)</f>
        <v>01020559</v>
      </c>
      <c r="F1876" s="6" t="str">
        <f t="shared" si="64"/>
        <v>0102055906</v>
      </c>
    </row>
    <row r="1877" spans="1:6" x14ac:dyDescent="0.3">
      <c r="A1877" s="6" t="s">
        <v>1877</v>
      </c>
      <c r="B1877">
        <v>31923598</v>
      </c>
      <c r="C1877" s="3">
        <v>2</v>
      </c>
      <c r="D1877" s="5" t="str">
        <f t="shared" si="63"/>
        <v>02</v>
      </c>
      <c r="E1877" t="str">
        <f>VLOOKUP(B1877,'HOGARES-BASELINE'!$B:$I,8,FALSE)</f>
        <v>01020559</v>
      </c>
      <c r="F1877" s="6" t="str">
        <f t="shared" si="64"/>
        <v>0102055902</v>
      </c>
    </row>
    <row r="1878" spans="1:6" x14ac:dyDescent="0.3">
      <c r="A1878" s="6" t="s">
        <v>1878</v>
      </c>
      <c r="B1878">
        <v>31923598</v>
      </c>
      <c r="C1878" s="3">
        <v>5</v>
      </c>
      <c r="D1878" s="5" t="str">
        <f t="shared" si="63"/>
        <v>05</v>
      </c>
      <c r="E1878" t="str">
        <f>VLOOKUP(B1878,'HOGARES-BASELINE'!$B:$I,8,FALSE)</f>
        <v>01020559</v>
      </c>
      <c r="F1878" s="6" t="str">
        <f t="shared" si="64"/>
        <v>0102055905</v>
      </c>
    </row>
    <row r="1879" spans="1:6" x14ac:dyDescent="0.3">
      <c r="A1879" s="6" t="s">
        <v>1879</v>
      </c>
      <c r="B1879">
        <v>31923606</v>
      </c>
      <c r="C1879" s="3">
        <v>3</v>
      </c>
      <c r="D1879" s="5" t="str">
        <f t="shared" si="63"/>
        <v>03</v>
      </c>
      <c r="E1879" t="str">
        <f>VLOOKUP(B1879,'HOGARES-BASELINE'!$B:$I,8,FALSE)</f>
        <v>00020560</v>
      </c>
      <c r="F1879" s="6" t="str">
        <f t="shared" si="64"/>
        <v>0002056003</v>
      </c>
    </row>
    <row r="1880" spans="1:6" x14ac:dyDescent="0.3">
      <c r="A1880" s="6" t="s">
        <v>1880</v>
      </c>
      <c r="B1880">
        <v>31923606</v>
      </c>
      <c r="C1880" s="3">
        <v>1</v>
      </c>
      <c r="D1880" s="5" t="str">
        <f t="shared" si="63"/>
        <v>01</v>
      </c>
      <c r="E1880" t="str">
        <f>VLOOKUP(B1880,'HOGARES-BASELINE'!$B:$I,8,FALSE)</f>
        <v>00020560</v>
      </c>
      <c r="F1880" s="6" t="str">
        <f t="shared" si="64"/>
        <v>0002056001</v>
      </c>
    </row>
    <row r="1881" spans="1:6" x14ac:dyDescent="0.3">
      <c r="A1881" s="6" t="s">
        <v>1881</v>
      </c>
      <c r="B1881">
        <v>31923606</v>
      </c>
      <c r="C1881" s="3">
        <v>2</v>
      </c>
      <c r="D1881" s="5" t="str">
        <f t="shared" si="63"/>
        <v>02</v>
      </c>
      <c r="E1881" t="str">
        <f>VLOOKUP(B1881,'HOGARES-BASELINE'!$B:$I,8,FALSE)</f>
        <v>00020560</v>
      </c>
      <c r="F1881" s="6" t="str">
        <f t="shared" si="64"/>
        <v>0002056002</v>
      </c>
    </row>
    <row r="1882" spans="1:6" x14ac:dyDescent="0.3">
      <c r="A1882" s="6" t="s">
        <v>1882</v>
      </c>
      <c r="B1882">
        <v>31923606</v>
      </c>
      <c r="C1882" s="3">
        <v>4</v>
      </c>
      <c r="D1882" s="5" t="str">
        <f t="shared" si="63"/>
        <v>04</v>
      </c>
      <c r="E1882" t="str">
        <f>VLOOKUP(B1882,'HOGARES-BASELINE'!$B:$I,8,FALSE)</f>
        <v>00020560</v>
      </c>
      <c r="F1882" s="6" t="str">
        <f t="shared" si="64"/>
        <v>0002056004</v>
      </c>
    </row>
    <row r="1883" spans="1:6" x14ac:dyDescent="0.3">
      <c r="A1883" s="6" t="s">
        <v>1883</v>
      </c>
      <c r="B1883">
        <v>31924208</v>
      </c>
      <c r="C1883" s="3">
        <v>2</v>
      </c>
      <c r="D1883" s="5" t="str">
        <f t="shared" si="63"/>
        <v>02</v>
      </c>
      <c r="E1883" t="str">
        <f>VLOOKUP(B1883,'HOGARES-BASELINE'!$B:$I,8,FALSE)</f>
        <v>00020561</v>
      </c>
      <c r="F1883" s="6" t="str">
        <f t="shared" si="64"/>
        <v>0002056102</v>
      </c>
    </row>
    <row r="1884" spans="1:6" x14ac:dyDescent="0.3">
      <c r="A1884" s="6" t="s">
        <v>1884</v>
      </c>
      <c r="B1884">
        <v>31924208</v>
      </c>
      <c r="C1884" s="3">
        <v>1</v>
      </c>
      <c r="D1884" s="5" t="str">
        <f t="shared" si="63"/>
        <v>01</v>
      </c>
      <c r="E1884" t="str">
        <f>VLOOKUP(B1884,'HOGARES-BASELINE'!$B:$I,8,FALSE)</f>
        <v>00020561</v>
      </c>
      <c r="F1884" s="6" t="str">
        <f t="shared" si="64"/>
        <v>0002056101</v>
      </c>
    </row>
    <row r="1885" spans="1:6" x14ac:dyDescent="0.3">
      <c r="A1885" s="6" t="s">
        <v>1885</v>
      </c>
      <c r="B1885">
        <v>31925580</v>
      </c>
      <c r="C1885" s="3">
        <v>3</v>
      </c>
      <c r="D1885" s="5" t="str">
        <f t="shared" si="63"/>
        <v>03</v>
      </c>
      <c r="E1885" t="str">
        <f>VLOOKUP(B1885,'HOGARES-BASELINE'!$B:$I,8,FALSE)</f>
        <v>00020562</v>
      </c>
      <c r="F1885" s="6" t="str">
        <f t="shared" si="64"/>
        <v>0002056203</v>
      </c>
    </row>
    <row r="1886" spans="1:6" x14ac:dyDescent="0.3">
      <c r="A1886" s="6" t="s">
        <v>1886</v>
      </c>
      <c r="B1886">
        <v>31925580</v>
      </c>
      <c r="C1886" s="3">
        <v>2</v>
      </c>
      <c r="D1886" s="5" t="str">
        <f t="shared" si="63"/>
        <v>02</v>
      </c>
      <c r="E1886" t="str">
        <f>VLOOKUP(B1886,'HOGARES-BASELINE'!$B:$I,8,FALSE)</f>
        <v>00020562</v>
      </c>
      <c r="F1886" s="6" t="str">
        <f t="shared" si="64"/>
        <v>0002056202</v>
      </c>
    </row>
    <row r="1887" spans="1:6" x14ac:dyDescent="0.3">
      <c r="A1887" s="6" t="s">
        <v>1887</v>
      </c>
      <c r="B1887">
        <v>31925580</v>
      </c>
      <c r="C1887" s="3">
        <v>1</v>
      </c>
      <c r="D1887" s="5" t="str">
        <f t="shared" si="63"/>
        <v>01</v>
      </c>
      <c r="E1887" t="str">
        <f>VLOOKUP(B1887,'HOGARES-BASELINE'!$B:$I,8,FALSE)</f>
        <v>00020562</v>
      </c>
      <c r="F1887" s="6" t="str">
        <f t="shared" si="64"/>
        <v>0002056201</v>
      </c>
    </row>
    <row r="1888" spans="1:6" x14ac:dyDescent="0.3">
      <c r="A1888" s="6" t="s">
        <v>1888</v>
      </c>
      <c r="B1888">
        <v>31929380</v>
      </c>
      <c r="C1888" s="3">
        <v>3</v>
      </c>
      <c r="D1888" s="5" t="str">
        <f t="shared" si="63"/>
        <v>03</v>
      </c>
      <c r="E1888" t="str">
        <f>VLOOKUP(B1888,'HOGARES-BASELINE'!$B:$I,8,FALSE)</f>
        <v>01020563</v>
      </c>
      <c r="F1888" s="6" t="str">
        <f t="shared" si="64"/>
        <v>0102056303</v>
      </c>
    </row>
    <row r="1889" spans="1:6" x14ac:dyDescent="0.3">
      <c r="A1889" s="6" t="s">
        <v>1889</v>
      </c>
      <c r="B1889">
        <v>31929380</v>
      </c>
      <c r="C1889" s="3">
        <v>1</v>
      </c>
      <c r="D1889" s="5" t="str">
        <f t="shared" si="63"/>
        <v>01</v>
      </c>
      <c r="E1889" t="str">
        <f>VLOOKUP(B1889,'HOGARES-BASELINE'!$B:$I,8,FALSE)</f>
        <v>01020563</v>
      </c>
      <c r="F1889" s="6" t="str">
        <f t="shared" si="64"/>
        <v>0102056301</v>
      </c>
    </row>
    <row r="1890" spans="1:6" x14ac:dyDescent="0.3">
      <c r="A1890" s="6" t="s">
        <v>1890</v>
      </c>
      <c r="B1890">
        <v>31929380</v>
      </c>
      <c r="C1890" s="3">
        <v>5</v>
      </c>
      <c r="D1890" s="5" t="str">
        <f t="shared" si="63"/>
        <v>05</v>
      </c>
      <c r="E1890" t="str">
        <f>VLOOKUP(B1890,'HOGARES-BASELINE'!$B:$I,8,FALSE)</f>
        <v>01020563</v>
      </c>
      <c r="F1890" s="6" t="str">
        <f t="shared" si="64"/>
        <v>0102056305</v>
      </c>
    </row>
    <row r="1891" spans="1:6" x14ac:dyDescent="0.3">
      <c r="A1891" s="6" t="s">
        <v>1891</v>
      </c>
      <c r="B1891">
        <v>31929380</v>
      </c>
      <c r="C1891" s="3">
        <v>4</v>
      </c>
      <c r="D1891" s="5" t="str">
        <f t="shared" ref="D1891:D1954" si="65">_xlfn.CONCAT(0,C1891)</f>
        <v>04</v>
      </c>
      <c r="E1891" t="str">
        <f>VLOOKUP(B1891,'HOGARES-BASELINE'!$B:$I,8,FALSE)</f>
        <v>01020563</v>
      </c>
      <c r="F1891" s="6" t="str">
        <f t="shared" si="64"/>
        <v>0102056304</v>
      </c>
    </row>
    <row r="1892" spans="1:6" x14ac:dyDescent="0.3">
      <c r="A1892" s="6" t="s">
        <v>1892</v>
      </c>
      <c r="B1892">
        <v>31929380</v>
      </c>
      <c r="C1892" s="3">
        <v>6</v>
      </c>
      <c r="D1892" s="5" t="str">
        <f t="shared" si="65"/>
        <v>06</v>
      </c>
      <c r="E1892" t="str">
        <f>VLOOKUP(B1892,'HOGARES-BASELINE'!$B:$I,8,FALSE)</f>
        <v>01020563</v>
      </c>
      <c r="F1892" s="6" t="str">
        <f t="shared" si="64"/>
        <v>0102056306</v>
      </c>
    </row>
    <row r="1893" spans="1:6" x14ac:dyDescent="0.3">
      <c r="A1893" s="6" t="s">
        <v>1893</v>
      </c>
      <c r="B1893">
        <v>31929380</v>
      </c>
      <c r="C1893" s="3">
        <v>2</v>
      </c>
      <c r="D1893" s="5" t="str">
        <f t="shared" si="65"/>
        <v>02</v>
      </c>
      <c r="E1893" t="str">
        <f>VLOOKUP(B1893,'HOGARES-BASELINE'!$B:$I,8,FALSE)</f>
        <v>01020563</v>
      </c>
      <c r="F1893" s="6" t="str">
        <f t="shared" si="64"/>
        <v>0102056302</v>
      </c>
    </row>
    <row r="1894" spans="1:6" x14ac:dyDescent="0.3">
      <c r="A1894" s="6" t="s">
        <v>1894</v>
      </c>
      <c r="B1894">
        <v>31931128</v>
      </c>
      <c r="C1894" s="3">
        <v>3</v>
      </c>
      <c r="D1894" s="5" t="str">
        <f t="shared" si="65"/>
        <v>03</v>
      </c>
      <c r="E1894" t="str">
        <f>VLOOKUP(B1894,'HOGARES-BASELINE'!$B:$I,8,FALSE)</f>
        <v>00020564</v>
      </c>
      <c r="F1894" s="6" t="str">
        <f t="shared" si="64"/>
        <v>0002056403</v>
      </c>
    </row>
    <row r="1895" spans="1:6" x14ac:dyDescent="0.3">
      <c r="A1895" s="6" t="s">
        <v>1895</v>
      </c>
      <c r="B1895">
        <v>31931128</v>
      </c>
      <c r="C1895" s="3">
        <v>2</v>
      </c>
      <c r="D1895" s="5" t="str">
        <f t="shared" si="65"/>
        <v>02</v>
      </c>
      <c r="E1895" t="str">
        <f>VLOOKUP(B1895,'HOGARES-BASELINE'!$B:$I,8,FALSE)</f>
        <v>00020564</v>
      </c>
      <c r="F1895" s="6" t="str">
        <f t="shared" si="64"/>
        <v>0002056402</v>
      </c>
    </row>
    <row r="1896" spans="1:6" x14ac:dyDescent="0.3">
      <c r="A1896" s="6" t="s">
        <v>1896</v>
      </c>
      <c r="B1896">
        <v>31931128</v>
      </c>
      <c r="C1896" s="3">
        <v>1</v>
      </c>
      <c r="D1896" s="5" t="str">
        <f t="shared" si="65"/>
        <v>01</v>
      </c>
      <c r="E1896" t="str">
        <f>VLOOKUP(B1896,'HOGARES-BASELINE'!$B:$I,8,FALSE)</f>
        <v>00020564</v>
      </c>
      <c r="F1896" s="6" t="str">
        <f t="shared" si="64"/>
        <v>0002056401</v>
      </c>
    </row>
    <row r="1897" spans="1:6" x14ac:dyDescent="0.3">
      <c r="A1897" s="6" t="s">
        <v>1897</v>
      </c>
      <c r="B1897">
        <v>31931128</v>
      </c>
      <c r="C1897" s="3">
        <v>4</v>
      </c>
      <c r="D1897" s="5" t="str">
        <f t="shared" si="65"/>
        <v>04</v>
      </c>
      <c r="E1897" t="str">
        <f>VLOOKUP(B1897,'HOGARES-BASELINE'!$B:$I,8,FALSE)</f>
        <v>00020564</v>
      </c>
      <c r="F1897" s="6" t="str">
        <f t="shared" si="64"/>
        <v>0002056404</v>
      </c>
    </row>
    <row r="1898" spans="1:6" x14ac:dyDescent="0.3">
      <c r="A1898" s="6" t="s">
        <v>1898</v>
      </c>
      <c r="B1898">
        <v>31948620</v>
      </c>
      <c r="C1898" s="3">
        <v>1</v>
      </c>
      <c r="D1898" s="5" t="str">
        <f t="shared" si="65"/>
        <v>01</v>
      </c>
      <c r="E1898" t="str">
        <f>VLOOKUP(B1898,'HOGARES-BASELINE'!$B:$I,8,FALSE)</f>
        <v>00020565</v>
      </c>
      <c r="F1898" s="6" t="str">
        <f t="shared" si="64"/>
        <v>0002056501</v>
      </c>
    </row>
    <row r="1899" spans="1:6" x14ac:dyDescent="0.3">
      <c r="A1899" s="6" t="s">
        <v>1899</v>
      </c>
      <c r="B1899">
        <v>31948620</v>
      </c>
      <c r="C1899" s="3">
        <v>2</v>
      </c>
      <c r="D1899" s="5" t="str">
        <f t="shared" si="65"/>
        <v>02</v>
      </c>
      <c r="E1899" t="str">
        <f>VLOOKUP(B1899,'HOGARES-BASELINE'!$B:$I,8,FALSE)</f>
        <v>00020565</v>
      </c>
      <c r="F1899" s="6" t="str">
        <f t="shared" si="64"/>
        <v>0002056502</v>
      </c>
    </row>
    <row r="1900" spans="1:6" x14ac:dyDescent="0.3">
      <c r="A1900" s="6" t="s">
        <v>1900</v>
      </c>
      <c r="B1900">
        <v>31959597</v>
      </c>
      <c r="C1900" s="3">
        <v>5</v>
      </c>
      <c r="D1900" s="5" t="str">
        <f t="shared" si="65"/>
        <v>05</v>
      </c>
      <c r="E1900" t="str">
        <f>VLOOKUP(B1900,'HOGARES-BASELINE'!$B:$I,8,FALSE)</f>
        <v>01020566</v>
      </c>
      <c r="F1900" s="6" t="str">
        <f t="shared" si="64"/>
        <v>0102056605</v>
      </c>
    </row>
    <row r="1901" spans="1:6" x14ac:dyDescent="0.3">
      <c r="A1901" s="6" t="s">
        <v>1901</v>
      </c>
      <c r="B1901">
        <v>31959597</v>
      </c>
      <c r="C1901" s="3">
        <v>1</v>
      </c>
      <c r="D1901" s="5" t="str">
        <f t="shared" si="65"/>
        <v>01</v>
      </c>
      <c r="E1901" t="str">
        <f>VLOOKUP(B1901,'HOGARES-BASELINE'!$B:$I,8,FALSE)</f>
        <v>01020566</v>
      </c>
      <c r="F1901" s="6" t="str">
        <f t="shared" si="64"/>
        <v>0102056601</v>
      </c>
    </row>
    <row r="1902" spans="1:6" x14ac:dyDescent="0.3">
      <c r="A1902" s="6" t="s">
        <v>1902</v>
      </c>
      <c r="B1902">
        <v>31959597</v>
      </c>
      <c r="C1902" s="3">
        <v>2</v>
      </c>
      <c r="D1902" s="5" t="str">
        <f t="shared" si="65"/>
        <v>02</v>
      </c>
      <c r="E1902" t="str">
        <f>VLOOKUP(B1902,'HOGARES-BASELINE'!$B:$I,8,FALSE)</f>
        <v>01020566</v>
      </c>
      <c r="F1902" s="6" t="str">
        <f t="shared" si="64"/>
        <v>0102056602</v>
      </c>
    </row>
    <row r="1903" spans="1:6" x14ac:dyDescent="0.3">
      <c r="A1903" s="6" t="s">
        <v>1903</v>
      </c>
      <c r="B1903">
        <v>31959597</v>
      </c>
      <c r="C1903" s="3">
        <v>7</v>
      </c>
      <c r="D1903" s="5" t="str">
        <f t="shared" si="65"/>
        <v>07</v>
      </c>
      <c r="E1903" t="str">
        <f>VLOOKUP(B1903,'HOGARES-BASELINE'!$B:$I,8,FALSE)</f>
        <v>01020566</v>
      </c>
      <c r="F1903" s="6" t="str">
        <f t="shared" si="64"/>
        <v>0102056607</v>
      </c>
    </row>
    <row r="1904" spans="1:6" x14ac:dyDescent="0.3">
      <c r="A1904" s="6" t="s">
        <v>1904</v>
      </c>
      <c r="B1904">
        <v>31959597</v>
      </c>
      <c r="C1904" s="3">
        <v>4</v>
      </c>
      <c r="D1904" s="5" t="str">
        <f t="shared" si="65"/>
        <v>04</v>
      </c>
      <c r="E1904" t="str">
        <f>VLOOKUP(B1904,'HOGARES-BASELINE'!$B:$I,8,FALSE)</f>
        <v>01020566</v>
      </c>
      <c r="F1904" s="6" t="str">
        <f t="shared" si="64"/>
        <v>0102056604</v>
      </c>
    </row>
    <row r="1905" spans="1:6" x14ac:dyDescent="0.3">
      <c r="A1905" s="6" t="s">
        <v>1905</v>
      </c>
      <c r="B1905">
        <v>31959597</v>
      </c>
      <c r="C1905" s="3">
        <v>6</v>
      </c>
      <c r="D1905" s="5" t="str">
        <f t="shared" si="65"/>
        <v>06</v>
      </c>
      <c r="E1905" t="str">
        <f>VLOOKUP(B1905,'HOGARES-BASELINE'!$B:$I,8,FALSE)</f>
        <v>01020566</v>
      </c>
      <c r="F1905" s="6" t="str">
        <f t="shared" si="64"/>
        <v>0102056606</v>
      </c>
    </row>
    <row r="1906" spans="1:6" x14ac:dyDescent="0.3">
      <c r="A1906" s="6" t="s">
        <v>1906</v>
      </c>
      <c r="B1906">
        <v>31959597</v>
      </c>
      <c r="C1906" s="3">
        <v>3</v>
      </c>
      <c r="D1906" s="5" t="str">
        <f t="shared" si="65"/>
        <v>03</v>
      </c>
      <c r="E1906" t="str">
        <f>VLOOKUP(B1906,'HOGARES-BASELINE'!$B:$I,8,FALSE)</f>
        <v>01020566</v>
      </c>
      <c r="F1906" s="6" t="str">
        <f t="shared" si="64"/>
        <v>0102056603</v>
      </c>
    </row>
    <row r="1907" spans="1:6" x14ac:dyDescent="0.3">
      <c r="A1907" s="6" t="s">
        <v>1907</v>
      </c>
      <c r="B1907">
        <v>31972147</v>
      </c>
      <c r="C1907" s="3">
        <v>5</v>
      </c>
      <c r="D1907" s="5" t="str">
        <f t="shared" si="65"/>
        <v>05</v>
      </c>
      <c r="E1907" t="str">
        <f>VLOOKUP(B1907,'HOGARES-BASELINE'!$B:$I,8,FALSE)</f>
        <v>01020567</v>
      </c>
      <c r="F1907" s="6" t="str">
        <f t="shared" si="64"/>
        <v>0102056705</v>
      </c>
    </row>
    <row r="1908" spans="1:6" x14ac:dyDescent="0.3">
      <c r="A1908" s="6" t="s">
        <v>1908</v>
      </c>
      <c r="B1908">
        <v>31972147</v>
      </c>
      <c r="C1908" s="3">
        <v>6</v>
      </c>
      <c r="D1908" s="5" t="str">
        <f t="shared" si="65"/>
        <v>06</v>
      </c>
      <c r="E1908" t="str">
        <f>VLOOKUP(B1908,'HOGARES-BASELINE'!$B:$I,8,FALSE)</f>
        <v>01020567</v>
      </c>
      <c r="F1908" s="6" t="str">
        <f t="shared" si="64"/>
        <v>0102056706</v>
      </c>
    </row>
    <row r="1909" spans="1:6" x14ac:dyDescent="0.3">
      <c r="A1909" s="6" t="s">
        <v>1909</v>
      </c>
      <c r="B1909">
        <v>31972147</v>
      </c>
      <c r="C1909" s="3">
        <v>2</v>
      </c>
      <c r="D1909" s="5" t="str">
        <f t="shared" si="65"/>
        <v>02</v>
      </c>
      <c r="E1909" t="str">
        <f>VLOOKUP(B1909,'HOGARES-BASELINE'!$B:$I,8,FALSE)</f>
        <v>01020567</v>
      </c>
      <c r="F1909" s="6" t="str">
        <f t="shared" si="64"/>
        <v>0102056702</v>
      </c>
    </row>
    <row r="1910" spans="1:6" x14ac:dyDescent="0.3">
      <c r="A1910" s="6" t="s">
        <v>1910</v>
      </c>
      <c r="B1910">
        <v>31972147</v>
      </c>
      <c r="C1910" s="3">
        <v>1</v>
      </c>
      <c r="D1910" s="5" t="str">
        <f t="shared" si="65"/>
        <v>01</v>
      </c>
      <c r="E1910" t="str">
        <f>VLOOKUP(B1910,'HOGARES-BASELINE'!$B:$I,8,FALSE)</f>
        <v>01020567</v>
      </c>
      <c r="F1910" s="6" t="str">
        <f t="shared" si="64"/>
        <v>0102056701</v>
      </c>
    </row>
    <row r="1911" spans="1:6" x14ac:dyDescent="0.3">
      <c r="A1911" s="6" t="s">
        <v>1911</v>
      </c>
      <c r="B1911">
        <v>31972147</v>
      </c>
      <c r="C1911" s="3">
        <v>3</v>
      </c>
      <c r="D1911" s="5" t="str">
        <f t="shared" si="65"/>
        <v>03</v>
      </c>
      <c r="E1911" t="str">
        <f>VLOOKUP(B1911,'HOGARES-BASELINE'!$B:$I,8,FALSE)</f>
        <v>01020567</v>
      </c>
      <c r="F1911" s="6" t="str">
        <f t="shared" si="64"/>
        <v>0102056703</v>
      </c>
    </row>
    <row r="1912" spans="1:6" x14ac:dyDescent="0.3">
      <c r="A1912" s="6" t="s">
        <v>1912</v>
      </c>
      <c r="B1912">
        <v>31972147</v>
      </c>
      <c r="C1912" s="3">
        <v>4</v>
      </c>
      <c r="D1912" s="5" t="str">
        <f t="shared" si="65"/>
        <v>04</v>
      </c>
      <c r="E1912" t="str">
        <f>VLOOKUP(B1912,'HOGARES-BASELINE'!$B:$I,8,FALSE)</f>
        <v>01020567</v>
      </c>
      <c r="F1912" s="6" t="str">
        <f t="shared" si="64"/>
        <v>0102056704</v>
      </c>
    </row>
    <row r="1913" spans="1:6" x14ac:dyDescent="0.3">
      <c r="A1913" s="6" t="s">
        <v>1913</v>
      </c>
      <c r="B1913">
        <v>31981946</v>
      </c>
      <c r="C1913" s="3">
        <v>2</v>
      </c>
      <c r="D1913" s="5" t="str">
        <f t="shared" si="65"/>
        <v>02</v>
      </c>
      <c r="E1913" t="str">
        <f>VLOOKUP(B1913,'HOGARES-BASELINE'!$B:$I,8,FALSE)</f>
        <v>01020568</v>
      </c>
      <c r="F1913" s="6" t="str">
        <f t="shared" si="64"/>
        <v>0102056802</v>
      </c>
    </row>
    <row r="1914" spans="1:6" x14ac:dyDescent="0.3">
      <c r="A1914" s="6" t="s">
        <v>1914</v>
      </c>
      <c r="B1914">
        <v>31981946</v>
      </c>
      <c r="C1914" s="3">
        <v>1</v>
      </c>
      <c r="D1914" s="5" t="str">
        <f t="shared" si="65"/>
        <v>01</v>
      </c>
      <c r="E1914" t="str">
        <f>VLOOKUP(B1914,'HOGARES-BASELINE'!$B:$I,8,FALSE)</f>
        <v>01020568</v>
      </c>
      <c r="F1914" s="6" t="str">
        <f t="shared" si="64"/>
        <v>0102056801</v>
      </c>
    </row>
    <row r="1915" spans="1:6" x14ac:dyDescent="0.3">
      <c r="A1915" s="6" t="s">
        <v>1915</v>
      </c>
      <c r="B1915">
        <v>31981946</v>
      </c>
      <c r="C1915" s="3">
        <v>3</v>
      </c>
      <c r="D1915" s="5" t="str">
        <f t="shared" si="65"/>
        <v>03</v>
      </c>
      <c r="E1915" t="str">
        <f>VLOOKUP(B1915,'HOGARES-BASELINE'!$B:$I,8,FALSE)</f>
        <v>01020568</v>
      </c>
      <c r="F1915" s="6" t="str">
        <f t="shared" si="64"/>
        <v>0102056803</v>
      </c>
    </row>
    <row r="1916" spans="1:6" x14ac:dyDescent="0.3">
      <c r="A1916" s="6" t="s">
        <v>1916</v>
      </c>
      <c r="B1916">
        <v>31983781</v>
      </c>
      <c r="C1916" s="3">
        <v>1</v>
      </c>
      <c r="D1916" s="5" t="str">
        <f t="shared" si="65"/>
        <v>01</v>
      </c>
      <c r="E1916" t="str">
        <f>VLOOKUP(B1916,'HOGARES-BASELINE'!$B:$I,8,FALSE)</f>
        <v>01020569</v>
      </c>
      <c r="F1916" s="6" t="str">
        <f t="shared" si="64"/>
        <v>0102056901</v>
      </c>
    </row>
    <row r="1917" spans="1:6" x14ac:dyDescent="0.3">
      <c r="A1917" s="6" t="s">
        <v>1917</v>
      </c>
      <c r="B1917">
        <v>31983781</v>
      </c>
      <c r="C1917" s="3">
        <v>3</v>
      </c>
      <c r="D1917" s="5" t="str">
        <f t="shared" si="65"/>
        <v>03</v>
      </c>
      <c r="E1917" t="str">
        <f>VLOOKUP(B1917,'HOGARES-BASELINE'!$B:$I,8,FALSE)</f>
        <v>01020569</v>
      </c>
      <c r="F1917" s="6" t="str">
        <f t="shared" si="64"/>
        <v>0102056903</v>
      </c>
    </row>
    <row r="1918" spans="1:6" x14ac:dyDescent="0.3">
      <c r="A1918" s="6" t="s">
        <v>1918</v>
      </c>
      <c r="B1918">
        <v>31983781</v>
      </c>
      <c r="C1918" s="3">
        <v>4</v>
      </c>
      <c r="D1918" s="5" t="str">
        <f t="shared" si="65"/>
        <v>04</v>
      </c>
      <c r="E1918" t="str">
        <f>VLOOKUP(B1918,'HOGARES-BASELINE'!$B:$I,8,FALSE)</f>
        <v>01020569</v>
      </c>
      <c r="F1918" s="6" t="str">
        <f t="shared" si="64"/>
        <v>0102056904</v>
      </c>
    </row>
    <row r="1919" spans="1:6" x14ac:dyDescent="0.3">
      <c r="A1919" s="6" t="s">
        <v>1919</v>
      </c>
      <c r="B1919">
        <v>31983781</v>
      </c>
      <c r="C1919" s="3">
        <v>2</v>
      </c>
      <c r="D1919" s="5" t="str">
        <f t="shared" si="65"/>
        <v>02</v>
      </c>
      <c r="E1919" t="str">
        <f>VLOOKUP(B1919,'HOGARES-BASELINE'!$B:$I,8,FALSE)</f>
        <v>01020569</v>
      </c>
      <c r="F1919" s="6" t="str">
        <f t="shared" si="64"/>
        <v>0102056902</v>
      </c>
    </row>
    <row r="1920" spans="1:6" x14ac:dyDescent="0.3">
      <c r="A1920" s="6" t="s">
        <v>1920</v>
      </c>
      <c r="B1920">
        <v>31992224</v>
      </c>
      <c r="C1920" s="3">
        <v>1</v>
      </c>
      <c r="D1920" s="5" t="str">
        <f t="shared" si="65"/>
        <v>01</v>
      </c>
      <c r="E1920" t="str">
        <f>VLOOKUP(B1920,'HOGARES-BASELINE'!$B:$I,8,FALSE)</f>
        <v>01020570</v>
      </c>
      <c r="F1920" s="6" t="str">
        <f t="shared" si="64"/>
        <v>0102057001</v>
      </c>
    </row>
    <row r="1921" spans="1:6" x14ac:dyDescent="0.3">
      <c r="A1921" s="6" t="s">
        <v>1921</v>
      </c>
      <c r="B1921">
        <v>31992224</v>
      </c>
      <c r="C1921" s="3">
        <v>2</v>
      </c>
      <c r="D1921" s="5" t="str">
        <f t="shared" si="65"/>
        <v>02</v>
      </c>
      <c r="E1921" t="str">
        <f>VLOOKUP(B1921,'HOGARES-BASELINE'!$B:$I,8,FALSE)</f>
        <v>01020570</v>
      </c>
      <c r="F1921" s="6" t="str">
        <f t="shared" si="64"/>
        <v>0102057002</v>
      </c>
    </row>
    <row r="1922" spans="1:6" x14ac:dyDescent="0.3">
      <c r="A1922" s="6" t="s">
        <v>1922</v>
      </c>
      <c r="B1922">
        <v>31992224</v>
      </c>
      <c r="C1922" s="3">
        <v>4</v>
      </c>
      <c r="D1922" s="5" t="str">
        <f t="shared" si="65"/>
        <v>04</v>
      </c>
      <c r="E1922" t="str">
        <f>VLOOKUP(B1922,'HOGARES-BASELINE'!$B:$I,8,FALSE)</f>
        <v>01020570</v>
      </c>
      <c r="F1922" s="6" t="str">
        <f t="shared" si="64"/>
        <v>0102057004</v>
      </c>
    </row>
    <row r="1923" spans="1:6" x14ac:dyDescent="0.3">
      <c r="A1923" s="6" t="s">
        <v>1923</v>
      </c>
      <c r="B1923">
        <v>31992224</v>
      </c>
      <c r="C1923" s="3">
        <v>3</v>
      </c>
      <c r="D1923" s="5" t="str">
        <f t="shared" si="65"/>
        <v>03</v>
      </c>
      <c r="E1923" t="str">
        <f>VLOOKUP(B1923,'HOGARES-BASELINE'!$B:$I,8,FALSE)</f>
        <v>01020570</v>
      </c>
      <c r="F1923" s="6" t="str">
        <f t="shared" ref="F1923:F1986" si="66">_xlfn.CONCAT(E1923,D1923)</f>
        <v>0102057003</v>
      </c>
    </row>
    <row r="1924" spans="1:6" x14ac:dyDescent="0.3">
      <c r="A1924" s="6" t="s">
        <v>1924</v>
      </c>
      <c r="B1924">
        <v>31992747</v>
      </c>
      <c r="C1924" s="3">
        <v>2</v>
      </c>
      <c r="D1924" s="5" t="str">
        <f t="shared" si="65"/>
        <v>02</v>
      </c>
      <c r="E1924" t="str">
        <f>VLOOKUP(B1924,'HOGARES-BASELINE'!$B:$I,8,FALSE)</f>
        <v>01020571</v>
      </c>
      <c r="F1924" s="6" t="str">
        <f t="shared" si="66"/>
        <v>0102057102</v>
      </c>
    </row>
    <row r="1925" spans="1:6" x14ac:dyDescent="0.3">
      <c r="A1925" s="6" t="s">
        <v>1925</v>
      </c>
      <c r="B1925">
        <v>31992747</v>
      </c>
      <c r="C1925" s="3">
        <v>3</v>
      </c>
      <c r="D1925" s="5" t="str">
        <f t="shared" si="65"/>
        <v>03</v>
      </c>
      <c r="E1925" t="str">
        <f>VLOOKUP(B1925,'HOGARES-BASELINE'!$B:$I,8,FALSE)</f>
        <v>01020571</v>
      </c>
      <c r="F1925" s="6" t="str">
        <f t="shared" si="66"/>
        <v>0102057103</v>
      </c>
    </row>
    <row r="1926" spans="1:6" x14ac:dyDescent="0.3">
      <c r="A1926" s="6" t="s">
        <v>1926</v>
      </c>
      <c r="B1926">
        <v>31992747</v>
      </c>
      <c r="C1926" s="3">
        <v>1</v>
      </c>
      <c r="D1926" s="5" t="str">
        <f t="shared" si="65"/>
        <v>01</v>
      </c>
      <c r="E1926" t="str">
        <f>VLOOKUP(B1926,'HOGARES-BASELINE'!$B:$I,8,FALSE)</f>
        <v>01020571</v>
      </c>
      <c r="F1926" s="6" t="str">
        <f t="shared" si="66"/>
        <v>0102057101</v>
      </c>
    </row>
    <row r="1927" spans="1:6" x14ac:dyDescent="0.3">
      <c r="A1927" s="6" t="s">
        <v>1927</v>
      </c>
      <c r="B1927">
        <v>32078660</v>
      </c>
      <c r="C1927" s="3">
        <v>1</v>
      </c>
      <c r="D1927" s="5" t="str">
        <f t="shared" si="65"/>
        <v>01</v>
      </c>
      <c r="E1927" t="str">
        <f>VLOOKUP(B1927,'HOGARES-BASELINE'!$B:$I,8,FALSE)</f>
        <v>00010572</v>
      </c>
      <c r="F1927" s="6" t="str">
        <f t="shared" si="66"/>
        <v>0001057201</v>
      </c>
    </row>
    <row r="1928" spans="1:6" x14ac:dyDescent="0.3">
      <c r="A1928" s="6" t="s">
        <v>1928</v>
      </c>
      <c r="B1928">
        <v>32102790</v>
      </c>
      <c r="C1928" s="3">
        <v>2</v>
      </c>
      <c r="D1928" s="5" t="str">
        <f t="shared" si="65"/>
        <v>02</v>
      </c>
      <c r="E1928" t="str">
        <f>VLOOKUP(B1928,'HOGARES-BASELINE'!$B:$I,8,FALSE)</f>
        <v>01010573</v>
      </c>
      <c r="F1928" s="6" t="str">
        <f t="shared" si="66"/>
        <v>0101057302</v>
      </c>
    </row>
    <row r="1929" spans="1:6" x14ac:dyDescent="0.3">
      <c r="A1929" s="6" t="s">
        <v>1929</v>
      </c>
      <c r="B1929">
        <v>32102790</v>
      </c>
      <c r="C1929" s="3">
        <v>1</v>
      </c>
      <c r="D1929" s="5" t="str">
        <f t="shared" si="65"/>
        <v>01</v>
      </c>
      <c r="E1929" t="str">
        <f>VLOOKUP(B1929,'HOGARES-BASELINE'!$B:$I,8,FALSE)</f>
        <v>01010573</v>
      </c>
      <c r="F1929" s="6" t="str">
        <f t="shared" si="66"/>
        <v>0101057301</v>
      </c>
    </row>
    <row r="1930" spans="1:6" x14ac:dyDescent="0.3">
      <c r="A1930" s="6" t="s">
        <v>1930</v>
      </c>
      <c r="B1930">
        <v>32102790</v>
      </c>
      <c r="C1930" s="3">
        <v>3</v>
      </c>
      <c r="D1930" s="5" t="str">
        <f t="shared" si="65"/>
        <v>03</v>
      </c>
      <c r="E1930" t="str">
        <f>VLOOKUP(B1930,'HOGARES-BASELINE'!$B:$I,8,FALSE)</f>
        <v>01010573</v>
      </c>
      <c r="F1930" s="6" t="str">
        <f t="shared" si="66"/>
        <v>0101057303</v>
      </c>
    </row>
    <row r="1931" spans="1:6" x14ac:dyDescent="0.3">
      <c r="A1931" s="6" t="s">
        <v>1931</v>
      </c>
      <c r="B1931">
        <v>32118138</v>
      </c>
      <c r="C1931" s="3">
        <v>3</v>
      </c>
      <c r="D1931" s="5" t="str">
        <f t="shared" si="65"/>
        <v>03</v>
      </c>
      <c r="E1931" t="str">
        <f>VLOOKUP(B1931,'HOGARES-BASELINE'!$B:$I,8,FALSE)</f>
        <v>01010574</v>
      </c>
      <c r="F1931" s="6" t="str">
        <f t="shared" si="66"/>
        <v>0101057403</v>
      </c>
    </row>
    <row r="1932" spans="1:6" x14ac:dyDescent="0.3">
      <c r="A1932" s="6" t="s">
        <v>1932</v>
      </c>
      <c r="B1932">
        <v>32118138</v>
      </c>
      <c r="C1932" s="3">
        <v>4</v>
      </c>
      <c r="D1932" s="5" t="str">
        <f t="shared" si="65"/>
        <v>04</v>
      </c>
      <c r="E1932" t="str">
        <f>VLOOKUP(B1932,'HOGARES-BASELINE'!$B:$I,8,FALSE)</f>
        <v>01010574</v>
      </c>
      <c r="F1932" s="6" t="str">
        <f t="shared" si="66"/>
        <v>0101057404</v>
      </c>
    </row>
    <row r="1933" spans="1:6" x14ac:dyDescent="0.3">
      <c r="A1933" s="6" t="s">
        <v>1933</v>
      </c>
      <c r="B1933">
        <v>32118138</v>
      </c>
      <c r="C1933" s="3">
        <v>2</v>
      </c>
      <c r="D1933" s="5" t="str">
        <f t="shared" si="65"/>
        <v>02</v>
      </c>
      <c r="E1933" t="str">
        <f>VLOOKUP(B1933,'HOGARES-BASELINE'!$B:$I,8,FALSE)</f>
        <v>01010574</v>
      </c>
      <c r="F1933" s="6" t="str">
        <f t="shared" si="66"/>
        <v>0101057402</v>
      </c>
    </row>
    <row r="1934" spans="1:6" x14ac:dyDescent="0.3">
      <c r="A1934" s="6" t="s">
        <v>1934</v>
      </c>
      <c r="B1934">
        <v>32118138</v>
      </c>
      <c r="C1934" s="3">
        <v>1</v>
      </c>
      <c r="D1934" s="5" t="str">
        <f t="shared" si="65"/>
        <v>01</v>
      </c>
      <c r="E1934" t="str">
        <f>VLOOKUP(B1934,'HOGARES-BASELINE'!$B:$I,8,FALSE)</f>
        <v>01010574</v>
      </c>
      <c r="F1934" s="6" t="str">
        <f t="shared" si="66"/>
        <v>0101057401</v>
      </c>
    </row>
    <row r="1935" spans="1:6" x14ac:dyDescent="0.3">
      <c r="A1935" s="6" t="s">
        <v>1935</v>
      </c>
      <c r="B1935">
        <v>32144313</v>
      </c>
      <c r="C1935" s="3">
        <v>2</v>
      </c>
      <c r="D1935" s="5" t="str">
        <f t="shared" si="65"/>
        <v>02</v>
      </c>
      <c r="E1935" t="str">
        <f>VLOOKUP(B1935,'HOGARES-BASELINE'!$B:$I,8,FALSE)</f>
        <v>01010575</v>
      </c>
      <c r="F1935" s="6" t="str">
        <f t="shared" si="66"/>
        <v>0101057502</v>
      </c>
    </row>
    <row r="1936" spans="1:6" x14ac:dyDescent="0.3">
      <c r="A1936" s="6" t="s">
        <v>1936</v>
      </c>
      <c r="B1936">
        <v>32144313</v>
      </c>
      <c r="C1936" s="3">
        <v>1</v>
      </c>
      <c r="D1936" s="5" t="str">
        <f t="shared" si="65"/>
        <v>01</v>
      </c>
      <c r="E1936" t="str">
        <f>VLOOKUP(B1936,'HOGARES-BASELINE'!$B:$I,8,FALSE)</f>
        <v>01010575</v>
      </c>
      <c r="F1936" s="6" t="str">
        <f t="shared" si="66"/>
        <v>0101057501</v>
      </c>
    </row>
    <row r="1937" spans="1:6" x14ac:dyDescent="0.3">
      <c r="A1937" s="6" t="s">
        <v>1937</v>
      </c>
      <c r="B1937">
        <v>32182047</v>
      </c>
      <c r="C1937" s="3">
        <v>1</v>
      </c>
      <c r="D1937" s="5" t="str">
        <f t="shared" si="65"/>
        <v>01</v>
      </c>
      <c r="E1937" t="str">
        <f>VLOOKUP(B1937,'HOGARES-BASELINE'!$B:$I,8,FALSE)</f>
        <v>00010576</v>
      </c>
      <c r="F1937" s="6" t="str">
        <f t="shared" si="66"/>
        <v>0001057601</v>
      </c>
    </row>
    <row r="1938" spans="1:6" x14ac:dyDescent="0.3">
      <c r="A1938" s="6" t="s">
        <v>1938</v>
      </c>
      <c r="B1938">
        <v>32182047</v>
      </c>
      <c r="C1938" s="3">
        <v>2</v>
      </c>
      <c r="D1938" s="5" t="str">
        <f t="shared" si="65"/>
        <v>02</v>
      </c>
      <c r="E1938" t="str">
        <f>VLOOKUP(B1938,'HOGARES-BASELINE'!$B:$I,8,FALSE)</f>
        <v>00010576</v>
      </c>
      <c r="F1938" s="6" t="str">
        <f t="shared" si="66"/>
        <v>0001057602</v>
      </c>
    </row>
    <row r="1939" spans="1:6" x14ac:dyDescent="0.3">
      <c r="A1939" s="6" t="s">
        <v>1939</v>
      </c>
      <c r="B1939">
        <v>32182047</v>
      </c>
      <c r="C1939" s="3">
        <v>3</v>
      </c>
      <c r="D1939" s="5" t="str">
        <f t="shared" si="65"/>
        <v>03</v>
      </c>
      <c r="E1939" t="str">
        <f>VLOOKUP(B1939,'HOGARES-BASELINE'!$B:$I,8,FALSE)</f>
        <v>00010576</v>
      </c>
      <c r="F1939" s="6" t="str">
        <f t="shared" si="66"/>
        <v>0001057603</v>
      </c>
    </row>
    <row r="1940" spans="1:6" x14ac:dyDescent="0.3">
      <c r="A1940" s="6" t="s">
        <v>1940</v>
      </c>
      <c r="B1940">
        <v>32208850</v>
      </c>
      <c r="C1940" s="3">
        <v>2</v>
      </c>
      <c r="D1940" s="5" t="str">
        <f t="shared" si="65"/>
        <v>02</v>
      </c>
      <c r="E1940" t="str">
        <f>VLOOKUP(B1940,'HOGARES-BASELINE'!$B:$I,8,FALSE)</f>
        <v>01010577</v>
      </c>
      <c r="F1940" s="6" t="str">
        <f t="shared" si="66"/>
        <v>0101057702</v>
      </c>
    </row>
    <row r="1941" spans="1:6" x14ac:dyDescent="0.3">
      <c r="A1941" s="6" t="s">
        <v>1941</v>
      </c>
      <c r="B1941">
        <v>32208850</v>
      </c>
      <c r="C1941" s="3">
        <v>3</v>
      </c>
      <c r="D1941" s="5" t="str">
        <f t="shared" si="65"/>
        <v>03</v>
      </c>
      <c r="E1941" t="str">
        <f>VLOOKUP(B1941,'HOGARES-BASELINE'!$B:$I,8,FALSE)</f>
        <v>01010577</v>
      </c>
      <c r="F1941" s="6" t="str">
        <f t="shared" si="66"/>
        <v>0101057703</v>
      </c>
    </row>
    <row r="1942" spans="1:6" x14ac:dyDescent="0.3">
      <c r="A1942" s="6" t="s">
        <v>1942</v>
      </c>
      <c r="B1942">
        <v>32208850</v>
      </c>
      <c r="C1942" s="3">
        <v>1</v>
      </c>
      <c r="D1942" s="5" t="str">
        <f t="shared" si="65"/>
        <v>01</v>
      </c>
      <c r="E1942" t="str">
        <f>VLOOKUP(B1942,'HOGARES-BASELINE'!$B:$I,8,FALSE)</f>
        <v>01010577</v>
      </c>
      <c r="F1942" s="6" t="str">
        <f t="shared" si="66"/>
        <v>0101057701</v>
      </c>
    </row>
    <row r="1943" spans="1:6" x14ac:dyDescent="0.3">
      <c r="A1943" s="6" t="s">
        <v>1943</v>
      </c>
      <c r="B1943">
        <v>32255078</v>
      </c>
      <c r="C1943" s="3">
        <v>2</v>
      </c>
      <c r="D1943" s="5" t="str">
        <f t="shared" si="65"/>
        <v>02</v>
      </c>
      <c r="E1943" t="str">
        <f>VLOOKUP(B1943,'HOGARES-BASELINE'!$B:$I,8,FALSE)</f>
        <v>00010578</v>
      </c>
      <c r="F1943" s="6" t="str">
        <f t="shared" si="66"/>
        <v>0001057802</v>
      </c>
    </row>
    <row r="1944" spans="1:6" x14ac:dyDescent="0.3">
      <c r="A1944" s="6" t="s">
        <v>1944</v>
      </c>
      <c r="B1944">
        <v>32255078</v>
      </c>
      <c r="C1944" s="3">
        <v>3</v>
      </c>
      <c r="D1944" s="5" t="str">
        <f t="shared" si="65"/>
        <v>03</v>
      </c>
      <c r="E1944" t="str">
        <f>VLOOKUP(B1944,'HOGARES-BASELINE'!$B:$I,8,FALSE)</f>
        <v>00010578</v>
      </c>
      <c r="F1944" s="6" t="str">
        <f t="shared" si="66"/>
        <v>0001057803</v>
      </c>
    </row>
    <row r="1945" spans="1:6" x14ac:dyDescent="0.3">
      <c r="A1945" s="6" t="s">
        <v>1945</v>
      </c>
      <c r="B1945">
        <v>32255078</v>
      </c>
      <c r="C1945" s="3">
        <v>1</v>
      </c>
      <c r="D1945" s="5" t="str">
        <f t="shared" si="65"/>
        <v>01</v>
      </c>
      <c r="E1945" t="str">
        <f>VLOOKUP(B1945,'HOGARES-BASELINE'!$B:$I,8,FALSE)</f>
        <v>00010578</v>
      </c>
      <c r="F1945" s="6" t="str">
        <f t="shared" si="66"/>
        <v>0001057801</v>
      </c>
    </row>
    <row r="1946" spans="1:6" x14ac:dyDescent="0.3">
      <c r="A1946" s="6" t="s">
        <v>1946</v>
      </c>
      <c r="B1946">
        <v>32255078</v>
      </c>
      <c r="C1946" s="3">
        <v>4</v>
      </c>
      <c r="D1946" s="5" t="str">
        <f t="shared" si="65"/>
        <v>04</v>
      </c>
      <c r="E1946" t="str">
        <f>VLOOKUP(B1946,'HOGARES-BASELINE'!$B:$I,8,FALSE)</f>
        <v>00010578</v>
      </c>
      <c r="F1946" s="6" t="str">
        <f t="shared" si="66"/>
        <v>0001057804</v>
      </c>
    </row>
    <row r="1947" spans="1:6" x14ac:dyDescent="0.3">
      <c r="A1947" s="6" t="s">
        <v>1947</v>
      </c>
      <c r="B1947">
        <v>32255448</v>
      </c>
      <c r="C1947" s="3">
        <v>3</v>
      </c>
      <c r="D1947" s="5" t="str">
        <f t="shared" si="65"/>
        <v>03</v>
      </c>
      <c r="E1947" t="str">
        <f>VLOOKUP(B1947,'HOGARES-BASELINE'!$B:$I,8,FALSE)</f>
        <v>01010579</v>
      </c>
      <c r="F1947" s="6" t="str">
        <f t="shared" si="66"/>
        <v>0101057903</v>
      </c>
    </row>
    <row r="1948" spans="1:6" x14ac:dyDescent="0.3">
      <c r="A1948" s="6" t="s">
        <v>1948</v>
      </c>
      <c r="B1948">
        <v>32255448</v>
      </c>
      <c r="C1948" s="3">
        <v>5</v>
      </c>
      <c r="D1948" s="5" t="str">
        <f t="shared" si="65"/>
        <v>05</v>
      </c>
      <c r="E1948" t="str">
        <f>VLOOKUP(B1948,'HOGARES-BASELINE'!$B:$I,8,FALSE)</f>
        <v>01010579</v>
      </c>
      <c r="F1948" s="6" t="str">
        <f t="shared" si="66"/>
        <v>0101057905</v>
      </c>
    </row>
    <row r="1949" spans="1:6" x14ac:dyDescent="0.3">
      <c r="A1949" s="6" t="s">
        <v>1949</v>
      </c>
      <c r="B1949">
        <v>32255448</v>
      </c>
      <c r="C1949" s="3">
        <v>1</v>
      </c>
      <c r="D1949" s="5" t="str">
        <f t="shared" si="65"/>
        <v>01</v>
      </c>
      <c r="E1949" t="str">
        <f>VLOOKUP(B1949,'HOGARES-BASELINE'!$B:$I,8,FALSE)</f>
        <v>01010579</v>
      </c>
      <c r="F1949" s="6" t="str">
        <f t="shared" si="66"/>
        <v>0101057901</v>
      </c>
    </row>
    <row r="1950" spans="1:6" x14ac:dyDescent="0.3">
      <c r="A1950" s="6" t="s">
        <v>1950</v>
      </c>
      <c r="B1950">
        <v>32255448</v>
      </c>
      <c r="C1950" s="3">
        <v>2</v>
      </c>
      <c r="D1950" s="5" t="str">
        <f t="shared" si="65"/>
        <v>02</v>
      </c>
      <c r="E1950" t="str">
        <f>VLOOKUP(B1950,'HOGARES-BASELINE'!$B:$I,8,FALSE)</f>
        <v>01010579</v>
      </c>
      <c r="F1950" s="6" t="str">
        <f t="shared" si="66"/>
        <v>0101057902</v>
      </c>
    </row>
    <row r="1951" spans="1:6" x14ac:dyDescent="0.3">
      <c r="A1951" s="6" t="s">
        <v>1951</v>
      </c>
      <c r="B1951">
        <v>32255448</v>
      </c>
      <c r="C1951" s="3">
        <v>4</v>
      </c>
      <c r="D1951" s="5" t="str">
        <f t="shared" si="65"/>
        <v>04</v>
      </c>
      <c r="E1951" t="str">
        <f>VLOOKUP(B1951,'HOGARES-BASELINE'!$B:$I,8,FALSE)</f>
        <v>01010579</v>
      </c>
      <c r="F1951" s="6" t="str">
        <f t="shared" si="66"/>
        <v>0101057904</v>
      </c>
    </row>
    <row r="1952" spans="1:6" x14ac:dyDescent="0.3">
      <c r="A1952" s="6" t="s">
        <v>1952</v>
      </c>
      <c r="B1952">
        <v>32258550</v>
      </c>
      <c r="C1952" s="3">
        <v>3</v>
      </c>
      <c r="D1952" s="5" t="str">
        <f t="shared" si="65"/>
        <v>03</v>
      </c>
      <c r="E1952" t="str">
        <f>VLOOKUP(B1952,'HOGARES-BASELINE'!$B:$I,8,FALSE)</f>
        <v>01010580</v>
      </c>
      <c r="F1952" s="6" t="str">
        <f t="shared" si="66"/>
        <v>0101058003</v>
      </c>
    </row>
    <row r="1953" spans="1:6" x14ac:dyDescent="0.3">
      <c r="A1953" s="6" t="s">
        <v>1953</v>
      </c>
      <c r="B1953">
        <v>32258550</v>
      </c>
      <c r="C1953" s="3">
        <v>2</v>
      </c>
      <c r="D1953" s="5" t="str">
        <f t="shared" si="65"/>
        <v>02</v>
      </c>
      <c r="E1953" t="str">
        <f>VLOOKUP(B1953,'HOGARES-BASELINE'!$B:$I,8,FALSE)</f>
        <v>01010580</v>
      </c>
      <c r="F1953" s="6" t="str">
        <f t="shared" si="66"/>
        <v>0101058002</v>
      </c>
    </row>
    <row r="1954" spans="1:6" x14ac:dyDescent="0.3">
      <c r="A1954" s="6" t="s">
        <v>1954</v>
      </c>
      <c r="B1954">
        <v>32258550</v>
      </c>
      <c r="C1954" s="3">
        <v>1</v>
      </c>
      <c r="D1954" s="5" t="str">
        <f t="shared" si="65"/>
        <v>01</v>
      </c>
      <c r="E1954" t="str">
        <f>VLOOKUP(B1954,'HOGARES-BASELINE'!$B:$I,8,FALSE)</f>
        <v>01010580</v>
      </c>
      <c r="F1954" s="6" t="str">
        <f t="shared" si="66"/>
        <v>0101058001</v>
      </c>
    </row>
    <row r="1955" spans="1:6" x14ac:dyDescent="0.3">
      <c r="A1955" s="6" t="s">
        <v>1955</v>
      </c>
      <c r="B1955">
        <v>32285101</v>
      </c>
      <c r="C1955" s="3">
        <v>1</v>
      </c>
      <c r="D1955" s="5" t="str">
        <f t="shared" ref="D1955:D2018" si="67">_xlfn.CONCAT(0,C1955)</f>
        <v>01</v>
      </c>
      <c r="E1955" t="str">
        <f>VLOOKUP(B1955,'HOGARES-BASELINE'!$B:$I,8,FALSE)</f>
        <v>01020581</v>
      </c>
      <c r="F1955" s="6" t="str">
        <f t="shared" si="66"/>
        <v>0102058101</v>
      </c>
    </row>
    <row r="1956" spans="1:6" x14ac:dyDescent="0.3">
      <c r="A1956" s="6" t="s">
        <v>1956</v>
      </c>
      <c r="B1956">
        <v>32285912</v>
      </c>
      <c r="C1956" s="3">
        <v>1</v>
      </c>
      <c r="D1956" s="5" t="str">
        <f t="shared" si="67"/>
        <v>01</v>
      </c>
      <c r="E1956" t="str">
        <f>VLOOKUP(B1956,'HOGARES-BASELINE'!$B:$I,8,FALSE)</f>
        <v>01020582</v>
      </c>
      <c r="F1956" s="6" t="str">
        <f t="shared" si="66"/>
        <v>0102058201</v>
      </c>
    </row>
    <row r="1957" spans="1:6" x14ac:dyDescent="0.3">
      <c r="A1957" s="6" t="s">
        <v>1957</v>
      </c>
      <c r="B1957">
        <v>32323288</v>
      </c>
      <c r="C1957" s="3">
        <v>2</v>
      </c>
      <c r="D1957" s="5" t="str">
        <f t="shared" si="67"/>
        <v>02</v>
      </c>
      <c r="E1957" t="str">
        <f>VLOOKUP(B1957,'HOGARES-BASELINE'!$B:$I,8,FALSE)</f>
        <v>00010583</v>
      </c>
      <c r="F1957" s="6" t="str">
        <f t="shared" si="66"/>
        <v>0001058302</v>
      </c>
    </row>
    <row r="1958" spans="1:6" x14ac:dyDescent="0.3">
      <c r="A1958" s="6" t="s">
        <v>1958</v>
      </c>
      <c r="B1958">
        <v>32323288</v>
      </c>
      <c r="C1958" s="3">
        <v>3</v>
      </c>
      <c r="D1958" s="5" t="str">
        <f t="shared" si="67"/>
        <v>03</v>
      </c>
      <c r="E1958" t="str">
        <f>VLOOKUP(B1958,'HOGARES-BASELINE'!$B:$I,8,FALSE)</f>
        <v>00010583</v>
      </c>
      <c r="F1958" s="6" t="str">
        <f t="shared" si="66"/>
        <v>0001058303</v>
      </c>
    </row>
    <row r="1959" spans="1:6" x14ac:dyDescent="0.3">
      <c r="A1959" s="6" t="s">
        <v>1959</v>
      </c>
      <c r="B1959">
        <v>32323288</v>
      </c>
      <c r="C1959" s="3">
        <v>4</v>
      </c>
      <c r="D1959" s="5" t="str">
        <f t="shared" si="67"/>
        <v>04</v>
      </c>
      <c r="E1959" t="str">
        <f>VLOOKUP(B1959,'HOGARES-BASELINE'!$B:$I,8,FALSE)</f>
        <v>00010583</v>
      </c>
      <c r="F1959" s="6" t="str">
        <f t="shared" si="66"/>
        <v>0001058304</v>
      </c>
    </row>
    <row r="1960" spans="1:6" x14ac:dyDescent="0.3">
      <c r="A1960" s="6" t="s">
        <v>1960</v>
      </c>
      <c r="B1960">
        <v>32323288</v>
      </c>
      <c r="C1960" s="3">
        <v>1</v>
      </c>
      <c r="D1960" s="5" t="str">
        <f t="shared" si="67"/>
        <v>01</v>
      </c>
      <c r="E1960" t="str">
        <f>VLOOKUP(B1960,'HOGARES-BASELINE'!$B:$I,8,FALSE)</f>
        <v>00010583</v>
      </c>
      <c r="F1960" s="6" t="str">
        <f t="shared" si="66"/>
        <v>0001058301</v>
      </c>
    </row>
    <row r="1961" spans="1:6" x14ac:dyDescent="0.3">
      <c r="A1961" s="6" t="s">
        <v>1961</v>
      </c>
      <c r="B1961">
        <v>32342765</v>
      </c>
      <c r="C1961" s="3">
        <v>1</v>
      </c>
      <c r="D1961" s="5" t="str">
        <f t="shared" si="67"/>
        <v>01</v>
      </c>
      <c r="E1961" t="str">
        <f>VLOOKUP(B1961,'HOGARES-BASELINE'!$B:$I,8,FALSE)</f>
        <v>00010584</v>
      </c>
      <c r="F1961" s="6" t="str">
        <f t="shared" si="66"/>
        <v>0001058401</v>
      </c>
    </row>
    <row r="1962" spans="1:6" x14ac:dyDescent="0.3">
      <c r="A1962" s="6" t="s">
        <v>1962</v>
      </c>
      <c r="B1962">
        <v>32342765</v>
      </c>
      <c r="C1962" s="3">
        <v>2</v>
      </c>
      <c r="D1962" s="5" t="str">
        <f t="shared" si="67"/>
        <v>02</v>
      </c>
      <c r="E1962" t="str">
        <f>VLOOKUP(B1962,'HOGARES-BASELINE'!$B:$I,8,FALSE)</f>
        <v>00010584</v>
      </c>
      <c r="F1962" s="6" t="str">
        <f t="shared" si="66"/>
        <v>0001058402</v>
      </c>
    </row>
    <row r="1963" spans="1:6" x14ac:dyDescent="0.3">
      <c r="A1963" s="6" t="s">
        <v>1963</v>
      </c>
      <c r="B1963">
        <v>32342765</v>
      </c>
      <c r="C1963" s="3">
        <v>3</v>
      </c>
      <c r="D1963" s="5" t="str">
        <f t="shared" si="67"/>
        <v>03</v>
      </c>
      <c r="E1963" t="str">
        <f>VLOOKUP(B1963,'HOGARES-BASELINE'!$B:$I,8,FALSE)</f>
        <v>00010584</v>
      </c>
      <c r="F1963" s="6" t="str">
        <f t="shared" si="66"/>
        <v>0001058403</v>
      </c>
    </row>
    <row r="1964" spans="1:6" x14ac:dyDescent="0.3">
      <c r="A1964" s="6" t="s">
        <v>1964</v>
      </c>
      <c r="B1964">
        <v>32358114</v>
      </c>
      <c r="C1964" s="3">
        <v>2</v>
      </c>
      <c r="D1964" s="5" t="str">
        <f t="shared" si="67"/>
        <v>02</v>
      </c>
      <c r="E1964" t="str">
        <f>VLOOKUP(B1964,'HOGARES-BASELINE'!$B:$I,8,FALSE)</f>
        <v>01010585</v>
      </c>
      <c r="F1964" s="6" t="str">
        <f t="shared" si="66"/>
        <v>0101058502</v>
      </c>
    </row>
    <row r="1965" spans="1:6" x14ac:dyDescent="0.3">
      <c r="A1965" s="6" t="s">
        <v>1965</v>
      </c>
      <c r="B1965">
        <v>32358114</v>
      </c>
      <c r="C1965" s="3">
        <v>5</v>
      </c>
      <c r="D1965" s="5" t="str">
        <f t="shared" si="67"/>
        <v>05</v>
      </c>
      <c r="E1965" t="str">
        <f>VLOOKUP(B1965,'HOGARES-BASELINE'!$B:$I,8,FALSE)</f>
        <v>01010585</v>
      </c>
      <c r="F1965" s="6" t="str">
        <f t="shared" si="66"/>
        <v>0101058505</v>
      </c>
    </row>
    <row r="1966" spans="1:6" x14ac:dyDescent="0.3">
      <c r="A1966" s="6" t="s">
        <v>1966</v>
      </c>
      <c r="B1966">
        <v>32358114</v>
      </c>
      <c r="C1966" s="3">
        <v>4</v>
      </c>
      <c r="D1966" s="5" t="str">
        <f t="shared" si="67"/>
        <v>04</v>
      </c>
      <c r="E1966" t="str">
        <f>VLOOKUP(B1966,'HOGARES-BASELINE'!$B:$I,8,FALSE)</f>
        <v>01010585</v>
      </c>
      <c r="F1966" s="6" t="str">
        <f t="shared" si="66"/>
        <v>0101058504</v>
      </c>
    </row>
    <row r="1967" spans="1:6" x14ac:dyDescent="0.3">
      <c r="A1967" s="6" t="s">
        <v>1967</v>
      </c>
      <c r="B1967">
        <v>32358114</v>
      </c>
      <c r="C1967" s="3">
        <v>3</v>
      </c>
      <c r="D1967" s="5" t="str">
        <f t="shared" si="67"/>
        <v>03</v>
      </c>
      <c r="E1967" t="str">
        <f>VLOOKUP(B1967,'HOGARES-BASELINE'!$B:$I,8,FALSE)</f>
        <v>01010585</v>
      </c>
      <c r="F1967" s="6" t="str">
        <f t="shared" si="66"/>
        <v>0101058503</v>
      </c>
    </row>
    <row r="1968" spans="1:6" x14ac:dyDescent="0.3">
      <c r="A1968" s="6" t="s">
        <v>1968</v>
      </c>
      <c r="B1968">
        <v>32358114</v>
      </c>
      <c r="C1968" s="3">
        <v>1</v>
      </c>
      <c r="D1968" s="5" t="str">
        <f t="shared" si="67"/>
        <v>01</v>
      </c>
      <c r="E1968" t="str">
        <f>VLOOKUP(B1968,'HOGARES-BASELINE'!$B:$I,8,FALSE)</f>
        <v>01010585</v>
      </c>
      <c r="F1968" s="6" t="str">
        <f t="shared" si="66"/>
        <v>0101058501</v>
      </c>
    </row>
    <row r="1969" spans="1:6" x14ac:dyDescent="0.3">
      <c r="A1969" s="6" t="s">
        <v>1969</v>
      </c>
      <c r="B1969">
        <v>32358159</v>
      </c>
      <c r="C1969" s="3">
        <v>3</v>
      </c>
      <c r="D1969" s="5" t="str">
        <f t="shared" si="67"/>
        <v>03</v>
      </c>
      <c r="E1969" t="str">
        <f>VLOOKUP(B1969,'HOGARES-BASELINE'!$B:$I,8,FALSE)</f>
        <v>01010586</v>
      </c>
      <c r="F1969" s="6" t="str">
        <f t="shared" si="66"/>
        <v>0101058603</v>
      </c>
    </row>
    <row r="1970" spans="1:6" x14ac:dyDescent="0.3">
      <c r="A1970" s="6" t="s">
        <v>1970</v>
      </c>
      <c r="B1970">
        <v>32358159</v>
      </c>
      <c r="C1970" s="3">
        <v>1</v>
      </c>
      <c r="D1970" s="5" t="str">
        <f t="shared" si="67"/>
        <v>01</v>
      </c>
      <c r="E1970" t="str">
        <f>VLOOKUP(B1970,'HOGARES-BASELINE'!$B:$I,8,FALSE)</f>
        <v>01010586</v>
      </c>
      <c r="F1970" s="6" t="str">
        <f t="shared" si="66"/>
        <v>0101058601</v>
      </c>
    </row>
    <row r="1971" spans="1:6" x14ac:dyDescent="0.3">
      <c r="A1971" s="6" t="s">
        <v>1971</v>
      </c>
      <c r="B1971">
        <v>32358159</v>
      </c>
      <c r="C1971" s="3">
        <v>4</v>
      </c>
      <c r="D1971" s="5" t="str">
        <f t="shared" si="67"/>
        <v>04</v>
      </c>
      <c r="E1971" t="str">
        <f>VLOOKUP(B1971,'HOGARES-BASELINE'!$B:$I,8,FALSE)</f>
        <v>01010586</v>
      </c>
      <c r="F1971" s="6" t="str">
        <f t="shared" si="66"/>
        <v>0101058604</v>
      </c>
    </row>
    <row r="1972" spans="1:6" x14ac:dyDescent="0.3">
      <c r="A1972" s="6" t="s">
        <v>1972</v>
      </c>
      <c r="B1972">
        <v>32358159</v>
      </c>
      <c r="C1972" s="3">
        <v>5</v>
      </c>
      <c r="D1972" s="5" t="str">
        <f t="shared" si="67"/>
        <v>05</v>
      </c>
      <c r="E1972" t="str">
        <f>VLOOKUP(B1972,'HOGARES-BASELINE'!$B:$I,8,FALSE)</f>
        <v>01010586</v>
      </c>
      <c r="F1972" s="6" t="str">
        <f t="shared" si="66"/>
        <v>0101058605</v>
      </c>
    </row>
    <row r="1973" spans="1:6" x14ac:dyDescent="0.3">
      <c r="A1973" s="6" t="s">
        <v>1973</v>
      </c>
      <c r="B1973">
        <v>32358159</v>
      </c>
      <c r="C1973" s="3">
        <v>2</v>
      </c>
      <c r="D1973" s="5" t="str">
        <f t="shared" si="67"/>
        <v>02</v>
      </c>
      <c r="E1973" t="str">
        <f>VLOOKUP(B1973,'HOGARES-BASELINE'!$B:$I,8,FALSE)</f>
        <v>01010586</v>
      </c>
      <c r="F1973" s="6" t="str">
        <f t="shared" si="66"/>
        <v>0101058602</v>
      </c>
    </row>
    <row r="1974" spans="1:6" x14ac:dyDescent="0.3">
      <c r="A1974" s="6" t="s">
        <v>1974</v>
      </c>
      <c r="B1974">
        <v>32393942</v>
      </c>
      <c r="C1974" s="3">
        <v>1</v>
      </c>
      <c r="D1974" s="5" t="str">
        <f t="shared" si="67"/>
        <v>01</v>
      </c>
      <c r="E1974" t="str">
        <f>VLOOKUP(B1974,'HOGARES-BASELINE'!$B:$I,8,FALSE)</f>
        <v>00010587</v>
      </c>
      <c r="F1974" s="6" t="str">
        <f t="shared" si="66"/>
        <v>0001058701</v>
      </c>
    </row>
    <row r="1975" spans="1:6" x14ac:dyDescent="0.3">
      <c r="A1975" s="6" t="s">
        <v>1975</v>
      </c>
      <c r="B1975">
        <v>32393942</v>
      </c>
      <c r="C1975" s="3">
        <v>5</v>
      </c>
      <c r="D1975" s="5" t="str">
        <f t="shared" si="67"/>
        <v>05</v>
      </c>
      <c r="E1975" t="str">
        <f>VLOOKUP(B1975,'HOGARES-BASELINE'!$B:$I,8,FALSE)</f>
        <v>00010587</v>
      </c>
      <c r="F1975" s="6" t="str">
        <f t="shared" si="66"/>
        <v>0001058705</v>
      </c>
    </row>
    <row r="1976" spans="1:6" x14ac:dyDescent="0.3">
      <c r="A1976" s="6" t="s">
        <v>1976</v>
      </c>
      <c r="B1976">
        <v>32393942</v>
      </c>
      <c r="C1976" s="3">
        <v>4</v>
      </c>
      <c r="D1976" s="5" t="str">
        <f t="shared" si="67"/>
        <v>04</v>
      </c>
      <c r="E1976" t="str">
        <f>VLOOKUP(B1976,'HOGARES-BASELINE'!$B:$I,8,FALSE)</f>
        <v>00010587</v>
      </c>
      <c r="F1976" s="6" t="str">
        <f t="shared" si="66"/>
        <v>0001058704</v>
      </c>
    </row>
    <row r="1977" spans="1:6" x14ac:dyDescent="0.3">
      <c r="A1977" s="6" t="s">
        <v>1977</v>
      </c>
      <c r="B1977">
        <v>32393942</v>
      </c>
      <c r="C1977" s="3">
        <v>3</v>
      </c>
      <c r="D1977" s="5" t="str">
        <f t="shared" si="67"/>
        <v>03</v>
      </c>
      <c r="E1977" t="str">
        <f>VLOOKUP(B1977,'HOGARES-BASELINE'!$B:$I,8,FALSE)</f>
        <v>00010587</v>
      </c>
      <c r="F1977" s="6" t="str">
        <f t="shared" si="66"/>
        <v>0001058703</v>
      </c>
    </row>
    <row r="1978" spans="1:6" x14ac:dyDescent="0.3">
      <c r="A1978" s="6" t="s">
        <v>1978</v>
      </c>
      <c r="B1978">
        <v>32393942</v>
      </c>
      <c r="C1978" s="3">
        <v>2</v>
      </c>
      <c r="D1978" s="5" t="str">
        <f t="shared" si="67"/>
        <v>02</v>
      </c>
      <c r="E1978" t="str">
        <f>VLOOKUP(B1978,'HOGARES-BASELINE'!$B:$I,8,FALSE)</f>
        <v>00010587</v>
      </c>
      <c r="F1978" s="6" t="str">
        <f t="shared" si="66"/>
        <v>0001058702</v>
      </c>
    </row>
    <row r="1979" spans="1:6" x14ac:dyDescent="0.3">
      <c r="A1979" s="6" t="s">
        <v>1979</v>
      </c>
      <c r="B1979">
        <v>32393942</v>
      </c>
      <c r="C1979" s="3">
        <v>6</v>
      </c>
      <c r="D1979" s="5" t="str">
        <f t="shared" si="67"/>
        <v>06</v>
      </c>
      <c r="E1979" t="str">
        <f>VLOOKUP(B1979,'HOGARES-BASELINE'!$B:$I,8,FALSE)</f>
        <v>00010587</v>
      </c>
      <c r="F1979" s="6" t="str">
        <f t="shared" si="66"/>
        <v>0001058706</v>
      </c>
    </row>
    <row r="1980" spans="1:6" x14ac:dyDescent="0.3">
      <c r="A1980" s="6" t="s">
        <v>1980</v>
      </c>
      <c r="B1980">
        <v>32409494</v>
      </c>
      <c r="C1980" s="3">
        <v>1</v>
      </c>
      <c r="D1980" s="5" t="str">
        <f t="shared" si="67"/>
        <v>01</v>
      </c>
      <c r="E1980" t="str">
        <f>VLOOKUP(B1980,'HOGARES-BASELINE'!$B:$I,8,FALSE)</f>
        <v>01010588</v>
      </c>
      <c r="F1980" s="6" t="str">
        <f t="shared" si="66"/>
        <v>0101058801</v>
      </c>
    </row>
    <row r="1981" spans="1:6" x14ac:dyDescent="0.3">
      <c r="A1981" s="6" t="s">
        <v>1981</v>
      </c>
      <c r="B1981">
        <v>32409494</v>
      </c>
      <c r="C1981" s="3">
        <v>3</v>
      </c>
      <c r="D1981" s="5" t="str">
        <f t="shared" si="67"/>
        <v>03</v>
      </c>
      <c r="E1981" t="str">
        <f>VLOOKUP(B1981,'HOGARES-BASELINE'!$B:$I,8,FALSE)</f>
        <v>01010588</v>
      </c>
      <c r="F1981" s="6" t="str">
        <f t="shared" si="66"/>
        <v>0101058803</v>
      </c>
    </row>
    <row r="1982" spans="1:6" x14ac:dyDescent="0.3">
      <c r="A1982" s="6" t="s">
        <v>1982</v>
      </c>
      <c r="B1982">
        <v>32409494</v>
      </c>
      <c r="C1982" s="3">
        <v>4</v>
      </c>
      <c r="D1982" s="5" t="str">
        <f t="shared" si="67"/>
        <v>04</v>
      </c>
      <c r="E1982" t="str">
        <f>VLOOKUP(B1982,'HOGARES-BASELINE'!$B:$I,8,FALSE)</f>
        <v>01010588</v>
      </c>
      <c r="F1982" s="6" t="str">
        <f t="shared" si="66"/>
        <v>0101058804</v>
      </c>
    </row>
    <row r="1983" spans="1:6" x14ac:dyDescent="0.3">
      <c r="A1983" s="6" t="s">
        <v>1983</v>
      </c>
      <c r="B1983">
        <v>32409494</v>
      </c>
      <c r="C1983" s="3">
        <v>2</v>
      </c>
      <c r="D1983" s="5" t="str">
        <f t="shared" si="67"/>
        <v>02</v>
      </c>
      <c r="E1983" t="str">
        <f>VLOOKUP(B1983,'HOGARES-BASELINE'!$B:$I,8,FALSE)</f>
        <v>01010588</v>
      </c>
      <c r="F1983" s="6" t="str">
        <f t="shared" si="66"/>
        <v>0101058802</v>
      </c>
    </row>
    <row r="1984" spans="1:6" x14ac:dyDescent="0.3">
      <c r="A1984" s="6" t="s">
        <v>1984</v>
      </c>
      <c r="B1984">
        <v>32422939</v>
      </c>
      <c r="C1984" s="3">
        <v>1</v>
      </c>
      <c r="D1984" s="5" t="str">
        <f t="shared" si="67"/>
        <v>01</v>
      </c>
      <c r="E1984" t="str">
        <f>VLOOKUP(B1984,'HOGARES-BASELINE'!$B:$I,8,FALSE)</f>
        <v>01010589</v>
      </c>
      <c r="F1984" s="6" t="str">
        <f t="shared" si="66"/>
        <v>0101058901</v>
      </c>
    </row>
    <row r="1985" spans="1:6" x14ac:dyDescent="0.3">
      <c r="A1985" s="6" t="s">
        <v>1985</v>
      </c>
      <c r="B1985">
        <v>32422939</v>
      </c>
      <c r="C1985" s="3">
        <v>2</v>
      </c>
      <c r="D1985" s="5" t="str">
        <f t="shared" si="67"/>
        <v>02</v>
      </c>
      <c r="E1985" t="str">
        <f>VLOOKUP(B1985,'HOGARES-BASELINE'!$B:$I,8,FALSE)</f>
        <v>01010589</v>
      </c>
      <c r="F1985" s="6" t="str">
        <f t="shared" si="66"/>
        <v>0101058902</v>
      </c>
    </row>
    <row r="1986" spans="1:6" x14ac:dyDescent="0.3">
      <c r="A1986" s="6" t="s">
        <v>1986</v>
      </c>
      <c r="B1986">
        <v>32422939</v>
      </c>
      <c r="C1986" s="3">
        <v>3</v>
      </c>
      <c r="D1986" s="5" t="str">
        <f t="shared" si="67"/>
        <v>03</v>
      </c>
      <c r="E1986" t="str">
        <f>VLOOKUP(B1986,'HOGARES-BASELINE'!$B:$I,8,FALSE)</f>
        <v>01010589</v>
      </c>
      <c r="F1986" s="6" t="str">
        <f t="shared" si="66"/>
        <v>0101058903</v>
      </c>
    </row>
    <row r="1987" spans="1:6" x14ac:dyDescent="0.3">
      <c r="A1987" s="6" t="s">
        <v>1987</v>
      </c>
      <c r="B1987">
        <v>32430020</v>
      </c>
      <c r="C1987" s="3">
        <v>1</v>
      </c>
      <c r="D1987" s="5" t="str">
        <f t="shared" si="67"/>
        <v>01</v>
      </c>
      <c r="E1987" t="str">
        <f>VLOOKUP(B1987,'HOGARES-BASELINE'!$B:$I,8,FALSE)</f>
        <v>00010590</v>
      </c>
      <c r="F1987" s="6" t="str">
        <f t="shared" ref="F1987:F2050" si="68">_xlfn.CONCAT(E1987,D1987)</f>
        <v>0001059001</v>
      </c>
    </row>
    <row r="1988" spans="1:6" x14ac:dyDescent="0.3">
      <c r="A1988" s="6" t="s">
        <v>1988</v>
      </c>
      <c r="B1988">
        <v>32452654</v>
      </c>
      <c r="C1988" s="3">
        <v>3</v>
      </c>
      <c r="D1988" s="5" t="str">
        <f t="shared" si="67"/>
        <v>03</v>
      </c>
      <c r="E1988" t="str">
        <f>VLOOKUP(B1988,'HOGARES-BASELINE'!$B:$I,8,FALSE)</f>
        <v>00010591</v>
      </c>
      <c r="F1988" s="6" t="str">
        <f t="shared" si="68"/>
        <v>0001059103</v>
      </c>
    </row>
    <row r="1989" spans="1:6" x14ac:dyDescent="0.3">
      <c r="A1989" s="6" t="s">
        <v>1989</v>
      </c>
      <c r="B1989">
        <v>32452654</v>
      </c>
      <c r="C1989" s="3">
        <v>6</v>
      </c>
      <c r="D1989" s="5" t="str">
        <f t="shared" si="67"/>
        <v>06</v>
      </c>
      <c r="E1989" t="str">
        <f>VLOOKUP(B1989,'HOGARES-BASELINE'!$B:$I,8,FALSE)</f>
        <v>00010591</v>
      </c>
      <c r="F1989" s="6" t="str">
        <f t="shared" si="68"/>
        <v>0001059106</v>
      </c>
    </row>
    <row r="1990" spans="1:6" x14ac:dyDescent="0.3">
      <c r="A1990" s="6" t="s">
        <v>1990</v>
      </c>
      <c r="B1990">
        <v>32452654</v>
      </c>
      <c r="C1990" s="3">
        <v>2</v>
      </c>
      <c r="D1990" s="5" t="str">
        <f t="shared" si="67"/>
        <v>02</v>
      </c>
      <c r="E1990" t="str">
        <f>VLOOKUP(B1990,'HOGARES-BASELINE'!$B:$I,8,FALSE)</f>
        <v>00010591</v>
      </c>
      <c r="F1990" s="6" t="str">
        <f t="shared" si="68"/>
        <v>0001059102</v>
      </c>
    </row>
    <row r="1991" spans="1:6" x14ac:dyDescent="0.3">
      <c r="A1991" s="6" t="s">
        <v>1991</v>
      </c>
      <c r="B1991">
        <v>32452654</v>
      </c>
      <c r="C1991" s="3">
        <v>4</v>
      </c>
      <c r="D1991" s="5" t="str">
        <f t="shared" si="67"/>
        <v>04</v>
      </c>
      <c r="E1991" t="str">
        <f>VLOOKUP(B1991,'HOGARES-BASELINE'!$B:$I,8,FALSE)</f>
        <v>00010591</v>
      </c>
      <c r="F1991" s="6" t="str">
        <f t="shared" si="68"/>
        <v>0001059104</v>
      </c>
    </row>
    <row r="1992" spans="1:6" x14ac:dyDescent="0.3">
      <c r="A1992" s="6" t="s">
        <v>1992</v>
      </c>
      <c r="B1992">
        <v>32452654</v>
      </c>
      <c r="C1992" s="3">
        <v>1</v>
      </c>
      <c r="D1992" s="5" t="str">
        <f t="shared" si="67"/>
        <v>01</v>
      </c>
      <c r="E1992" t="str">
        <f>VLOOKUP(B1992,'HOGARES-BASELINE'!$B:$I,8,FALSE)</f>
        <v>00010591</v>
      </c>
      <c r="F1992" s="6" t="str">
        <f t="shared" si="68"/>
        <v>0001059101</v>
      </c>
    </row>
    <row r="1993" spans="1:6" x14ac:dyDescent="0.3">
      <c r="A1993" s="6" t="s">
        <v>1993</v>
      </c>
      <c r="B1993">
        <v>32452654</v>
      </c>
      <c r="C1993" s="3">
        <v>5</v>
      </c>
      <c r="D1993" s="5" t="str">
        <f t="shared" si="67"/>
        <v>05</v>
      </c>
      <c r="E1993" t="str">
        <f>VLOOKUP(B1993,'HOGARES-BASELINE'!$B:$I,8,FALSE)</f>
        <v>00010591</v>
      </c>
      <c r="F1993" s="6" t="str">
        <f t="shared" si="68"/>
        <v>0001059105</v>
      </c>
    </row>
    <row r="1994" spans="1:6" x14ac:dyDescent="0.3">
      <c r="A1994" s="6" t="s">
        <v>1994</v>
      </c>
      <c r="B1994">
        <v>32455454</v>
      </c>
      <c r="C1994" s="3">
        <v>1</v>
      </c>
      <c r="D1994" s="5" t="str">
        <f t="shared" si="67"/>
        <v>01</v>
      </c>
      <c r="E1994" t="str">
        <f>VLOOKUP(B1994,'HOGARES-BASELINE'!$B:$I,8,FALSE)</f>
        <v>00010592</v>
      </c>
      <c r="F1994" s="6" t="str">
        <f t="shared" si="68"/>
        <v>0001059201</v>
      </c>
    </row>
    <row r="1995" spans="1:6" x14ac:dyDescent="0.3">
      <c r="A1995" s="6" t="s">
        <v>1995</v>
      </c>
      <c r="B1995">
        <v>32465235</v>
      </c>
      <c r="C1995" s="3">
        <v>4</v>
      </c>
      <c r="D1995" s="5" t="str">
        <f t="shared" si="67"/>
        <v>04</v>
      </c>
      <c r="E1995" t="str">
        <f>VLOOKUP(B1995,'HOGARES-BASELINE'!$B:$I,8,FALSE)</f>
        <v>00010593</v>
      </c>
      <c r="F1995" s="6" t="str">
        <f t="shared" si="68"/>
        <v>0001059304</v>
      </c>
    </row>
    <row r="1996" spans="1:6" x14ac:dyDescent="0.3">
      <c r="A1996" s="6" t="s">
        <v>1996</v>
      </c>
      <c r="B1996">
        <v>32465235</v>
      </c>
      <c r="C1996" s="3">
        <v>3</v>
      </c>
      <c r="D1996" s="5" t="str">
        <f t="shared" si="67"/>
        <v>03</v>
      </c>
      <c r="E1996" t="str">
        <f>VLOOKUP(B1996,'HOGARES-BASELINE'!$B:$I,8,FALSE)</f>
        <v>00010593</v>
      </c>
      <c r="F1996" s="6" t="str">
        <f t="shared" si="68"/>
        <v>0001059303</v>
      </c>
    </row>
    <row r="1997" spans="1:6" x14ac:dyDescent="0.3">
      <c r="A1997" s="6" t="s">
        <v>1997</v>
      </c>
      <c r="B1997">
        <v>32465235</v>
      </c>
      <c r="C1997" s="3">
        <v>1</v>
      </c>
      <c r="D1997" s="5" t="str">
        <f t="shared" si="67"/>
        <v>01</v>
      </c>
      <c r="E1997" t="str">
        <f>VLOOKUP(B1997,'HOGARES-BASELINE'!$B:$I,8,FALSE)</f>
        <v>00010593</v>
      </c>
      <c r="F1997" s="6" t="str">
        <f t="shared" si="68"/>
        <v>0001059301</v>
      </c>
    </row>
    <row r="1998" spans="1:6" x14ac:dyDescent="0.3">
      <c r="A1998" s="6" t="s">
        <v>1998</v>
      </c>
      <c r="B1998">
        <v>32465235</v>
      </c>
      <c r="C1998" s="3">
        <v>2</v>
      </c>
      <c r="D1998" s="5" t="str">
        <f t="shared" si="67"/>
        <v>02</v>
      </c>
      <c r="E1998" t="str">
        <f>VLOOKUP(B1998,'HOGARES-BASELINE'!$B:$I,8,FALSE)</f>
        <v>00010593</v>
      </c>
      <c r="F1998" s="6" t="str">
        <f t="shared" si="68"/>
        <v>0001059302</v>
      </c>
    </row>
    <row r="1999" spans="1:6" x14ac:dyDescent="0.3">
      <c r="A1999" s="6" t="s">
        <v>1999</v>
      </c>
      <c r="B1999">
        <v>32479953</v>
      </c>
      <c r="C1999" s="3">
        <v>2</v>
      </c>
      <c r="D1999" s="5" t="str">
        <f t="shared" si="67"/>
        <v>02</v>
      </c>
      <c r="E1999" t="str">
        <f>VLOOKUP(B1999,'HOGARES-BASELINE'!$B:$I,8,FALSE)</f>
        <v>00010594</v>
      </c>
      <c r="F1999" s="6" t="str">
        <f t="shared" si="68"/>
        <v>0001059402</v>
      </c>
    </row>
    <row r="2000" spans="1:6" x14ac:dyDescent="0.3">
      <c r="A2000" s="6" t="s">
        <v>2000</v>
      </c>
      <c r="B2000">
        <v>32479953</v>
      </c>
      <c r="C2000" s="3">
        <v>3</v>
      </c>
      <c r="D2000" s="5" t="str">
        <f t="shared" si="67"/>
        <v>03</v>
      </c>
      <c r="E2000" t="str">
        <f>VLOOKUP(B2000,'HOGARES-BASELINE'!$B:$I,8,FALSE)</f>
        <v>00010594</v>
      </c>
      <c r="F2000" s="6" t="str">
        <f t="shared" si="68"/>
        <v>0001059403</v>
      </c>
    </row>
    <row r="2001" spans="1:6" x14ac:dyDescent="0.3">
      <c r="A2001" s="6" t="s">
        <v>2001</v>
      </c>
      <c r="B2001">
        <v>32479953</v>
      </c>
      <c r="C2001" s="3">
        <v>1</v>
      </c>
      <c r="D2001" s="5" t="str">
        <f t="shared" si="67"/>
        <v>01</v>
      </c>
      <c r="E2001" t="str">
        <f>VLOOKUP(B2001,'HOGARES-BASELINE'!$B:$I,8,FALSE)</f>
        <v>00010594</v>
      </c>
      <c r="F2001" s="6" t="str">
        <f t="shared" si="68"/>
        <v>0001059401</v>
      </c>
    </row>
    <row r="2002" spans="1:6" x14ac:dyDescent="0.3">
      <c r="A2002" s="6" t="s">
        <v>2002</v>
      </c>
      <c r="B2002">
        <v>32487224</v>
      </c>
      <c r="C2002" s="3">
        <v>1</v>
      </c>
      <c r="D2002" s="5" t="str">
        <f t="shared" si="67"/>
        <v>01</v>
      </c>
      <c r="E2002" t="str">
        <f>VLOOKUP(B2002,'HOGARES-BASELINE'!$B:$I,8,FALSE)</f>
        <v>00010595</v>
      </c>
      <c r="F2002" s="6" t="str">
        <f t="shared" si="68"/>
        <v>0001059501</v>
      </c>
    </row>
    <row r="2003" spans="1:6" x14ac:dyDescent="0.3">
      <c r="A2003" s="6" t="s">
        <v>2003</v>
      </c>
      <c r="B2003">
        <v>32487224</v>
      </c>
      <c r="C2003" s="3">
        <v>2</v>
      </c>
      <c r="D2003" s="5" t="str">
        <f t="shared" si="67"/>
        <v>02</v>
      </c>
      <c r="E2003" t="str">
        <f>VLOOKUP(B2003,'HOGARES-BASELINE'!$B:$I,8,FALSE)</f>
        <v>00010595</v>
      </c>
      <c r="F2003" s="6" t="str">
        <f t="shared" si="68"/>
        <v>0001059502</v>
      </c>
    </row>
    <row r="2004" spans="1:6" x14ac:dyDescent="0.3">
      <c r="A2004" s="6" t="s">
        <v>2004</v>
      </c>
      <c r="B2004">
        <v>32487899</v>
      </c>
      <c r="C2004" s="3">
        <v>1</v>
      </c>
      <c r="D2004" s="5" t="str">
        <f t="shared" si="67"/>
        <v>01</v>
      </c>
      <c r="E2004" t="str">
        <f>VLOOKUP(B2004,'HOGARES-BASELINE'!$B:$I,8,FALSE)</f>
        <v>01010596</v>
      </c>
      <c r="F2004" s="6" t="str">
        <f t="shared" si="68"/>
        <v>0101059601</v>
      </c>
    </row>
    <row r="2005" spans="1:6" x14ac:dyDescent="0.3">
      <c r="A2005" s="6" t="s">
        <v>2005</v>
      </c>
      <c r="B2005">
        <v>32500559</v>
      </c>
      <c r="C2005" s="3">
        <v>1</v>
      </c>
      <c r="D2005" s="5" t="str">
        <f t="shared" si="67"/>
        <v>01</v>
      </c>
      <c r="E2005" t="str">
        <f>VLOOKUP(B2005,'HOGARES-BASELINE'!$B:$I,8,FALSE)</f>
        <v>00010597</v>
      </c>
      <c r="F2005" s="6" t="str">
        <f t="shared" si="68"/>
        <v>0001059701</v>
      </c>
    </row>
    <row r="2006" spans="1:6" x14ac:dyDescent="0.3">
      <c r="A2006" s="6" t="s">
        <v>2006</v>
      </c>
      <c r="B2006">
        <v>32500559</v>
      </c>
      <c r="C2006" s="3">
        <v>5</v>
      </c>
      <c r="D2006" s="5" t="str">
        <f t="shared" si="67"/>
        <v>05</v>
      </c>
      <c r="E2006" t="str">
        <f>VLOOKUP(B2006,'HOGARES-BASELINE'!$B:$I,8,FALSE)</f>
        <v>00010597</v>
      </c>
      <c r="F2006" s="6" t="str">
        <f t="shared" si="68"/>
        <v>0001059705</v>
      </c>
    </row>
    <row r="2007" spans="1:6" x14ac:dyDescent="0.3">
      <c r="A2007" s="6" t="s">
        <v>2007</v>
      </c>
      <c r="B2007">
        <v>32500559</v>
      </c>
      <c r="C2007" s="3">
        <v>4</v>
      </c>
      <c r="D2007" s="5" t="str">
        <f t="shared" si="67"/>
        <v>04</v>
      </c>
      <c r="E2007" t="str">
        <f>VLOOKUP(B2007,'HOGARES-BASELINE'!$B:$I,8,FALSE)</f>
        <v>00010597</v>
      </c>
      <c r="F2007" s="6" t="str">
        <f t="shared" si="68"/>
        <v>0001059704</v>
      </c>
    </row>
    <row r="2008" spans="1:6" x14ac:dyDescent="0.3">
      <c r="A2008" s="6" t="s">
        <v>2008</v>
      </c>
      <c r="B2008">
        <v>32500559</v>
      </c>
      <c r="C2008" s="3">
        <v>3</v>
      </c>
      <c r="D2008" s="5" t="str">
        <f t="shared" si="67"/>
        <v>03</v>
      </c>
      <c r="E2008" t="str">
        <f>VLOOKUP(B2008,'HOGARES-BASELINE'!$B:$I,8,FALSE)</f>
        <v>00010597</v>
      </c>
      <c r="F2008" s="6" t="str">
        <f t="shared" si="68"/>
        <v>0001059703</v>
      </c>
    </row>
    <row r="2009" spans="1:6" x14ac:dyDescent="0.3">
      <c r="A2009" s="6" t="s">
        <v>2009</v>
      </c>
      <c r="B2009">
        <v>32500559</v>
      </c>
      <c r="C2009" s="3">
        <v>2</v>
      </c>
      <c r="D2009" s="5" t="str">
        <f t="shared" si="67"/>
        <v>02</v>
      </c>
      <c r="E2009" t="str">
        <f>VLOOKUP(B2009,'HOGARES-BASELINE'!$B:$I,8,FALSE)</f>
        <v>00010597</v>
      </c>
      <c r="F2009" s="6" t="str">
        <f t="shared" si="68"/>
        <v>0001059702</v>
      </c>
    </row>
    <row r="2010" spans="1:6" x14ac:dyDescent="0.3">
      <c r="A2010" s="6" t="s">
        <v>2010</v>
      </c>
      <c r="B2010">
        <v>32500696</v>
      </c>
      <c r="C2010" s="3">
        <v>2</v>
      </c>
      <c r="D2010" s="5" t="str">
        <f t="shared" si="67"/>
        <v>02</v>
      </c>
      <c r="E2010" t="str">
        <f>VLOOKUP(B2010,'HOGARES-BASELINE'!$B:$I,8,FALSE)</f>
        <v>01010598</v>
      </c>
      <c r="F2010" s="6" t="str">
        <f t="shared" si="68"/>
        <v>0101059802</v>
      </c>
    </row>
    <row r="2011" spans="1:6" x14ac:dyDescent="0.3">
      <c r="A2011" s="6" t="s">
        <v>2011</v>
      </c>
      <c r="B2011">
        <v>32500696</v>
      </c>
      <c r="C2011" s="3">
        <v>4</v>
      </c>
      <c r="D2011" s="5" t="str">
        <f t="shared" si="67"/>
        <v>04</v>
      </c>
      <c r="E2011" t="str">
        <f>VLOOKUP(B2011,'HOGARES-BASELINE'!$B:$I,8,FALSE)</f>
        <v>01010598</v>
      </c>
      <c r="F2011" s="6" t="str">
        <f t="shared" si="68"/>
        <v>0101059804</v>
      </c>
    </row>
    <row r="2012" spans="1:6" x14ac:dyDescent="0.3">
      <c r="A2012" s="6" t="s">
        <v>2012</v>
      </c>
      <c r="B2012">
        <v>32500696</v>
      </c>
      <c r="C2012" s="3">
        <v>3</v>
      </c>
      <c r="D2012" s="5" t="str">
        <f t="shared" si="67"/>
        <v>03</v>
      </c>
      <c r="E2012" t="str">
        <f>VLOOKUP(B2012,'HOGARES-BASELINE'!$B:$I,8,FALSE)</f>
        <v>01010598</v>
      </c>
      <c r="F2012" s="6" t="str">
        <f t="shared" si="68"/>
        <v>0101059803</v>
      </c>
    </row>
    <row r="2013" spans="1:6" x14ac:dyDescent="0.3">
      <c r="A2013" s="6" t="s">
        <v>2013</v>
      </c>
      <c r="B2013">
        <v>32500696</v>
      </c>
      <c r="C2013" s="3">
        <v>1</v>
      </c>
      <c r="D2013" s="5" t="str">
        <f t="shared" si="67"/>
        <v>01</v>
      </c>
      <c r="E2013" t="str">
        <f>VLOOKUP(B2013,'HOGARES-BASELINE'!$B:$I,8,FALSE)</f>
        <v>01010598</v>
      </c>
      <c r="F2013" s="6" t="str">
        <f t="shared" si="68"/>
        <v>0101059801</v>
      </c>
    </row>
    <row r="2014" spans="1:6" x14ac:dyDescent="0.3">
      <c r="A2014" s="6" t="s">
        <v>2014</v>
      </c>
      <c r="B2014">
        <v>32501795</v>
      </c>
      <c r="C2014" s="3">
        <v>2</v>
      </c>
      <c r="D2014" s="5" t="str">
        <f t="shared" si="67"/>
        <v>02</v>
      </c>
      <c r="E2014" t="str">
        <f>VLOOKUP(B2014,'HOGARES-BASELINE'!$B:$I,8,FALSE)</f>
        <v>00010599</v>
      </c>
      <c r="F2014" s="6" t="str">
        <f t="shared" si="68"/>
        <v>0001059902</v>
      </c>
    </row>
    <row r="2015" spans="1:6" x14ac:dyDescent="0.3">
      <c r="A2015" s="6" t="s">
        <v>2015</v>
      </c>
      <c r="B2015">
        <v>32501795</v>
      </c>
      <c r="C2015" s="3">
        <v>5</v>
      </c>
      <c r="D2015" s="5" t="str">
        <f t="shared" si="67"/>
        <v>05</v>
      </c>
      <c r="E2015" t="str">
        <f>VLOOKUP(B2015,'HOGARES-BASELINE'!$B:$I,8,FALSE)</f>
        <v>00010599</v>
      </c>
      <c r="F2015" s="6" t="str">
        <f t="shared" si="68"/>
        <v>0001059905</v>
      </c>
    </row>
    <row r="2016" spans="1:6" x14ac:dyDescent="0.3">
      <c r="A2016" s="6" t="s">
        <v>2016</v>
      </c>
      <c r="B2016">
        <v>32501795</v>
      </c>
      <c r="C2016" s="3">
        <v>1</v>
      </c>
      <c r="D2016" s="5" t="str">
        <f t="shared" si="67"/>
        <v>01</v>
      </c>
      <c r="E2016" t="str">
        <f>VLOOKUP(B2016,'HOGARES-BASELINE'!$B:$I,8,FALSE)</f>
        <v>00010599</v>
      </c>
      <c r="F2016" s="6" t="str">
        <f t="shared" si="68"/>
        <v>0001059901</v>
      </c>
    </row>
    <row r="2017" spans="1:6" x14ac:dyDescent="0.3">
      <c r="A2017" s="6" t="s">
        <v>2017</v>
      </c>
      <c r="B2017">
        <v>32501795</v>
      </c>
      <c r="C2017" s="3">
        <v>3</v>
      </c>
      <c r="D2017" s="5" t="str">
        <f t="shared" si="67"/>
        <v>03</v>
      </c>
      <c r="E2017" t="str">
        <f>VLOOKUP(B2017,'HOGARES-BASELINE'!$B:$I,8,FALSE)</f>
        <v>00010599</v>
      </c>
      <c r="F2017" s="6" t="str">
        <f t="shared" si="68"/>
        <v>0001059903</v>
      </c>
    </row>
    <row r="2018" spans="1:6" x14ac:dyDescent="0.3">
      <c r="A2018" s="6" t="s">
        <v>2018</v>
      </c>
      <c r="B2018">
        <v>32501795</v>
      </c>
      <c r="C2018" s="3">
        <v>4</v>
      </c>
      <c r="D2018" s="5" t="str">
        <f t="shared" si="67"/>
        <v>04</v>
      </c>
      <c r="E2018" t="str">
        <f>VLOOKUP(B2018,'HOGARES-BASELINE'!$B:$I,8,FALSE)</f>
        <v>00010599</v>
      </c>
      <c r="F2018" s="6" t="str">
        <f t="shared" si="68"/>
        <v>0001059904</v>
      </c>
    </row>
    <row r="2019" spans="1:6" x14ac:dyDescent="0.3">
      <c r="A2019" s="6" t="s">
        <v>2019</v>
      </c>
      <c r="B2019">
        <v>32513453</v>
      </c>
      <c r="C2019" s="3">
        <v>1</v>
      </c>
      <c r="D2019" s="5" t="str">
        <f t="shared" ref="D2019:D2082" si="69">_xlfn.CONCAT(0,C2019)</f>
        <v>01</v>
      </c>
      <c r="E2019" t="str">
        <f>VLOOKUP(B2019,'HOGARES-BASELINE'!$B:$I,8,FALSE)</f>
        <v>00010600</v>
      </c>
      <c r="F2019" s="6" t="str">
        <f t="shared" si="68"/>
        <v>0001060001</v>
      </c>
    </row>
    <row r="2020" spans="1:6" x14ac:dyDescent="0.3">
      <c r="A2020" s="6" t="s">
        <v>2020</v>
      </c>
      <c r="B2020">
        <v>32513453</v>
      </c>
      <c r="C2020" s="3">
        <v>2</v>
      </c>
      <c r="D2020" s="5" t="str">
        <f t="shared" si="69"/>
        <v>02</v>
      </c>
      <c r="E2020" t="str">
        <f>VLOOKUP(B2020,'HOGARES-BASELINE'!$B:$I,8,FALSE)</f>
        <v>00010600</v>
      </c>
      <c r="F2020" s="6" t="str">
        <f t="shared" si="68"/>
        <v>0001060002</v>
      </c>
    </row>
    <row r="2021" spans="1:6" x14ac:dyDescent="0.3">
      <c r="A2021" s="6" t="s">
        <v>2021</v>
      </c>
      <c r="B2021">
        <v>32516837</v>
      </c>
      <c r="C2021" s="3">
        <v>2</v>
      </c>
      <c r="D2021" s="5" t="str">
        <f t="shared" si="69"/>
        <v>02</v>
      </c>
      <c r="E2021" t="str">
        <f>VLOOKUP(B2021,'HOGARES-BASELINE'!$B:$I,8,FALSE)</f>
        <v>00010601</v>
      </c>
      <c r="F2021" s="6" t="str">
        <f t="shared" si="68"/>
        <v>0001060102</v>
      </c>
    </row>
    <row r="2022" spans="1:6" x14ac:dyDescent="0.3">
      <c r="A2022" s="6" t="s">
        <v>2022</v>
      </c>
      <c r="B2022">
        <v>32516837</v>
      </c>
      <c r="C2022" s="3">
        <v>1</v>
      </c>
      <c r="D2022" s="5" t="str">
        <f t="shared" si="69"/>
        <v>01</v>
      </c>
      <c r="E2022" t="str">
        <f>VLOOKUP(B2022,'HOGARES-BASELINE'!$B:$I,8,FALSE)</f>
        <v>00010601</v>
      </c>
      <c r="F2022" s="6" t="str">
        <f t="shared" si="68"/>
        <v>0001060101</v>
      </c>
    </row>
    <row r="2023" spans="1:6" x14ac:dyDescent="0.3">
      <c r="A2023" s="6" t="s">
        <v>2023</v>
      </c>
      <c r="B2023">
        <v>32519087</v>
      </c>
      <c r="C2023" s="3">
        <v>1</v>
      </c>
      <c r="D2023" s="5" t="str">
        <f t="shared" si="69"/>
        <v>01</v>
      </c>
      <c r="E2023" t="str">
        <f>VLOOKUP(B2023,'HOGARES-BASELINE'!$B:$I,8,FALSE)</f>
        <v>01010602</v>
      </c>
      <c r="F2023" s="6" t="str">
        <f t="shared" si="68"/>
        <v>0101060201</v>
      </c>
    </row>
    <row r="2024" spans="1:6" x14ac:dyDescent="0.3">
      <c r="A2024" s="6" t="s">
        <v>2024</v>
      </c>
      <c r="B2024">
        <v>32519087</v>
      </c>
      <c r="C2024" s="3">
        <v>2</v>
      </c>
      <c r="D2024" s="5" t="str">
        <f t="shared" si="69"/>
        <v>02</v>
      </c>
      <c r="E2024" t="str">
        <f>VLOOKUP(B2024,'HOGARES-BASELINE'!$B:$I,8,FALSE)</f>
        <v>01010602</v>
      </c>
      <c r="F2024" s="6" t="str">
        <f t="shared" si="68"/>
        <v>0101060202</v>
      </c>
    </row>
    <row r="2025" spans="1:6" x14ac:dyDescent="0.3">
      <c r="A2025" s="6" t="s">
        <v>2025</v>
      </c>
      <c r="B2025">
        <v>32521000</v>
      </c>
      <c r="C2025" s="3">
        <v>1</v>
      </c>
      <c r="D2025" s="5" t="str">
        <f t="shared" si="69"/>
        <v>01</v>
      </c>
      <c r="E2025" t="str">
        <f>VLOOKUP(B2025,'HOGARES-BASELINE'!$B:$I,8,FALSE)</f>
        <v>00010603</v>
      </c>
      <c r="F2025" s="6" t="str">
        <f t="shared" si="68"/>
        <v>0001060301</v>
      </c>
    </row>
    <row r="2026" spans="1:6" x14ac:dyDescent="0.3">
      <c r="A2026" s="6" t="s">
        <v>2026</v>
      </c>
      <c r="B2026">
        <v>32521000</v>
      </c>
      <c r="C2026" s="3">
        <v>4</v>
      </c>
      <c r="D2026" s="5" t="str">
        <f t="shared" si="69"/>
        <v>04</v>
      </c>
      <c r="E2026" t="str">
        <f>VLOOKUP(B2026,'HOGARES-BASELINE'!$B:$I,8,FALSE)</f>
        <v>00010603</v>
      </c>
      <c r="F2026" s="6" t="str">
        <f t="shared" si="68"/>
        <v>0001060304</v>
      </c>
    </row>
    <row r="2027" spans="1:6" x14ac:dyDescent="0.3">
      <c r="A2027" s="6" t="s">
        <v>2027</v>
      </c>
      <c r="B2027">
        <v>32521000</v>
      </c>
      <c r="C2027" s="3">
        <v>2</v>
      </c>
      <c r="D2027" s="5" t="str">
        <f t="shared" si="69"/>
        <v>02</v>
      </c>
      <c r="E2027" t="str">
        <f>VLOOKUP(B2027,'HOGARES-BASELINE'!$B:$I,8,FALSE)</f>
        <v>00010603</v>
      </c>
      <c r="F2027" s="6" t="str">
        <f t="shared" si="68"/>
        <v>0001060302</v>
      </c>
    </row>
    <row r="2028" spans="1:6" x14ac:dyDescent="0.3">
      <c r="A2028" s="6" t="s">
        <v>2028</v>
      </c>
      <c r="B2028">
        <v>32521000</v>
      </c>
      <c r="C2028" s="3">
        <v>3</v>
      </c>
      <c r="D2028" s="5" t="str">
        <f t="shared" si="69"/>
        <v>03</v>
      </c>
      <c r="E2028" t="str">
        <f>VLOOKUP(B2028,'HOGARES-BASELINE'!$B:$I,8,FALSE)</f>
        <v>00010603</v>
      </c>
      <c r="F2028" s="6" t="str">
        <f t="shared" si="68"/>
        <v>0001060303</v>
      </c>
    </row>
    <row r="2029" spans="1:6" x14ac:dyDescent="0.3">
      <c r="A2029" s="6" t="s">
        <v>2029</v>
      </c>
      <c r="B2029">
        <v>32525563</v>
      </c>
      <c r="C2029" s="3">
        <v>1</v>
      </c>
      <c r="D2029" s="5" t="str">
        <f t="shared" si="69"/>
        <v>01</v>
      </c>
      <c r="E2029" t="str">
        <f>VLOOKUP(B2029,'HOGARES-BASELINE'!$B:$I,8,FALSE)</f>
        <v>00010604</v>
      </c>
      <c r="F2029" s="6" t="str">
        <f t="shared" si="68"/>
        <v>0001060401</v>
      </c>
    </row>
    <row r="2030" spans="1:6" x14ac:dyDescent="0.3">
      <c r="A2030" s="6" t="s">
        <v>2030</v>
      </c>
      <c r="B2030">
        <v>32526054</v>
      </c>
      <c r="C2030" s="3">
        <v>1</v>
      </c>
      <c r="D2030" s="5" t="str">
        <f t="shared" si="69"/>
        <v>01</v>
      </c>
      <c r="E2030" t="str">
        <f>VLOOKUP(B2030,'HOGARES-BASELINE'!$B:$I,8,FALSE)</f>
        <v>00010605</v>
      </c>
      <c r="F2030" s="6" t="str">
        <f t="shared" si="68"/>
        <v>0001060501</v>
      </c>
    </row>
    <row r="2031" spans="1:6" x14ac:dyDescent="0.3">
      <c r="A2031" s="6" t="s">
        <v>2031</v>
      </c>
      <c r="B2031">
        <v>32529962</v>
      </c>
      <c r="C2031" s="3">
        <v>1</v>
      </c>
      <c r="D2031" s="5" t="str">
        <f t="shared" si="69"/>
        <v>01</v>
      </c>
      <c r="E2031" t="str">
        <f>VLOOKUP(B2031,'HOGARES-BASELINE'!$B:$I,8,FALSE)</f>
        <v>01010606</v>
      </c>
      <c r="F2031" s="6" t="str">
        <f t="shared" si="68"/>
        <v>0101060601</v>
      </c>
    </row>
    <row r="2032" spans="1:6" x14ac:dyDescent="0.3">
      <c r="A2032" s="6" t="s">
        <v>2032</v>
      </c>
      <c r="B2032">
        <v>32531832</v>
      </c>
      <c r="C2032" s="3">
        <v>1</v>
      </c>
      <c r="D2032" s="5" t="str">
        <f t="shared" si="69"/>
        <v>01</v>
      </c>
      <c r="E2032" t="str">
        <f>VLOOKUP(B2032,'HOGARES-BASELINE'!$B:$I,8,FALSE)</f>
        <v>01010607</v>
      </c>
      <c r="F2032" s="6" t="str">
        <f t="shared" si="68"/>
        <v>0101060701</v>
      </c>
    </row>
    <row r="2033" spans="1:6" x14ac:dyDescent="0.3">
      <c r="A2033" s="6" t="s">
        <v>2033</v>
      </c>
      <c r="B2033">
        <v>32533675</v>
      </c>
      <c r="C2033" s="3">
        <v>2</v>
      </c>
      <c r="D2033" s="5" t="str">
        <f t="shared" si="69"/>
        <v>02</v>
      </c>
      <c r="E2033" t="str">
        <f>VLOOKUP(B2033,'HOGARES-BASELINE'!$B:$I,8,FALSE)</f>
        <v>01010608</v>
      </c>
      <c r="F2033" s="6" t="str">
        <f t="shared" si="68"/>
        <v>0101060802</v>
      </c>
    </row>
    <row r="2034" spans="1:6" x14ac:dyDescent="0.3">
      <c r="A2034" s="6" t="s">
        <v>2034</v>
      </c>
      <c r="B2034">
        <v>32533675</v>
      </c>
      <c r="C2034" s="3">
        <v>1</v>
      </c>
      <c r="D2034" s="5" t="str">
        <f t="shared" si="69"/>
        <v>01</v>
      </c>
      <c r="E2034" t="str">
        <f>VLOOKUP(B2034,'HOGARES-BASELINE'!$B:$I,8,FALSE)</f>
        <v>01010608</v>
      </c>
      <c r="F2034" s="6" t="str">
        <f t="shared" si="68"/>
        <v>0101060801</v>
      </c>
    </row>
    <row r="2035" spans="1:6" x14ac:dyDescent="0.3">
      <c r="A2035" s="6" t="s">
        <v>2035</v>
      </c>
      <c r="B2035">
        <v>32533675</v>
      </c>
      <c r="C2035" s="3">
        <v>3</v>
      </c>
      <c r="D2035" s="5" t="str">
        <f t="shared" si="69"/>
        <v>03</v>
      </c>
      <c r="E2035" t="str">
        <f>VLOOKUP(B2035,'HOGARES-BASELINE'!$B:$I,8,FALSE)</f>
        <v>01010608</v>
      </c>
      <c r="F2035" s="6" t="str">
        <f t="shared" si="68"/>
        <v>0101060803</v>
      </c>
    </row>
    <row r="2036" spans="1:6" x14ac:dyDescent="0.3">
      <c r="A2036" s="6" t="s">
        <v>2036</v>
      </c>
      <c r="B2036">
        <v>32535369</v>
      </c>
      <c r="C2036" s="3">
        <v>1</v>
      </c>
      <c r="D2036" s="5" t="str">
        <f t="shared" si="69"/>
        <v>01</v>
      </c>
      <c r="E2036" t="str">
        <f>VLOOKUP(B2036,'HOGARES-BASELINE'!$B:$I,8,FALSE)</f>
        <v>01010609</v>
      </c>
      <c r="F2036" s="6" t="str">
        <f t="shared" si="68"/>
        <v>0101060901</v>
      </c>
    </row>
    <row r="2037" spans="1:6" x14ac:dyDescent="0.3">
      <c r="A2037" s="6" t="s">
        <v>2037</v>
      </c>
      <c r="B2037">
        <v>32535369</v>
      </c>
      <c r="C2037" s="3">
        <v>6</v>
      </c>
      <c r="D2037" s="5" t="str">
        <f t="shared" si="69"/>
        <v>06</v>
      </c>
      <c r="E2037" t="str">
        <f>VLOOKUP(B2037,'HOGARES-BASELINE'!$B:$I,8,FALSE)</f>
        <v>01010609</v>
      </c>
      <c r="F2037" s="6" t="str">
        <f t="shared" si="68"/>
        <v>0101060906</v>
      </c>
    </row>
    <row r="2038" spans="1:6" x14ac:dyDescent="0.3">
      <c r="A2038" s="6" t="s">
        <v>2038</v>
      </c>
      <c r="B2038">
        <v>32535369</v>
      </c>
      <c r="C2038" s="3">
        <v>3</v>
      </c>
      <c r="D2038" s="5" t="str">
        <f t="shared" si="69"/>
        <v>03</v>
      </c>
      <c r="E2038" t="str">
        <f>VLOOKUP(B2038,'HOGARES-BASELINE'!$B:$I,8,FALSE)</f>
        <v>01010609</v>
      </c>
      <c r="F2038" s="6" t="str">
        <f t="shared" si="68"/>
        <v>0101060903</v>
      </c>
    </row>
    <row r="2039" spans="1:6" x14ac:dyDescent="0.3">
      <c r="A2039" s="6" t="s">
        <v>2039</v>
      </c>
      <c r="B2039">
        <v>32535369</v>
      </c>
      <c r="C2039" s="3">
        <v>2</v>
      </c>
      <c r="D2039" s="5" t="str">
        <f t="shared" si="69"/>
        <v>02</v>
      </c>
      <c r="E2039" t="str">
        <f>VLOOKUP(B2039,'HOGARES-BASELINE'!$B:$I,8,FALSE)</f>
        <v>01010609</v>
      </c>
      <c r="F2039" s="6" t="str">
        <f t="shared" si="68"/>
        <v>0101060902</v>
      </c>
    </row>
    <row r="2040" spans="1:6" x14ac:dyDescent="0.3">
      <c r="A2040" s="6" t="s">
        <v>2040</v>
      </c>
      <c r="B2040">
        <v>32535369</v>
      </c>
      <c r="C2040" s="3">
        <v>4</v>
      </c>
      <c r="D2040" s="5" t="str">
        <f t="shared" si="69"/>
        <v>04</v>
      </c>
      <c r="E2040" t="str">
        <f>VLOOKUP(B2040,'HOGARES-BASELINE'!$B:$I,8,FALSE)</f>
        <v>01010609</v>
      </c>
      <c r="F2040" s="6" t="str">
        <f t="shared" si="68"/>
        <v>0101060904</v>
      </c>
    </row>
    <row r="2041" spans="1:6" x14ac:dyDescent="0.3">
      <c r="A2041" s="6" t="s">
        <v>2041</v>
      </c>
      <c r="B2041">
        <v>32535369</v>
      </c>
      <c r="C2041" s="3">
        <v>5</v>
      </c>
      <c r="D2041" s="5" t="str">
        <f t="shared" si="69"/>
        <v>05</v>
      </c>
      <c r="E2041" t="str">
        <f>VLOOKUP(B2041,'HOGARES-BASELINE'!$B:$I,8,FALSE)</f>
        <v>01010609</v>
      </c>
      <c r="F2041" s="6" t="str">
        <f t="shared" si="68"/>
        <v>0101060905</v>
      </c>
    </row>
    <row r="2042" spans="1:6" x14ac:dyDescent="0.3">
      <c r="A2042" s="6" t="s">
        <v>2042</v>
      </c>
      <c r="B2042">
        <v>32538485</v>
      </c>
      <c r="C2042" s="3">
        <v>1</v>
      </c>
      <c r="D2042" s="5" t="str">
        <f t="shared" si="69"/>
        <v>01</v>
      </c>
      <c r="E2042" t="str">
        <f>VLOOKUP(B2042,'HOGARES-BASELINE'!$B:$I,8,FALSE)</f>
        <v>00010610</v>
      </c>
      <c r="F2042" s="6" t="str">
        <f t="shared" si="68"/>
        <v>0001061001</v>
      </c>
    </row>
    <row r="2043" spans="1:6" x14ac:dyDescent="0.3">
      <c r="A2043" s="6" t="s">
        <v>2043</v>
      </c>
      <c r="B2043">
        <v>325743367</v>
      </c>
      <c r="C2043" s="3">
        <v>3</v>
      </c>
      <c r="D2043" s="5" t="str">
        <f t="shared" si="69"/>
        <v>03</v>
      </c>
      <c r="E2043" t="str">
        <f>VLOOKUP(B2043,'HOGARES-BASELINE'!$B:$I,8,FALSE)</f>
        <v>00010611</v>
      </c>
      <c r="F2043" s="6" t="str">
        <f t="shared" si="68"/>
        <v>0001061103</v>
      </c>
    </row>
    <row r="2044" spans="1:6" x14ac:dyDescent="0.3">
      <c r="A2044" s="6" t="s">
        <v>2044</v>
      </c>
      <c r="B2044">
        <v>325743367</v>
      </c>
      <c r="C2044" s="3">
        <v>1</v>
      </c>
      <c r="D2044" s="5" t="str">
        <f t="shared" si="69"/>
        <v>01</v>
      </c>
      <c r="E2044" t="str">
        <f>VLOOKUP(B2044,'HOGARES-BASELINE'!$B:$I,8,FALSE)</f>
        <v>00010611</v>
      </c>
      <c r="F2044" s="6" t="str">
        <f t="shared" si="68"/>
        <v>0001061101</v>
      </c>
    </row>
    <row r="2045" spans="1:6" x14ac:dyDescent="0.3">
      <c r="A2045" s="6" t="s">
        <v>2045</v>
      </c>
      <c r="B2045">
        <v>325743367</v>
      </c>
      <c r="C2045" s="3">
        <v>2</v>
      </c>
      <c r="D2045" s="5" t="str">
        <f t="shared" si="69"/>
        <v>02</v>
      </c>
      <c r="E2045" t="str">
        <f>VLOOKUP(B2045,'HOGARES-BASELINE'!$B:$I,8,FALSE)</f>
        <v>00010611</v>
      </c>
      <c r="F2045" s="6" t="str">
        <f t="shared" si="68"/>
        <v>0001061102</v>
      </c>
    </row>
    <row r="2046" spans="1:6" x14ac:dyDescent="0.3">
      <c r="A2046" s="6" t="s">
        <v>2046</v>
      </c>
      <c r="B2046">
        <v>32580754</v>
      </c>
      <c r="C2046" s="3">
        <v>2</v>
      </c>
      <c r="D2046" s="5" t="str">
        <f t="shared" si="69"/>
        <v>02</v>
      </c>
      <c r="E2046" t="str">
        <f>VLOOKUP(B2046,'HOGARES-BASELINE'!$B:$I,8,FALSE)</f>
        <v>01030612</v>
      </c>
      <c r="F2046" s="6" t="str">
        <f t="shared" si="68"/>
        <v>0103061202</v>
      </c>
    </row>
    <row r="2047" spans="1:6" x14ac:dyDescent="0.3">
      <c r="A2047" s="6" t="s">
        <v>2047</v>
      </c>
      <c r="B2047">
        <v>32580754</v>
      </c>
      <c r="C2047" s="3">
        <v>3</v>
      </c>
      <c r="D2047" s="5" t="str">
        <f t="shared" si="69"/>
        <v>03</v>
      </c>
      <c r="E2047" t="str">
        <f>VLOOKUP(B2047,'HOGARES-BASELINE'!$B:$I,8,FALSE)</f>
        <v>01030612</v>
      </c>
      <c r="F2047" s="6" t="str">
        <f t="shared" si="68"/>
        <v>0103061203</v>
      </c>
    </row>
    <row r="2048" spans="1:6" x14ac:dyDescent="0.3">
      <c r="A2048" s="6" t="s">
        <v>2048</v>
      </c>
      <c r="B2048">
        <v>32580754</v>
      </c>
      <c r="C2048" s="3">
        <v>1</v>
      </c>
      <c r="D2048" s="5" t="str">
        <f t="shared" si="69"/>
        <v>01</v>
      </c>
      <c r="E2048" t="str">
        <f>VLOOKUP(B2048,'HOGARES-BASELINE'!$B:$I,8,FALSE)</f>
        <v>01030612</v>
      </c>
      <c r="F2048" s="6" t="str">
        <f t="shared" si="68"/>
        <v>0103061201</v>
      </c>
    </row>
    <row r="2049" spans="1:6" x14ac:dyDescent="0.3">
      <c r="A2049" s="6" t="s">
        <v>2049</v>
      </c>
      <c r="B2049">
        <v>32580754</v>
      </c>
      <c r="C2049" s="3">
        <v>4</v>
      </c>
      <c r="D2049" s="5" t="str">
        <f t="shared" si="69"/>
        <v>04</v>
      </c>
      <c r="E2049" t="str">
        <f>VLOOKUP(B2049,'HOGARES-BASELINE'!$B:$I,8,FALSE)</f>
        <v>01030612</v>
      </c>
      <c r="F2049" s="6" t="str">
        <f t="shared" si="68"/>
        <v>0103061204</v>
      </c>
    </row>
    <row r="2050" spans="1:6" x14ac:dyDescent="0.3">
      <c r="A2050" s="6" t="s">
        <v>2050</v>
      </c>
      <c r="B2050">
        <v>32609231</v>
      </c>
      <c r="C2050" s="3">
        <v>4</v>
      </c>
      <c r="D2050" s="5" t="str">
        <f t="shared" si="69"/>
        <v>04</v>
      </c>
      <c r="E2050" t="str">
        <f>VLOOKUP(B2050,'HOGARES-BASELINE'!$B:$I,8,FALSE)</f>
        <v>00030613</v>
      </c>
      <c r="F2050" s="6" t="str">
        <f t="shared" si="68"/>
        <v>0003061304</v>
      </c>
    </row>
    <row r="2051" spans="1:6" x14ac:dyDescent="0.3">
      <c r="A2051" s="6" t="s">
        <v>2051</v>
      </c>
      <c r="B2051">
        <v>32609231</v>
      </c>
      <c r="C2051" s="3">
        <v>6</v>
      </c>
      <c r="D2051" s="5" t="str">
        <f t="shared" si="69"/>
        <v>06</v>
      </c>
      <c r="E2051" t="str">
        <f>VLOOKUP(B2051,'HOGARES-BASELINE'!$B:$I,8,FALSE)</f>
        <v>00030613</v>
      </c>
      <c r="F2051" s="6" t="str">
        <f t="shared" ref="F2051:F2114" si="70">_xlfn.CONCAT(E2051,D2051)</f>
        <v>0003061306</v>
      </c>
    </row>
    <row r="2052" spans="1:6" x14ac:dyDescent="0.3">
      <c r="A2052" s="6" t="s">
        <v>2052</v>
      </c>
      <c r="B2052">
        <v>32609231</v>
      </c>
      <c r="C2052" s="3">
        <v>2</v>
      </c>
      <c r="D2052" s="5" t="str">
        <f t="shared" si="69"/>
        <v>02</v>
      </c>
      <c r="E2052" t="str">
        <f>VLOOKUP(B2052,'HOGARES-BASELINE'!$B:$I,8,FALSE)</f>
        <v>00030613</v>
      </c>
      <c r="F2052" s="6" t="str">
        <f t="shared" si="70"/>
        <v>0003061302</v>
      </c>
    </row>
    <row r="2053" spans="1:6" x14ac:dyDescent="0.3">
      <c r="A2053" s="6" t="s">
        <v>2053</v>
      </c>
      <c r="B2053">
        <v>32609231</v>
      </c>
      <c r="C2053" s="3">
        <v>5</v>
      </c>
      <c r="D2053" s="5" t="str">
        <f t="shared" si="69"/>
        <v>05</v>
      </c>
      <c r="E2053" t="str">
        <f>VLOOKUP(B2053,'HOGARES-BASELINE'!$B:$I,8,FALSE)</f>
        <v>00030613</v>
      </c>
      <c r="F2053" s="6" t="str">
        <f t="shared" si="70"/>
        <v>0003061305</v>
      </c>
    </row>
    <row r="2054" spans="1:6" x14ac:dyDescent="0.3">
      <c r="A2054" s="6" t="s">
        <v>2054</v>
      </c>
      <c r="B2054">
        <v>32609231</v>
      </c>
      <c r="C2054" s="3">
        <v>1</v>
      </c>
      <c r="D2054" s="5" t="str">
        <f t="shared" si="69"/>
        <v>01</v>
      </c>
      <c r="E2054" t="str">
        <f>VLOOKUP(B2054,'HOGARES-BASELINE'!$B:$I,8,FALSE)</f>
        <v>00030613</v>
      </c>
      <c r="F2054" s="6" t="str">
        <f t="shared" si="70"/>
        <v>0003061301</v>
      </c>
    </row>
    <row r="2055" spans="1:6" x14ac:dyDescent="0.3">
      <c r="A2055" s="6" t="s">
        <v>2055</v>
      </c>
      <c r="B2055">
        <v>32609231</v>
      </c>
      <c r="C2055" s="3">
        <v>3</v>
      </c>
      <c r="D2055" s="5" t="str">
        <f t="shared" si="69"/>
        <v>03</v>
      </c>
      <c r="E2055" t="str">
        <f>VLOOKUP(B2055,'HOGARES-BASELINE'!$B:$I,8,FALSE)</f>
        <v>00030613</v>
      </c>
      <c r="F2055" s="6" t="str">
        <f t="shared" si="70"/>
        <v>0003061303</v>
      </c>
    </row>
    <row r="2056" spans="1:6" x14ac:dyDescent="0.3">
      <c r="A2056" s="6" t="s">
        <v>2056</v>
      </c>
      <c r="B2056">
        <v>32612783</v>
      </c>
      <c r="C2056" s="3">
        <v>4</v>
      </c>
      <c r="D2056" s="5" t="str">
        <f t="shared" si="69"/>
        <v>04</v>
      </c>
      <c r="E2056" t="str">
        <f>VLOOKUP(B2056,'HOGARES-BASELINE'!$B:$I,8,FALSE)</f>
        <v>01030614</v>
      </c>
      <c r="F2056" s="6" t="str">
        <f t="shared" si="70"/>
        <v>0103061404</v>
      </c>
    </row>
    <row r="2057" spans="1:6" x14ac:dyDescent="0.3">
      <c r="A2057" s="6" t="s">
        <v>2057</v>
      </c>
      <c r="B2057">
        <v>32612783</v>
      </c>
      <c r="C2057" s="3">
        <v>2</v>
      </c>
      <c r="D2057" s="5" t="str">
        <f t="shared" si="69"/>
        <v>02</v>
      </c>
      <c r="E2057" t="str">
        <f>VLOOKUP(B2057,'HOGARES-BASELINE'!$B:$I,8,FALSE)</f>
        <v>01030614</v>
      </c>
      <c r="F2057" s="6" t="str">
        <f t="shared" si="70"/>
        <v>0103061402</v>
      </c>
    </row>
    <row r="2058" spans="1:6" x14ac:dyDescent="0.3">
      <c r="A2058" s="6" t="s">
        <v>2058</v>
      </c>
      <c r="B2058">
        <v>32612783</v>
      </c>
      <c r="C2058" s="3">
        <v>3</v>
      </c>
      <c r="D2058" s="5" t="str">
        <f t="shared" si="69"/>
        <v>03</v>
      </c>
      <c r="E2058" t="str">
        <f>VLOOKUP(B2058,'HOGARES-BASELINE'!$B:$I,8,FALSE)</f>
        <v>01030614</v>
      </c>
      <c r="F2058" s="6" t="str">
        <f t="shared" si="70"/>
        <v>0103061403</v>
      </c>
    </row>
    <row r="2059" spans="1:6" x14ac:dyDescent="0.3">
      <c r="A2059" s="6" t="s">
        <v>2059</v>
      </c>
      <c r="B2059">
        <v>32612783</v>
      </c>
      <c r="C2059" s="3">
        <v>5</v>
      </c>
      <c r="D2059" s="5" t="str">
        <f t="shared" si="69"/>
        <v>05</v>
      </c>
      <c r="E2059" t="str">
        <f>VLOOKUP(B2059,'HOGARES-BASELINE'!$B:$I,8,FALSE)</f>
        <v>01030614</v>
      </c>
      <c r="F2059" s="6" t="str">
        <f t="shared" si="70"/>
        <v>0103061405</v>
      </c>
    </row>
    <row r="2060" spans="1:6" x14ac:dyDescent="0.3">
      <c r="A2060" s="6" t="s">
        <v>2060</v>
      </c>
      <c r="B2060">
        <v>32612783</v>
      </c>
      <c r="C2060" s="3">
        <v>1</v>
      </c>
      <c r="D2060" s="5" t="str">
        <f t="shared" si="69"/>
        <v>01</v>
      </c>
      <c r="E2060" t="str">
        <f>VLOOKUP(B2060,'HOGARES-BASELINE'!$B:$I,8,FALSE)</f>
        <v>01030614</v>
      </c>
      <c r="F2060" s="6" t="str">
        <f t="shared" si="70"/>
        <v>0103061401</v>
      </c>
    </row>
    <row r="2061" spans="1:6" x14ac:dyDescent="0.3">
      <c r="A2061" s="6" t="s">
        <v>2061</v>
      </c>
      <c r="B2061">
        <v>32613935</v>
      </c>
      <c r="C2061" s="3">
        <v>3</v>
      </c>
      <c r="D2061" s="5" t="str">
        <f t="shared" si="69"/>
        <v>03</v>
      </c>
      <c r="E2061" t="str">
        <f>VLOOKUP(B2061,'HOGARES-BASELINE'!$B:$I,8,FALSE)</f>
        <v>01030615</v>
      </c>
      <c r="F2061" s="6" t="str">
        <f t="shared" si="70"/>
        <v>0103061503</v>
      </c>
    </row>
    <row r="2062" spans="1:6" x14ac:dyDescent="0.3">
      <c r="A2062" s="6" t="s">
        <v>2062</v>
      </c>
      <c r="B2062">
        <v>32613935</v>
      </c>
      <c r="C2062" s="3">
        <v>1</v>
      </c>
      <c r="D2062" s="5" t="str">
        <f t="shared" si="69"/>
        <v>01</v>
      </c>
      <c r="E2062" t="str">
        <f>VLOOKUP(B2062,'HOGARES-BASELINE'!$B:$I,8,FALSE)</f>
        <v>01030615</v>
      </c>
      <c r="F2062" s="6" t="str">
        <f t="shared" si="70"/>
        <v>0103061501</v>
      </c>
    </row>
    <row r="2063" spans="1:6" x14ac:dyDescent="0.3">
      <c r="A2063" s="6" t="s">
        <v>2063</v>
      </c>
      <c r="B2063">
        <v>32613935</v>
      </c>
      <c r="C2063" s="3">
        <v>4</v>
      </c>
      <c r="D2063" s="5" t="str">
        <f t="shared" si="69"/>
        <v>04</v>
      </c>
      <c r="E2063" t="str">
        <f>VLOOKUP(B2063,'HOGARES-BASELINE'!$B:$I,8,FALSE)</f>
        <v>01030615</v>
      </c>
      <c r="F2063" s="6" t="str">
        <f t="shared" si="70"/>
        <v>0103061504</v>
      </c>
    </row>
    <row r="2064" spans="1:6" x14ac:dyDescent="0.3">
      <c r="A2064" s="6" t="s">
        <v>2064</v>
      </c>
      <c r="B2064">
        <v>32613935</v>
      </c>
      <c r="C2064" s="3">
        <v>2</v>
      </c>
      <c r="D2064" s="5" t="str">
        <f t="shared" si="69"/>
        <v>02</v>
      </c>
      <c r="E2064" t="str">
        <f>VLOOKUP(B2064,'HOGARES-BASELINE'!$B:$I,8,FALSE)</f>
        <v>01030615</v>
      </c>
      <c r="F2064" s="6" t="str">
        <f t="shared" si="70"/>
        <v>0103061502</v>
      </c>
    </row>
    <row r="2065" spans="1:6" x14ac:dyDescent="0.3">
      <c r="A2065" s="6" t="s">
        <v>2065</v>
      </c>
      <c r="B2065">
        <v>32619848</v>
      </c>
      <c r="C2065" s="3">
        <v>1</v>
      </c>
      <c r="D2065" s="5" t="str">
        <f t="shared" si="69"/>
        <v>01</v>
      </c>
      <c r="E2065" t="str">
        <f>VLOOKUP(B2065,'HOGARES-BASELINE'!$B:$I,8,FALSE)</f>
        <v>00030616</v>
      </c>
      <c r="F2065" s="6" t="str">
        <f t="shared" si="70"/>
        <v>0003061601</v>
      </c>
    </row>
    <row r="2066" spans="1:6" x14ac:dyDescent="0.3">
      <c r="A2066" s="6" t="s">
        <v>2066</v>
      </c>
      <c r="B2066">
        <v>32619848</v>
      </c>
      <c r="C2066" s="3">
        <v>3</v>
      </c>
      <c r="D2066" s="5" t="str">
        <f t="shared" si="69"/>
        <v>03</v>
      </c>
      <c r="E2066" t="str">
        <f>VLOOKUP(B2066,'HOGARES-BASELINE'!$B:$I,8,FALSE)</f>
        <v>00030616</v>
      </c>
      <c r="F2066" s="6" t="str">
        <f t="shared" si="70"/>
        <v>0003061603</v>
      </c>
    </row>
    <row r="2067" spans="1:6" x14ac:dyDescent="0.3">
      <c r="A2067" s="6" t="s">
        <v>2067</v>
      </c>
      <c r="B2067">
        <v>32619848</v>
      </c>
      <c r="C2067" s="3">
        <v>2</v>
      </c>
      <c r="D2067" s="5" t="str">
        <f t="shared" si="69"/>
        <v>02</v>
      </c>
      <c r="E2067" t="str">
        <f>VLOOKUP(B2067,'HOGARES-BASELINE'!$B:$I,8,FALSE)</f>
        <v>00030616</v>
      </c>
      <c r="F2067" s="6" t="str">
        <f t="shared" si="70"/>
        <v>0003061602</v>
      </c>
    </row>
    <row r="2068" spans="1:6" x14ac:dyDescent="0.3">
      <c r="A2068" s="6" t="s">
        <v>2068</v>
      </c>
      <c r="B2068">
        <v>32620693</v>
      </c>
      <c r="C2068" s="3">
        <v>3</v>
      </c>
      <c r="D2068" s="5" t="str">
        <f t="shared" si="69"/>
        <v>03</v>
      </c>
      <c r="E2068" t="str">
        <f>VLOOKUP(B2068,'HOGARES-BASELINE'!$B:$I,8,FALSE)</f>
        <v>00030617</v>
      </c>
      <c r="F2068" s="6" t="str">
        <f t="shared" si="70"/>
        <v>0003061703</v>
      </c>
    </row>
    <row r="2069" spans="1:6" x14ac:dyDescent="0.3">
      <c r="A2069" s="6" t="s">
        <v>2069</v>
      </c>
      <c r="B2069">
        <v>32620693</v>
      </c>
      <c r="C2069" s="3">
        <v>1</v>
      </c>
      <c r="D2069" s="5" t="str">
        <f t="shared" si="69"/>
        <v>01</v>
      </c>
      <c r="E2069" t="str">
        <f>VLOOKUP(B2069,'HOGARES-BASELINE'!$B:$I,8,FALSE)</f>
        <v>00030617</v>
      </c>
      <c r="F2069" s="6" t="str">
        <f t="shared" si="70"/>
        <v>0003061701</v>
      </c>
    </row>
    <row r="2070" spans="1:6" x14ac:dyDescent="0.3">
      <c r="A2070" s="6" t="s">
        <v>2070</v>
      </c>
      <c r="B2070">
        <v>32620693</v>
      </c>
      <c r="C2070" s="3">
        <v>4</v>
      </c>
      <c r="D2070" s="5" t="str">
        <f t="shared" si="69"/>
        <v>04</v>
      </c>
      <c r="E2070" t="str">
        <f>VLOOKUP(B2070,'HOGARES-BASELINE'!$B:$I,8,FALSE)</f>
        <v>00030617</v>
      </c>
      <c r="F2070" s="6" t="str">
        <f t="shared" si="70"/>
        <v>0003061704</v>
      </c>
    </row>
    <row r="2071" spans="1:6" x14ac:dyDescent="0.3">
      <c r="A2071" s="6" t="s">
        <v>2071</v>
      </c>
      <c r="B2071">
        <v>32620693</v>
      </c>
      <c r="C2071" s="3">
        <v>2</v>
      </c>
      <c r="D2071" s="5" t="str">
        <f t="shared" si="69"/>
        <v>02</v>
      </c>
      <c r="E2071" t="str">
        <f>VLOOKUP(B2071,'HOGARES-BASELINE'!$B:$I,8,FALSE)</f>
        <v>00030617</v>
      </c>
      <c r="F2071" s="6" t="str">
        <f t="shared" si="70"/>
        <v>0003061702</v>
      </c>
    </row>
    <row r="2072" spans="1:6" x14ac:dyDescent="0.3">
      <c r="A2072" s="6" t="s">
        <v>2072</v>
      </c>
      <c r="B2072">
        <v>32620693</v>
      </c>
      <c r="C2072" s="3">
        <v>5</v>
      </c>
      <c r="D2072" s="5" t="str">
        <f t="shared" si="69"/>
        <v>05</v>
      </c>
      <c r="E2072" t="str">
        <f>VLOOKUP(B2072,'HOGARES-BASELINE'!$B:$I,8,FALSE)</f>
        <v>00030617</v>
      </c>
      <c r="F2072" s="6" t="str">
        <f t="shared" si="70"/>
        <v>0003061705</v>
      </c>
    </row>
    <row r="2073" spans="1:6" x14ac:dyDescent="0.3">
      <c r="A2073" s="6" t="s">
        <v>2073</v>
      </c>
      <c r="B2073">
        <v>32623209</v>
      </c>
      <c r="C2073" s="3">
        <v>1</v>
      </c>
      <c r="D2073" s="5" t="str">
        <f t="shared" si="69"/>
        <v>01</v>
      </c>
      <c r="E2073" t="str">
        <f>VLOOKUP(B2073,'HOGARES-BASELINE'!$B:$I,8,FALSE)</f>
        <v>01030618</v>
      </c>
      <c r="F2073" s="6" t="str">
        <f t="shared" si="70"/>
        <v>0103061801</v>
      </c>
    </row>
    <row r="2074" spans="1:6" x14ac:dyDescent="0.3">
      <c r="A2074" s="6" t="s">
        <v>2074</v>
      </c>
      <c r="B2074">
        <v>32627098</v>
      </c>
      <c r="C2074" s="3">
        <v>1</v>
      </c>
      <c r="D2074" s="5" t="str">
        <f t="shared" si="69"/>
        <v>01</v>
      </c>
      <c r="E2074" t="str">
        <f>VLOOKUP(B2074,'HOGARES-BASELINE'!$B:$I,8,FALSE)</f>
        <v>00030619</v>
      </c>
      <c r="F2074" s="6" t="str">
        <f t="shared" si="70"/>
        <v>0003061901</v>
      </c>
    </row>
    <row r="2075" spans="1:6" x14ac:dyDescent="0.3">
      <c r="A2075" s="6" t="s">
        <v>2075</v>
      </c>
      <c r="B2075">
        <v>32629512</v>
      </c>
      <c r="C2075" s="3">
        <v>3</v>
      </c>
      <c r="D2075" s="5" t="str">
        <f t="shared" si="69"/>
        <v>03</v>
      </c>
      <c r="E2075" t="str">
        <f>VLOOKUP(B2075,'HOGARES-BASELINE'!$B:$I,8,FALSE)</f>
        <v>01030620</v>
      </c>
      <c r="F2075" s="6" t="str">
        <f t="shared" si="70"/>
        <v>0103062003</v>
      </c>
    </row>
    <row r="2076" spans="1:6" x14ac:dyDescent="0.3">
      <c r="A2076" s="6" t="s">
        <v>2076</v>
      </c>
      <c r="B2076">
        <v>32629512</v>
      </c>
      <c r="C2076" s="3">
        <v>1</v>
      </c>
      <c r="D2076" s="5" t="str">
        <f t="shared" si="69"/>
        <v>01</v>
      </c>
      <c r="E2076" t="str">
        <f>VLOOKUP(B2076,'HOGARES-BASELINE'!$B:$I,8,FALSE)</f>
        <v>01030620</v>
      </c>
      <c r="F2076" s="6" t="str">
        <f t="shared" si="70"/>
        <v>0103062001</v>
      </c>
    </row>
    <row r="2077" spans="1:6" x14ac:dyDescent="0.3">
      <c r="A2077" s="6" t="s">
        <v>2077</v>
      </c>
      <c r="B2077">
        <v>32629512</v>
      </c>
      <c r="C2077" s="3">
        <v>2</v>
      </c>
      <c r="D2077" s="5" t="str">
        <f t="shared" si="69"/>
        <v>02</v>
      </c>
      <c r="E2077" t="str">
        <f>VLOOKUP(B2077,'HOGARES-BASELINE'!$B:$I,8,FALSE)</f>
        <v>01030620</v>
      </c>
      <c r="F2077" s="6" t="str">
        <f t="shared" si="70"/>
        <v>0103062002</v>
      </c>
    </row>
    <row r="2078" spans="1:6" x14ac:dyDescent="0.3">
      <c r="A2078" s="6" t="s">
        <v>2078</v>
      </c>
      <c r="B2078">
        <v>32632016</v>
      </c>
      <c r="C2078" s="3">
        <v>2</v>
      </c>
      <c r="D2078" s="5" t="str">
        <f t="shared" si="69"/>
        <v>02</v>
      </c>
      <c r="E2078" t="str">
        <f>VLOOKUP(B2078,'HOGARES-BASELINE'!$B:$I,8,FALSE)</f>
        <v>00030621</v>
      </c>
      <c r="F2078" s="6" t="str">
        <f t="shared" si="70"/>
        <v>0003062102</v>
      </c>
    </row>
    <row r="2079" spans="1:6" x14ac:dyDescent="0.3">
      <c r="A2079" s="6" t="s">
        <v>2079</v>
      </c>
      <c r="B2079">
        <v>32632016</v>
      </c>
      <c r="C2079" s="3">
        <v>4</v>
      </c>
      <c r="D2079" s="5" t="str">
        <f t="shared" si="69"/>
        <v>04</v>
      </c>
      <c r="E2079" t="str">
        <f>VLOOKUP(B2079,'HOGARES-BASELINE'!$B:$I,8,FALSE)</f>
        <v>00030621</v>
      </c>
      <c r="F2079" s="6" t="str">
        <f t="shared" si="70"/>
        <v>0003062104</v>
      </c>
    </row>
    <row r="2080" spans="1:6" x14ac:dyDescent="0.3">
      <c r="A2080" s="6" t="s">
        <v>2080</v>
      </c>
      <c r="B2080">
        <v>32632016</v>
      </c>
      <c r="C2080" s="3">
        <v>1</v>
      </c>
      <c r="D2080" s="5" t="str">
        <f t="shared" si="69"/>
        <v>01</v>
      </c>
      <c r="E2080" t="str">
        <f>VLOOKUP(B2080,'HOGARES-BASELINE'!$B:$I,8,FALSE)</f>
        <v>00030621</v>
      </c>
      <c r="F2080" s="6" t="str">
        <f t="shared" si="70"/>
        <v>0003062101</v>
      </c>
    </row>
    <row r="2081" spans="1:6" x14ac:dyDescent="0.3">
      <c r="A2081" s="6" t="s">
        <v>2081</v>
      </c>
      <c r="B2081">
        <v>32632016</v>
      </c>
      <c r="C2081" s="3">
        <v>3</v>
      </c>
      <c r="D2081" s="5" t="str">
        <f t="shared" si="69"/>
        <v>03</v>
      </c>
      <c r="E2081" t="str">
        <f>VLOOKUP(B2081,'HOGARES-BASELINE'!$B:$I,8,FALSE)</f>
        <v>00030621</v>
      </c>
      <c r="F2081" s="6" t="str">
        <f t="shared" si="70"/>
        <v>0003062103</v>
      </c>
    </row>
    <row r="2082" spans="1:6" x14ac:dyDescent="0.3">
      <c r="A2082" s="6" t="s">
        <v>2082</v>
      </c>
      <c r="B2082">
        <v>32634688</v>
      </c>
      <c r="C2082" s="3">
        <v>1</v>
      </c>
      <c r="D2082" s="5" t="str">
        <f t="shared" si="69"/>
        <v>01</v>
      </c>
      <c r="E2082" t="str">
        <f>VLOOKUP(B2082,'HOGARES-BASELINE'!$B:$I,8,FALSE)</f>
        <v>01030622</v>
      </c>
      <c r="F2082" s="6" t="str">
        <f t="shared" si="70"/>
        <v>0103062201</v>
      </c>
    </row>
    <row r="2083" spans="1:6" x14ac:dyDescent="0.3">
      <c r="A2083" s="6" t="s">
        <v>2083</v>
      </c>
      <c r="B2083">
        <v>32634688</v>
      </c>
      <c r="C2083" s="3">
        <v>5</v>
      </c>
      <c r="D2083" s="5" t="str">
        <f t="shared" ref="D2083:D2146" si="71">_xlfn.CONCAT(0,C2083)</f>
        <v>05</v>
      </c>
      <c r="E2083" t="str">
        <f>VLOOKUP(B2083,'HOGARES-BASELINE'!$B:$I,8,FALSE)</f>
        <v>01030622</v>
      </c>
      <c r="F2083" s="6" t="str">
        <f t="shared" si="70"/>
        <v>0103062205</v>
      </c>
    </row>
    <row r="2084" spans="1:6" x14ac:dyDescent="0.3">
      <c r="A2084" s="6" t="s">
        <v>2084</v>
      </c>
      <c r="B2084">
        <v>32634688</v>
      </c>
      <c r="C2084" s="3">
        <v>2</v>
      </c>
      <c r="D2084" s="5" t="str">
        <f t="shared" si="71"/>
        <v>02</v>
      </c>
      <c r="E2084" t="str">
        <f>VLOOKUP(B2084,'HOGARES-BASELINE'!$B:$I,8,FALSE)</f>
        <v>01030622</v>
      </c>
      <c r="F2084" s="6" t="str">
        <f t="shared" si="70"/>
        <v>0103062202</v>
      </c>
    </row>
    <row r="2085" spans="1:6" x14ac:dyDescent="0.3">
      <c r="A2085" s="6" t="s">
        <v>2085</v>
      </c>
      <c r="B2085">
        <v>32634688</v>
      </c>
      <c r="C2085" s="3">
        <v>4</v>
      </c>
      <c r="D2085" s="5" t="str">
        <f t="shared" si="71"/>
        <v>04</v>
      </c>
      <c r="E2085" t="str">
        <f>VLOOKUP(B2085,'HOGARES-BASELINE'!$B:$I,8,FALSE)</f>
        <v>01030622</v>
      </c>
      <c r="F2085" s="6" t="str">
        <f t="shared" si="70"/>
        <v>0103062204</v>
      </c>
    </row>
    <row r="2086" spans="1:6" x14ac:dyDescent="0.3">
      <c r="A2086" s="6" t="s">
        <v>2086</v>
      </c>
      <c r="B2086">
        <v>32634688</v>
      </c>
      <c r="C2086" s="3">
        <v>6</v>
      </c>
      <c r="D2086" s="5" t="str">
        <f t="shared" si="71"/>
        <v>06</v>
      </c>
      <c r="E2086" t="str">
        <f>VLOOKUP(B2086,'HOGARES-BASELINE'!$B:$I,8,FALSE)</f>
        <v>01030622</v>
      </c>
      <c r="F2086" s="6" t="str">
        <f t="shared" si="70"/>
        <v>0103062206</v>
      </c>
    </row>
    <row r="2087" spans="1:6" x14ac:dyDescent="0.3">
      <c r="A2087" s="6" t="s">
        <v>2087</v>
      </c>
      <c r="B2087">
        <v>32634688</v>
      </c>
      <c r="C2087" s="3">
        <v>3</v>
      </c>
      <c r="D2087" s="5" t="str">
        <f t="shared" si="71"/>
        <v>03</v>
      </c>
      <c r="E2087" t="str">
        <f>VLOOKUP(B2087,'HOGARES-BASELINE'!$B:$I,8,FALSE)</f>
        <v>01030622</v>
      </c>
      <c r="F2087" s="6" t="str">
        <f t="shared" si="70"/>
        <v>0103062203</v>
      </c>
    </row>
    <row r="2088" spans="1:6" x14ac:dyDescent="0.3">
      <c r="A2088" s="6" t="s">
        <v>2088</v>
      </c>
      <c r="B2088">
        <v>32635477</v>
      </c>
      <c r="C2088" s="3">
        <v>3</v>
      </c>
      <c r="D2088" s="5" t="str">
        <f t="shared" si="71"/>
        <v>03</v>
      </c>
      <c r="E2088" t="str">
        <f>VLOOKUP(B2088,'HOGARES-BASELINE'!$B:$I,8,FALSE)</f>
        <v>00030623</v>
      </c>
      <c r="F2088" s="6" t="str">
        <f t="shared" si="70"/>
        <v>0003062303</v>
      </c>
    </row>
    <row r="2089" spans="1:6" x14ac:dyDescent="0.3">
      <c r="A2089" s="6" t="s">
        <v>2089</v>
      </c>
      <c r="B2089">
        <v>32635477</v>
      </c>
      <c r="C2089" s="3">
        <v>2</v>
      </c>
      <c r="D2089" s="5" t="str">
        <f t="shared" si="71"/>
        <v>02</v>
      </c>
      <c r="E2089" t="str">
        <f>VLOOKUP(B2089,'HOGARES-BASELINE'!$B:$I,8,FALSE)</f>
        <v>00030623</v>
      </c>
      <c r="F2089" s="6" t="str">
        <f t="shared" si="70"/>
        <v>0003062302</v>
      </c>
    </row>
    <row r="2090" spans="1:6" x14ac:dyDescent="0.3">
      <c r="A2090" s="6" t="s">
        <v>2090</v>
      </c>
      <c r="B2090">
        <v>32635477</v>
      </c>
      <c r="C2090" s="3">
        <v>4</v>
      </c>
      <c r="D2090" s="5" t="str">
        <f t="shared" si="71"/>
        <v>04</v>
      </c>
      <c r="E2090" t="str">
        <f>VLOOKUP(B2090,'HOGARES-BASELINE'!$B:$I,8,FALSE)</f>
        <v>00030623</v>
      </c>
      <c r="F2090" s="6" t="str">
        <f t="shared" si="70"/>
        <v>0003062304</v>
      </c>
    </row>
    <row r="2091" spans="1:6" x14ac:dyDescent="0.3">
      <c r="A2091" s="6" t="s">
        <v>2091</v>
      </c>
      <c r="B2091">
        <v>32635477</v>
      </c>
      <c r="C2091" s="3">
        <v>1</v>
      </c>
      <c r="D2091" s="5" t="str">
        <f t="shared" si="71"/>
        <v>01</v>
      </c>
      <c r="E2091" t="str">
        <f>VLOOKUP(B2091,'HOGARES-BASELINE'!$B:$I,8,FALSE)</f>
        <v>00030623</v>
      </c>
      <c r="F2091" s="6" t="str">
        <f t="shared" si="70"/>
        <v>0003062301</v>
      </c>
    </row>
    <row r="2092" spans="1:6" x14ac:dyDescent="0.3">
      <c r="A2092" s="6" t="s">
        <v>2092</v>
      </c>
      <c r="B2092">
        <v>32636512</v>
      </c>
      <c r="C2092" s="3">
        <v>5</v>
      </c>
      <c r="D2092" s="5" t="str">
        <f t="shared" si="71"/>
        <v>05</v>
      </c>
      <c r="E2092" t="str">
        <f>VLOOKUP(B2092,'HOGARES-BASELINE'!$B:$I,8,FALSE)</f>
        <v>00030624</v>
      </c>
      <c r="F2092" s="6" t="str">
        <f t="shared" si="70"/>
        <v>0003062405</v>
      </c>
    </row>
    <row r="2093" spans="1:6" x14ac:dyDescent="0.3">
      <c r="A2093" s="6" t="s">
        <v>2093</v>
      </c>
      <c r="B2093">
        <v>32636512</v>
      </c>
      <c r="C2093" s="3">
        <v>3</v>
      </c>
      <c r="D2093" s="5" t="str">
        <f t="shared" si="71"/>
        <v>03</v>
      </c>
      <c r="E2093" t="str">
        <f>VLOOKUP(B2093,'HOGARES-BASELINE'!$B:$I,8,FALSE)</f>
        <v>00030624</v>
      </c>
      <c r="F2093" s="6" t="str">
        <f t="shared" si="70"/>
        <v>0003062403</v>
      </c>
    </row>
    <row r="2094" spans="1:6" x14ac:dyDescent="0.3">
      <c r="A2094" s="6" t="s">
        <v>2094</v>
      </c>
      <c r="B2094">
        <v>32636512</v>
      </c>
      <c r="C2094" s="3">
        <v>4</v>
      </c>
      <c r="D2094" s="5" t="str">
        <f t="shared" si="71"/>
        <v>04</v>
      </c>
      <c r="E2094" t="str">
        <f>VLOOKUP(B2094,'HOGARES-BASELINE'!$B:$I,8,FALSE)</f>
        <v>00030624</v>
      </c>
      <c r="F2094" s="6" t="str">
        <f t="shared" si="70"/>
        <v>0003062404</v>
      </c>
    </row>
    <row r="2095" spans="1:6" x14ac:dyDescent="0.3">
      <c r="A2095" s="6" t="s">
        <v>2095</v>
      </c>
      <c r="B2095">
        <v>32636512</v>
      </c>
      <c r="C2095" s="3">
        <v>2</v>
      </c>
      <c r="D2095" s="5" t="str">
        <f t="shared" si="71"/>
        <v>02</v>
      </c>
      <c r="E2095" t="str">
        <f>VLOOKUP(B2095,'HOGARES-BASELINE'!$B:$I,8,FALSE)</f>
        <v>00030624</v>
      </c>
      <c r="F2095" s="6" t="str">
        <f t="shared" si="70"/>
        <v>0003062402</v>
      </c>
    </row>
    <row r="2096" spans="1:6" x14ac:dyDescent="0.3">
      <c r="A2096" s="6" t="s">
        <v>2096</v>
      </c>
      <c r="B2096">
        <v>32636512</v>
      </c>
      <c r="C2096" s="3">
        <v>1</v>
      </c>
      <c r="D2096" s="5" t="str">
        <f t="shared" si="71"/>
        <v>01</v>
      </c>
      <c r="E2096" t="str">
        <f>VLOOKUP(B2096,'HOGARES-BASELINE'!$B:$I,8,FALSE)</f>
        <v>00030624</v>
      </c>
      <c r="F2096" s="6" t="str">
        <f t="shared" si="70"/>
        <v>0003062401</v>
      </c>
    </row>
    <row r="2097" spans="1:6" x14ac:dyDescent="0.3">
      <c r="A2097" s="6" t="s">
        <v>2097</v>
      </c>
      <c r="B2097">
        <v>32636575</v>
      </c>
      <c r="C2097" s="3">
        <v>5</v>
      </c>
      <c r="D2097" s="5" t="str">
        <f t="shared" si="71"/>
        <v>05</v>
      </c>
      <c r="E2097" t="str">
        <f>VLOOKUP(B2097,'HOGARES-BASELINE'!$B:$I,8,FALSE)</f>
        <v>01030625</v>
      </c>
      <c r="F2097" s="6" t="str">
        <f t="shared" si="70"/>
        <v>0103062505</v>
      </c>
    </row>
    <row r="2098" spans="1:6" x14ac:dyDescent="0.3">
      <c r="A2098" s="6" t="s">
        <v>2098</v>
      </c>
      <c r="B2098">
        <v>32636575</v>
      </c>
      <c r="C2098" s="3">
        <v>8</v>
      </c>
      <c r="D2098" s="5" t="str">
        <f t="shared" si="71"/>
        <v>08</v>
      </c>
      <c r="E2098" t="str">
        <f>VLOOKUP(B2098,'HOGARES-BASELINE'!$B:$I,8,FALSE)</f>
        <v>01030625</v>
      </c>
      <c r="F2098" s="6" t="str">
        <f t="shared" si="70"/>
        <v>0103062508</v>
      </c>
    </row>
    <row r="2099" spans="1:6" x14ac:dyDescent="0.3">
      <c r="A2099" s="6" t="s">
        <v>2099</v>
      </c>
      <c r="B2099">
        <v>32636575</v>
      </c>
      <c r="C2099" s="3">
        <v>1</v>
      </c>
      <c r="D2099" s="5" t="str">
        <f t="shared" si="71"/>
        <v>01</v>
      </c>
      <c r="E2099" t="str">
        <f>VLOOKUP(B2099,'HOGARES-BASELINE'!$B:$I,8,FALSE)</f>
        <v>01030625</v>
      </c>
      <c r="F2099" s="6" t="str">
        <f t="shared" si="70"/>
        <v>0103062501</v>
      </c>
    </row>
    <row r="2100" spans="1:6" x14ac:dyDescent="0.3">
      <c r="A2100" s="6" t="s">
        <v>2100</v>
      </c>
      <c r="B2100">
        <v>32636575</v>
      </c>
      <c r="C2100" s="3">
        <v>7</v>
      </c>
      <c r="D2100" s="5" t="str">
        <f t="shared" si="71"/>
        <v>07</v>
      </c>
      <c r="E2100" t="str">
        <f>VLOOKUP(B2100,'HOGARES-BASELINE'!$B:$I,8,FALSE)</f>
        <v>01030625</v>
      </c>
      <c r="F2100" s="6" t="str">
        <f t="shared" si="70"/>
        <v>0103062507</v>
      </c>
    </row>
    <row r="2101" spans="1:6" x14ac:dyDescent="0.3">
      <c r="A2101" s="6" t="s">
        <v>2101</v>
      </c>
      <c r="B2101">
        <v>32636575</v>
      </c>
      <c r="C2101" s="3">
        <v>4</v>
      </c>
      <c r="D2101" s="5" t="str">
        <f t="shared" si="71"/>
        <v>04</v>
      </c>
      <c r="E2101" t="str">
        <f>VLOOKUP(B2101,'HOGARES-BASELINE'!$B:$I,8,FALSE)</f>
        <v>01030625</v>
      </c>
      <c r="F2101" s="6" t="str">
        <f t="shared" si="70"/>
        <v>0103062504</v>
      </c>
    </row>
    <row r="2102" spans="1:6" x14ac:dyDescent="0.3">
      <c r="A2102" s="6" t="s">
        <v>2102</v>
      </c>
      <c r="B2102">
        <v>32636575</v>
      </c>
      <c r="C2102" s="3">
        <v>2</v>
      </c>
      <c r="D2102" s="5" t="str">
        <f t="shared" si="71"/>
        <v>02</v>
      </c>
      <c r="E2102" t="str">
        <f>VLOOKUP(B2102,'HOGARES-BASELINE'!$B:$I,8,FALSE)</f>
        <v>01030625</v>
      </c>
      <c r="F2102" s="6" t="str">
        <f t="shared" si="70"/>
        <v>0103062502</v>
      </c>
    </row>
    <row r="2103" spans="1:6" x14ac:dyDescent="0.3">
      <c r="A2103" s="6" t="s">
        <v>2103</v>
      </c>
      <c r="B2103">
        <v>32636575</v>
      </c>
      <c r="C2103" s="3">
        <v>6</v>
      </c>
      <c r="D2103" s="5" t="str">
        <f t="shared" si="71"/>
        <v>06</v>
      </c>
      <c r="E2103" t="str">
        <f>VLOOKUP(B2103,'HOGARES-BASELINE'!$B:$I,8,FALSE)</f>
        <v>01030625</v>
      </c>
      <c r="F2103" s="6" t="str">
        <f t="shared" si="70"/>
        <v>0103062506</v>
      </c>
    </row>
    <row r="2104" spans="1:6" x14ac:dyDescent="0.3">
      <c r="A2104" s="6" t="s">
        <v>2104</v>
      </c>
      <c r="B2104">
        <v>32636575</v>
      </c>
      <c r="C2104" s="3">
        <v>9</v>
      </c>
      <c r="D2104" s="5" t="str">
        <f t="shared" si="71"/>
        <v>09</v>
      </c>
      <c r="E2104" t="str">
        <f>VLOOKUP(B2104,'HOGARES-BASELINE'!$B:$I,8,FALSE)</f>
        <v>01030625</v>
      </c>
      <c r="F2104" s="6" t="str">
        <f t="shared" si="70"/>
        <v>0103062509</v>
      </c>
    </row>
    <row r="2105" spans="1:6" x14ac:dyDescent="0.3">
      <c r="A2105" s="6" t="s">
        <v>2105</v>
      </c>
      <c r="B2105">
        <v>32636575</v>
      </c>
      <c r="C2105" s="3">
        <v>3</v>
      </c>
      <c r="D2105" s="5" t="str">
        <f t="shared" si="71"/>
        <v>03</v>
      </c>
      <c r="E2105" t="str">
        <f>VLOOKUP(B2105,'HOGARES-BASELINE'!$B:$I,8,FALSE)</f>
        <v>01030625</v>
      </c>
      <c r="F2105" s="6" t="str">
        <f t="shared" si="70"/>
        <v>0103062503</v>
      </c>
    </row>
    <row r="2106" spans="1:6" x14ac:dyDescent="0.3">
      <c r="A2106" s="6" t="s">
        <v>2106</v>
      </c>
      <c r="B2106">
        <v>32639743</v>
      </c>
      <c r="C2106" s="3">
        <v>3</v>
      </c>
      <c r="D2106" s="5" t="str">
        <f t="shared" si="71"/>
        <v>03</v>
      </c>
      <c r="E2106" t="str">
        <f>VLOOKUP(B2106,'HOGARES-BASELINE'!$B:$I,8,FALSE)</f>
        <v>00030626</v>
      </c>
      <c r="F2106" s="6" t="str">
        <f t="shared" si="70"/>
        <v>0003062603</v>
      </c>
    </row>
    <row r="2107" spans="1:6" x14ac:dyDescent="0.3">
      <c r="A2107" s="6" t="s">
        <v>2107</v>
      </c>
      <c r="B2107">
        <v>32639743</v>
      </c>
      <c r="C2107" s="3">
        <v>2</v>
      </c>
      <c r="D2107" s="5" t="str">
        <f t="shared" si="71"/>
        <v>02</v>
      </c>
      <c r="E2107" t="str">
        <f>VLOOKUP(B2107,'HOGARES-BASELINE'!$B:$I,8,FALSE)</f>
        <v>00030626</v>
      </c>
      <c r="F2107" s="6" t="str">
        <f t="shared" si="70"/>
        <v>0003062602</v>
      </c>
    </row>
    <row r="2108" spans="1:6" x14ac:dyDescent="0.3">
      <c r="A2108" s="6" t="s">
        <v>2108</v>
      </c>
      <c r="B2108">
        <v>32639743</v>
      </c>
      <c r="C2108" s="3">
        <v>1</v>
      </c>
      <c r="D2108" s="5" t="str">
        <f t="shared" si="71"/>
        <v>01</v>
      </c>
      <c r="E2108" t="str">
        <f>VLOOKUP(B2108,'HOGARES-BASELINE'!$B:$I,8,FALSE)</f>
        <v>00030626</v>
      </c>
      <c r="F2108" s="6" t="str">
        <f t="shared" si="70"/>
        <v>0003062601</v>
      </c>
    </row>
    <row r="2109" spans="1:6" x14ac:dyDescent="0.3">
      <c r="A2109" s="6" t="s">
        <v>2109</v>
      </c>
      <c r="B2109">
        <v>32639848</v>
      </c>
      <c r="C2109" s="3">
        <v>2</v>
      </c>
      <c r="D2109" s="5" t="str">
        <f t="shared" si="71"/>
        <v>02</v>
      </c>
      <c r="E2109" t="str">
        <f>VLOOKUP(B2109,'HOGARES-BASELINE'!$B:$I,8,FALSE)</f>
        <v>01030627</v>
      </c>
      <c r="F2109" s="6" t="str">
        <f t="shared" si="70"/>
        <v>0103062702</v>
      </c>
    </row>
    <row r="2110" spans="1:6" x14ac:dyDescent="0.3">
      <c r="A2110" s="6" t="s">
        <v>2110</v>
      </c>
      <c r="B2110">
        <v>32639848</v>
      </c>
      <c r="C2110" s="3">
        <v>1</v>
      </c>
      <c r="D2110" s="5" t="str">
        <f t="shared" si="71"/>
        <v>01</v>
      </c>
      <c r="E2110" t="str">
        <f>VLOOKUP(B2110,'HOGARES-BASELINE'!$B:$I,8,FALSE)</f>
        <v>01030627</v>
      </c>
      <c r="F2110" s="6" t="str">
        <f t="shared" si="70"/>
        <v>0103062701</v>
      </c>
    </row>
    <row r="2111" spans="1:6" x14ac:dyDescent="0.3">
      <c r="A2111" s="6" t="s">
        <v>2111</v>
      </c>
      <c r="B2111">
        <v>32642312</v>
      </c>
      <c r="C2111" s="3">
        <v>2</v>
      </c>
      <c r="D2111" s="5" t="str">
        <f t="shared" si="71"/>
        <v>02</v>
      </c>
      <c r="E2111" t="str">
        <f>VLOOKUP(B2111,'HOGARES-BASELINE'!$B:$I,8,FALSE)</f>
        <v>00030628</v>
      </c>
      <c r="F2111" s="6" t="str">
        <f t="shared" si="70"/>
        <v>0003062802</v>
      </c>
    </row>
    <row r="2112" spans="1:6" x14ac:dyDescent="0.3">
      <c r="A2112" s="6" t="s">
        <v>2112</v>
      </c>
      <c r="B2112">
        <v>32642312</v>
      </c>
      <c r="C2112" s="3">
        <v>1</v>
      </c>
      <c r="D2112" s="5" t="str">
        <f t="shared" si="71"/>
        <v>01</v>
      </c>
      <c r="E2112" t="str">
        <f>VLOOKUP(B2112,'HOGARES-BASELINE'!$B:$I,8,FALSE)</f>
        <v>00030628</v>
      </c>
      <c r="F2112" s="6" t="str">
        <f t="shared" si="70"/>
        <v>0003062801</v>
      </c>
    </row>
    <row r="2113" spans="1:6" x14ac:dyDescent="0.3">
      <c r="A2113" s="6" t="s">
        <v>2113</v>
      </c>
      <c r="B2113">
        <v>32642312</v>
      </c>
      <c r="C2113" s="3">
        <v>3</v>
      </c>
      <c r="D2113" s="5" t="str">
        <f t="shared" si="71"/>
        <v>03</v>
      </c>
      <c r="E2113" t="str">
        <f>VLOOKUP(B2113,'HOGARES-BASELINE'!$B:$I,8,FALSE)</f>
        <v>00030628</v>
      </c>
      <c r="F2113" s="6" t="str">
        <f t="shared" si="70"/>
        <v>0003062803</v>
      </c>
    </row>
    <row r="2114" spans="1:6" x14ac:dyDescent="0.3">
      <c r="A2114" s="6" t="s">
        <v>2114</v>
      </c>
      <c r="B2114">
        <v>32648994</v>
      </c>
      <c r="C2114" s="3">
        <v>2</v>
      </c>
      <c r="D2114" s="5" t="str">
        <f t="shared" si="71"/>
        <v>02</v>
      </c>
      <c r="E2114" t="str">
        <f>VLOOKUP(B2114,'HOGARES-BASELINE'!$B:$I,8,FALSE)</f>
        <v>01030629</v>
      </c>
      <c r="F2114" s="6" t="str">
        <f t="shared" si="70"/>
        <v>0103062902</v>
      </c>
    </row>
    <row r="2115" spans="1:6" x14ac:dyDescent="0.3">
      <c r="A2115" s="6" t="s">
        <v>2115</v>
      </c>
      <c r="B2115">
        <v>32648994</v>
      </c>
      <c r="C2115" s="3">
        <v>1</v>
      </c>
      <c r="D2115" s="5" t="str">
        <f t="shared" si="71"/>
        <v>01</v>
      </c>
      <c r="E2115" t="str">
        <f>VLOOKUP(B2115,'HOGARES-BASELINE'!$B:$I,8,FALSE)</f>
        <v>01030629</v>
      </c>
      <c r="F2115" s="6" t="str">
        <f t="shared" ref="F2115:F2178" si="72">_xlfn.CONCAT(E2115,D2115)</f>
        <v>0103062901</v>
      </c>
    </row>
    <row r="2116" spans="1:6" x14ac:dyDescent="0.3">
      <c r="A2116" s="6" t="s">
        <v>2116</v>
      </c>
      <c r="B2116">
        <v>32648994</v>
      </c>
      <c r="C2116" s="3">
        <v>4</v>
      </c>
      <c r="D2116" s="5" t="str">
        <f t="shared" si="71"/>
        <v>04</v>
      </c>
      <c r="E2116" t="str">
        <f>VLOOKUP(B2116,'HOGARES-BASELINE'!$B:$I,8,FALSE)</f>
        <v>01030629</v>
      </c>
      <c r="F2116" s="6" t="str">
        <f t="shared" si="72"/>
        <v>0103062904</v>
      </c>
    </row>
    <row r="2117" spans="1:6" x14ac:dyDescent="0.3">
      <c r="A2117" s="6" t="s">
        <v>2117</v>
      </c>
      <c r="B2117">
        <v>32648994</v>
      </c>
      <c r="C2117" s="3">
        <v>3</v>
      </c>
      <c r="D2117" s="5" t="str">
        <f t="shared" si="71"/>
        <v>03</v>
      </c>
      <c r="E2117" t="str">
        <f>VLOOKUP(B2117,'HOGARES-BASELINE'!$B:$I,8,FALSE)</f>
        <v>01030629</v>
      </c>
      <c r="F2117" s="6" t="str">
        <f t="shared" si="72"/>
        <v>0103062903</v>
      </c>
    </row>
    <row r="2118" spans="1:6" x14ac:dyDescent="0.3">
      <c r="A2118" s="6" t="s">
        <v>2118</v>
      </c>
      <c r="B2118">
        <v>32649402</v>
      </c>
      <c r="C2118" s="3">
        <v>2</v>
      </c>
      <c r="D2118" s="5" t="str">
        <f t="shared" si="71"/>
        <v>02</v>
      </c>
      <c r="E2118" t="str">
        <f>VLOOKUP(B2118,'HOGARES-BASELINE'!$B:$I,8,FALSE)</f>
        <v>00030630</v>
      </c>
      <c r="F2118" s="6" t="str">
        <f t="shared" si="72"/>
        <v>0003063002</v>
      </c>
    </row>
    <row r="2119" spans="1:6" x14ac:dyDescent="0.3">
      <c r="A2119" s="6" t="s">
        <v>2119</v>
      </c>
      <c r="B2119">
        <v>32649402</v>
      </c>
      <c r="C2119" s="3">
        <v>1</v>
      </c>
      <c r="D2119" s="5" t="str">
        <f t="shared" si="71"/>
        <v>01</v>
      </c>
      <c r="E2119" t="str">
        <f>VLOOKUP(B2119,'HOGARES-BASELINE'!$B:$I,8,FALSE)</f>
        <v>00030630</v>
      </c>
      <c r="F2119" s="6" t="str">
        <f t="shared" si="72"/>
        <v>0003063001</v>
      </c>
    </row>
    <row r="2120" spans="1:6" x14ac:dyDescent="0.3">
      <c r="A2120" s="6" t="s">
        <v>2120</v>
      </c>
      <c r="B2120">
        <v>32649402</v>
      </c>
      <c r="C2120" s="3">
        <v>3</v>
      </c>
      <c r="D2120" s="5" t="str">
        <f t="shared" si="71"/>
        <v>03</v>
      </c>
      <c r="E2120" t="str">
        <f>VLOOKUP(B2120,'HOGARES-BASELINE'!$B:$I,8,FALSE)</f>
        <v>00030630</v>
      </c>
      <c r="F2120" s="6" t="str">
        <f t="shared" si="72"/>
        <v>0003063003</v>
      </c>
    </row>
    <row r="2121" spans="1:6" x14ac:dyDescent="0.3">
      <c r="A2121" s="6" t="s">
        <v>2121</v>
      </c>
      <c r="B2121">
        <v>32649402</v>
      </c>
      <c r="C2121" s="3">
        <v>5</v>
      </c>
      <c r="D2121" s="5" t="str">
        <f t="shared" si="71"/>
        <v>05</v>
      </c>
      <c r="E2121" t="str">
        <f>VLOOKUP(B2121,'HOGARES-BASELINE'!$B:$I,8,FALSE)</f>
        <v>00030630</v>
      </c>
      <c r="F2121" s="6" t="str">
        <f t="shared" si="72"/>
        <v>0003063005</v>
      </c>
    </row>
    <row r="2122" spans="1:6" x14ac:dyDescent="0.3">
      <c r="A2122" s="6" t="s">
        <v>2122</v>
      </c>
      <c r="B2122">
        <v>32649402</v>
      </c>
      <c r="C2122" s="3">
        <v>4</v>
      </c>
      <c r="D2122" s="5" t="str">
        <f t="shared" si="71"/>
        <v>04</v>
      </c>
      <c r="E2122" t="str">
        <f>VLOOKUP(B2122,'HOGARES-BASELINE'!$B:$I,8,FALSE)</f>
        <v>00030630</v>
      </c>
      <c r="F2122" s="6" t="str">
        <f t="shared" si="72"/>
        <v>0003063004</v>
      </c>
    </row>
    <row r="2123" spans="1:6" x14ac:dyDescent="0.3">
      <c r="A2123" s="6" t="s">
        <v>2123</v>
      </c>
      <c r="B2123">
        <v>32650703</v>
      </c>
      <c r="C2123" s="3">
        <v>3</v>
      </c>
      <c r="D2123" s="5" t="str">
        <f t="shared" si="71"/>
        <v>03</v>
      </c>
      <c r="E2123" t="str">
        <f>VLOOKUP(B2123,'HOGARES-BASELINE'!$B:$I,8,FALSE)</f>
        <v>01030631</v>
      </c>
      <c r="F2123" s="6" t="str">
        <f t="shared" si="72"/>
        <v>0103063103</v>
      </c>
    </row>
    <row r="2124" spans="1:6" x14ac:dyDescent="0.3">
      <c r="A2124" s="6" t="s">
        <v>2124</v>
      </c>
      <c r="B2124">
        <v>32650703</v>
      </c>
      <c r="C2124" s="3">
        <v>1</v>
      </c>
      <c r="D2124" s="5" t="str">
        <f t="shared" si="71"/>
        <v>01</v>
      </c>
      <c r="E2124" t="str">
        <f>VLOOKUP(B2124,'HOGARES-BASELINE'!$B:$I,8,FALSE)</f>
        <v>01030631</v>
      </c>
      <c r="F2124" s="6" t="str">
        <f t="shared" si="72"/>
        <v>0103063101</v>
      </c>
    </row>
    <row r="2125" spans="1:6" x14ac:dyDescent="0.3">
      <c r="A2125" s="6" t="s">
        <v>2125</v>
      </c>
      <c r="B2125">
        <v>32650703</v>
      </c>
      <c r="C2125" s="3">
        <v>2</v>
      </c>
      <c r="D2125" s="5" t="str">
        <f t="shared" si="71"/>
        <v>02</v>
      </c>
      <c r="E2125" t="str">
        <f>VLOOKUP(B2125,'HOGARES-BASELINE'!$B:$I,8,FALSE)</f>
        <v>01030631</v>
      </c>
      <c r="F2125" s="6" t="str">
        <f t="shared" si="72"/>
        <v>0103063102</v>
      </c>
    </row>
    <row r="2126" spans="1:6" x14ac:dyDescent="0.3">
      <c r="A2126" s="6" t="s">
        <v>2126</v>
      </c>
      <c r="B2126">
        <v>32652678</v>
      </c>
      <c r="C2126" s="3">
        <v>2</v>
      </c>
      <c r="D2126" s="5" t="str">
        <f t="shared" si="71"/>
        <v>02</v>
      </c>
      <c r="E2126" t="str">
        <f>VLOOKUP(B2126,'HOGARES-BASELINE'!$B:$I,8,FALSE)</f>
        <v>00030632</v>
      </c>
      <c r="F2126" s="6" t="str">
        <f t="shared" si="72"/>
        <v>0003063202</v>
      </c>
    </row>
    <row r="2127" spans="1:6" x14ac:dyDescent="0.3">
      <c r="A2127" s="6" t="s">
        <v>2127</v>
      </c>
      <c r="B2127">
        <v>32652678</v>
      </c>
      <c r="C2127" s="3">
        <v>5</v>
      </c>
      <c r="D2127" s="5" t="str">
        <f t="shared" si="71"/>
        <v>05</v>
      </c>
      <c r="E2127" t="str">
        <f>VLOOKUP(B2127,'HOGARES-BASELINE'!$B:$I,8,FALSE)</f>
        <v>00030632</v>
      </c>
      <c r="F2127" s="6" t="str">
        <f t="shared" si="72"/>
        <v>0003063205</v>
      </c>
    </row>
    <row r="2128" spans="1:6" x14ac:dyDescent="0.3">
      <c r="A2128" s="6" t="s">
        <v>2128</v>
      </c>
      <c r="B2128">
        <v>32652678</v>
      </c>
      <c r="C2128" s="3">
        <v>7</v>
      </c>
      <c r="D2128" s="5" t="str">
        <f t="shared" si="71"/>
        <v>07</v>
      </c>
      <c r="E2128" t="str">
        <f>VLOOKUP(B2128,'HOGARES-BASELINE'!$B:$I,8,FALSE)</f>
        <v>00030632</v>
      </c>
      <c r="F2128" s="6" t="str">
        <f t="shared" si="72"/>
        <v>0003063207</v>
      </c>
    </row>
    <row r="2129" spans="1:6" x14ac:dyDescent="0.3">
      <c r="A2129" s="6" t="s">
        <v>2129</v>
      </c>
      <c r="B2129">
        <v>32652678</v>
      </c>
      <c r="C2129" s="3">
        <v>4</v>
      </c>
      <c r="D2129" s="5" t="str">
        <f t="shared" si="71"/>
        <v>04</v>
      </c>
      <c r="E2129" t="str">
        <f>VLOOKUP(B2129,'HOGARES-BASELINE'!$B:$I,8,FALSE)</f>
        <v>00030632</v>
      </c>
      <c r="F2129" s="6" t="str">
        <f t="shared" si="72"/>
        <v>0003063204</v>
      </c>
    </row>
    <row r="2130" spans="1:6" x14ac:dyDescent="0.3">
      <c r="A2130" s="6" t="s">
        <v>2130</v>
      </c>
      <c r="B2130">
        <v>32652678</v>
      </c>
      <c r="C2130" s="3">
        <v>6</v>
      </c>
      <c r="D2130" s="5" t="str">
        <f t="shared" si="71"/>
        <v>06</v>
      </c>
      <c r="E2130" t="str">
        <f>VLOOKUP(B2130,'HOGARES-BASELINE'!$B:$I,8,FALSE)</f>
        <v>00030632</v>
      </c>
      <c r="F2130" s="6" t="str">
        <f t="shared" si="72"/>
        <v>0003063206</v>
      </c>
    </row>
    <row r="2131" spans="1:6" x14ac:dyDescent="0.3">
      <c r="A2131" s="6" t="s">
        <v>2131</v>
      </c>
      <c r="B2131">
        <v>32652678</v>
      </c>
      <c r="C2131" s="3">
        <v>3</v>
      </c>
      <c r="D2131" s="5" t="str">
        <f t="shared" si="71"/>
        <v>03</v>
      </c>
      <c r="E2131" t="str">
        <f>VLOOKUP(B2131,'HOGARES-BASELINE'!$B:$I,8,FALSE)</f>
        <v>00030632</v>
      </c>
      <c r="F2131" s="6" t="str">
        <f t="shared" si="72"/>
        <v>0003063203</v>
      </c>
    </row>
    <row r="2132" spans="1:6" x14ac:dyDescent="0.3">
      <c r="A2132" s="6" t="s">
        <v>2132</v>
      </c>
      <c r="B2132">
        <v>32652678</v>
      </c>
      <c r="C2132" s="3">
        <v>1</v>
      </c>
      <c r="D2132" s="5" t="str">
        <f t="shared" si="71"/>
        <v>01</v>
      </c>
      <c r="E2132" t="str">
        <f>VLOOKUP(B2132,'HOGARES-BASELINE'!$B:$I,8,FALSE)</f>
        <v>00030632</v>
      </c>
      <c r="F2132" s="6" t="str">
        <f t="shared" si="72"/>
        <v>0003063201</v>
      </c>
    </row>
    <row r="2133" spans="1:6" x14ac:dyDescent="0.3">
      <c r="A2133" s="6" t="s">
        <v>2133</v>
      </c>
      <c r="B2133">
        <v>32657122</v>
      </c>
      <c r="C2133" s="3">
        <v>1</v>
      </c>
      <c r="D2133" s="5" t="str">
        <f t="shared" si="71"/>
        <v>01</v>
      </c>
      <c r="E2133" t="str">
        <f>VLOOKUP(B2133,'HOGARES-BASELINE'!$B:$I,8,FALSE)</f>
        <v>00030633</v>
      </c>
      <c r="F2133" s="6" t="str">
        <f t="shared" si="72"/>
        <v>0003063301</v>
      </c>
    </row>
    <row r="2134" spans="1:6" x14ac:dyDescent="0.3">
      <c r="A2134" s="6" t="s">
        <v>2134</v>
      </c>
      <c r="B2134">
        <v>32657122</v>
      </c>
      <c r="C2134" s="3">
        <v>4</v>
      </c>
      <c r="D2134" s="5" t="str">
        <f t="shared" si="71"/>
        <v>04</v>
      </c>
      <c r="E2134" t="str">
        <f>VLOOKUP(B2134,'HOGARES-BASELINE'!$B:$I,8,FALSE)</f>
        <v>00030633</v>
      </c>
      <c r="F2134" s="6" t="str">
        <f t="shared" si="72"/>
        <v>0003063304</v>
      </c>
    </row>
    <row r="2135" spans="1:6" x14ac:dyDescent="0.3">
      <c r="A2135" s="6" t="s">
        <v>2135</v>
      </c>
      <c r="B2135">
        <v>32657122</v>
      </c>
      <c r="C2135" s="3">
        <v>2</v>
      </c>
      <c r="D2135" s="5" t="str">
        <f t="shared" si="71"/>
        <v>02</v>
      </c>
      <c r="E2135" t="str">
        <f>VLOOKUP(B2135,'HOGARES-BASELINE'!$B:$I,8,FALSE)</f>
        <v>00030633</v>
      </c>
      <c r="F2135" s="6" t="str">
        <f t="shared" si="72"/>
        <v>0003063302</v>
      </c>
    </row>
    <row r="2136" spans="1:6" x14ac:dyDescent="0.3">
      <c r="A2136" s="6" t="s">
        <v>2136</v>
      </c>
      <c r="B2136">
        <v>32657122</v>
      </c>
      <c r="C2136" s="3">
        <v>5</v>
      </c>
      <c r="D2136" s="5" t="str">
        <f t="shared" si="71"/>
        <v>05</v>
      </c>
      <c r="E2136" t="str">
        <f>VLOOKUP(B2136,'HOGARES-BASELINE'!$B:$I,8,FALSE)</f>
        <v>00030633</v>
      </c>
      <c r="F2136" s="6" t="str">
        <f t="shared" si="72"/>
        <v>0003063305</v>
      </c>
    </row>
    <row r="2137" spans="1:6" x14ac:dyDescent="0.3">
      <c r="A2137" s="6" t="s">
        <v>2137</v>
      </c>
      <c r="B2137">
        <v>32657122</v>
      </c>
      <c r="C2137" s="3">
        <v>3</v>
      </c>
      <c r="D2137" s="5" t="str">
        <f t="shared" si="71"/>
        <v>03</v>
      </c>
      <c r="E2137" t="str">
        <f>VLOOKUP(B2137,'HOGARES-BASELINE'!$B:$I,8,FALSE)</f>
        <v>00030633</v>
      </c>
      <c r="F2137" s="6" t="str">
        <f t="shared" si="72"/>
        <v>0003063303</v>
      </c>
    </row>
    <row r="2138" spans="1:6" x14ac:dyDescent="0.3">
      <c r="A2138" s="6" t="s">
        <v>2138</v>
      </c>
      <c r="B2138">
        <v>32661084</v>
      </c>
      <c r="C2138" s="3">
        <v>3</v>
      </c>
      <c r="D2138" s="5" t="str">
        <f t="shared" si="71"/>
        <v>03</v>
      </c>
      <c r="E2138" t="str">
        <f>VLOOKUP(B2138,'HOGARES-BASELINE'!$B:$I,8,FALSE)</f>
        <v>00030634</v>
      </c>
      <c r="F2138" s="6" t="str">
        <f t="shared" si="72"/>
        <v>0003063403</v>
      </c>
    </row>
    <row r="2139" spans="1:6" x14ac:dyDescent="0.3">
      <c r="A2139" s="6" t="s">
        <v>2139</v>
      </c>
      <c r="B2139">
        <v>32661084</v>
      </c>
      <c r="C2139" s="3">
        <v>2</v>
      </c>
      <c r="D2139" s="5" t="str">
        <f t="shared" si="71"/>
        <v>02</v>
      </c>
      <c r="E2139" t="str">
        <f>VLOOKUP(B2139,'HOGARES-BASELINE'!$B:$I,8,FALSE)</f>
        <v>00030634</v>
      </c>
      <c r="F2139" s="6" t="str">
        <f t="shared" si="72"/>
        <v>0003063402</v>
      </c>
    </row>
    <row r="2140" spans="1:6" x14ac:dyDescent="0.3">
      <c r="A2140" s="6" t="s">
        <v>2140</v>
      </c>
      <c r="B2140">
        <v>32661084</v>
      </c>
      <c r="C2140" s="3">
        <v>1</v>
      </c>
      <c r="D2140" s="5" t="str">
        <f t="shared" si="71"/>
        <v>01</v>
      </c>
      <c r="E2140" t="str">
        <f>VLOOKUP(B2140,'HOGARES-BASELINE'!$B:$I,8,FALSE)</f>
        <v>00030634</v>
      </c>
      <c r="F2140" s="6" t="str">
        <f t="shared" si="72"/>
        <v>0003063401</v>
      </c>
    </row>
    <row r="2141" spans="1:6" x14ac:dyDescent="0.3">
      <c r="A2141" s="6" t="s">
        <v>2141</v>
      </c>
      <c r="B2141">
        <v>32661700</v>
      </c>
      <c r="C2141" s="3">
        <v>1</v>
      </c>
      <c r="D2141" s="5" t="str">
        <f t="shared" si="71"/>
        <v>01</v>
      </c>
      <c r="E2141" t="str">
        <f>VLOOKUP(B2141,'HOGARES-BASELINE'!$B:$I,8,FALSE)</f>
        <v>00030635</v>
      </c>
      <c r="F2141" s="6" t="str">
        <f t="shared" si="72"/>
        <v>0003063501</v>
      </c>
    </row>
    <row r="2142" spans="1:6" x14ac:dyDescent="0.3">
      <c r="A2142" s="6" t="s">
        <v>2142</v>
      </c>
      <c r="B2142">
        <v>32665786</v>
      </c>
      <c r="C2142" s="3">
        <v>1</v>
      </c>
      <c r="D2142" s="5" t="str">
        <f t="shared" si="71"/>
        <v>01</v>
      </c>
      <c r="E2142" t="str">
        <f>VLOOKUP(B2142,'HOGARES-BASELINE'!$B:$I,8,FALSE)</f>
        <v>01030636</v>
      </c>
      <c r="F2142" s="6" t="str">
        <f t="shared" si="72"/>
        <v>0103063601</v>
      </c>
    </row>
    <row r="2143" spans="1:6" x14ac:dyDescent="0.3">
      <c r="A2143" s="6" t="s">
        <v>2143</v>
      </c>
      <c r="B2143">
        <v>32665786</v>
      </c>
      <c r="C2143" s="3">
        <v>6</v>
      </c>
      <c r="D2143" s="5" t="str">
        <f t="shared" si="71"/>
        <v>06</v>
      </c>
      <c r="E2143" t="str">
        <f>VLOOKUP(B2143,'HOGARES-BASELINE'!$B:$I,8,FALSE)</f>
        <v>01030636</v>
      </c>
      <c r="F2143" s="6" t="str">
        <f t="shared" si="72"/>
        <v>0103063606</v>
      </c>
    </row>
    <row r="2144" spans="1:6" x14ac:dyDescent="0.3">
      <c r="A2144" s="6" t="s">
        <v>2144</v>
      </c>
      <c r="B2144">
        <v>32665786</v>
      </c>
      <c r="C2144" s="3">
        <v>5</v>
      </c>
      <c r="D2144" s="5" t="str">
        <f t="shared" si="71"/>
        <v>05</v>
      </c>
      <c r="E2144" t="str">
        <f>VLOOKUP(B2144,'HOGARES-BASELINE'!$B:$I,8,FALSE)</f>
        <v>01030636</v>
      </c>
      <c r="F2144" s="6" t="str">
        <f t="shared" si="72"/>
        <v>0103063605</v>
      </c>
    </row>
    <row r="2145" spans="1:6" x14ac:dyDescent="0.3">
      <c r="A2145" s="6" t="s">
        <v>2145</v>
      </c>
      <c r="B2145">
        <v>32665786</v>
      </c>
      <c r="C2145" s="3">
        <v>2</v>
      </c>
      <c r="D2145" s="5" t="str">
        <f t="shared" si="71"/>
        <v>02</v>
      </c>
      <c r="E2145" t="str">
        <f>VLOOKUP(B2145,'HOGARES-BASELINE'!$B:$I,8,FALSE)</f>
        <v>01030636</v>
      </c>
      <c r="F2145" s="6" t="str">
        <f t="shared" si="72"/>
        <v>0103063602</v>
      </c>
    </row>
    <row r="2146" spans="1:6" x14ac:dyDescent="0.3">
      <c r="A2146" s="6" t="s">
        <v>2146</v>
      </c>
      <c r="B2146">
        <v>32665786</v>
      </c>
      <c r="C2146" s="3">
        <v>4</v>
      </c>
      <c r="D2146" s="5" t="str">
        <f t="shared" si="71"/>
        <v>04</v>
      </c>
      <c r="E2146" t="str">
        <f>VLOOKUP(B2146,'HOGARES-BASELINE'!$B:$I,8,FALSE)</f>
        <v>01030636</v>
      </c>
      <c r="F2146" s="6" t="str">
        <f t="shared" si="72"/>
        <v>0103063604</v>
      </c>
    </row>
    <row r="2147" spans="1:6" x14ac:dyDescent="0.3">
      <c r="A2147" s="6" t="s">
        <v>2147</v>
      </c>
      <c r="B2147">
        <v>32665786</v>
      </c>
      <c r="C2147" s="3">
        <v>3</v>
      </c>
      <c r="D2147" s="5" t="str">
        <f t="shared" ref="D2147:D2160" si="73">_xlfn.CONCAT(0,C2147)</f>
        <v>03</v>
      </c>
      <c r="E2147" t="str">
        <f>VLOOKUP(B2147,'HOGARES-BASELINE'!$B:$I,8,FALSE)</f>
        <v>01030636</v>
      </c>
      <c r="F2147" s="6" t="str">
        <f t="shared" si="72"/>
        <v>0103063603</v>
      </c>
    </row>
    <row r="2148" spans="1:6" x14ac:dyDescent="0.3">
      <c r="A2148" s="6" t="s">
        <v>2148</v>
      </c>
      <c r="B2148">
        <v>32673448</v>
      </c>
      <c r="C2148" s="3">
        <v>3</v>
      </c>
      <c r="D2148" s="5" t="str">
        <f t="shared" si="73"/>
        <v>03</v>
      </c>
      <c r="E2148" t="str">
        <f>VLOOKUP(B2148,'HOGARES-BASELINE'!$B:$I,8,FALSE)</f>
        <v>01030637</v>
      </c>
      <c r="F2148" s="6" t="str">
        <f t="shared" si="72"/>
        <v>0103063703</v>
      </c>
    </row>
    <row r="2149" spans="1:6" x14ac:dyDescent="0.3">
      <c r="A2149" s="6" t="s">
        <v>2149</v>
      </c>
      <c r="B2149">
        <v>32673448</v>
      </c>
      <c r="C2149" s="3">
        <v>2</v>
      </c>
      <c r="D2149" s="5" t="str">
        <f t="shared" si="73"/>
        <v>02</v>
      </c>
      <c r="E2149" t="str">
        <f>VLOOKUP(B2149,'HOGARES-BASELINE'!$B:$I,8,FALSE)</f>
        <v>01030637</v>
      </c>
      <c r="F2149" s="6" t="str">
        <f t="shared" si="72"/>
        <v>0103063702</v>
      </c>
    </row>
    <row r="2150" spans="1:6" x14ac:dyDescent="0.3">
      <c r="A2150" s="6" t="s">
        <v>2150</v>
      </c>
      <c r="B2150">
        <v>32673448</v>
      </c>
      <c r="C2150" s="3">
        <v>1</v>
      </c>
      <c r="D2150" s="5" t="str">
        <f t="shared" si="73"/>
        <v>01</v>
      </c>
      <c r="E2150" t="str">
        <f>VLOOKUP(B2150,'HOGARES-BASELINE'!$B:$I,8,FALSE)</f>
        <v>01030637</v>
      </c>
      <c r="F2150" s="6" t="str">
        <f t="shared" si="72"/>
        <v>0103063701</v>
      </c>
    </row>
    <row r="2151" spans="1:6" x14ac:dyDescent="0.3">
      <c r="A2151" s="6" t="s">
        <v>2151</v>
      </c>
      <c r="B2151">
        <v>32674359</v>
      </c>
      <c r="C2151" s="3">
        <v>1</v>
      </c>
      <c r="D2151" s="5" t="str">
        <f t="shared" si="73"/>
        <v>01</v>
      </c>
      <c r="E2151" t="str">
        <f>VLOOKUP(B2151,'HOGARES-BASELINE'!$B:$I,8,FALSE)</f>
        <v>01030638</v>
      </c>
      <c r="F2151" s="6" t="str">
        <f t="shared" si="72"/>
        <v>0103063801</v>
      </c>
    </row>
    <row r="2152" spans="1:6" x14ac:dyDescent="0.3">
      <c r="A2152" s="6" t="s">
        <v>2152</v>
      </c>
      <c r="B2152">
        <v>32674864</v>
      </c>
      <c r="C2152" s="3">
        <v>1</v>
      </c>
      <c r="D2152" s="5" t="str">
        <f t="shared" si="73"/>
        <v>01</v>
      </c>
      <c r="E2152" t="str">
        <f>VLOOKUP(B2152,'HOGARES-BASELINE'!$B:$I,8,FALSE)</f>
        <v>01030639</v>
      </c>
      <c r="F2152" s="6" t="str">
        <f t="shared" si="72"/>
        <v>0103063901</v>
      </c>
    </row>
    <row r="2153" spans="1:6" x14ac:dyDescent="0.3">
      <c r="A2153" s="6" t="s">
        <v>2153</v>
      </c>
      <c r="B2153">
        <v>32674864</v>
      </c>
      <c r="C2153" s="3">
        <v>3</v>
      </c>
      <c r="D2153" s="5" t="str">
        <f t="shared" si="73"/>
        <v>03</v>
      </c>
      <c r="E2153" t="str">
        <f>VLOOKUP(B2153,'HOGARES-BASELINE'!$B:$I,8,FALSE)</f>
        <v>01030639</v>
      </c>
      <c r="F2153" s="6" t="str">
        <f t="shared" si="72"/>
        <v>0103063903</v>
      </c>
    </row>
    <row r="2154" spans="1:6" x14ac:dyDescent="0.3">
      <c r="A2154" s="6" t="s">
        <v>2154</v>
      </c>
      <c r="B2154">
        <v>32674864</v>
      </c>
      <c r="C2154" s="3">
        <v>2</v>
      </c>
      <c r="D2154" s="5" t="str">
        <f t="shared" si="73"/>
        <v>02</v>
      </c>
      <c r="E2154" t="str">
        <f>VLOOKUP(B2154,'HOGARES-BASELINE'!$B:$I,8,FALSE)</f>
        <v>01030639</v>
      </c>
      <c r="F2154" s="6" t="str">
        <f t="shared" si="72"/>
        <v>0103063902</v>
      </c>
    </row>
    <row r="2155" spans="1:6" x14ac:dyDescent="0.3">
      <c r="A2155" s="6" t="s">
        <v>2155</v>
      </c>
      <c r="B2155">
        <v>32676566</v>
      </c>
      <c r="C2155" s="3">
        <v>3</v>
      </c>
      <c r="D2155" s="5" t="str">
        <f t="shared" si="73"/>
        <v>03</v>
      </c>
      <c r="E2155" t="str">
        <f>VLOOKUP(B2155,'HOGARES-BASELINE'!$B:$I,8,FALSE)</f>
        <v>00030640</v>
      </c>
      <c r="F2155" s="6" t="str">
        <f t="shared" si="72"/>
        <v>0003064003</v>
      </c>
    </row>
    <row r="2156" spans="1:6" x14ac:dyDescent="0.3">
      <c r="A2156" s="6" t="s">
        <v>2156</v>
      </c>
      <c r="B2156">
        <v>32676566</v>
      </c>
      <c r="C2156" s="3">
        <v>1</v>
      </c>
      <c r="D2156" s="5" t="str">
        <f t="shared" si="73"/>
        <v>01</v>
      </c>
      <c r="E2156" t="str">
        <f>VLOOKUP(B2156,'HOGARES-BASELINE'!$B:$I,8,FALSE)</f>
        <v>00030640</v>
      </c>
      <c r="F2156" s="6" t="str">
        <f t="shared" si="72"/>
        <v>0003064001</v>
      </c>
    </row>
    <row r="2157" spans="1:6" x14ac:dyDescent="0.3">
      <c r="A2157" s="6" t="s">
        <v>2157</v>
      </c>
      <c r="B2157">
        <v>32676566</v>
      </c>
      <c r="C2157" s="3">
        <v>2</v>
      </c>
      <c r="D2157" s="5" t="str">
        <f t="shared" si="73"/>
        <v>02</v>
      </c>
      <c r="E2157" t="str">
        <f>VLOOKUP(B2157,'HOGARES-BASELINE'!$B:$I,8,FALSE)</f>
        <v>00030640</v>
      </c>
      <c r="F2157" s="6" t="str">
        <f t="shared" si="72"/>
        <v>0003064002</v>
      </c>
    </row>
    <row r="2158" spans="1:6" x14ac:dyDescent="0.3">
      <c r="A2158" s="6" t="s">
        <v>2158</v>
      </c>
      <c r="B2158">
        <v>32678914</v>
      </c>
      <c r="C2158" s="3">
        <v>5</v>
      </c>
      <c r="D2158" s="5" t="str">
        <f t="shared" si="73"/>
        <v>05</v>
      </c>
      <c r="E2158" t="str">
        <f>VLOOKUP(B2158,'HOGARES-BASELINE'!$B:$I,8,FALSE)</f>
        <v>00030641</v>
      </c>
      <c r="F2158" s="6" t="str">
        <f t="shared" si="72"/>
        <v>0003064105</v>
      </c>
    </row>
    <row r="2159" spans="1:6" x14ac:dyDescent="0.3">
      <c r="A2159" s="6" t="s">
        <v>2159</v>
      </c>
      <c r="B2159">
        <v>32678914</v>
      </c>
      <c r="C2159" s="3">
        <v>1</v>
      </c>
      <c r="D2159" s="5" t="str">
        <f t="shared" si="73"/>
        <v>01</v>
      </c>
      <c r="E2159" t="str">
        <f>VLOOKUP(B2159,'HOGARES-BASELINE'!$B:$I,8,FALSE)</f>
        <v>00030641</v>
      </c>
      <c r="F2159" s="6" t="str">
        <f t="shared" si="72"/>
        <v>0003064101</v>
      </c>
    </row>
    <row r="2160" spans="1:6" x14ac:dyDescent="0.3">
      <c r="A2160" s="6" t="s">
        <v>2160</v>
      </c>
      <c r="B2160">
        <v>32678914</v>
      </c>
      <c r="C2160" s="3">
        <v>9</v>
      </c>
      <c r="D2160" s="5" t="str">
        <f t="shared" si="73"/>
        <v>09</v>
      </c>
      <c r="E2160" t="str">
        <f>VLOOKUP(B2160,'HOGARES-BASELINE'!$B:$I,8,FALSE)</f>
        <v>00030641</v>
      </c>
      <c r="F2160" s="6" t="str">
        <f t="shared" si="72"/>
        <v>0003064109</v>
      </c>
    </row>
    <row r="2161" spans="1:6" x14ac:dyDescent="0.3">
      <c r="A2161" s="6" t="s">
        <v>2161</v>
      </c>
      <c r="B2161">
        <v>32678914</v>
      </c>
      <c r="C2161" s="3">
        <v>10</v>
      </c>
      <c r="D2161" s="2">
        <f>C2161</f>
        <v>10</v>
      </c>
      <c r="E2161" t="str">
        <f>VLOOKUP(B2161,'HOGARES-BASELINE'!$B:$I,8,FALSE)</f>
        <v>00030641</v>
      </c>
      <c r="F2161" s="6" t="str">
        <f t="shared" si="72"/>
        <v>0003064110</v>
      </c>
    </row>
    <row r="2162" spans="1:6" x14ac:dyDescent="0.3">
      <c r="A2162" s="6" t="s">
        <v>2162</v>
      </c>
      <c r="B2162">
        <v>32678914</v>
      </c>
      <c r="C2162" s="3">
        <v>6</v>
      </c>
      <c r="D2162" s="5" t="str">
        <f t="shared" ref="D2162:D2225" si="74">_xlfn.CONCAT(0,C2162)</f>
        <v>06</v>
      </c>
      <c r="E2162" t="str">
        <f>VLOOKUP(B2162,'HOGARES-BASELINE'!$B:$I,8,FALSE)</f>
        <v>00030641</v>
      </c>
      <c r="F2162" s="6" t="str">
        <f t="shared" si="72"/>
        <v>0003064106</v>
      </c>
    </row>
    <row r="2163" spans="1:6" x14ac:dyDescent="0.3">
      <c r="A2163" s="6" t="s">
        <v>2163</v>
      </c>
      <c r="B2163">
        <v>32678914</v>
      </c>
      <c r="C2163" s="3">
        <v>2</v>
      </c>
      <c r="D2163" s="5" t="str">
        <f t="shared" si="74"/>
        <v>02</v>
      </c>
      <c r="E2163" t="str">
        <f>VLOOKUP(B2163,'HOGARES-BASELINE'!$B:$I,8,FALSE)</f>
        <v>00030641</v>
      </c>
      <c r="F2163" s="6" t="str">
        <f t="shared" si="72"/>
        <v>0003064102</v>
      </c>
    </row>
    <row r="2164" spans="1:6" x14ac:dyDescent="0.3">
      <c r="A2164" s="6" t="s">
        <v>2164</v>
      </c>
      <c r="B2164">
        <v>32678914</v>
      </c>
      <c r="C2164" s="3">
        <v>3</v>
      </c>
      <c r="D2164" s="5" t="str">
        <f t="shared" si="74"/>
        <v>03</v>
      </c>
      <c r="E2164" t="str">
        <f>VLOOKUP(B2164,'HOGARES-BASELINE'!$B:$I,8,FALSE)</f>
        <v>00030641</v>
      </c>
      <c r="F2164" s="6" t="str">
        <f t="shared" si="72"/>
        <v>0003064103</v>
      </c>
    </row>
    <row r="2165" spans="1:6" x14ac:dyDescent="0.3">
      <c r="A2165" s="6" t="s">
        <v>2165</v>
      </c>
      <c r="B2165">
        <v>32678914</v>
      </c>
      <c r="C2165" s="3">
        <v>7</v>
      </c>
      <c r="D2165" s="5" t="str">
        <f t="shared" si="74"/>
        <v>07</v>
      </c>
      <c r="E2165" t="str">
        <f>VLOOKUP(B2165,'HOGARES-BASELINE'!$B:$I,8,FALSE)</f>
        <v>00030641</v>
      </c>
      <c r="F2165" s="6" t="str">
        <f t="shared" si="72"/>
        <v>0003064107</v>
      </c>
    </row>
    <row r="2166" spans="1:6" x14ac:dyDescent="0.3">
      <c r="A2166" s="6" t="s">
        <v>2166</v>
      </c>
      <c r="B2166">
        <v>32678914</v>
      </c>
      <c r="C2166" s="3">
        <v>4</v>
      </c>
      <c r="D2166" s="5" t="str">
        <f t="shared" si="74"/>
        <v>04</v>
      </c>
      <c r="E2166" t="str">
        <f>VLOOKUP(B2166,'HOGARES-BASELINE'!$B:$I,8,FALSE)</f>
        <v>00030641</v>
      </c>
      <c r="F2166" s="6" t="str">
        <f t="shared" si="72"/>
        <v>0003064104</v>
      </c>
    </row>
    <row r="2167" spans="1:6" x14ac:dyDescent="0.3">
      <c r="A2167" s="6" t="s">
        <v>2167</v>
      </c>
      <c r="B2167">
        <v>32678914</v>
      </c>
      <c r="C2167" s="3">
        <v>8</v>
      </c>
      <c r="D2167" s="5" t="str">
        <f t="shared" si="74"/>
        <v>08</v>
      </c>
      <c r="E2167" t="str">
        <f>VLOOKUP(B2167,'HOGARES-BASELINE'!$B:$I,8,FALSE)</f>
        <v>00030641</v>
      </c>
      <c r="F2167" s="6" t="str">
        <f t="shared" si="72"/>
        <v>0003064108</v>
      </c>
    </row>
    <row r="2168" spans="1:6" x14ac:dyDescent="0.3">
      <c r="A2168" s="6" t="s">
        <v>2168</v>
      </c>
      <c r="B2168">
        <v>32681585</v>
      </c>
      <c r="C2168" s="3">
        <v>1</v>
      </c>
      <c r="D2168" s="5" t="str">
        <f t="shared" si="74"/>
        <v>01</v>
      </c>
      <c r="E2168" t="str">
        <f>VLOOKUP(B2168,'HOGARES-BASELINE'!$B:$I,8,FALSE)</f>
        <v>00030642</v>
      </c>
      <c r="F2168" s="6" t="str">
        <f t="shared" si="72"/>
        <v>0003064201</v>
      </c>
    </row>
    <row r="2169" spans="1:6" x14ac:dyDescent="0.3">
      <c r="A2169" s="6" t="s">
        <v>2169</v>
      </c>
      <c r="B2169">
        <v>32681585</v>
      </c>
      <c r="C2169" s="3">
        <v>3</v>
      </c>
      <c r="D2169" s="5" t="str">
        <f t="shared" si="74"/>
        <v>03</v>
      </c>
      <c r="E2169" t="str">
        <f>VLOOKUP(B2169,'HOGARES-BASELINE'!$B:$I,8,FALSE)</f>
        <v>00030642</v>
      </c>
      <c r="F2169" s="6" t="str">
        <f t="shared" si="72"/>
        <v>0003064203</v>
      </c>
    </row>
    <row r="2170" spans="1:6" x14ac:dyDescent="0.3">
      <c r="A2170" s="6" t="s">
        <v>2170</v>
      </c>
      <c r="B2170">
        <v>32681585</v>
      </c>
      <c r="C2170" s="3">
        <v>2</v>
      </c>
      <c r="D2170" s="5" t="str">
        <f t="shared" si="74"/>
        <v>02</v>
      </c>
      <c r="E2170" t="str">
        <f>VLOOKUP(B2170,'HOGARES-BASELINE'!$B:$I,8,FALSE)</f>
        <v>00030642</v>
      </c>
      <c r="F2170" s="6" t="str">
        <f t="shared" si="72"/>
        <v>0003064202</v>
      </c>
    </row>
    <row r="2171" spans="1:6" x14ac:dyDescent="0.3">
      <c r="A2171" s="6" t="s">
        <v>2171</v>
      </c>
      <c r="B2171">
        <v>32682939</v>
      </c>
      <c r="C2171" s="3">
        <v>4</v>
      </c>
      <c r="D2171" s="5" t="str">
        <f t="shared" si="74"/>
        <v>04</v>
      </c>
      <c r="E2171" t="str">
        <f>VLOOKUP(B2171,'HOGARES-BASELINE'!$B:$I,8,FALSE)</f>
        <v>01030643</v>
      </c>
      <c r="F2171" s="6" t="str">
        <f t="shared" si="72"/>
        <v>0103064304</v>
      </c>
    </row>
    <row r="2172" spans="1:6" x14ac:dyDescent="0.3">
      <c r="A2172" s="6" t="s">
        <v>2172</v>
      </c>
      <c r="B2172">
        <v>32682939</v>
      </c>
      <c r="C2172" s="3">
        <v>3</v>
      </c>
      <c r="D2172" s="5" t="str">
        <f t="shared" si="74"/>
        <v>03</v>
      </c>
      <c r="E2172" t="str">
        <f>VLOOKUP(B2172,'HOGARES-BASELINE'!$B:$I,8,FALSE)</f>
        <v>01030643</v>
      </c>
      <c r="F2172" s="6" t="str">
        <f t="shared" si="72"/>
        <v>0103064303</v>
      </c>
    </row>
    <row r="2173" spans="1:6" x14ac:dyDescent="0.3">
      <c r="A2173" s="6" t="s">
        <v>2173</v>
      </c>
      <c r="B2173">
        <v>32682939</v>
      </c>
      <c r="C2173" s="3">
        <v>5</v>
      </c>
      <c r="D2173" s="5" t="str">
        <f t="shared" si="74"/>
        <v>05</v>
      </c>
      <c r="E2173" t="str">
        <f>VLOOKUP(B2173,'HOGARES-BASELINE'!$B:$I,8,FALSE)</f>
        <v>01030643</v>
      </c>
      <c r="F2173" s="6" t="str">
        <f t="shared" si="72"/>
        <v>0103064305</v>
      </c>
    </row>
    <row r="2174" spans="1:6" x14ac:dyDescent="0.3">
      <c r="A2174" s="6" t="s">
        <v>2174</v>
      </c>
      <c r="B2174">
        <v>32682939</v>
      </c>
      <c r="C2174" s="3">
        <v>1</v>
      </c>
      <c r="D2174" s="5" t="str">
        <f t="shared" si="74"/>
        <v>01</v>
      </c>
      <c r="E2174" t="str">
        <f>VLOOKUP(B2174,'HOGARES-BASELINE'!$B:$I,8,FALSE)</f>
        <v>01030643</v>
      </c>
      <c r="F2174" s="6" t="str">
        <f t="shared" si="72"/>
        <v>0103064301</v>
      </c>
    </row>
    <row r="2175" spans="1:6" x14ac:dyDescent="0.3">
      <c r="A2175" s="6" t="s">
        <v>2175</v>
      </c>
      <c r="B2175">
        <v>32682939</v>
      </c>
      <c r="C2175" s="3">
        <v>6</v>
      </c>
      <c r="D2175" s="5" t="str">
        <f t="shared" si="74"/>
        <v>06</v>
      </c>
      <c r="E2175" t="str">
        <f>VLOOKUP(B2175,'HOGARES-BASELINE'!$B:$I,8,FALSE)</f>
        <v>01030643</v>
      </c>
      <c r="F2175" s="6" t="str">
        <f t="shared" si="72"/>
        <v>0103064306</v>
      </c>
    </row>
    <row r="2176" spans="1:6" x14ac:dyDescent="0.3">
      <c r="A2176" s="6" t="s">
        <v>2176</v>
      </c>
      <c r="B2176">
        <v>32682939</v>
      </c>
      <c r="C2176" s="3">
        <v>2</v>
      </c>
      <c r="D2176" s="5" t="str">
        <f t="shared" si="74"/>
        <v>02</v>
      </c>
      <c r="E2176" t="str">
        <f>VLOOKUP(B2176,'HOGARES-BASELINE'!$B:$I,8,FALSE)</f>
        <v>01030643</v>
      </c>
      <c r="F2176" s="6" t="str">
        <f t="shared" si="72"/>
        <v>0103064302</v>
      </c>
    </row>
    <row r="2177" spans="1:6" x14ac:dyDescent="0.3">
      <c r="A2177" s="6" t="s">
        <v>2177</v>
      </c>
      <c r="B2177">
        <v>32682939</v>
      </c>
      <c r="C2177" s="3">
        <v>7</v>
      </c>
      <c r="D2177" s="5" t="str">
        <f t="shared" si="74"/>
        <v>07</v>
      </c>
      <c r="E2177" t="str">
        <f>VLOOKUP(B2177,'HOGARES-BASELINE'!$B:$I,8,FALSE)</f>
        <v>01030643</v>
      </c>
      <c r="F2177" s="6" t="str">
        <f t="shared" si="72"/>
        <v>0103064307</v>
      </c>
    </row>
    <row r="2178" spans="1:6" x14ac:dyDescent="0.3">
      <c r="A2178" s="6" t="s">
        <v>2178</v>
      </c>
      <c r="B2178">
        <v>32684085</v>
      </c>
      <c r="C2178" s="3">
        <v>1</v>
      </c>
      <c r="D2178" s="5" t="str">
        <f t="shared" si="74"/>
        <v>01</v>
      </c>
      <c r="E2178" t="str">
        <f>VLOOKUP(B2178,'HOGARES-BASELINE'!$B:$I,8,FALSE)</f>
        <v>00030644</v>
      </c>
      <c r="F2178" s="6" t="str">
        <f t="shared" si="72"/>
        <v>0003064401</v>
      </c>
    </row>
    <row r="2179" spans="1:6" x14ac:dyDescent="0.3">
      <c r="A2179" s="6" t="s">
        <v>2179</v>
      </c>
      <c r="B2179">
        <v>32684827</v>
      </c>
      <c r="C2179" s="3">
        <v>1</v>
      </c>
      <c r="D2179" s="5" t="str">
        <f t="shared" si="74"/>
        <v>01</v>
      </c>
      <c r="E2179" t="str">
        <f>VLOOKUP(B2179,'HOGARES-BASELINE'!$B:$I,8,FALSE)</f>
        <v>00030645</v>
      </c>
      <c r="F2179" s="6" t="str">
        <f t="shared" ref="F2179:F2242" si="75">_xlfn.CONCAT(E2179,D2179)</f>
        <v>0003064501</v>
      </c>
    </row>
    <row r="2180" spans="1:6" x14ac:dyDescent="0.3">
      <c r="A2180" s="6" t="s">
        <v>2180</v>
      </c>
      <c r="B2180">
        <v>32684827</v>
      </c>
      <c r="C2180" s="3">
        <v>2</v>
      </c>
      <c r="D2180" s="5" t="str">
        <f t="shared" si="74"/>
        <v>02</v>
      </c>
      <c r="E2180" t="str">
        <f>VLOOKUP(B2180,'HOGARES-BASELINE'!$B:$I,8,FALSE)</f>
        <v>00030645</v>
      </c>
      <c r="F2180" s="6" t="str">
        <f t="shared" si="75"/>
        <v>0003064502</v>
      </c>
    </row>
    <row r="2181" spans="1:6" x14ac:dyDescent="0.3">
      <c r="A2181" s="6" t="s">
        <v>2181</v>
      </c>
      <c r="B2181">
        <v>32688218</v>
      </c>
      <c r="C2181" s="3">
        <v>2</v>
      </c>
      <c r="D2181" s="5" t="str">
        <f t="shared" si="74"/>
        <v>02</v>
      </c>
      <c r="E2181" t="str">
        <f>VLOOKUP(B2181,'HOGARES-BASELINE'!$B:$I,8,FALSE)</f>
        <v>01030646</v>
      </c>
      <c r="F2181" s="6" t="str">
        <f t="shared" si="75"/>
        <v>0103064602</v>
      </c>
    </row>
    <row r="2182" spans="1:6" x14ac:dyDescent="0.3">
      <c r="A2182" s="6" t="s">
        <v>2182</v>
      </c>
      <c r="B2182">
        <v>32688218</v>
      </c>
      <c r="C2182" s="3">
        <v>1</v>
      </c>
      <c r="D2182" s="5" t="str">
        <f t="shared" si="74"/>
        <v>01</v>
      </c>
      <c r="E2182" t="str">
        <f>VLOOKUP(B2182,'HOGARES-BASELINE'!$B:$I,8,FALSE)</f>
        <v>01030646</v>
      </c>
      <c r="F2182" s="6" t="str">
        <f t="shared" si="75"/>
        <v>0103064601</v>
      </c>
    </row>
    <row r="2183" spans="1:6" x14ac:dyDescent="0.3">
      <c r="A2183" s="6" t="s">
        <v>2183</v>
      </c>
      <c r="B2183">
        <v>32688521</v>
      </c>
      <c r="C2183" s="3">
        <v>2</v>
      </c>
      <c r="D2183" s="5" t="str">
        <f t="shared" si="74"/>
        <v>02</v>
      </c>
      <c r="E2183" t="str">
        <f>VLOOKUP(B2183,'HOGARES-BASELINE'!$B:$I,8,FALSE)</f>
        <v>01030647</v>
      </c>
      <c r="F2183" s="6" t="str">
        <f t="shared" si="75"/>
        <v>0103064702</v>
      </c>
    </row>
    <row r="2184" spans="1:6" x14ac:dyDescent="0.3">
      <c r="A2184" s="6" t="s">
        <v>2184</v>
      </c>
      <c r="B2184">
        <v>32688521</v>
      </c>
      <c r="C2184" s="3">
        <v>3</v>
      </c>
      <c r="D2184" s="5" t="str">
        <f t="shared" si="74"/>
        <v>03</v>
      </c>
      <c r="E2184" t="str">
        <f>VLOOKUP(B2184,'HOGARES-BASELINE'!$B:$I,8,FALSE)</f>
        <v>01030647</v>
      </c>
      <c r="F2184" s="6" t="str">
        <f t="shared" si="75"/>
        <v>0103064703</v>
      </c>
    </row>
    <row r="2185" spans="1:6" x14ac:dyDescent="0.3">
      <c r="A2185" s="6" t="s">
        <v>2185</v>
      </c>
      <c r="B2185">
        <v>32688521</v>
      </c>
      <c r="C2185" s="3">
        <v>4</v>
      </c>
      <c r="D2185" s="5" t="str">
        <f t="shared" si="74"/>
        <v>04</v>
      </c>
      <c r="E2185" t="str">
        <f>VLOOKUP(B2185,'HOGARES-BASELINE'!$B:$I,8,FALSE)</f>
        <v>01030647</v>
      </c>
      <c r="F2185" s="6" t="str">
        <f t="shared" si="75"/>
        <v>0103064704</v>
      </c>
    </row>
    <row r="2186" spans="1:6" x14ac:dyDescent="0.3">
      <c r="A2186" s="6" t="s">
        <v>2186</v>
      </c>
      <c r="B2186">
        <v>32688521</v>
      </c>
      <c r="C2186" s="3">
        <v>7</v>
      </c>
      <c r="D2186" s="5" t="str">
        <f t="shared" si="74"/>
        <v>07</v>
      </c>
      <c r="E2186" t="str">
        <f>VLOOKUP(B2186,'HOGARES-BASELINE'!$B:$I,8,FALSE)</f>
        <v>01030647</v>
      </c>
      <c r="F2186" s="6" t="str">
        <f t="shared" si="75"/>
        <v>0103064707</v>
      </c>
    </row>
    <row r="2187" spans="1:6" x14ac:dyDescent="0.3">
      <c r="A2187" s="6" t="s">
        <v>2187</v>
      </c>
      <c r="B2187">
        <v>32688521</v>
      </c>
      <c r="C2187" s="3">
        <v>6</v>
      </c>
      <c r="D2187" s="5" t="str">
        <f t="shared" si="74"/>
        <v>06</v>
      </c>
      <c r="E2187" t="str">
        <f>VLOOKUP(B2187,'HOGARES-BASELINE'!$B:$I,8,FALSE)</f>
        <v>01030647</v>
      </c>
      <c r="F2187" s="6" t="str">
        <f t="shared" si="75"/>
        <v>0103064706</v>
      </c>
    </row>
    <row r="2188" spans="1:6" x14ac:dyDescent="0.3">
      <c r="A2188" s="6" t="s">
        <v>2188</v>
      </c>
      <c r="B2188">
        <v>32688521</v>
      </c>
      <c r="C2188" s="3">
        <v>5</v>
      </c>
      <c r="D2188" s="5" t="str">
        <f t="shared" si="74"/>
        <v>05</v>
      </c>
      <c r="E2188" t="str">
        <f>VLOOKUP(B2188,'HOGARES-BASELINE'!$B:$I,8,FALSE)</f>
        <v>01030647</v>
      </c>
      <c r="F2188" s="6" t="str">
        <f t="shared" si="75"/>
        <v>0103064705</v>
      </c>
    </row>
    <row r="2189" spans="1:6" x14ac:dyDescent="0.3">
      <c r="A2189" s="6" t="s">
        <v>2189</v>
      </c>
      <c r="B2189">
        <v>32688521</v>
      </c>
      <c r="C2189" s="3">
        <v>1</v>
      </c>
      <c r="D2189" s="5" t="str">
        <f t="shared" si="74"/>
        <v>01</v>
      </c>
      <c r="E2189" t="str">
        <f>VLOOKUP(B2189,'HOGARES-BASELINE'!$B:$I,8,FALSE)</f>
        <v>01030647</v>
      </c>
      <c r="F2189" s="6" t="str">
        <f t="shared" si="75"/>
        <v>0103064701</v>
      </c>
    </row>
    <row r="2190" spans="1:6" x14ac:dyDescent="0.3">
      <c r="A2190" s="6" t="s">
        <v>2190</v>
      </c>
      <c r="B2190">
        <v>32689210</v>
      </c>
      <c r="C2190" s="3">
        <v>1</v>
      </c>
      <c r="D2190" s="5" t="str">
        <f t="shared" si="74"/>
        <v>01</v>
      </c>
      <c r="E2190" t="str">
        <f>VLOOKUP(B2190,'HOGARES-BASELINE'!$B:$I,8,FALSE)</f>
        <v>00030648</v>
      </c>
      <c r="F2190" s="6" t="str">
        <f t="shared" si="75"/>
        <v>0003064801</v>
      </c>
    </row>
    <row r="2191" spans="1:6" x14ac:dyDescent="0.3">
      <c r="A2191" s="6" t="s">
        <v>2191</v>
      </c>
      <c r="B2191">
        <v>32689210</v>
      </c>
      <c r="C2191" s="3">
        <v>2</v>
      </c>
      <c r="D2191" s="5" t="str">
        <f t="shared" si="74"/>
        <v>02</v>
      </c>
      <c r="E2191" t="str">
        <f>VLOOKUP(B2191,'HOGARES-BASELINE'!$B:$I,8,FALSE)</f>
        <v>00030648</v>
      </c>
      <c r="F2191" s="6" t="str">
        <f t="shared" si="75"/>
        <v>0003064802</v>
      </c>
    </row>
    <row r="2192" spans="1:6" x14ac:dyDescent="0.3">
      <c r="A2192" s="6" t="s">
        <v>2192</v>
      </c>
      <c r="B2192">
        <v>32689210</v>
      </c>
      <c r="C2192" s="3">
        <v>3</v>
      </c>
      <c r="D2192" s="5" t="str">
        <f t="shared" si="74"/>
        <v>03</v>
      </c>
      <c r="E2192" t="str">
        <f>VLOOKUP(B2192,'HOGARES-BASELINE'!$B:$I,8,FALSE)</f>
        <v>00030648</v>
      </c>
      <c r="F2192" s="6" t="str">
        <f t="shared" si="75"/>
        <v>0003064803</v>
      </c>
    </row>
    <row r="2193" spans="1:6" x14ac:dyDescent="0.3">
      <c r="A2193" s="6" t="s">
        <v>2193</v>
      </c>
      <c r="B2193">
        <v>32690815</v>
      </c>
      <c r="C2193" s="3">
        <v>2</v>
      </c>
      <c r="D2193" s="5" t="str">
        <f t="shared" si="74"/>
        <v>02</v>
      </c>
      <c r="E2193" t="str">
        <f>VLOOKUP(B2193,'HOGARES-BASELINE'!$B:$I,8,FALSE)</f>
        <v>01030649</v>
      </c>
      <c r="F2193" s="6" t="str">
        <f t="shared" si="75"/>
        <v>0103064902</v>
      </c>
    </row>
    <row r="2194" spans="1:6" x14ac:dyDescent="0.3">
      <c r="A2194" s="6" t="s">
        <v>2194</v>
      </c>
      <c r="B2194">
        <v>32690815</v>
      </c>
      <c r="C2194" s="3">
        <v>3</v>
      </c>
      <c r="D2194" s="5" t="str">
        <f t="shared" si="74"/>
        <v>03</v>
      </c>
      <c r="E2194" t="str">
        <f>VLOOKUP(B2194,'HOGARES-BASELINE'!$B:$I,8,FALSE)</f>
        <v>01030649</v>
      </c>
      <c r="F2194" s="6" t="str">
        <f t="shared" si="75"/>
        <v>0103064903</v>
      </c>
    </row>
    <row r="2195" spans="1:6" x14ac:dyDescent="0.3">
      <c r="A2195" s="6" t="s">
        <v>2195</v>
      </c>
      <c r="B2195">
        <v>32690815</v>
      </c>
      <c r="C2195" s="3">
        <v>1</v>
      </c>
      <c r="D2195" s="5" t="str">
        <f t="shared" si="74"/>
        <v>01</v>
      </c>
      <c r="E2195" t="str">
        <f>VLOOKUP(B2195,'HOGARES-BASELINE'!$B:$I,8,FALSE)</f>
        <v>01030649</v>
      </c>
      <c r="F2195" s="6" t="str">
        <f t="shared" si="75"/>
        <v>0103064901</v>
      </c>
    </row>
    <row r="2196" spans="1:6" x14ac:dyDescent="0.3">
      <c r="A2196" s="6" t="s">
        <v>2196</v>
      </c>
      <c r="B2196">
        <v>32693059</v>
      </c>
      <c r="C2196" s="3">
        <v>1</v>
      </c>
      <c r="D2196" s="5" t="str">
        <f t="shared" si="74"/>
        <v>01</v>
      </c>
      <c r="E2196" t="str">
        <f>VLOOKUP(B2196,'HOGARES-BASELINE'!$B:$I,8,FALSE)</f>
        <v>00010650</v>
      </c>
      <c r="F2196" s="6" t="str">
        <f t="shared" si="75"/>
        <v>0001065001</v>
      </c>
    </row>
    <row r="2197" spans="1:6" x14ac:dyDescent="0.3">
      <c r="A2197" s="6" t="s">
        <v>2197</v>
      </c>
      <c r="B2197">
        <v>32694200</v>
      </c>
      <c r="C2197" s="3">
        <v>2</v>
      </c>
      <c r="D2197" s="5" t="str">
        <f t="shared" si="74"/>
        <v>02</v>
      </c>
      <c r="E2197" t="str">
        <f>VLOOKUP(B2197,'HOGARES-BASELINE'!$B:$I,8,FALSE)</f>
        <v>01030651</v>
      </c>
      <c r="F2197" s="6" t="str">
        <f t="shared" si="75"/>
        <v>0103065102</v>
      </c>
    </row>
    <row r="2198" spans="1:6" x14ac:dyDescent="0.3">
      <c r="A2198" s="6" t="s">
        <v>2198</v>
      </c>
      <c r="B2198">
        <v>32694200</v>
      </c>
      <c r="C2198" s="3">
        <v>4</v>
      </c>
      <c r="D2198" s="5" t="str">
        <f t="shared" si="74"/>
        <v>04</v>
      </c>
      <c r="E2198" t="str">
        <f>VLOOKUP(B2198,'HOGARES-BASELINE'!$B:$I,8,FALSE)</f>
        <v>01030651</v>
      </c>
      <c r="F2198" s="6" t="str">
        <f t="shared" si="75"/>
        <v>0103065104</v>
      </c>
    </row>
    <row r="2199" spans="1:6" x14ac:dyDescent="0.3">
      <c r="A2199" s="6" t="s">
        <v>2199</v>
      </c>
      <c r="B2199">
        <v>32694200</v>
      </c>
      <c r="C2199" s="3">
        <v>1</v>
      </c>
      <c r="D2199" s="5" t="str">
        <f t="shared" si="74"/>
        <v>01</v>
      </c>
      <c r="E2199" t="str">
        <f>VLOOKUP(B2199,'HOGARES-BASELINE'!$B:$I,8,FALSE)</f>
        <v>01030651</v>
      </c>
      <c r="F2199" s="6" t="str">
        <f t="shared" si="75"/>
        <v>0103065101</v>
      </c>
    </row>
    <row r="2200" spans="1:6" x14ac:dyDescent="0.3">
      <c r="A2200" s="6" t="s">
        <v>2200</v>
      </c>
      <c r="B2200">
        <v>32694200</v>
      </c>
      <c r="C2200" s="3">
        <v>3</v>
      </c>
      <c r="D2200" s="5" t="str">
        <f t="shared" si="74"/>
        <v>03</v>
      </c>
      <c r="E2200" t="str">
        <f>VLOOKUP(B2200,'HOGARES-BASELINE'!$B:$I,8,FALSE)</f>
        <v>01030651</v>
      </c>
      <c r="F2200" s="6" t="str">
        <f t="shared" si="75"/>
        <v>0103065103</v>
      </c>
    </row>
    <row r="2201" spans="1:6" x14ac:dyDescent="0.3">
      <c r="A2201" s="6" t="s">
        <v>2201</v>
      </c>
      <c r="B2201">
        <v>32694457</v>
      </c>
      <c r="C2201" s="3">
        <v>3</v>
      </c>
      <c r="D2201" s="5" t="str">
        <f t="shared" si="74"/>
        <v>03</v>
      </c>
      <c r="E2201" t="str">
        <f>VLOOKUP(B2201,'HOGARES-BASELINE'!$B:$I,8,FALSE)</f>
        <v>00030652</v>
      </c>
      <c r="F2201" s="6" t="str">
        <f t="shared" si="75"/>
        <v>0003065203</v>
      </c>
    </row>
    <row r="2202" spans="1:6" x14ac:dyDescent="0.3">
      <c r="A2202" s="6" t="s">
        <v>2202</v>
      </c>
      <c r="B2202">
        <v>32694457</v>
      </c>
      <c r="C2202" s="3">
        <v>2</v>
      </c>
      <c r="D2202" s="5" t="str">
        <f t="shared" si="74"/>
        <v>02</v>
      </c>
      <c r="E2202" t="str">
        <f>VLOOKUP(B2202,'HOGARES-BASELINE'!$B:$I,8,FALSE)</f>
        <v>00030652</v>
      </c>
      <c r="F2202" s="6" t="str">
        <f t="shared" si="75"/>
        <v>0003065202</v>
      </c>
    </row>
    <row r="2203" spans="1:6" x14ac:dyDescent="0.3">
      <c r="A2203" s="6" t="s">
        <v>2203</v>
      </c>
      <c r="B2203">
        <v>32694457</v>
      </c>
      <c r="C2203" s="3">
        <v>4</v>
      </c>
      <c r="D2203" s="5" t="str">
        <f t="shared" si="74"/>
        <v>04</v>
      </c>
      <c r="E2203" t="str">
        <f>VLOOKUP(B2203,'HOGARES-BASELINE'!$B:$I,8,FALSE)</f>
        <v>00030652</v>
      </c>
      <c r="F2203" s="6" t="str">
        <f t="shared" si="75"/>
        <v>0003065204</v>
      </c>
    </row>
    <row r="2204" spans="1:6" x14ac:dyDescent="0.3">
      <c r="A2204" s="6" t="s">
        <v>2204</v>
      </c>
      <c r="B2204">
        <v>32694457</v>
      </c>
      <c r="C2204" s="3">
        <v>1</v>
      </c>
      <c r="D2204" s="5" t="str">
        <f t="shared" si="74"/>
        <v>01</v>
      </c>
      <c r="E2204" t="str">
        <f>VLOOKUP(B2204,'HOGARES-BASELINE'!$B:$I,8,FALSE)</f>
        <v>00030652</v>
      </c>
      <c r="F2204" s="6" t="str">
        <f t="shared" si="75"/>
        <v>0003065201</v>
      </c>
    </row>
    <row r="2205" spans="1:6" x14ac:dyDescent="0.3">
      <c r="A2205" s="6" t="s">
        <v>2205</v>
      </c>
      <c r="B2205">
        <v>32694900</v>
      </c>
      <c r="C2205" s="3">
        <v>2</v>
      </c>
      <c r="D2205" s="5" t="str">
        <f t="shared" si="74"/>
        <v>02</v>
      </c>
      <c r="E2205" t="str">
        <f>VLOOKUP(B2205,'HOGARES-BASELINE'!$B:$I,8,FALSE)</f>
        <v>00030653</v>
      </c>
      <c r="F2205" s="6" t="str">
        <f t="shared" si="75"/>
        <v>0003065302</v>
      </c>
    </row>
    <row r="2206" spans="1:6" x14ac:dyDescent="0.3">
      <c r="A2206" s="6" t="s">
        <v>2206</v>
      </c>
      <c r="B2206">
        <v>32694900</v>
      </c>
      <c r="C2206" s="3">
        <v>3</v>
      </c>
      <c r="D2206" s="5" t="str">
        <f t="shared" si="74"/>
        <v>03</v>
      </c>
      <c r="E2206" t="str">
        <f>VLOOKUP(B2206,'HOGARES-BASELINE'!$B:$I,8,FALSE)</f>
        <v>00030653</v>
      </c>
      <c r="F2206" s="6" t="str">
        <f t="shared" si="75"/>
        <v>0003065303</v>
      </c>
    </row>
    <row r="2207" spans="1:6" x14ac:dyDescent="0.3">
      <c r="A2207" s="6" t="s">
        <v>2207</v>
      </c>
      <c r="B2207">
        <v>32694900</v>
      </c>
      <c r="C2207" s="3">
        <v>1</v>
      </c>
      <c r="D2207" s="5" t="str">
        <f t="shared" si="74"/>
        <v>01</v>
      </c>
      <c r="E2207" t="str">
        <f>VLOOKUP(B2207,'HOGARES-BASELINE'!$B:$I,8,FALSE)</f>
        <v>00030653</v>
      </c>
      <c r="F2207" s="6" t="str">
        <f t="shared" si="75"/>
        <v>0003065301</v>
      </c>
    </row>
    <row r="2208" spans="1:6" x14ac:dyDescent="0.3">
      <c r="A2208" s="6" t="s">
        <v>2208</v>
      </c>
      <c r="B2208">
        <v>32697995</v>
      </c>
      <c r="C2208" s="3">
        <v>1</v>
      </c>
      <c r="D2208" s="5" t="str">
        <f t="shared" si="74"/>
        <v>01</v>
      </c>
      <c r="E2208" t="str">
        <f>VLOOKUP(B2208,'HOGARES-BASELINE'!$B:$I,8,FALSE)</f>
        <v>00030654</v>
      </c>
      <c r="F2208" s="6" t="str">
        <f t="shared" si="75"/>
        <v>0003065401</v>
      </c>
    </row>
    <row r="2209" spans="1:6" x14ac:dyDescent="0.3">
      <c r="A2209" s="6" t="s">
        <v>2209</v>
      </c>
      <c r="B2209">
        <v>32697995</v>
      </c>
      <c r="C2209" s="3">
        <v>2</v>
      </c>
      <c r="D2209" s="5" t="str">
        <f t="shared" si="74"/>
        <v>02</v>
      </c>
      <c r="E2209" t="str">
        <f>VLOOKUP(B2209,'HOGARES-BASELINE'!$B:$I,8,FALSE)</f>
        <v>00030654</v>
      </c>
      <c r="F2209" s="6" t="str">
        <f t="shared" si="75"/>
        <v>0003065402</v>
      </c>
    </row>
    <row r="2210" spans="1:6" x14ac:dyDescent="0.3">
      <c r="A2210" s="6" t="s">
        <v>2210</v>
      </c>
      <c r="B2210">
        <v>32703275</v>
      </c>
      <c r="C2210" s="3">
        <v>1</v>
      </c>
      <c r="D2210" s="5" t="str">
        <f t="shared" si="74"/>
        <v>01</v>
      </c>
      <c r="E2210" t="str">
        <f>VLOOKUP(B2210,'HOGARES-BASELINE'!$B:$I,8,FALSE)</f>
        <v>00030655</v>
      </c>
      <c r="F2210" s="6" t="str">
        <f t="shared" si="75"/>
        <v>0003065501</v>
      </c>
    </row>
    <row r="2211" spans="1:6" x14ac:dyDescent="0.3">
      <c r="A2211" s="6" t="s">
        <v>2211</v>
      </c>
      <c r="B2211">
        <v>32705837</v>
      </c>
      <c r="C2211" s="3">
        <v>6</v>
      </c>
      <c r="D2211" s="5" t="str">
        <f t="shared" si="74"/>
        <v>06</v>
      </c>
      <c r="E2211" t="str">
        <f>VLOOKUP(B2211,'HOGARES-BASELINE'!$B:$I,8,FALSE)</f>
        <v>00030656</v>
      </c>
      <c r="F2211" s="6" t="str">
        <f t="shared" si="75"/>
        <v>0003065606</v>
      </c>
    </row>
    <row r="2212" spans="1:6" x14ac:dyDescent="0.3">
      <c r="A2212" s="6" t="s">
        <v>2212</v>
      </c>
      <c r="B2212">
        <v>32705837</v>
      </c>
      <c r="C2212" s="3">
        <v>3</v>
      </c>
      <c r="D2212" s="5" t="str">
        <f t="shared" si="74"/>
        <v>03</v>
      </c>
      <c r="E2212" t="str">
        <f>VLOOKUP(B2212,'HOGARES-BASELINE'!$B:$I,8,FALSE)</f>
        <v>00030656</v>
      </c>
      <c r="F2212" s="6" t="str">
        <f t="shared" si="75"/>
        <v>0003065603</v>
      </c>
    </row>
    <row r="2213" spans="1:6" x14ac:dyDescent="0.3">
      <c r="A2213" s="6" t="s">
        <v>2213</v>
      </c>
      <c r="B2213">
        <v>32705837</v>
      </c>
      <c r="C2213" s="3">
        <v>2</v>
      </c>
      <c r="D2213" s="5" t="str">
        <f t="shared" si="74"/>
        <v>02</v>
      </c>
      <c r="E2213" t="str">
        <f>VLOOKUP(B2213,'HOGARES-BASELINE'!$B:$I,8,FALSE)</f>
        <v>00030656</v>
      </c>
      <c r="F2213" s="6" t="str">
        <f t="shared" si="75"/>
        <v>0003065602</v>
      </c>
    </row>
    <row r="2214" spans="1:6" x14ac:dyDescent="0.3">
      <c r="A2214" s="6" t="s">
        <v>2214</v>
      </c>
      <c r="B2214">
        <v>32705837</v>
      </c>
      <c r="C2214" s="3">
        <v>4</v>
      </c>
      <c r="D2214" s="5" t="str">
        <f t="shared" si="74"/>
        <v>04</v>
      </c>
      <c r="E2214" t="str">
        <f>VLOOKUP(B2214,'HOGARES-BASELINE'!$B:$I,8,FALSE)</f>
        <v>00030656</v>
      </c>
      <c r="F2214" s="6" t="str">
        <f t="shared" si="75"/>
        <v>0003065604</v>
      </c>
    </row>
    <row r="2215" spans="1:6" x14ac:dyDescent="0.3">
      <c r="A2215" s="6" t="s">
        <v>2215</v>
      </c>
      <c r="B2215">
        <v>32705837</v>
      </c>
      <c r="C2215" s="3">
        <v>7</v>
      </c>
      <c r="D2215" s="5" t="str">
        <f t="shared" si="74"/>
        <v>07</v>
      </c>
      <c r="E2215" t="str">
        <f>VLOOKUP(B2215,'HOGARES-BASELINE'!$B:$I,8,FALSE)</f>
        <v>00030656</v>
      </c>
      <c r="F2215" s="6" t="str">
        <f t="shared" si="75"/>
        <v>0003065607</v>
      </c>
    </row>
    <row r="2216" spans="1:6" x14ac:dyDescent="0.3">
      <c r="A2216" s="6" t="s">
        <v>2216</v>
      </c>
      <c r="B2216">
        <v>32705837</v>
      </c>
      <c r="C2216" s="3">
        <v>1</v>
      </c>
      <c r="D2216" s="5" t="str">
        <f t="shared" si="74"/>
        <v>01</v>
      </c>
      <c r="E2216" t="str">
        <f>VLOOKUP(B2216,'HOGARES-BASELINE'!$B:$I,8,FALSE)</f>
        <v>00030656</v>
      </c>
      <c r="F2216" s="6" t="str">
        <f t="shared" si="75"/>
        <v>0003065601</v>
      </c>
    </row>
    <row r="2217" spans="1:6" x14ac:dyDescent="0.3">
      <c r="A2217" s="6" t="s">
        <v>2217</v>
      </c>
      <c r="B2217">
        <v>32705837</v>
      </c>
      <c r="C2217" s="3">
        <v>5</v>
      </c>
      <c r="D2217" s="5" t="str">
        <f t="shared" si="74"/>
        <v>05</v>
      </c>
      <c r="E2217" t="str">
        <f>VLOOKUP(B2217,'HOGARES-BASELINE'!$B:$I,8,FALSE)</f>
        <v>00030656</v>
      </c>
      <c r="F2217" s="6" t="str">
        <f t="shared" si="75"/>
        <v>0003065605</v>
      </c>
    </row>
    <row r="2218" spans="1:6" x14ac:dyDescent="0.3">
      <c r="A2218" s="6" t="s">
        <v>2218</v>
      </c>
      <c r="B2218">
        <v>32707038</v>
      </c>
      <c r="C2218" s="3">
        <v>1</v>
      </c>
      <c r="D2218" s="5" t="str">
        <f t="shared" si="74"/>
        <v>01</v>
      </c>
      <c r="E2218" t="str">
        <f>VLOOKUP(B2218,'HOGARES-BASELINE'!$B:$I,8,FALSE)</f>
        <v>01030657</v>
      </c>
      <c r="F2218" s="6" t="str">
        <f t="shared" si="75"/>
        <v>0103065701</v>
      </c>
    </row>
    <row r="2219" spans="1:6" x14ac:dyDescent="0.3">
      <c r="A2219" s="6" t="s">
        <v>2219</v>
      </c>
      <c r="B2219">
        <v>32707038</v>
      </c>
      <c r="C2219" s="3">
        <v>2</v>
      </c>
      <c r="D2219" s="5" t="str">
        <f t="shared" si="74"/>
        <v>02</v>
      </c>
      <c r="E2219" t="str">
        <f>VLOOKUP(B2219,'HOGARES-BASELINE'!$B:$I,8,FALSE)</f>
        <v>01030657</v>
      </c>
      <c r="F2219" s="6" t="str">
        <f t="shared" si="75"/>
        <v>0103065702</v>
      </c>
    </row>
    <row r="2220" spans="1:6" x14ac:dyDescent="0.3">
      <c r="A2220" s="6" t="s">
        <v>2220</v>
      </c>
      <c r="B2220">
        <v>32708738</v>
      </c>
      <c r="C2220" s="3">
        <v>2</v>
      </c>
      <c r="D2220" s="5" t="str">
        <f t="shared" si="74"/>
        <v>02</v>
      </c>
      <c r="E2220" t="str">
        <f>VLOOKUP(B2220,'HOGARES-BASELINE'!$B:$I,8,FALSE)</f>
        <v>01030658</v>
      </c>
      <c r="F2220" s="6" t="str">
        <f t="shared" si="75"/>
        <v>0103065802</v>
      </c>
    </row>
    <row r="2221" spans="1:6" x14ac:dyDescent="0.3">
      <c r="A2221" s="6" t="s">
        <v>2221</v>
      </c>
      <c r="B2221">
        <v>32708738</v>
      </c>
      <c r="C2221" s="3">
        <v>5</v>
      </c>
      <c r="D2221" s="5" t="str">
        <f t="shared" si="74"/>
        <v>05</v>
      </c>
      <c r="E2221" t="str">
        <f>VLOOKUP(B2221,'HOGARES-BASELINE'!$B:$I,8,FALSE)</f>
        <v>01030658</v>
      </c>
      <c r="F2221" s="6" t="str">
        <f t="shared" si="75"/>
        <v>0103065805</v>
      </c>
    </row>
    <row r="2222" spans="1:6" x14ac:dyDescent="0.3">
      <c r="A2222" s="6" t="s">
        <v>2222</v>
      </c>
      <c r="B2222">
        <v>32708738</v>
      </c>
      <c r="C2222" s="3">
        <v>3</v>
      </c>
      <c r="D2222" s="5" t="str">
        <f t="shared" si="74"/>
        <v>03</v>
      </c>
      <c r="E2222" t="str">
        <f>VLOOKUP(B2222,'HOGARES-BASELINE'!$B:$I,8,FALSE)</f>
        <v>01030658</v>
      </c>
      <c r="F2222" s="6" t="str">
        <f t="shared" si="75"/>
        <v>0103065803</v>
      </c>
    </row>
    <row r="2223" spans="1:6" x14ac:dyDescent="0.3">
      <c r="A2223" s="6" t="s">
        <v>2223</v>
      </c>
      <c r="B2223">
        <v>32708738</v>
      </c>
      <c r="C2223" s="3">
        <v>4</v>
      </c>
      <c r="D2223" s="5" t="str">
        <f t="shared" si="74"/>
        <v>04</v>
      </c>
      <c r="E2223" t="str">
        <f>VLOOKUP(B2223,'HOGARES-BASELINE'!$B:$I,8,FALSE)</f>
        <v>01030658</v>
      </c>
      <c r="F2223" s="6" t="str">
        <f t="shared" si="75"/>
        <v>0103065804</v>
      </c>
    </row>
    <row r="2224" spans="1:6" x14ac:dyDescent="0.3">
      <c r="A2224" s="6" t="s">
        <v>2224</v>
      </c>
      <c r="B2224">
        <v>32708738</v>
      </c>
      <c r="C2224" s="3">
        <v>1</v>
      </c>
      <c r="D2224" s="5" t="str">
        <f t="shared" si="74"/>
        <v>01</v>
      </c>
      <c r="E2224" t="str">
        <f>VLOOKUP(B2224,'HOGARES-BASELINE'!$B:$I,8,FALSE)</f>
        <v>01030658</v>
      </c>
      <c r="F2224" s="6" t="str">
        <f t="shared" si="75"/>
        <v>0103065801</v>
      </c>
    </row>
    <row r="2225" spans="1:6" x14ac:dyDescent="0.3">
      <c r="A2225" s="6" t="s">
        <v>2225</v>
      </c>
      <c r="B2225">
        <v>32709507</v>
      </c>
      <c r="C2225" s="3">
        <v>4</v>
      </c>
      <c r="D2225" s="5" t="str">
        <f t="shared" si="74"/>
        <v>04</v>
      </c>
      <c r="E2225" t="str">
        <f>VLOOKUP(B2225,'HOGARES-BASELINE'!$B:$I,8,FALSE)</f>
        <v>01030659</v>
      </c>
      <c r="F2225" s="6" t="str">
        <f t="shared" si="75"/>
        <v>0103065904</v>
      </c>
    </row>
    <row r="2226" spans="1:6" x14ac:dyDescent="0.3">
      <c r="A2226" s="6" t="s">
        <v>2226</v>
      </c>
      <c r="B2226">
        <v>32709507</v>
      </c>
      <c r="C2226" s="3">
        <v>2</v>
      </c>
      <c r="D2226" s="5" t="str">
        <f t="shared" ref="D2226:D2289" si="76">_xlfn.CONCAT(0,C2226)</f>
        <v>02</v>
      </c>
      <c r="E2226" t="str">
        <f>VLOOKUP(B2226,'HOGARES-BASELINE'!$B:$I,8,FALSE)</f>
        <v>01030659</v>
      </c>
      <c r="F2226" s="6" t="str">
        <f t="shared" si="75"/>
        <v>0103065902</v>
      </c>
    </row>
    <row r="2227" spans="1:6" x14ac:dyDescent="0.3">
      <c r="A2227" s="6" t="s">
        <v>2227</v>
      </c>
      <c r="B2227">
        <v>32709507</v>
      </c>
      <c r="C2227" s="3">
        <v>1</v>
      </c>
      <c r="D2227" s="5" t="str">
        <f t="shared" si="76"/>
        <v>01</v>
      </c>
      <c r="E2227" t="str">
        <f>VLOOKUP(B2227,'HOGARES-BASELINE'!$B:$I,8,FALSE)</f>
        <v>01030659</v>
      </c>
      <c r="F2227" s="6" t="str">
        <f t="shared" si="75"/>
        <v>0103065901</v>
      </c>
    </row>
    <row r="2228" spans="1:6" x14ac:dyDescent="0.3">
      <c r="A2228" s="6" t="s">
        <v>2228</v>
      </c>
      <c r="B2228">
        <v>32709507</v>
      </c>
      <c r="C2228" s="3">
        <v>5</v>
      </c>
      <c r="D2228" s="5" t="str">
        <f t="shared" si="76"/>
        <v>05</v>
      </c>
      <c r="E2228" t="str">
        <f>VLOOKUP(B2228,'HOGARES-BASELINE'!$B:$I,8,FALSE)</f>
        <v>01030659</v>
      </c>
      <c r="F2228" s="6" t="str">
        <f t="shared" si="75"/>
        <v>0103065905</v>
      </c>
    </row>
    <row r="2229" spans="1:6" x14ac:dyDescent="0.3">
      <c r="A2229" s="6" t="s">
        <v>2229</v>
      </c>
      <c r="B2229">
        <v>32709507</v>
      </c>
      <c r="C2229" s="3">
        <v>3</v>
      </c>
      <c r="D2229" s="5" t="str">
        <f t="shared" si="76"/>
        <v>03</v>
      </c>
      <c r="E2229" t="str">
        <f>VLOOKUP(B2229,'HOGARES-BASELINE'!$B:$I,8,FALSE)</f>
        <v>01030659</v>
      </c>
      <c r="F2229" s="6" t="str">
        <f t="shared" si="75"/>
        <v>0103065903</v>
      </c>
    </row>
    <row r="2230" spans="1:6" x14ac:dyDescent="0.3">
      <c r="A2230" s="6" t="s">
        <v>2230</v>
      </c>
      <c r="B2230">
        <v>32709662</v>
      </c>
      <c r="C2230" s="3">
        <v>2</v>
      </c>
      <c r="D2230" s="5" t="str">
        <f t="shared" si="76"/>
        <v>02</v>
      </c>
      <c r="E2230" t="str">
        <f>VLOOKUP(B2230,'HOGARES-BASELINE'!$B:$I,8,FALSE)</f>
        <v>00030660</v>
      </c>
      <c r="F2230" s="6" t="str">
        <f t="shared" si="75"/>
        <v>0003066002</v>
      </c>
    </row>
    <row r="2231" spans="1:6" x14ac:dyDescent="0.3">
      <c r="A2231" s="6" t="s">
        <v>2231</v>
      </c>
      <c r="B2231">
        <v>32709662</v>
      </c>
      <c r="C2231" s="3">
        <v>1</v>
      </c>
      <c r="D2231" s="5" t="str">
        <f t="shared" si="76"/>
        <v>01</v>
      </c>
      <c r="E2231" t="str">
        <f>VLOOKUP(B2231,'HOGARES-BASELINE'!$B:$I,8,FALSE)</f>
        <v>00030660</v>
      </c>
      <c r="F2231" s="6" t="str">
        <f t="shared" si="75"/>
        <v>0003066001</v>
      </c>
    </row>
    <row r="2232" spans="1:6" x14ac:dyDescent="0.3">
      <c r="A2232" s="6" t="s">
        <v>2232</v>
      </c>
      <c r="B2232">
        <v>32710701</v>
      </c>
      <c r="C2232" s="3">
        <v>1</v>
      </c>
      <c r="D2232" s="5" t="str">
        <f t="shared" si="76"/>
        <v>01</v>
      </c>
      <c r="E2232" t="str">
        <f>VLOOKUP(B2232,'HOGARES-BASELINE'!$B:$I,8,FALSE)</f>
        <v>01030661</v>
      </c>
      <c r="F2232" s="6" t="str">
        <f t="shared" si="75"/>
        <v>0103066101</v>
      </c>
    </row>
    <row r="2233" spans="1:6" x14ac:dyDescent="0.3">
      <c r="A2233" s="6" t="s">
        <v>2233</v>
      </c>
      <c r="B2233">
        <v>32710701</v>
      </c>
      <c r="C2233" s="3">
        <v>3</v>
      </c>
      <c r="D2233" s="5" t="str">
        <f t="shared" si="76"/>
        <v>03</v>
      </c>
      <c r="E2233" t="str">
        <f>VLOOKUP(B2233,'HOGARES-BASELINE'!$B:$I,8,FALSE)</f>
        <v>01030661</v>
      </c>
      <c r="F2233" s="6" t="str">
        <f t="shared" si="75"/>
        <v>0103066103</v>
      </c>
    </row>
    <row r="2234" spans="1:6" x14ac:dyDescent="0.3">
      <c r="A2234" s="6" t="s">
        <v>2234</v>
      </c>
      <c r="B2234">
        <v>32710701</v>
      </c>
      <c r="C2234" s="3">
        <v>2</v>
      </c>
      <c r="D2234" s="5" t="str">
        <f t="shared" si="76"/>
        <v>02</v>
      </c>
      <c r="E2234" t="str">
        <f>VLOOKUP(B2234,'HOGARES-BASELINE'!$B:$I,8,FALSE)</f>
        <v>01030661</v>
      </c>
      <c r="F2234" s="6" t="str">
        <f t="shared" si="75"/>
        <v>0103066102</v>
      </c>
    </row>
    <row r="2235" spans="1:6" x14ac:dyDescent="0.3">
      <c r="A2235" s="6" t="s">
        <v>2235</v>
      </c>
      <c r="B2235">
        <v>32712481</v>
      </c>
      <c r="C2235" s="3">
        <v>1</v>
      </c>
      <c r="D2235" s="5" t="str">
        <f t="shared" si="76"/>
        <v>01</v>
      </c>
      <c r="E2235" t="str">
        <f>VLOOKUP(B2235,'HOGARES-BASELINE'!$B:$I,8,FALSE)</f>
        <v>01030662</v>
      </c>
      <c r="F2235" s="6" t="str">
        <f t="shared" si="75"/>
        <v>0103066201</v>
      </c>
    </row>
    <row r="2236" spans="1:6" x14ac:dyDescent="0.3">
      <c r="A2236" s="6" t="s">
        <v>2236</v>
      </c>
      <c r="B2236">
        <v>32716378</v>
      </c>
      <c r="C2236" s="3">
        <v>1</v>
      </c>
      <c r="D2236" s="5" t="str">
        <f t="shared" si="76"/>
        <v>01</v>
      </c>
      <c r="E2236" t="str">
        <f>VLOOKUP(B2236,'HOGARES-BASELINE'!$B:$I,8,FALSE)</f>
        <v>01030663</v>
      </c>
      <c r="F2236" s="6" t="str">
        <f t="shared" si="75"/>
        <v>0103066301</v>
      </c>
    </row>
    <row r="2237" spans="1:6" x14ac:dyDescent="0.3">
      <c r="A2237" s="6" t="s">
        <v>2237</v>
      </c>
      <c r="B2237">
        <v>32716378</v>
      </c>
      <c r="C2237" s="3">
        <v>3</v>
      </c>
      <c r="D2237" s="5" t="str">
        <f t="shared" si="76"/>
        <v>03</v>
      </c>
      <c r="E2237" t="str">
        <f>VLOOKUP(B2237,'HOGARES-BASELINE'!$B:$I,8,FALSE)</f>
        <v>01030663</v>
      </c>
      <c r="F2237" s="6" t="str">
        <f t="shared" si="75"/>
        <v>0103066303</v>
      </c>
    </row>
    <row r="2238" spans="1:6" x14ac:dyDescent="0.3">
      <c r="A2238" s="6" t="s">
        <v>2238</v>
      </c>
      <c r="B2238">
        <v>32716378</v>
      </c>
      <c r="C2238" s="3">
        <v>5</v>
      </c>
      <c r="D2238" s="5" t="str">
        <f t="shared" si="76"/>
        <v>05</v>
      </c>
      <c r="E2238" t="str">
        <f>VLOOKUP(B2238,'HOGARES-BASELINE'!$B:$I,8,FALSE)</f>
        <v>01030663</v>
      </c>
      <c r="F2238" s="6" t="str">
        <f t="shared" si="75"/>
        <v>0103066305</v>
      </c>
    </row>
    <row r="2239" spans="1:6" x14ac:dyDescent="0.3">
      <c r="A2239" s="6" t="s">
        <v>2239</v>
      </c>
      <c r="B2239">
        <v>32716378</v>
      </c>
      <c r="C2239" s="3">
        <v>4</v>
      </c>
      <c r="D2239" s="5" t="str">
        <f t="shared" si="76"/>
        <v>04</v>
      </c>
      <c r="E2239" t="str">
        <f>VLOOKUP(B2239,'HOGARES-BASELINE'!$B:$I,8,FALSE)</f>
        <v>01030663</v>
      </c>
      <c r="F2239" s="6" t="str">
        <f t="shared" si="75"/>
        <v>0103066304</v>
      </c>
    </row>
    <row r="2240" spans="1:6" x14ac:dyDescent="0.3">
      <c r="A2240" s="6" t="s">
        <v>2240</v>
      </c>
      <c r="B2240">
        <v>32716378</v>
      </c>
      <c r="C2240" s="3">
        <v>2</v>
      </c>
      <c r="D2240" s="5" t="str">
        <f t="shared" si="76"/>
        <v>02</v>
      </c>
      <c r="E2240" t="str">
        <f>VLOOKUP(B2240,'HOGARES-BASELINE'!$B:$I,8,FALSE)</f>
        <v>01030663</v>
      </c>
      <c r="F2240" s="6" t="str">
        <f t="shared" si="75"/>
        <v>0103066302</v>
      </c>
    </row>
    <row r="2241" spans="1:6" x14ac:dyDescent="0.3">
      <c r="A2241" s="6" t="s">
        <v>2241</v>
      </c>
      <c r="B2241">
        <v>32717266</v>
      </c>
      <c r="C2241" s="3">
        <v>1</v>
      </c>
      <c r="D2241" s="5" t="str">
        <f t="shared" si="76"/>
        <v>01</v>
      </c>
      <c r="E2241" t="str">
        <f>VLOOKUP(B2241,'HOGARES-BASELINE'!$B:$I,8,FALSE)</f>
        <v>01030664</v>
      </c>
      <c r="F2241" s="6" t="str">
        <f t="shared" si="75"/>
        <v>0103066401</v>
      </c>
    </row>
    <row r="2242" spans="1:6" x14ac:dyDescent="0.3">
      <c r="A2242" s="6" t="s">
        <v>2242</v>
      </c>
      <c r="B2242">
        <v>32717266</v>
      </c>
      <c r="C2242" s="3">
        <v>3</v>
      </c>
      <c r="D2242" s="5" t="str">
        <f t="shared" si="76"/>
        <v>03</v>
      </c>
      <c r="E2242" t="str">
        <f>VLOOKUP(B2242,'HOGARES-BASELINE'!$B:$I,8,FALSE)</f>
        <v>01030664</v>
      </c>
      <c r="F2242" s="6" t="str">
        <f t="shared" si="75"/>
        <v>0103066403</v>
      </c>
    </row>
    <row r="2243" spans="1:6" x14ac:dyDescent="0.3">
      <c r="A2243" s="6" t="s">
        <v>2243</v>
      </c>
      <c r="B2243">
        <v>32717266</v>
      </c>
      <c r="C2243" s="3">
        <v>2</v>
      </c>
      <c r="D2243" s="5" t="str">
        <f t="shared" si="76"/>
        <v>02</v>
      </c>
      <c r="E2243" t="str">
        <f>VLOOKUP(B2243,'HOGARES-BASELINE'!$B:$I,8,FALSE)</f>
        <v>01030664</v>
      </c>
      <c r="F2243" s="6" t="str">
        <f t="shared" ref="F2243:F2306" si="77">_xlfn.CONCAT(E2243,D2243)</f>
        <v>0103066402</v>
      </c>
    </row>
    <row r="2244" spans="1:6" x14ac:dyDescent="0.3">
      <c r="A2244" s="6" t="s">
        <v>2244</v>
      </c>
      <c r="B2244">
        <v>32719297</v>
      </c>
      <c r="C2244" s="3">
        <v>3</v>
      </c>
      <c r="D2244" s="5" t="str">
        <f t="shared" si="76"/>
        <v>03</v>
      </c>
      <c r="E2244" t="str">
        <f>VLOOKUP(B2244,'HOGARES-BASELINE'!$B:$I,8,FALSE)</f>
        <v>00030665</v>
      </c>
      <c r="F2244" s="6" t="str">
        <f t="shared" si="77"/>
        <v>0003066503</v>
      </c>
    </row>
    <row r="2245" spans="1:6" x14ac:dyDescent="0.3">
      <c r="A2245" s="6" t="s">
        <v>2245</v>
      </c>
      <c r="B2245">
        <v>32719297</v>
      </c>
      <c r="C2245" s="3">
        <v>2</v>
      </c>
      <c r="D2245" s="5" t="str">
        <f t="shared" si="76"/>
        <v>02</v>
      </c>
      <c r="E2245" t="str">
        <f>VLOOKUP(B2245,'HOGARES-BASELINE'!$B:$I,8,FALSE)</f>
        <v>00030665</v>
      </c>
      <c r="F2245" s="6" t="str">
        <f t="shared" si="77"/>
        <v>0003066502</v>
      </c>
    </row>
    <row r="2246" spans="1:6" x14ac:dyDescent="0.3">
      <c r="A2246" s="6" t="s">
        <v>2246</v>
      </c>
      <c r="B2246">
        <v>32719297</v>
      </c>
      <c r="C2246" s="3">
        <v>1</v>
      </c>
      <c r="D2246" s="5" t="str">
        <f t="shared" si="76"/>
        <v>01</v>
      </c>
      <c r="E2246" t="str">
        <f>VLOOKUP(B2246,'HOGARES-BASELINE'!$B:$I,8,FALSE)</f>
        <v>00030665</v>
      </c>
      <c r="F2246" s="6" t="str">
        <f t="shared" si="77"/>
        <v>0003066501</v>
      </c>
    </row>
    <row r="2247" spans="1:6" x14ac:dyDescent="0.3">
      <c r="A2247" s="6" t="s">
        <v>2247</v>
      </c>
      <c r="B2247">
        <v>32727855</v>
      </c>
      <c r="C2247" s="3">
        <v>5</v>
      </c>
      <c r="D2247" s="5" t="str">
        <f t="shared" si="76"/>
        <v>05</v>
      </c>
      <c r="E2247" t="str">
        <f>VLOOKUP(B2247,'HOGARES-BASELINE'!$B:$I,8,FALSE)</f>
        <v>01030666</v>
      </c>
      <c r="F2247" s="6" t="str">
        <f t="shared" si="77"/>
        <v>0103066605</v>
      </c>
    </row>
    <row r="2248" spans="1:6" x14ac:dyDescent="0.3">
      <c r="A2248" s="6" t="s">
        <v>2248</v>
      </c>
      <c r="B2248">
        <v>32727855</v>
      </c>
      <c r="C2248" s="3">
        <v>4</v>
      </c>
      <c r="D2248" s="5" t="str">
        <f t="shared" si="76"/>
        <v>04</v>
      </c>
      <c r="E2248" t="str">
        <f>VLOOKUP(B2248,'HOGARES-BASELINE'!$B:$I,8,FALSE)</f>
        <v>01030666</v>
      </c>
      <c r="F2248" s="6" t="str">
        <f t="shared" si="77"/>
        <v>0103066604</v>
      </c>
    </row>
    <row r="2249" spans="1:6" x14ac:dyDescent="0.3">
      <c r="A2249" s="6" t="s">
        <v>2249</v>
      </c>
      <c r="B2249">
        <v>32727855</v>
      </c>
      <c r="C2249" s="3">
        <v>3</v>
      </c>
      <c r="D2249" s="5" t="str">
        <f t="shared" si="76"/>
        <v>03</v>
      </c>
      <c r="E2249" t="str">
        <f>VLOOKUP(B2249,'HOGARES-BASELINE'!$B:$I,8,FALSE)</f>
        <v>01030666</v>
      </c>
      <c r="F2249" s="6" t="str">
        <f t="shared" si="77"/>
        <v>0103066603</v>
      </c>
    </row>
    <row r="2250" spans="1:6" x14ac:dyDescent="0.3">
      <c r="A2250" s="6" t="s">
        <v>2250</v>
      </c>
      <c r="B2250">
        <v>32727855</v>
      </c>
      <c r="C2250" s="3">
        <v>6</v>
      </c>
      <c r="D2250" s="5" t="str">
        <f t="shared" si="76"/>
        <v>06</v>
      </c>
      <c r="E2250" t="str">
        <f>VLOOKUP(B2250,'HOGARES-BASELINE'!$B:$I,8,FALSE)</f>
        <v>01030666</v>
      </c>
      <c r="F2250" s="6" t="str">
        <f t="shared" si="77"/>
        <v>0103066606</v>
      </c>
    </row>
    <row r="2251" spans="1:6" x14ac:dyDescent="0.3">
      <c r="A2251" s="6" t="s">
        <v>2251</v>
      </c>
      <c r="B2251">
        <v>32727855</v>
      </c>
      <c r="C2251" s="3">
        <v>2</v>
      </c>
      <c r="D2251" s="5" t="str">
        <f t="shared" si="76"/>
        <v>02</v>
      </c>
      <c r="E2251" t="str">
        <f>VLOOKUP(B2251,'HOGARES-BASELINE'!$B:$I,8,FALSE)</f>
        <v>01030666</v>
      </c>
      <c r="F2251" s="6" t="str">
        <f t="shared" si="77"/>
        <v>0103066602</v>
      </c>
    </row>
    <row r="2252" spans="1:6" x14ac:dyDescent="0.3">
      <c r="A2252" s="6" t="s">
        <v>2252</v>
      </c>
      <c r="B2252">
        <v>32727855</v>
      </c>
      <c r="C2252" s="3">
        <v>1</v>
      </c>
      <c r="D2252" s="5" t="str">
        <f t="shared" si="76"/>
        <v>01</v>
      </c>
      <c r="E2252" t="str">
        <f>VLOOKUP(B2252,'HOGARES-BASELINE'!$B:$I,8,FALSE)</f>
        <v>01030666</v>
      </c>
      <c r="F2252" s="6" t="str">
        <f t="shared" si="77"/>
        <v>0103066601</v>
      </c>
    </row>
    <row r="2253" spans="1:6" x14ac:dyDescent="0.3">
      <c r="A2253" s="6" t="s">
        <v>2253</v>
      </c>
      <c r="B2253">
        <v>32729377</v>
      </c>
      <c r="C2253" s="3">
        <v>3</v>
      </c>
      <c r="D2253" s="5" t="str">
        <f t="shared" si="76"/>
        <v>03</v>
      </c>
      <c r="E2253" t="str">
        <f>VLOOKUP(B2253,'HOGARES-BASELINE'!$B:$I,8,FALSE)</f>
        <v>00030667</v>
      </c>
      <c r="F2253" s="6" t="str">
        <f t="shared" si="77"/>
        <v>0003066703</v>
      </c>
    </row>
    <row r="2254" spans="1:6" x14ac:dyDescent="0.3">
      <c r="A2254" s="6" t="s">
        <v>2254</v>
      </c>
      <c r="B2254">
        <v>32729377</v>
      </c>
      <c r="C2254" s="3">
        <v>1</v>
      </c>
      <c r="D2254" s="5" t="str">
        <f t="shared" si="76"/>
        <v>01</v>
      </c>
      <c r="E2254" t="str">
        <f>VLOOKUP(B2254,'HOGARES-BASELINE'!$B:$I,8,FALSE)</f>
        <v>00030667</v>
      </c>
      <c r="F2254" s="6" t="str">
        <f t="shared" si="77"/>
        <v>0003066701</v>
      </c>
    </row>
    <row r="2255" spans="1:6" x14ac:dyDescent="0.3">
      <c r="A2255" s="6" t="s">
        <v>2255</v>
      </c>
      <c r="B2255">
        <v>32729377</v>
      </c>
      <c r="C2255" s="3">
        <v>2</v>
      </c>
      <c r="D2255" s="5" t="str">
        <f t="shared" si="76"/>
        <v>02</v>
      </c>
      <c r="E2255" t="str">
        <f>VLOOKUP(B2255,'HOGARES-BASELINE'!$B:$I,8,FALSE)</f>
        <v>00030667</v>
      </c>
      <c r="F2255" s="6" t="str">
        <f t="shared" si="77"/>
        <v>0003066702</v>
      </c>
    </row>
    <row r="2256" spans="1:6" x14ac:dyDescent="0.3">
      <c r="A2256" s="6" t="s">
        <v>2256</v>
      </c>
      <c r="B2256">
        <v>32729377</v>
      </c>
      <c r="C2256" s="3">
        <v>4</v>
      </c>
      <c r="D2256" s="5" t="str">
        <f t="shared" si="76"/>
        <v>04</v>
      </c>
      <c r="E2256" t="str">
        <f>VLOOKUP(B2256,'HOGARES-BASELINE'!$B:$I,8,FALSE)</f>
        <v>00030667</v>
      </c>
      <c r="F2256" s="6" t="str">
        <f t="shared" si="77"/>
        <v>0003066704</v>
      </c>
    </row>
    <row r="2257" spans="1:6" x14ac:dyDescent="0.3">
      <c r="A2257" s="6" t="s">
        <v>2257</v>
      </c>
      <c r="B2257">
        <v>32730886</v>
      </c>
      <c r="C2257" s="3">
        <v>1</v>
      </c>
      <c r="D2257" s="5" t="str">
        <f t="shared" si="76"/>
        <v>01</v>
      </c>
      <c r="E2257" t="str">
        <f>VLOOKUP(B2257,'HOGARES-BASELINE'!$B:$I,8,FALSE)</f>
        <v>00030668</v>
      </c>
      <c r="F2257" s="6" t="str">
        <f t="shared" si="77"/>
        <v>0003066801</v>
      </c>
    </row>
    <row r="2258" spans="1:6" x14ac:dyDescent="0.3">
      <c r="A2258" s="6" t="s">
        <v>2258</v>
      </c>
      <c r="B2258">
        <v>32732227</v>
      </c>
      <c r="C2258" s="3">
        <v>2</v>
      </c>
      <c r="D2258" s="5" t="str">
        <f t="shared" si="76"/>
        <v>02</v>
      </c>
      <c r="E2258" t="str">
        <f>VLOOKUP(B2258,'HOGARES-BASELINE'!$B:$I,8,FALSE)</f>
        <v>00030669</v>
      </c>
      <c r="F2258" s="6" t="str">
        <f t="shared" si="77"/>
        <v>0003066902</v>
      </c>
    </row>
    <row r="2259" spans="1:6" x14ac:dyDescent="0.3">
      <c r="A2259" s="6" t="s">
        <v>2259</v>
      </c>
      <c r="B2259">
        <v>32732227</v>
      </c>
      <c r="C2259" s="3">
        <v>1</v>
      </c>
      <c r="D2259" s="5" t="str">
        <f t="shared" si="76"/>
        <v>01</v>
      </c>
      <c r="E2259" t="str">
        <f>VLOOKUP(B2259,'HOGARES-BASELINE'!$B:$I,8,FALSE)</f>
        <v>00030669</v>
      </c>
      <c r="F2259" s="6" t="str">
        <f t="shared" si="77"/>
        <v>0003066901</v>
      </c>
    </row>
    <row r="2260" spans="1:6" x14ac:dyDescent="0.3">
      <c r="A2260" s="6" t="s">
        <v>2260</v>
      </c>
      <c r="B2260">
        <v>32732227</v>
      </c>
      <c r="C2260" s="3">
        <v>3</v>
      </c>
      <c r="D2260" s="5" t="str">
        <f t="shared" si="76"/>
        <v>03</v>
      </c>
      <c r="E2260" t="str">
        <f>VLOOKUP(B2260,'HOGARES-BASELINE'!$B:$I,8,FALSE)</f>
        <v>00030669</v>
      </c>
      <c r="F2260" s="6" t="str">
        <f t="shared" si="77"/>
        <v>0003066903</v>
      </c>
    </row>
    <row r="2261" spans="1:6" x14ac:dyDescent="0.3">
      <c r="A2261" s="6" t="s">
        <v>2261</v>
      </c>
      <c r="B2261">
        <v>32733938</v>
      </c>
      <c r="C2261" s="3">
        <v>3</v>
      </c>
      <c r="D2261" s="5" t="str">
        <f t="shared" si="76"/>
        <v>03</v>
      </c>
      <c r="E2261" t="str">
        <f>VLOOKUP(B2261,'HOGARES-BASELINE'!$B:$I,8,FALSE)</f>
        <v>01030670</v>
      </c>
      <c r="F2261" s="6" t="str">
        <f t="shared" si="77"/>
        <v>0103067003</v>
      </c>
    </row>
    <row r="2262" spans="1:6" x14ac:dyDescent="0.3">
      <c r="A2262" s="6" t="s">
        <v>2262</v>
      </c>
      <c r="B2262">
        <v>32733938</v>
      </c>
      <c r="C2262" s="3">
        <v>4</v>
      </c>
      <c r="D2262" s="5" t="str">
        <f t="shared" si="76"/>
        <v>04</v>
      </c>
      <c r="E2262" t="str">
        <f>VLOOKUP(B2262,'HOGARES-BASELINE'!$B:$I,8,FALSE)</f>
        <v>01030670</v>
      </c>
      <c r="F2262" s="6" t="str">
        <f t="shared" si="77"/>
        <v>0103067004</v>
      </c>
    </row>
    <row r="2263" spans="1:6" x14ac:dyDescent="0.3">
      <c r="A2263" s="6" t="s">
        <v>2263</v>
      </c>
      <c r="B2263">
        <v>32733938</v>
      </c>
      <c r="C2263" s="3">
        <v>1</v>
      </c>
      <c r="D2263" s="5" t="str">
        <f t="shared" si="76"/>
        <v>01</v>
      </c>
      <c r="E2263" t="str">
        <f>VLOOKUP(B2263,'HOGARES-BASELINE'!$B:$I,8,FALSE)</f>
        <v>01030670</v>
      </c>
      <c r="F2263" s="6" t="str">
        <f t="shared" si="77"/>
        <v>0103067001</v>
      </c>
    </row>
    <row r="2264" spans="1:6" x14ac:dyDescent="0.3">
      <c r="A2264" s="6" t="s">
        <v>2264</v>
      </c>
      <c r="B2264">
        <v>32733938</v>
      </c>
      <c r="C2264" s="3">
        <v>2</v>
      </c>
      <c r="D2264" s="5" t="str">
        <f t="shared" si="76"/>
        <v>02</v>
      </c>
      <c r="E2264" t="str">
        <f>VLOOKUP(B2264,'HOGARES-BASELINE'!$B:$I,8,FALSE)</f>
        <v>01030670</v>
      </c>
      <c r="F2264" s="6" t="str">
        <f t="shared" si="77"/>
        <v>0103067002</v>
      </c>
    </row>
    <row r="2265" spans="1:6" x14ac:dyDescent="0.3">
      <c r="A2265" s="6" t="s">
        <v>2265</v>
      </c>
      <c r="B2265">
        <v>32733938</v>
      </c>
      <c r="C2265" s="3">
        <v>5</v>
      </c>
      <c r="D2265" s="5" t="str">
        <f t="shared" si="76"/>
        <v>05</v>
      </c>
      <c r="E2265" t="str">
        <f>VLOOKUP(B2265,'HOGARES-BASELINE'!$B:$I,8,FALSE)</f>
        <v>01030670</v>
      </c>
      <c r="F2265" s="6" t="str">
        <f t="shared" si="77"/>
        <v>0103067005</v>
      </c>
    </row>
    <row r="2266" spans="1:6" x14ac:dyDescent="0.3">
      <c r="A2266" s="6" t="s">
        <v>2266</v>
      </c>
      <c r="B2266">
        <v>32734044</v>
      </c>
      <c r="C2266" s="3">
        <v>1</v>
      </c>
      <c r="D2266" s="5" t="str">
        <f t="shared" si="76"/>
        <v>01</v>
      </c>
      <c r="E2266" t="str">
        <f>VLOOKUP(B2266,'HOGARES-BASELINE'!$B:$I,8,FALSE)</f>
        <v>01030671</v>
      </c>
      <c r="F2266" s="6" t="str">
        <f t="shared" si="77"/>
        <v>0103067101</v>
      </c>
    </row>
    <row r="2267" spans="1:6" x14ac:dyDescent="0.3">
      <c r="A2267" s="6" t="s">
        <v>2267</v>
      </c>
      <c r="B2267">
        <v>32734044</v>
      </c>
      <c r="C2267" s="3">
        <v>2</v>
      </c>
      <c r="D2267" s="5" t="str">
        <f t="shared" si="76"/>
        <v>02</v>
      </c>
      <c r="E2267" t="str">
        <f>VLOOKUP(B2267,'HOGARES-BASELINE'!$B:$I,8,FALSE)</f>
        <v>01030671</v>
      </c>
      <c r="F2267" s="6" t="str">
        <f t="shared" si="77"/>
        <v>0103067102</v>
      </c>
    </row>
    <row r="2268" spans="1:6" x14ac:dyDescent="0.3">
      <c r="A2268" s="6" t="s">
        <v>2268</v>
      </c>
      <c r="B2268">
        <v>32734044</v>
      </c>
      <c r="C2268" s="3">
        <v>3</v>
      </c>
      <c r="D2268" s="5" t="str">
        <f t="shared" si="76"/>
        <v>03</v>
      </c>
      <c r="E2268" t="str">
        <f>VLOOKUP(B2268,'HOGARES-BASELINE'!$B:$I,8,FALSE)</f>
        <v>01030671</v>
      </c>
      <c r="F2268" s="6" t="str">
        <f t="shared" si="77"/>
        <v>0103067103</v>
      </c>
    </row>
    <row r="2269" spans="1:6" x14ac:dyDescent="0.3">
      <c r="A2269" s="6" t="s">
        <v>2269</v>
      </c>
      <c r="B2269">
        <v>32736975</v>
      </c>
      <c r="C2269" s="3">
        <v>2</v>
      </c>
      <c r="D2269" s="5" t="str">
        <f t="shared" si="76"/>
        <v>02</v>
      </c>
      <c r="E2269" t="str">
        <f>VLOOKUP(B2269,'HOGARES-BASELINE'!$B:$I,8,FALSE)</f>
        <v>01030672</v>
      </c>
      <c r="F2269" s="6" t="str">
        <f t="shared" si="77"/>
        <v>0103067202</v>
      </c>
    </row>
    <row r="2270" spans="1:6" x14ac:dyDescent="0.3">
      <c r="A2270" s="6" t="s">
        <v>2270</v>
      </c>
      <c r="B2270">
        <v>32736975</v>
      </c>
      <c r="C2270" s="3">
        <v>3</v>
      </c>
      <c r="D2270" s="5" t="str">
        <f t="shared" si="76"/>
        <v>03</v>
      </c>
      <c r="E2270" t="str">
        <f>VLOOKUP(B2270,'HOGARES-BASELINE'!$B:$I,8,FALSE)</f>
        <v>01030672</v>
      </c>
      <c r="F2270" s="6" t="str">
        <f t="shared" si="77"/>
        <v>0103067203</v>
      </c>
    </row>
    <row r="2271" spans="1:6" x14ac:dyDescent="0.3">
      <c r="A2271" s="6" t="s">
        <v>2271</v>
      </c>
      <c r="B2271">
        <v>32736975</v>
      </c>
      <c r="C2271" s="3">
        <v>4</v>
      </c>
      <c r="D2271" s="5" t="str">
        <f t="shared" si="76"/>
        <v>04</v>
      </c>
      <c r="E2271" t="str">
        <f>VLOOKUP(B2271,'HOGARES-BASELINE'!$B:$I,8,FALSE)</f>
        <v>01030672</v>
      </c>
      <c r="F2271" s="6" t="str">
        <f t="shared" si="77"/>
        <v>0103067204</v>
      </c>
    </row>
    <row r="2272" spans="1:6" x14ac:dyDescent="0.3">
      <c r="A2272" s="6" t="s">
        <v>2272</v>
      </c>
      <c r="B2272">
        <v>32736975</v>
      </c>
      <c r="C2272" s="3">
        <v>1</v>
      </c>
      <c r="D2272" s="5" t="str">
        <f t="shared" si="76"/>
        <v>01</v>
      </c>
      <c r="E2272" t="str">
        <f>VLOOKUP(B2272,'HOGARES-BASELINE'!$B:$I,8,FALSE)</f>
        <v>01030672</v>
      </c>
      <c r="F2272" s="6" t="str">
        <f t="shared" si="77"/>
        <v>0103067201</v>
      </c>
    </row>
    <row r="2273" spans="1:6" x14ac:dyDescent="0.3">
      <c r="A2273" s="6" t="s">
        <v>2273</v>
      </c>
      <c r="B2273">
        <v>32736975</v>
      </c>
      <c r="C2273" s="3">
        <v>5</v>
      </c>
      <c r="D2273" s="5" t="str">
        <f t="shared" si="76"/>
        <v>05</v>
      </c>
      <c r="E2273" t="str">
        <f>VLOOKUP(B2273,'HOGARES-BASELINE'!$B:$I,8,FALSE)</f>
        <v>01030672</v>
      </c>
      <c r="F2273" s="6" t="str">
        <f t="shared" si="77"/>
        <v>0103067205</v>
      </c>
    </row>
    <row r="2274" spans="1:6" x14ac:dyDescent="0.3">
      <c r="A2274" s="6" t="s">
        <v>2274</v>
      </c>
      <c r="B2274">
        <v>32740221</v>
      </c>
      <c r="C2274" s="3">
        <v>3</v>
      </c>
      <c r="D2274" s="5" t="str">
        <f t="shared" si="76"/>
        <v>03</v>
      </c>
      <c r="E2274" t="str">
        <f>VLOOKUP(B2274,'HOGARES-BASELINE'!$B:$I,8,FALSE)</f>
        <v>01030673</v>
      </c>
      <c r="F2274" s="6" t="str">
        <f t="shared" si="77"/>
        <v>0103067303</v>
      </c>
    </row>
    <row r="2275" spans="1:6" x14ac:dyDescent="0.3">
      <c r="A2275" s="6" t="s">
        <v>2275</v>
      </c>
      <c r="B2275">
        <v>32740221</v>
      </c>
      <c r="C2275" s="3">
        <v>2</v>
      </c>
      <c r="D2275" s="5" t="str">
        <f t="shared" si="76"/>
        <v>02</v>
      </c>
      <c r="E2275" t="str">
        <f>VLOOKUP(B2275,'HOGARES-BASELINE'!$B:$I,8,FALSE)</f>
        <v>01030673</v>
      </c>
      <c r="F2275" s="6" t="str">
        <f t="shared" si="77"/>
        <v>0103067302</v>
      </c>
    </row>
    <row r="2276" spans="1:6" x14ac:dyDescent="0.3">
      <c r="A2276" s="6" t="s">
        <v>2276</v>
      </c>
      <c r="B2276">
        <v>32740221</v>
      </c>
      <c r="C2276" s="3">
        <v>1</v>
      </c>
      <c r="D2276" s="5" t="str">
        <f t="shared" si="76"/>
        <v>01</v>
      </c>
      <c r="E2276" t="str">
        <f>VLOOKUP(B2276,'HOGARES-BASELINE'!$B:$I,8,FALSE)</f>
        <v>01030673</v>
      </c>
      <c r="F2276" s="6" t="str">
        <f t="shared" si="77"/>
        <v>0103067301</v>
      </c>
    </row>
    <row r="2277" spans="1:6" x14ac:dyDescent="0.3">
      <c r="A2277" s="6" t="s">
        <v>2277</v>
      </c>
      <c r="B2277">
        <v>32740279</v>
      </c>
      <c r="C2277" s="3">
        <v>1</v>
      </c>
      <c r="D2277" s="5" t="str">
        <f t="shared" si="76"/>
        <v>01</v>
      </c>
      <c r="E2277" t="str">
        <f>VLOOKUP(B2277,'HOGARES-BASELINE'!$B:$I,8,FALSE)</f>
        <v>00030674</v>
      </c>
      <c r="F2277" s="6" t="str">
        <f t="shared" si="77"/>
        <v>0003067401</v>
      </c>
    </row>
    <row r="2278" spans="1:6" x14ac:dyDescent="0.3">
      <c r="A2278" s="6" t="s">
        <v>2278</v>
      </c>
      <c r="B2278">
        <v>32740999</v>
      </c>
      <c r="C2278" s="3">
        <v>4</v>
      </c>
      <c r="D2278" s="5" t="str">
        <f t="shared" si="76"/>
        <v>04</v>
      </c>
      <c r="E2278" t="str">
        <f>VLOOKUP(B2278,'HOGARES-BASELINE'!$B:$I,8,FALSE)</f>
        <v>01030675</v>
      </c>
      <c r="F2278" s="6" t="str">
        <f t="shared" si="77"/>
        <v>0103067504</v>
      </c>
    </row>
    <row r="2279" spans="1:6" x14ac:dyDescent="0.3">
      <c r="A2279" s="6" t="s">
        <v>2279</v>
      </c>
      <c r="B2279">
        <v>32740999</v>
      </c>
      <c r="C2279" s="3">
        <v>5</v>
      </c>
      <c r="D2279" s="5" t="str">
        <f t="shared" si="76"/>
        <v>05</v>
      </c>
      <c r="E2279" t="str">
        <f>VLOOKUP(B2279,'HOGARES-BASELINE'!$B:$I,8,FALSE)</f>
        <v>01030675</v>
      </c>
      <c r="F2279" s="6" t="str">
        <f t="shared" si="77"/>
        <v>0103067505</v>
      </c>
    </row>
    <row r="2280" spans="1:6" x14ac:dyDescent="0.3">
      <c r="A2280" s="6" t="s">
        <v>2280</v>
      </c>
      <c r="B2280">
        <v>32740999</v>
      </c>
      <c r="C2280" s="3">
        <v>2</v>
      </c>
      <c r="D2280" s="5" t="str">
        <f t="shared" si="76"/>
        <v>02</v>
      </c>
      <c r="E2280" t="str">
        <f>VLOOKUP(B2280,'HOGARES-BASELINE'!$B:$I,8,FALSE)</f>
        <v>01030675</v>
      </c>
      <c r="F2280" s="6" t="str">
        <f t="shared" si="77"/>
        <v>0103067502</v>
      </c>
    </row>
    <row r="2281" spans="1:6" x14ac:dyDescent="0.3">
      <c r="A2281" s="6" t="s">
        <v>2281</v>
      </c>
      <c r="B2281">
        <v>32740999</v>
      </c>
      <c r="C2281" s="3">
        <v>6</v>
      </c>
      <c r="D2281" s="5" t="str">
        <f t="shared" si="76"/>
        <v>06</v>
      </c>
      <c r="E2281" t="str">
        <f>VLOOKUP(B2281,'HOGARES-BASELINE'!$B:$I,8,FALSE)</f>
        <v>01030675</v>
      </c>
      <c r="F2281" s="6" t="str">
        <f t="shared" si="77"/>
        <v>0103067506</v>
      </c>
    </row>
    <row r="2282" spans="1:6" x14ac:dyDescent="0.3">
      <c r="A2282" s="6" t="s">
        <v>2282</v>
      </c>
      <c r="B2282">
        <v>32740999</v>
      </c>
      <c r="C2282" s="3">
        <v>1</v>
      </c>
      <c r="D2282" s="5" t="str">
        <f t="shared" si="76"/>
        <v>01</v>
      </c>
      <c r="E2282" t="str">
        <f>VLOOKUP(B2282,'HOGARES-BASELINE'!$B:$I,8,FALSE)</f>
        <v>01030675</v>
      </c>
      <c r="F2282" s="6" t="str">
        <f t="shared" si="77"/>
        <v>0103067501</v>
      </c>
    </row>
    <row r="2283" spans="1:6" x14ac:dyDescent="0.3">
      <c r="A2283" s="6" t="s">
        <v>2283</v>
      </c>
      <c r="B2283">
        <v>32740999</v>
      </c>
      <c r="C2283" s="3">
        <v>3</v>
      </c>
      <c r="D2283" s="5" t="str">
        <f t="shared" si="76"/>
        <v>03</v>
      </c>
      <c r="E2283" t="str">
        <f>VLOOKUP(B2283,'HOGARES-BASELINE'!$B:$I,8,FALSE)</f>
        <v>01030675</v>
      </c>
      <c r="F2283" s="6" t="str">
        <f t="shared" si="77"/>
        <v>0103067503</v>
      </c>
    </row>
    <row r="2284" spans="1:6" x14ac:dyDescent="0.3">
      <c r="A2284" s="6" t="s">
        <v>2284</v>
      </c>
      <c r="B2284">
        <v>32741994</v>
      </c>
      <c r="C2284" s="3">
        <v>7</v>
      </c>
      <c r="D2284" s="5" t="str">
        <f t="shared" si="76"/>
        <v>07</v>
      </c>
      <c r="E2284" t="str">
        <f>VLOOKUP(B2284,'HOGARES-BASELINE'!$B:$I,8,FALSE)</f>
        <v>01030676</v>
      </c>
      <c r="F2284" s="6" t="str">
        <f t="shared" si="77"/>
        <v>0103067607</v>
      </c>
    </row>
    <row r="2285" spans="1:6" x14ac:dyDescent="0.3">
      <c r="A2285" s="6" t="s">
        <v>2285</v>
      </c>
      <c r="B2285">
        <v>32741994</v>
      </c>
      <c r="C2285" s="3">
        <v>6</v>
      </c>
      <c r="D2285" s="5" t="str">
        <f t="shared" si="76"/>
        <v>06</v>
      </c>
      <c r="E2285" t="str">
        <f>VLOOKUP(B2285,'HOGARES-BASELINE'!$B:$I,8,FALSE)</f>
        <v>01030676</v>
      </c>
      <c r="F2285" s="6" t="str">
        <f t="shared" si="77"/>
        <v>0103067606</v>
      </c>
    </row>
    <row r="2286" spans="1:6" x14ac:dyDescent="0.3">
      <c r="A2286" s="6" t="s">
        <v>2286</v>
      </c>
      <c r="B2286">
        <v>32741994</v>
      </c>
      <c r="C2286" s="3">
        <v>2</v>
      </c>
      <c r="D2286" s="5" t="str">
        <f t="shared" si="76"/>
        <v>02</v>
      </c>
      <c r="E2286" t="str">
        <f>VLOOKUP(B2286,'HOGARES-BASELINE'!$B:$I,8,FALSE)</f>
        <v>01030676</v>
      </c>
      <c r="F2286" s="6" t="str">
        <f t="shared" si="77"/>
        <v>0103067602</v>
      </c>
    </row>
    <row r="2287" spans="1:6" x14ac:dyDescent="0.3">
      <c r="A2287" s="6" t="s">
        <v>2287</v>
      </c>
      <c r="B2287">
        <v>32741994</v>
      </c>
      <c r="C2287" s="3">
        <v>4</v>
      </c>
      <c r="D2287" s="5" t="str">
        <f t="shared" si="76"/>
        <v>04</v>
      </c>
      <c r="E2287" t="str">
        <f>VLOOKUP(B2287,'HOGARES-BASELINE'!$B:$I,8,FALSE)</f>
        <v>01030676</v>
      </c>
      <c r="F2287" s="6" t="str">
        <f t="shared" si="77"/>
        <v>0103067604</v>
      </c>
    </row>
    <row r="2288" spans="1:6" x14ac:dyDescent="0.3">
      <c r="A2288" s="6" t="s">
        <v>2288</v>
      </c>
      <c r="B2288">
        <v>32741994</v>
      </c>
      <c r="C2288" s="3">
        <v>5</v>
      </c>
      <c r="D2288" s="5" t="str">
        <f t="shared" si="76"/>
        <v>05</v>
      </c>
      <c r="E2288" t="str">
        <f>VLOOKUP(B2288,'HOGARES-BASELINE'!$B:$I,8,FALSE)</f>
        <v>01030676</v>
      </c>
      <c r="F2288" s="6" t="str">
        <f t="shared" si="77"/>
        <v>0103067605</v>
      </c>
    </row>
    <row r="2289" spans="1:6" x14ac:dyDescent="0.3">
      <c r="A2289" s="6" t="s">
        <v>2289</v>
      </c>
      <c r="B2289">
        <v>32741994</v>
      </c>
      <c r="C2289" s="3">
        <v>3</v>
      </c>
      <c r="D2289" s="5" t="str">
        <f t="shared" si="76"/>
        <v>03</v>
      </c>
      <c r="E2289" t="str">
        <f>VLOOKUP(B2289,'HOGARES-BASELINE'!$B:$I,8,FALSE)</f>
        <v>01030676</v>
      </c>
      <c r="F2289" s="6" t="str">
        <f t="shared" si="77"/>
        <v>0103067603</v>
      </c>
    </row>
    <row r="2290" spans="1:6" x14ac:dyDescent="0.3">
      <c r="A2290" s="6" t="s">
        <v>2290</v>
      </c>
      <c r="B2290">
        <v>32741994</v>
      </c>
      <c r="C2290" s="3">
        <v>1</v>
      </c>
      <c r="D2290" s="5" t="str">
        <f t="shared" ref="D2290:D2353" si="78">_xlfn.CONCAT(0,C2290)</f>
        <v>01</v>
      </c>
      <c r="E2290" t="str">
        <f>VLOOKUP(B2290,'HOGARES-BASELINE'!$B:$I,8,FALSE)</f>
        <v>01030676</v>
      </c>
      <c r="F2290" s="6" t="str">
        <f t="shared" si="77"/>
        <v>0103067601</v>
      </c>
    </row>
    <row r="2291" spans="1:6" x14ac:dyDescent="0.3">
      <c r="A2291" s="6" t="s">
        <v>2291</v>
      </c>
      <c r="B2291">
        <v>32744428</v>
      </c>
      <c r="C2291" s="3">
        <v>3</v>
      </c>
      <c r="D2291" s="5" t="str">
        <f t="shared" si="78"/>
        <v>03</v>
      </c>
      <c r="E2291" t="str">
        <f>VLOOKUP(B2291,'HOGARES-BASELINE'!$B:$I,8,FALSE)</f>
        <v>01030677</v>
      </c>
      <c r="F2291" s="6" t="str">
        <f t="shared" si="77"/>
        <v>0103067703</v>
      </c>
    </row>
    <row r="2292" spans="1:6" x14ac:dyDescent="0.3">
      <c r="A2292" s="6" t="s">
        <v>2292</v>
      </c>
      <c r="B2292">
        <v>32744428</v>
      </c>
      <c r="C2292" s="3">
        <v>1</v>
      </c>
      <c r="D2292" s="5" t="str">
        <f t="shared" si="78"/>
        <v>01</v>
      </c>
      <c r="E2292" t="str">
        <f>VLOOKUP(B2292,'HOGARES-BASELINE'!$B:$I,8,FALSE)</f>
        <v>01030677</v>
      </c>
      <c r="F2292" s="6" t="str">
        <f t="shared" si="77"/>
        <v>0103067701</v>
      </c>
    </row>
    <row r="2293" spans="1:6" x14ac:dyDescent="0.3">
      <c r="A2293" s="6" t="s">
        <v>2293</v>
      </c>
      <c r="B2293">
        <v>32744428</v>
      </c>
      <c r="C2293" s="3">
        <v>2</v>
      </c>
      <c r="D2293" s="5" t="str">
        <f t="shared" si="78"/>
        <v>02</v>
      </c>
      <c r="E2293" t="str">
        <f>VLOOKUP(B2293,'HOGARES-BASELINE'!$B:$I,8,FALSE)</f>
        <v>01030677</v>
      </c>
      <c r="F2293" s="6" t="str">
        <f t="shared" si="77"/>
        <v>0103067702</v>
      </c>
    </row>
    <row r="2294" spans="1:6" x14ac:dyDescent="0.3">
      <c r="A2294" s="6" t="s">
        <v>2294</v>
      </c>
      <c r="B2294">
        <v>32745229</v>
      </c>
      <c r="C2294" s="3">
        <v>4</v>
      </c>
      <c r="D2294" s="5" t="str">
        <f t="shared" si="78"/>
        <v>04</v>
      </c>
      <c r="E2294" t="str">
        <f>VLOOKUP(B2294,'HOGARES-BASELINE'!$B:$I,8,FALSE)</f>
        <v>00030678</v>
      </c>
      <c r="F2294" s="6" t="str">
        <f t="shared" si="77"/>
        <v>0003067804</v>
      </c>
    </row>
    <row r="2295" spans="1:6" x14ac:dyDescent="0.3">
      <c r="A2295" s="6" t="s">
        <v>2295</v>
      </c>
      <c r="B2295">
        <v>32745229</v>
      </c>
      <c r="C2295" s="3">
        <v>5</v>
      </c>
      <c r="D2295" s="5" t="str">
        <f t="shared" si="78"/>
        <v>05</v>
      </c>
      <c r="E2295" t="str">
        <f>VLOOKUP(B2295,'HOGARES-BASELINE'!$B:$I,8,FALSE)</f>
        <v>00030678</v>
      </c>
      <c r="F2295" s="6" t="str">
        <f t="shared" si="77"/>
        <v>0003067805</v>
      </c>
    </row>
    <row r="2296" spans="1:6" x14ac:dyDescent="0.3">
      <c r="A2296" s="6" t="s">
        <v>2296</v>
      </c>
      <c r="B2296">
        <v>32745229</v>
      </c>
      <c r="C2296" s="3">
        <v>6</v>
      </c>
      <c r="D2296" s="5" t="str">
        <f t="shared" si="78"/>
        <v>06</v>
      </c>
      <c r="E2296" t="str">
        <f>VLOOKUP(B2296,'HOGARES-BASELINE'!$B:$I,8,FALSE)</f>
        <v>00030678</v>
      </c>
      <c r="F2296" s="6" t="str">
        <f t="shared" si="77"/>
        <v>0003067806</v>
      </c>
    </row>
    <row r="2297" spans="1:6" x14ac:dyDescent="0.3">
      <c r="A2297" s="6" t="s">
        <v>2297</v>
      </c>
      <c r="B2297">
        <v>32745229</v>
      </c>
      <c r="C2297" s="3">
        <v>2</v>
      </c>
      <c r="D2297" s="5" t="str">
        <f t="shared" si="78"/>
        <v>02</v>
      </c>
      <c r="E2297" t="str">
        <f>VLOOKUP(B2297,'HOGARES-BASELINE'!$B:$I,8,FALSE)</f>
        <v>00030678</v>
      </c>
      <c r="F2297" s="6" t="str">
        <f t="shared" si="77"/>
        <v>0003067802</v>
      </c>
    </row>
    <row r="2298" spans="1:6" x14ac:dyDescent="0.3">
      <c r="A2298" s="6" t="s">
        <v>2298</v>
      </c>
      <c r="B2298">
        <v>32745229</v>
      </c>
      <c r="C2298" s="3">
        <v>3</v>
      </c>
      <c r="D2298" s="5" t="str">
        <f t="shared" si="78"/>
        <v>03</v>
      </c>
      <c r="E2298" t="str">
        <f>VLOOKUP(B2298,'HOGARES-BASELINE'!$B:$I,8,FALSE)</f>
        <v>00030678</v>
      </c>
      <c r="F2298" s="6" t="str">
        <f t="shared" si="77"/>
        <v>0003067803</v>
      </c>
    </row>
    <row r="2299" spans="1:6" x14ac:dyDescent="0.3">
      <c r="A2299" s="6" t="s">
        <v>2299</v>
      </c>
      <c r="B2299">
        <v>32745229</v>
      </c>
      <c r="C2299" s="3">
        <v>1</v>
      </c>
      <c r="D2299" s="5" t="str">
        <f t="shared" si="78"/>
        <v>01</v>
      </c>
      <c r="E2299" t="str">
        <f>VLOOKUP(B2299,'HOGARES-BASELINE'!$B:$I,8,FALSE)</f>
        <v>00030678</v>
      </c>
      <c r="F2299" s="6" t="str">
        <f t="shared" si="77"/>
        <v>0003067801</v>
      </c>
    </row>
    <row r="2300" spans="1:6" x14ac:dyDescent="0.3">
      <c r="A2300" s="6" t="s">
        <v>2300</v>
      </c>
      <c r="B2300">
        <v>32749067</v>
      </c>
      <c r="C2300" s="3">
        <v>4</v>
      </c>
      <c r="D2300" s="5" t="str">
        <f t="shared" si="78"/>
        <v>04</v>
      </c>
      <c r="E2300" t="str">
        <f>VLOOKUP(B2300,'HOGARES-BASELINE'!$B:$I,8,FALSE)</f>
        <v>00030679</v>
      </c>
      <c r="F2300" s="6" t="str">
        <f t="shared" si="77"/>
        <v>0003067904</v>
      </c>
    </row>
    <row r="2301" spans="1:6" x14ac:dyDescent="0.3">
      <c r="A2301" s="6" t="s">
        <v>2301</v>
      </c>
      <c r="B2301">
        <v>32749067</v>
      </c>
      <c r="C2301" s="3">
        <v>3</v>
      </c>
      <c r="D2301" s="5" t="str">
        <f t="shared" si="78"/>
        <v>03</v>
      </c>
      <c r="E2301" t="str">
        <f>VLOOKUP(B2301,'HOGARES-BASELINE'!$B:$I,8,FALSE)</f>
        <v>00030679</v>
      </c>
      <c r="F2301" s="6" t="str">
        <f t="shared" si="77"/>
        <v>0003067903</v>
      </c>
    </row>
    <row r="2302" spans="1:6" x14ac:dyDescent="0.3">
      <c r="A2302" s="6" t="s">
        <v>2302</v>
      </c>
      <c r="B2302">
        <v>32749067</v>
      </c>
      <c r="C2302" s="3">
        <v>2</v>
      </c>
      <c r="D2302" s="5" t="str">
        <f t="shared" si="78"/>
        <v>02</v>
      </c>
      <c r="E2302" t="str">
        <f>VLOOKUP(B2302,'HOGARES-BASELINE'!$B:$I,8,FALSE)</f>
        <v>00030679</v>
      </c>
      <c r="F2302" s="6" t="str">
        <f t="shared" si="77"/>
        <v>0003067902</v>
      </c>
    </row>
    <row r="2303" spans="1:6" x14ac:dyDescent="0.3">
      <c r="A2303" s="6" t="s">
        <v>2303</v>
      </c>
      <c r="B2303">
        <v>32749067</v>
      </c>
      <c r="C2303" s="3">
        <v>1</v>
      </c>
      <c r="D2303" s="5" t="str">
        <f t="shared" si="78"/>
        <v>01</v>
      </c>
      <c r="E2303" t="str">
        <f>VLOOKUP(B2303,'HOGARES-BASELINE'!$B:$I,8,FALSE)</f>
        <v>00030679</v>
      </c>
      <c r="F2303" s="6" t="str">
        <f t="shared" si="77"/>
        <v>0003067901</v>
      </c>
    </row>
    <row r="2304" spans="1:6" x14ac:dyDescent="0.3">
      <c r="A2304" s="6" t="s">
        <v>2304</v>
      </c>
      <c r="B2304">
        <v>32750464</v>
      </c>
      <c r="C2304" s="3">
        <v>4</v>
      </c>
      <c r="D2304" s="5" t="str">
        <f t="shared" si="78"/>
        <v>04</v>
      </c>
      <c r="E2304" t="str">
        <f>VLOOKUP(B2304,'HOGARES-BASELINE'!$B:$I,8,FALSE)</f>
        <v>00030680</v>
      </c>
      <c r="F2304" s="6" t="str">
        <f t="shared" si="77"/>
        <v>0003068004</v>
      </c>
    </row>
    <row r="2305" spans="1:6" x14ac:dyDescent="0.3">
      <c r="A2305" s="6" t="s">
        <v>2305</v>
      </c>
      <c r="B2305">
        <v>32750464</v>
      </c>
      <c r="C2305" s="3">
        <v>5</v>
      </c>
      <c r="D2305" s="5" t="str">
        <f t="shared" si="78"/>
        <v>05</v>
      </c>
      <c r="E2305" t="str">
        <f>VLOOKUP(B2305,'HOGARES-BASELINE'!$B:$I,8,FALSE)</f>
        <v>00030680</v>
      </c>
      <c r="F2305" s="6" t="str">
        <f t="shared" si="77"/>
        <v>0003068005</v>
      </c>
    </row>
    <row r="2306" spans="1:6" x14ac:dyDescent="0.3">
      <c r="A2306" s="6" t="s">
        <v>2306</v>
      </c>
      <c r="B2306">
        <v>32750464</v>
      </c>
      <c r="C2306" s="3">
        <v>1</v>
      </c>
      <c r="D2306" s="5" t="str">
        <f t="shared" si="78"/>
        <v>01</v>
      </c>
      <c r="E2306" t="str">
        <f>VLOOKUP(B2306,'HOGARES-BASELINE'!$B:$I,8,FALSE)</f>
        <v>00030680</v>
      </c>
      <c r="F2306" s="6" t="str">
        <f t="shared" si="77"/>
        <v>0003068001</v>
      </c>
    </row>
    <row r="2307" spans="1:6" x14ac:dyDescent="0.3">
      <c r="A2307" s="6" t="s">
        <v>2307</v>
      </c>
      <c r="B2307">
        <v>32750464</v>
      </c>
      <c r="C2307" s="3">
        <v>2</v>
      </c>
      <c r="D2307" s="5" t="str">
        <f t="shared" si="78"/>
        <v>02</v>
      </c>
      <c r="E2307" t="str">
        <f>VLOOKUP(B2307,'HOGARES-BASELINE'!$B:$I,8,FALSE)</f>
        <v>00030680</v>
      </c>
      <c r="F2307" s="6" t="str">
        <f t="shared" ref="F2307:F2370" si="79">_xlfn.CONCAT(E2307,D2307)</f>
        <v>0003068002</v>
      </c>
    </row>
    <row r="2308" spans="1:6" x14ac:dyDescent="0.3">
      <c r="A2308" s="6" t="s">
        <v>2308</v>
      </c>
      <c r="B2308">
        <v>32750464</v>
      </c>
      <c r="C2308" s="3">
        <v>3</v>
      </c>
      <c r="D2308" s="5" t="str">
        <f t="shared" si="78"/>
        <v>03</v>
      </c>
      <c r="E2308" t="str">
        <f>VLOOKUP(B2308,'HOGARES-BASELINE'!$B:$I,8,FALSE)</f>
        <v>00030680</v>
      </c>
      <c r="F2308" s="6" t="str">
        <f t="shared" si="79"/>
        <v>0003068003</v>
      </c>
    </row>
    <row r="2309" spans="1:6" x14ac:dyDescent="0.3">
      <c r="A2309" s="6" t="s">
        <v>2309</v>
      </c>
      <c r="B2309">
        <v>32752555</v>
      </c>
      <c r="C2309" s="3">
        <v>2</v>
      </c>
      <c r="D2309" s="5" t="str">
        <f t="shared" si="78"/>
        <v>02</v>
      </c>
      <c r="E2309" t="str">
        <f>VLOOKUP(B2309,'HOGARES-BASELINE'!$B:$I,8,FALSE)</f>
        <v>01030681</v>
      </c>
      <c r="F2309" s="6" t="str">
        <f t="shared" si="79"/>
        <v>0103068102</v>
      </c>
    </row>
    <row r="2310" spans="1:6" x14ac:dyDescent="0.3">
      <c r="A2310" s="6" t="s">
        <v>2310</v>
      </c>
      <c r="B2310">
        <v>32752555</v>
      </c>
      <c r="C2310" s="3">
        <v>3</v>
      </c>
      <c r="D2310" s="5" t="str">
        <f t="shared" si="78"/>
        <v>03</v>
      </c>
      <c r="E2310" t="str">
        <f>VLOOKUP(B2310,'HOGARES-BASELINE'!$B:$I,8,FALSE)</f>
        <v>01030681</v>
      </c>
      <c r="F2310" s="6" t="str">
        <f t="shared" si="79"/>
        <v>0103068103</v>
      </c>
    </row>
    <row r="2311" spans="1:6" x14ac:dyDescent="0.3">
      <c r="A2311" s="6" t="s">
        <v>2311</v>
      </c>
      <c r="B2311">
        <v>32752555</v>
      </c>
      <c r="C2311" s="3">
        <v>4</v>
      </c>
      <c r="D2311" s="5" t="str">
        <f t="shared" si="78"/>
        <v>04</v>
      </c>
      <c r="E2311" t="str">
        <f>VLOOKUP(B2311,'HOGARES-BASELINE'!$B:$I,8,FALSE)</f>
        <v>01030681</v>
      </c>
      <c r="F2311" s="6" t="str">
        <f t="shared" si="79"/>
        <v>0103068104</v>
      </c>
    </row>
    <row r="2312" spans="1:6" x14ac:dyDescent="0.3">
      <c r="A2312" s="6" t="s">
        <v>2312</v>
      </c>
      <c r="B2312">
        <v>32752555</v>
      </c>
      <c r="C2312" s="3">
        <v>1</v>
      </c>
      <c r="D2312" s="5" t="str">
        <f t="shared" si="78"/>
        <v>01</v>
      </c>
      <c r="E2312" t="str">
        <f>VLOOKUP(B2312,'HOGARES-BASELINE'!$B:$I,8,FALSE)</f>
        <v>01030681</v>
      </c>
      <c r="F2312" s="6" t="str">
        <f t="shared" si="79"/>
        <v>0103068101</v>
      </c>
    </row>
    <row r="2313" spans="1:6" x14ac:dyDescent="0.3">
      <c r="A2313" s="6" t="s">
        <v>2313</v>
      </c>
      <c r="B2313">
        <v>32754634</v>
      </c>
      <c r="C2313" s="3">
        <v>1</v>
      </c>
      <c r="D2313" s="5" t="str">
        <f t="shared" si="78"/>
        <v>01</v>
      </c>
      <c r="E2313" t="str">
        <f>VLOOKUP(B2313,'HOGARES-BASELINE'!$B:$I,8,FALSE)</f>
        <v>00030682</v>
      </c>
      <c r="F2313" s="6" t="str">
        <f t="shared" si="79"/>
        <v>0003068201</v>
      </c>
    </row>
    <row r="2314" spans="1:6" x14ac:dyDescent="0.3">
      <c r="A2314" s="6" t="s">
        <v>2314</v>
      </c>
      <c r="B2314">
        <v>32754634</v>
      </c>
      <c r="C2314" s="3">
        <v>2</v>
      </c>
      <c r="D2314" s="5" t="str">
        <f t="shared" si="78"/>
        <v>02</v>
      </c>
      <c r="E2314" t="str">
        <f>VLOOKUP(B2314,'HOGARES-BASELINE'!$B:$I,8,FALSE)</f>
        <v>00030682</v>
      </c>
      <c r="F2314" s="6" t="str">
        <f t="shared" si="79"/>
        <v>0003068202</v>
      </c>
    </row>
    <row r="2315" spans="1:6" x14ac:dyDescent="0.3">
      <c r="A2315" s="6" t="s">
        <v>2315</v>
      </c>
      <c r="B2315">
        <v>32761116</v>
      </c>
      <c r="C2315" s="3">
        <v>7</v>
      </c>
      <c r="D2315" s="5" t="str">
        <f t="shared" si="78"/>
        <v>07</v>
      </c>
      <c r="E2315" t="str">
        <f>VLOOKUP(B2315,'HOGARES-BASELINE'!$B:$I,8,FALSE)</f>
        <v>00030683</v>
      </c>
      <c r="F2315" s="6" t="str">
        <f t="shared" si="79"/>
        <v>0003068307</v>
      </c>
    </row>
    <row r="2316" spans="1:6" x14ac:dyDescent="0.3">
      <c r="A2316" s="6" t="s">
        <v>2316</v>
      </c>
      <c r="B2316">
        <v>32761116</v>
      </c>
      <c r="C2316" s="3">
        <v>5</v>
      </c>
      <c r="D2316" s="5" t="str">
        <f t="shared" si="78"/>
        <v>05</v>
      </c>
      <c r="E2316" t="str">
        <f>VLOOKUP(B2316,'HOGARES-BASELINE'!$B:$I,8,FALSE)</f>
        <v>00030683</v>
      </c>
      <c r="F2316" s="6" t="str">
        <f t="shared" si="79"/>
        <v>0003068305</v>
      </c>
    </row>
    <row r="2317" spans="1:6" x14ac:dyDescent="0.3">
      <c r="A2317" s="6" t="s">
        <v>2317</v>
      </c>
      <c r="B2317">
        <v>32761116</v>
      </c>
      <c r="C2317" s="3">
        <v>6</v>
      </c>
      <c r="D2317" s="5" t="str">
        <f t="shared" si="78"/>
        <v>06</v>
      </c>
      <c r="E2317" t="str">
        <f>VLOOKUP(B2317,'HOGARES-BASELINE'!$B:$I,8,FALSE)</f>
        <v>00030683</v>
      </c>
      <c r="F2317" s="6" t="str">
        <f t="shared" si="79"/>
        <v>0003068306</v>
      </c>
    </row>
    <row r="2318" spans="1:6" x14ac:dyDescent="0.3">
      <c r="A2318" s="6" t="s">
        <v>2318</v>
      </c>
      <c r="B2318">
        <v>32761116</v>
      </c>
      <c r="C2318" s="3">
        <v>1</v>
      </c>
      <c r="D2318" s="5" t="str">
        <f t="shared" si="78"/>
        <v>01</v>
      </c>
      <c r="E2318" t="str">
        <f>VLOOKUP(B2318,'HOGARES-BASELINE'!$B:$I,8,FALSE)</f>
        <v>00030683</v>
      </c>
      <c r="F2318" s="6" t="str">
        <f t="shared" si="79"/>
        <v>0003068301</v>
      </c>
    </row>
    <row r="2319" spans="1:6" x14ac:dyDescent="0.3">
      <c r="A2319" s="6" t="s">
        <v>2319</v>
      </c>
      <c r="B2319">
        <v>32761116</v>
      </c>
      <c r="C2319" s="3">
        <v>3</v>
      </c>
      <c r="D2319" s="5" t="str">
        <f t="shared" si="78"/>
        <v>03</v>
      </c>
      <c r="E2319" t="str">
        <f>VLOOKUP(B2319,'HOGARES-BASELINE'!$B:$I,8,FALSE)</f>
        <v>00030683</v>
      </c>
      <c r="F2319" s="6" t="str">
        <f t="shared" si="79"/>
        <v>0003068303</v>
      </c>
    </row>
    <row r="2320" spans="1:6" x14ac:dyDescent="0.3">
      <c r="A2320" s="6" t="s">
        <v>2320</v>
      </c>
      <c r="B2320">
        <v>32761116</v>
      </c>
      <c r="C2320" s="3">
        <v>4</v>
      </c>
      <c r="D2320" s="5" t="str">
        <f t="shared" si="78"/>
        <v>04</v>
      </c>
      <c r="E2320" t="str">
        <f>VLOOKUP(B2320,'HOGARES-BASELINE'!$B:$I,8,FALSE)</f>
        <v>00030683</v>
      </c>
      <c r="F2320" s="6" t="str">
        <f t="shared" si="79"/>
        <v>0003068304</v>
      </c>
    </row>
    <row r="2321" spans="1:6" x14ac:dyDescent="0.3">
      <c r="A2321" s="6" t="s">
        <v>2321</v>
      </c>
      <c r="B2321">
        <v>32761116</v>
      </c>
      <c r="C2321" s="3">
        <v>2</v>
      </c>
      <c r="D2321" s="5" t="str">
        <f t="shared" si="78"/>
        <v>02</v>
      </c>
      <c r="E2321" t="str">
        <f>VLOOKUP(B2321,'HOGARES-BASELINE'!$B:$I,8,FALSE)</f>
        <v>00030683</v>
      </c>
      <c r="F2321" s="6" t="str">
        <f t="shared" si="79"/>
        <v>0003068302</v>
      </c>
    </row>
    <row r="2322" spans="1:6" x14ac:dyDescent="0.3">
      <c r="A2322" s="6" t="s">
        <v>2322</v>
      </c>
      <c r="B2322">
        <v>32764598</v>
      </c>
      <c r="C2322" s="3">
        <v>2</v>
      </c>
      <c r="D2322" s="5" t="str">
        <f t="shared" si="78"/>
        <v>02</v>
      </c>
      <c r="E2322" t="str">
        <f>VLOOKUP(B2322,'HOGARES-BASELINE'!$B:$I,8,FALSE)</f>
        <v>01030684</v>
      </c>
      <c r="F2322" s="6" t="str">
        <f t="shared" si="79"/>
        <v>0103068402</v>
      </c>
    </row>
    <row r="2323" spans="1:6" x14ac:dyDescent="0.3">
      <c r="A2323" s="6" t="s">
        <v>2323</v>
      </c>
      <c r="B2323">
        <v>32764598</v>
      </c>
      <c r="C2323" s="3">
        <v>1</v>
      </c>
      <c r="D2323" s="5" t="str">
        <f t="shared" si="78"/>
        <v>01</v>
      </c>
      <c r="E2323" t="str">
        <f>VLOOKUP(B2323,'HOGARES-BASELINE'!$B:$I,8,FALSE)</f>
        <v>01030684</v>
      </c>
      <c r="F2323" s="6" t="str">
        <f t="shared" si="79"/>
        <v>0103068401</v>
      </c>
    </row>
    <row r="2324" spans="1:6" x14ac:dyDescent="0.3">
      <c r="A2324" s="6" t="s">
        <v>2324</v>
      </c>
      <c r="B2324">
        <v>32764598</v>
      </c>
      <c r="C2324" s="3">
        <v>5</v>
      </c>
      <c r="D2324" s="5" t="str">
        <f t="shared" si="78"/>
        <v>05</v>
      </c>
      <c r="E2324" t="str">
        <f>VLOOKUP(B2324,'HOGARES-BASELINE'!$B:$I,8,FALSE)</f>
        <v>01030684</v>
      </c>
      <c r="F2324" s="6" t="str">
        <f t="shared" si="79"/>
        <v>0103068405</v>
      </c>
    </row>
    <row r="2325" spans="1:6" x14ac:dyDescent="0.3">
      <c r="A2325" s="6" t="s">
        <v>2325</v>
      </c>
      <c r="B2325">
        <v>32764598</v>
      </c>
      <c r="C2325" s="3">
        <v>4</v>
      </c>
      <c r="D2325" s="5" t="str">
        <f t="shared" si="78"/>
        <v>04</v>
      </c>
      <c r="E2325" t="str">
        <f>VLOOKUP(B2325,'HOGARES-BASELINE'!$B:$I,8,FALSE)</f>
        <v>01030684</v>
      </c>
      <c r="F2325" s="6" t="str">
        <f t="shared" si="79"/>
        <v>0103068404</v>
      </c>
    </row>
    <row r="2326" spans="1:6" x14ac:dyDescent="0.3">
      <c r="A2326" s="6" t="s">
        <v>2326</v>
      </c>
      <c r="B2326">
        <v>32764598</v>
      </c>
      <c r="C2326" s="3">
        <v>3</v>
      </c>
      <c r="D2326" s="5" t="str">
        <f t="shared" si="78"/>
        <v>03</v>
      </c>
      <c r="E2326" t="str">
        <f>VLOOKUP(B2326,'HOGARES-BASELINE'!$B:$I,8,FALSE)</f>
        <v>01030684</v>
      </c>
      <c r="F2326" s="6" t="str">
        <f t="shared" si="79"/>
        <v>0103068403</v>
      </c>
    </row>
    <row r="2327" spans="1:6" x14ac:dyDescent="0.3">
      <c r="A2327" s="6" t="s">
        <v>2327</v>
      </c>
      <c r="B2327">
        <v>32766298</v>
      </c>
      <c r="C2327" s="3">
        <v>6</v>
      </c>
      <c r="D2327" s="5" t="str">
        <f t="shared" si="78"/>
        <v>06</v>
      </c>
      <c r="E2327" t="str">
        <f>VLOOKUP(B2327,'HOGARES-BASELINE'!$B:$I,8,FALSE)</f>
        <v>00030685</v>
      </c>
      <c r="F2327" s="6" t="str">
        <f t="shared" si="79"/>
        <v>0003068506</v>
      </c>
    </row>
    <row r="2328" spans="1:6" x14ac:dyDescent="0.3">
      <c r="A2328" s="6" t="s">
        <v>2328</v>
      </c>
      <c r="B2328">
        <v>32766298</v>
      </c>
      <c r="C2328" s="3">
        <v>3</v>
      </c>
      <c r="D2328" s="5" t="str">
        <f t="shared" si="78"/>
        <v>03</v>
      </c>
      <c r="E2328" t="str">
        <f>VLOOKUP(B2328,'HOGARES-BASELINE'!$B:$I,8,FALSE)</f>
        <v>00030685</v>
      </c>
      <c r="F2328" s="6" t="str">
        <f t="shared" si="79"/>
        <v>0003068503</v>
      </c>
    </row>
    <row r="2329" spans="1:6" x14ac:dyDescent="0.3">
      <c r="A2329" s="6" t="s">
        <v>2329</v>
      </c>
      <c r="B2329">
        <v>32766298</v>
      </c>
      <c r="C2329" s="3">
        <v>4</v>
      </c>
      <c r="D2329" s="5" t="str">
        <f t="shared" si="78"/>
        <v>04</v>
      </c>
      <c r="E2329" t="str">
        <f>VLOOKUP(B2329,'HOGARES-BASELINE'!$B:$I,8,FALSE)</f>
        <v>00030685</v>
      </c>
      <c r="F2329" s="6" t="str">
        <f t="shared" si="79"/>
        <v>0003068504</v>
      </c>
    </row>
    <row r="2330" spans="1:6" x14ac:dyDescent="0.3">
      <c r="A2330" s="6" t="s">
        <v>2330</v>
      </c>
      <c r="B2330">
        <v>32766298</v>
      </c>
      <c r="C2330" s="3">
        <v>5</v>
      </c>
      <c r="D2330" s="5" t="str">
        <f t="shared" si="78"/>
        <v>05</v>
      </c>
      <c r="E2330" t="str">
        <f>VLOOKUP(B2330,'HOGARES-BASELINE'!$B:$I,8,FALSE)</f>
        <v>00030685</v>
      </c>
      <c r="F2330" s="6" t="str">
        <f t="shared" si="79"/>
        <v>0003068505</v>
      </c>
    </row>
    <row r="2331" spans="1:6" x14ac:dyDescent="0.3">
      <c r="A2331" s="6" t="s">
        <v>2331</v>
      </c>
      <c r="B2331">
        <v>32766298</v>
      </c>
      <c r="C2331" s="3">
        <v>2</v>
      </c>
      <c r="D2331" s="5" t="str">
        <f t="shared" si="78"/>
        <v>02</v>
      </c>
      <c r="E2331" t="str">
        <f>VLOOKUP(B2331,'HOGARES-BASELINE'!$B:$I,8,FALSE)</f>
        <v>00030685</v>
      </c>
      <c r="F2331" s="6" t="str">
        <f t="shared" si="79"/>
        <v>0003068502</v>
      </c>
    </row>
    <row r="2332" spans="1:6" x14ac:dyDescent="0.3">
      <c r="A2332" s="6" t="s">
        <v>2332</v>
      </c>
      <c r="B2332">
        <v>32766298</v>
      </c>
      <c r="C2332" s="3">
        <v>1</v>
      </c>
      <c r="D2332" s="5" t="str">
        <f t="shared" si="78"/>
        <v>01</v>
      </c>
      <c r="E2332" t="str">
        <f>VLOOKUP(B2332,'HOGARES-BASELINE'!$B:$I,8,FALSE)</f>
        <v>00030685</v>
      </c>
      <c r="F2332" s="6" t="str">
        <f t="shared" si="79"/>
        <v>0003068501</v>
      </c>
    </row>
    <row r="2333" spans="1:6" x14ac:dyDescent="0.3">
      <c r="A2333" s="6" t="s">
        <v>2333</v>
      </c>
      <c r="B2333">
        <v>32766298</v>
      </c>
      <c r="C2333" s="3">
        <v>7</v>
      </c>
      <c r="D2333" s="5" t="str">
        <f t="shared" si="78"/>
        <v>07</v>
      </c>
      <c r="E2333" t="str">
        <f>VLOOKUP(B2333,'HOGARES-BASELINE'!$B:$I,8,FALSE)</f>
        <v>00030685</v>
      </c>
      <c r="F2333" s="6" t="str">
        <f t="shared" si="79"/>
        <v>0003068507</v>
      </c>
    </row>
    <row r="2334" spans="1:6" x14ac:dyDescent="0.3">
      <c r="A2334" s="6" t="s">
        <v>2334</v>
      </c>
      <c r="B2334">
        <v>32766429</v>
      </c>
      <c r="C2334" s="3">
        <v>1</v>
      </c>
      <c r="D2334" s="5" t="str">
        <f t="shared" si="78"/>
        <v>01</v>
      </c>
      <c r="E2334" t="str">
        <f>VLOOKUP(B2334,'HOGARES-BASELINE'!$B:$I,8,FALSE)</f>
        <v>00030686</v>
      </c>
      <c r="F2334" s="6" t="str">
        <f t="shared" si="79"/>
        <v>0003068601</v>
      </c>
    </row>
    <row r="2335" spans="1:6" x14ac:dyDescent="0.3">
      <c r="A2335" s="6" t="s">
        <v>2335</v>
      </c>
      <c r="B2335">
        <v>32766429</v>
      </c>
      <c r="C2335" s="3">
        <v>2</v>
      </c>
      <c r="D2335" s="5" t="str">
        <f t="shared" si="78"/>
        <v>02</v>
      </c>
      <c r="E2335" t="str">
        <f>VLOOKUP(B2335,'HOGARES-BASELINE'!$B:$I,8,FALSE)</f>
        <v>00030686</v>
      </c>
      <c r="F2335" s="6" t="str">
        <f t="shared" si="79"/>
        <v>0003068602</v>
      </c>
    </row>
    <row r="2336" spans="1:6" x14ac:dyDescent="0.3">
      <c r="A2336" s="6" t="s">
        <v>2336</v>
      </c>
      <c r="B2336">
        <v>32766429</v>
      </c>
      <c r="C2336" s="3">
        <v>3</v>
      </c>
      <c r="D2336" s="5" t="str">
        <f t="shared" si="78"/>
        <v>03</v>
      </c>
      <c r="E2336" t="str">
        <f>VLOOKUP(B2336,'HOGARES-BASELINE'!$B:$I,8,FALSE)</f>
        <v>00030686</v>
      </c>
      <c r="F2336" s="6" t="str">
        <f t="shared" si="79"/>
        <v>0003068603</v>
      </c>
    </row>
    <row r="2337" spans="1:6" x14ac:dyDescent="0.3">
      <c r="A2337" s="6" t="s">
        <v>2337</v>
      </c>
      <c r="B2337">
        <v>32771620</v>
      </c>
      <c r="C2337" s="3">
        <v>3</v>
      </c>
      <c r="D2337" s="5" t="str">
        <f t="shared" si="78"/>
        <v>03</v>
      </c>
      <c r="E2337" t="str">
        <f>VLOOKUP(B2337,'HOGARES-BASELINE'!$B:$I,8,FALSE)</f>
        <v>00030687</v>
      </c>
      <c r="F2337" s="6" t="str">
        <f t="shared" si="79"/>
        <v>0003068703</v>
      </c>
    </row>
    <row r="2338" spans="1:6" x14ac:dyDescent="0.3">
      <c r="A2338" s="6" t="s">
        <v>2338</v>
      </c>
      <c r="B2338">
        <v>32771620</v>
      </c>
      <c r="C2338" s="3">
        <v>2</v>
      </c>
      <c r="D2338" s="5" t="str">
        <f t="shared" si="78"/>
        <v>02</v>
      </c>
      <c r="E2338" t="str">
        <f>VLOOKUP(B2338,'HOGARES-BASELINE'!$B:$I,8,FALSE)</f>
        <v>00030687</v>
      </c>
      <c r="F2338" s="6" t="str">
        <f t="shared" si="79"/>
        <v>0003068702</v>
      </c>
    </row>
    <row r="2339" spans="1:6" x14ac:dyDescent="0.3">
      <c r="A2339" s="6" t="s">
        <v>2339</v>
      </c>
      <c r="B2339">
        <v>32771620</v>
      </c>
      <c r="C2339" s="3">
        <v>1</v>
      </c>
      <c r="D2339" s="5" t="str">
        <f t="shared" si="78"/>
        <v>01</v>
      </c>
      <c r="E2339" t="str">
        <f>VLOOKUP(B2339,'HOGARES-BASELINE'!$B:$I,8,FALSE)</f>
        <v>00030687</v>
      </c>
      <c r="F2339" s="6" t="str">
        <f t="shared" si="79"/>
        <v>0003068701</v>
      </c>
    </row>
    <row r="2340" spans="1:6" x14ac:dyDescent="0.3">
      <c r="A2340" s="6" t="s">
        <v>2340</v>
      </c>
      <c r="B2340">
        <v>32772911</v>
      </c>
      <c r="C2340" s="3">
        <v>3</v>
      </c>
      <c r="D2340" s="5" t="str">
        <f t="shared" si="78"/>
        <v>03</v>
      </c>
      <c r="E2340" t="str">
        <f>VLOOKUP(B2340,'HOGARES-BASELINE'!$B:$I,8,FALSE)</f>
        <v>01030688</v>
      </c>
      <c r="F2340" s="6" t="str">
        <f t="shared" si="79"/>
        <v>0103068803</v>
      </c>
    </row>
    <row r="2341" spans="1:6" x14ac:dyDescent="0.3">
      <c r="A2341" s="6" t="s">
        <v>2341</v>
      </c>
      <c r="B2341">
        <v>32772911</v>
      </c>
      <c r="C2341" s="3">
        <v>2</v>
      </c>
      <c r="D2341" s="5" t="str">
        <f t="shared" si="78"/>
        <v>02</v>
      </c>
      <c r="E2341" t="str">
        <f>VLOOKUP(B2341,'HOGARES-BASELINE'!$B:$I,8,FALSE)</f>
        <v>01030688</v>
      </c>
      <c r="F2341" s="6" t="str">
        <f t="shared" si="79"/>
        <v>0103068802</v>
      </c>
    </row>
    <row r="2342" spans="1:6" x14ac:dyDescent="0.3">
      <c r="A2342" s="6" t="s">
        <v>2342</v>
      </c>
      <c r="B2342">
        <v>32772911</v>
      </c>
      <c r="C2342" s="3">
        <v>1</v>
      </c>
      <c r="D2342" s="5" t="str">
        <f t="shared" si="78"/>
        <v>01</v>
      </c>
      <c r="E2342" t="str">
        <f>VLOOKUP(B2342,'HOGARES-BASELINE'!$B:$I,8,FALSE)</f>
        <v>01030688</v>
      </c>
      <c r="F2342" s="6" t="str">
        <f t="shared" si="79"/>
        <v>0103068801</v>
      </c>
    </row>
    <row r="2343" spans="1:6" x14ac:dyDescent="0.3">
      <c r="A2343" s="6" t="s">
        <v>2343</v>
      </c>
      <c r="B2343">
        <v>32776426</v>
      </c>
      <c r="C2343" s="3">
        <v>1</v>
      </c>
      <c r="D2343" s="5" t="str">
        <f t="shared" si="78"/>
        <v>01</v>
      </c>
      <c r="E2343" t="str">
        <f>VLOOKUP(B2343,'HOGARES-BASELINE'!$B:$I,8,FALSE)</f>
        <v>00030689</v>
      </c>
      <c r="F2343" s="6" t="str">
        <f t="shared" si="79"/>
        <v>0003068901</v>
      </c>
    </row>
    <row r="2344" spans="1:6" x14ac:dyDescent="0.3">
      <c r="A2344" s="6" t="s">
        <v>2344</v>
      </c>
      <c r="B2344">
        <v>32776499</v>
      </c>
      <c r="C2344" s="3">
        <v>2</v>
      </c>
      <c r="D2344" s="5" t="str">
        <f t="shared" si="78"/>
        <v>02</v>
      </c>
      <c r="E2344" t="str">
        <f>VLOOKUP(B2344,'HOGARES-BASELINE'!$B:$I,8,FALSE)</f>
        <v>00030690</v>
      </c>
      <c r="F2344" s="6" t="str">
        <f t="shared" si="79"/>
        <v>0003069002</v>
      </c>
    </row>
    <row r="2345" spans="1:6" x14ac:dyDescent="0.3">
      <c r="A2345" s="6" t="s">
        <v>2345</v>
      </c>
      <c r="B2345">
        <v>32776499</v>
      </c>
      <c r="C2345" s="3">
        <v>1</v>
      </c>
      <c r="D2345" s="5" t="str">
        <f t="shared" si="78"/>
        <v>01</v>
      </c>
      <c r="E2345" t="str">
        <f>VLOOKUP(B2345,'HOGARES-BASELINE'!$B:$I,8,FALSE)</f>
        <v>00030690</v>
      </c>
      <c r="F2345" s="6" t="str">
        <f t="shared" si="79"/>
        <v>0003069001</v>
      </c>
    </row>
    <row r="2346" spans="1:6" x14ac:dyDescent="0.3">
      <c r="A2346" s="6" t="s">
        <v>2346</v>
      </c>
      <c r="B2346">
        <v>32776499</v>
      </c>
      <c r="C2346" s="3">
        <v>3</v>
      </c>
      <c r="D2346" s="5" t="str">
        <f t="shared" si="78"/>
        <v>03</v>
      </c>
      <c r="E2346" t="str">
        <f>VLOOKUP(B2346,'HOGARES-BASELINE'!$B:$I,8,FALSE)</f>
        <v>00030690</v>
      </c>
      <c r="F2346" s="6" t="str">
        <f t="shared" si="79"/>
        <v>0003069003</v>
      </c>
    </row>
    <row r="2347" spans="1:6" x14ac:dyDescent="0.3">
      <c r="A2347" s="6" t="s">
        <v>2347</v>
      </c>
      <c r="B2347">
        <v>32778590</v>
      </c>
      <c r="C2347" s="3">
        <v>4</v>
      </c>
      <c r="D2347" s="5" t="str">
        <f t="shared" si="78"/>
        <v>04</v>
      </c>
      <c r="E2347" t="str">
        <f>VLOOKUP(B2347,'HOGARES-BASELINE'!$B:$I,8,FALSE)</f>
        <v>01030691</v>
      </c>
      <c r="F2347" s="6" t="str">
        <f t="shared" si="79"/>
        <v>0103069104</v>
      </c>
    </row>
    <row r="2348" spans="1:6" x14ac:dyDescent="0.3">
      <c r="A2348" s="6" t="s">
        <v>2348</v>
      </c>
      <c r="B2348">
        <v>32778590</v>
      </c>
      <c r="C2348" s="3">
        <v>3</v>
      </c>
      <c r="D2348" s="5" t="str">
        <f t="shared" si="78"/>
        <v>03</v>
      </c>
      <c r="E2348" t="str">
        <f>VLOOKUP(B2348,'HOGARES-BASELINE'!$B:$I,8,FALSE)</f>
        <v>01030691</v>
      </c>
      <c r="F2348" s="6" t="str">
        <f t="shared" si="79"/>
        <v>0103069103</v>
      </c>
    </row>
    <row r="2349" spans="1:6" x14ac:dyDescent="0.3">
      <c r="A2349" s="6" t="s">
        <v>2349</v>
      </c>
      <c r="B2349">
        <v>32778590</v>
      </c>
      <c r="C2349" s="3">
        <v>1</v>
      </c>
      <c r="D2349" s="5" t="str">
        <f t="shared" si="78"/>
        <v>01</v>
      </c>
      <c r="E2349" t="str">
        <f>VLOOKUP(B2349,'HOGARES-BASELINE'!$B:$I,8,FALSE)</f>
        <v>01030691</v>
      </c>
      <c r="F2349" s="6" t="str">
        <f t="shared" si="79"/>
        <v>0103069101</v>
      </c>
    </row>
    <row r="2350" spans="1:6" x14ac:dyDescent="0.3">
      <c r="A2350" s="6" t="s">
        <v>2350</v>
      </c>
      <c r="B2350">
        <v>32778590</v>
      </c>
      <c r="C2350" s="3">
        <v>5</v>
      </c>
      <c r="D2350" s="5" t="str">
        <f t="shared" si="78"/>
        <v>05</v>
      </c>
      <c r="E2350" t="str">
        <f>VLOOKUP(B2350,'HOGARES-BASELINE'!$B:$I,8,FALSE)</f>
        <v>01030691</v>
      </c>
      <c r="F2350" s="6" t="str">
        <f t="shared" si="79"/>
        <v>0103069105</v>
      </c>
    </row>
    <row r="2351" spans="1:6" x14ac:dyDescent="0.3">
      <c r="A2351" s="6" t="s">
        <v>2351</v>
      </c>
      <c r="B2351">
        <v>32778590</v>
      </c>
      <c r="C2351" s="3">
        <v>2</v>
      </c>
      <c r="D2351" s="5" t="str">
        <f t="shared" si="78"/>
        <v>02</v>
      </c>
      <c r="E2351" t="str">
        <f>VLOOKUP(B2351,'HOGARES-BASELINE'!$B:$I,8,FALSE)</f>
        <v>01030691</v>
      </c>
      <c r="F2351" s="6" t="str">
        <f t="shared" si="79"/>
        <v>0103069102</v>
      </c>
    </row>
    <row r="2352" spans="1:6" x14ac:dyDescent="0.3">
      <c r="A2352" s="6" t="s">
        <v>2352</v>
      </c>
      <c r="B2352">
        <v>32779874</v>
      </c>
      <c r="C2352" s="3">
        <v>1</v>
      </c>
      <c r="D2352" s="5" t="str">
        <f t="shared" si="78"/>
        <v>01</v>
      </c>
      <c r="E2352" t="str">
        <f>VLOOKUP(B2352,'HOGARES-BASELINE'!$B:$I,8,FALSE)</f>
        <v>01030692</v>
      </c>
      <c r="F2352" s="6" t="str">
        <f t="shared" si="79"/>
        <v>0103069201</v>
      </c>
    </row>
    <row r="2353" spans="1:6" x14ac:dyDescent="0.3">
      <c r="A2353" s="6" t="s">
        <v>2353</v>
      </c>
      <c r="B2353">
        <v>32779874</v>
      </c>
      <c r="C2353" s="3">
        <v>2</v>
      </c>
      <c r="D2353" s="5" t="str">
        <f t="shared" si="78"/>
        <v>02</v>
      </c>
      <c r="E2353" t="str">
        <f>VLOOKUP(B2353,'HOGARES-BASELINE'!$B:$I,8,FALSE)</f>
        <v>01030692</v>
      </c>
      <c r="F2353" s="6" t="str">
        <f t="shared" si="79"/>
        <v>0103069202</v>
      </c>
    </row>
    <row r="2354" spans="1:6" x14ac:dyDescent="0.3">
      <c r="A2354" s="6" t="s">
        <v>2354</v>
      </c>
      <c r="B2354">
        <v>32779874</v>
      </c>
      <c r="C2354" s="3">
        <v>3</v>
      </c>
      <c r="D2354" s="5" t="str">
        <f t="shared" ref="D2354:D2361" si="80">_xlfn.CONCAT(0,C2354)</f>
        <v>03</v>
      </c>
      <c r="E2354" t="str">
        <f>VLOOKUP(B2354,'HOGARES-BASELINE'!$B:$I,8,FALSE)</f>
        <v>01030692</v>
      </c>
      <c r="F2354" s="6" t="str">
        <f t="shared" si="79"/>
        <v>0103069203</v>
      </c>
    </row>
    <row r="2355" spans="1:6" x14ac:dyDescent="0.3">
      <c r="A2355" s="6" t="s">
        <v>2355</v>
      </c>
      <c r="B2355">
        <v>32783129</v>
      </c>
      <c r="C2355" s="3">
        <v>7</v>
      </c>
      <c r="D2355" s="5" t="str">
        <f t="shared" si="80"/>
        <v>07</v>
      </c>
      <c r="E2355" t="str">
        <f>VLOOKUP(B2355,'HOGARES-BASELINE'!$B:$I,8,FALSE)</f>
        <v>01030693</v>
      </c>
      <c r="F2355" s="6" t="str">
        <f t="shared" si="79"/>
        <v>0103069307</v>
      </c>
    </row>
    <row r="2356" spans="1:6" x14ac:dyDescent="0.3">
      <c r="A2356" s="6" t="s">
        <v>2356</v>
      </c>
      <c r="B2356">
        <v>32783129</v>
      </c>
      <c r="C2356" s="3">
        <v>1</v>
      </c>
      <c r="D2356" s="5" t="str">
        <f t="shared" si="80"/>
        <v>01</v>
      </c>
      <c r="E2356" t="str">
        <f>VLOOKUP(B2356,'HOGARES-BASELINE'!$B:$I,8,FALSE)</f>
        <v>01030693</v>
      </c>
      <c r="F2356" s="6" t="str">
        <f t="shared" si="79"/>
        <v>0103069301</v>
      </c>
    </row>
    <row r="2357" spans="1:6" x14ac:dyDescent="0.3">
      <c r="A2357" s="6" t="s">
        <v>2357</v>
      </c>
      <c r="B2357">
        <v>32783129</v>
      </c>
      <c r="C2357" s="3">
        <v>6</v>
      </c>
      <c r="D2357" s="5" t="str">
        <f t="shared" si="80"/>
        <v>06</v>
      </c>
      <c r="E2357" t="str">
        <f>VLOOKUP(B2357,'HOGARES-BASELINE'!$B:$I,8,FALSE)</f>
        <v>01030693</v>
      </c>
      <c r="F2357" s="6" t="str">
        <f t="shared" si="79"/>
        <v>0103069306</v>
      </c>
    </row>
    <row r="2358" spans="1:6" x14ac:dyDescent="0.3">
      <c r="A2358" s="6" t="s">
        <v>2358</v>
      </c>
      <c r="B2358">
        <v>32783129</v>
      </c>
      <c r="C2358" s="3">
        <v>2</v>
      </c>
      <c r="D2358" s="5" t="str">
        <f t="shared" si="80"/>
        <v>02</v>
      </c>
      <c r="E2358" t="str">
        <f>VLOOKUP(B2358,'HOGARES-BASELINE'!$B:$I,8,FALSE)</f>
        <v>01030693</v>
      </c>
      <c r="F2358" s="6" t="str">
        <f t="shared" si="79"/>
        <v>0103069302</v>
      </c>
    </row>
    <row r="2359" spans="1:6" x14ac:dyDescent="0.3">
      <c r="A2359" s="6" t="s">
        <v>2359</v>
      </c>
      <c r="B2359">
        <v>32783129</v>
      </c>
      <c r="C2359" s="3">
        <v>4</v>
      </c>
      <c r="D2359" s="5" t="str">
        <f t="shared" si="80"/>
        <v>04</v>
      </c>
      <c r="E2359" t="str">
        <f>VLOOKUP(B2359,'HOGARES-BASELINE'!$B:$I,8,FALSE)</f>
        <v>01030693</v>
      </c>
      <c r="F2359" s="6" t="str">
        <f t="shared" si="79"/>
        <v>0103069304</v>
      </c>
    </row>
    <row r="2360" spans="1:6" x14ac:dyDescent="0.3">
      <c r="A2360" s="6" t="s">
        <v>2360</v>
      </c>
      <c r="B2360">
        <v>32783129</v>
      </c>
      <c r="C2360" s="3">
        <v>5</v>
      </c>
      <c r="D2360" s="5" t="str">
        <f t="shared" si="80"/>
        <v>05</v>
      </c>
      <c r="E2360" t="str">
        <f>VLOOKUP(B2360,'HOGARES-BASELINE'!$B:$I,8,FALSE)</f>
        <v>01030693</v>
      </c>
      <c r="F2360" s="6" t="str">
        <f t="shared" si="79"/>
        <v>0103069305</v>
      </c>
    </row>
    <row r="2361" spans="1:6" x14ac:dyDescent="0.3">
      <c r="A2361" s="6" t="s">
        <v>2361</v>
      </c>
      <c r="B2361">
        <v>32783129</v>
      </c>
      <c r="C2361" s="3">
        <v>3</v>
      </c>
      <c r="D2361" s="5" t="str">
        <f t="shared" si="80"/>
        <v>03</v>
      </c>
      <c r="E2361" t="str">
        <f>VLOOKUP(B2361,'HOGARES-BASELINE'!$B:$I,8,FALSE)</f>
        <v>01030693</v>
      </c>
      <c r="F2361" s="6" t="str">
        <f t="shared" si="79"/>
        <v>0103069303</v>
      </c>
    </row>
    <row r="2362" spans="1:6" x14ac:dyDescent="0.3">
      <c r="A2362" s="6" t="s">
        <v>2362</v>
      </c>
      <c r="B2362">
        <v>32783639</v>
      </c>
      <c r="C2362" s="3">
        <v>13</v>
      </c>
      <c r="D2362" s="2">
        <f>C2362</f>
        <v>13</v>
      </c>
      <c r="E2362" t="str">
        <f>VLOOKUP(B2362,'HOGARES-BASELINE'!$B:$I,8,FALSE)</f>
        <v>00030694</v>
      </c>
      <c r="F2362" s="6" t="str">
        <f t="shared" si="79"/>
        <v>0003069413</v>
      </c>
    </row>
    <row r="2363" spans="1:6" x14ac:dyDescent="0.3">
      <c r="A2363" s="6" t="s">
        <v>2363</v>
      </c>
      <c r="B2363">
        <v>32783639</v>
      </c>
      <c r="C2363" s="3">
        <v>2</v>
      </c>
      <c r="D2363" s="5" t="str">
        <f>_xlfn.CONCAT(0,C2363)</f>
        <v>02</v>
      </c>
      <c r="E2363" t="str">
        <f>VLOOKUP(B2363,'HOGARES-BASELINE'!$B:$I,8,FALSE)</f>
        <v>00030694</v>
      </c>
      <c r="F2363" s="6" t="str">
        <f t="shared" si="79"/>
        <v>0003069402</v>
      </c>
    </row>
    <row r="2364" spans="1:6" x14ac:dyDescent="0.3">
      <c r="A2364" s="6" t="s">
        <v>2364</v>
      </c>
      <c r="B2364">
        <v>32783639</v>
      </c>
      <c r="C2364" s="3">
        <v>12</v>
      </c>
      <c r="D2364" s="2">
        <f>C2364</f>
        <v>12</v>
      </c>
      <c r="E2364" t="str">
        <f>VLOOKUP(B2364,'HOGARES-BASELINE'!$B:$I,8,FALSE)</f>
        <v>00030694</v>
      </c>
      <c r="F2364" s="6" t="str">
        <f t="shared" si="79"/>
        <v>0003069412</v>
      </c>
    </row>
    <row r="2365" spans="1:6" x14ac:dyDescent="0.3">
      <c r="A2365" s="6" t="s">
        <v>2365</v>
      </c>
      <c r="B2365">
        <v>32783639</v>
      </c>
      <c r="C2365" s="3">
        <v>9</v>
      </c>
      <c r="D2365" s="5" t="str">
        <f t="shared" ref="D2365:D2367" si="81">_xlfn.CONCAT(0,C2365)</f>
        <v>09</v>
      </c>
      <c r="E2365" t="str">
        <f>VLOOKUP(B2365,'HOGARES-BASELINE'!$B:$I,8,FALSE)</f>
        <v>00030694</v>
      </c>
      <c r="F2365" s="6" t="str">
        <f t="shared" si="79"/>
        <v>0003069409</v>
      </c>
    </row>
    <row r="2366" spans="1:6" x14ac:dyDescent="0.3">
      <c r="A2366" s="6" t="s">
        <v>2366</v>
      </c>
      <c r="B2366">
        <v>32783639</v>
      </c>
      <c r="C2366" s="3">
        <v>8</v>
      </c>
      <c r="D2366" s="5" t="str">
        <f t="shared" si="81"/>
        <v>08</v>
      </c>
      <c r="E2366" t="str">
        <f>VLOOKUP(B2366,'HOGARES-BASELINE'!$B:$I,8,FALSE)</f>
        <v>00030694</v>
      </c>
      <c r="F2366" s="6" t="str">
        <f t="shared" si="79"/>
        <v>0003069408</v>
      </c>
    </row>
    <row r="2367" spans="1:6" x14ac:dyDescent="0.3">
      <c r="A2367" s="6" t="s">
        <v>2367</v>
      </c>
      <c r="B2367">
        <v>32783639</v>
      </c>
      <c r="C2367" s="3">
        <v>3</v>
      </c>
      <c r="D2367" s="5" t="str">
        <f t="shared" si="81"/>
        <v>03</v>
      </c>
      <c r="E2367" t="str">
        <f>VLOOKUP(B2367,'HOGARES-BASELINE'!$B:$I,8,FALSE)</f>
        <v>00030694</v>
      </c>
      <c r="F2367" s="6" t="str">
        <f t="shared" si="79"/>
        <v>0003069403</v>
      </c>
    </row>
    <row r="2368" spans="1:6" x14ac:dyDescent="0.3">
      <c r="A2368" s="6" t="s">
        <v>2368</v>
      </c>
      <c r="B2368">
        <v>32783639</v>
      </c>
      <c r="C2368" s="3">
        <v>11</v>
      </c>
      <c r="D2368" s="2">
        <f>C2368</f>
        <v>11</v>
      </c>
      <c r="E2368" t="str">
        <f>VLOOKUP(B2368,'HOGARES-BASELINE'!$B:$I,8,FALSE)</f>
        <v>00030694</v>
      </c>
      <c r="F2368" s="6" t="str">
        <f t="shared" si="79"/>
        <v>0003069411</v>
      </c>
    </row>
    <row r="2369" spans="1:6" x14ac:dyDescent="0.3">
      <c r="A2369" s="6" t="s">
        <v>2369</v>
      </c>
      <c r="B2369">
        <v>32783639</v>
      </c>
      <c r="C2369" s="3">
        <v>5</v>
      </c>
      <c r="D2369" s="5" t="str">
        <f t="shared" ref="D2369:D2371" si="82">_xlfn.CONCAT(0,C2369)</f>
        <v>05</v>
      </c>
      <c r="E2369" t="str">
        <f>VLOOKUP(B2369,'HOGARES-BASELINE'!$B:$I,8,FALSE)</f>
        <v>00030694</v>
      </c>
      <c r="F2369" s="6" t="str">
        <f t="shared" si="79"/>
        <v>0003069405</v>
      </c>
    </row>
    <row r="2370" spans="1:6" x14ac:dyDescent="0.3">
      <c r="A2370" s="6" t="s">
        <v>2370</v>
      </c>
      <c r="B2370">
        <v>32783639</v>
      </c>
      <c r="C2370" s="3">
        <v>4</v>
      </c>
      <c r="D2370" s="5" t="str">
        <f t="shared" si="82"/>
        <v>04</v>
      </c>
      <c r="E2370" t="str">
        <f>VLOOKUP(B2370,'HOGARES-BASELINE'!$B:$I,8,FALSE)</f>
        <v>00030694</v>
      </c>
      <c r="F2370" s="6" t="str">
        <f t="shared" si="79"/>
        <v>0003069404</v>
      </c>
    </row>
    <row r="2371" spans="1:6" x14ac:dyDescent="0.3">
      <c r="A2371" s="6" t="s">
        <v>2371</v>
      </c>
      <c r="B2371">
        <v>32783639</v>
      </c>
      <c r="C2371" s="3">
        <v>1</v>
      </c>
      <c r="D2371" s="5" t="str">
        <f t="shared" si="82"/>
        <v>01</v>
      </c>
      <c r="E2371" t="str">
        <f>VLOOKUP(B2371,'HOGARES-BASELINE'!$B:$I,8,FALSE)</f>
        <v>00030694</v>
      </c>
      <c r="F2371" s="6" t="str">
        <f t="shared" ref="F2371:F2434" si="83">_xlfn.CONCAT(E2371,D2371)</f>
        <v>0003069401</v>
      </c>
    </row>
    <row r="2372" spans="1:6" x14ac:dyDescent="0.3">
      <c r="A2372" s="6" t="s">
        <v>2372</v>
      </c>
      <c r="B2372">
        <v>32783639</v>
      </c>
      <c r="C2372" s="3">
        <v>10</v>
      </c>
      <c r="D2372" s="2">
        <f>C2372</f>
        <v>10</v>
      </c>
      <c r="E2372" t="str">
        <f>VLOOKUP(B2372,'HOGARES-BASELINE'!$B:$I,8,FALSE)</f>
        <v>00030694</v>
      </c>
      <c r="F2372" s="6" t="str">
        <f t="shared" si="83"/>
        <v>0003069410</v>
      </c>
    </row>
    <row r="2373" spans="1:6" x14ac:dyDescent="0.3">
      <c r="A2373" s="6" t="s">
        <v>2373</v>
      </c>
      <c r="B2373">
        <v>32783639</v>
      </c>
      <c r="C2373" s="3">
        <v>6</v>
      </c>
      <c r="D2373" s="5" t="str">
        <f t="shared" ref="D2373:D2408" si="84">_xlfn.CONCAT(0,C2373)</f>
        <v>06</v>
      </c>
      <c r="E2373" t="str">
        <f>VLOOKUP(B2373,'HOGARES-BASELINE'!$B:$I,8,FALSE)</f>
        <v>00030694</v>
      </c>
      <c r="F2373" s="6" t="str">
        <f t="shared" si="83"/>
        <v>0003069406</v>
      </c>
    </row>
    <row r="2374" spans="1:6" x14ac:dyDescent="0.3">
      <c r="A2374" s="6" t="s">
        <v>2374</v>
      </c>
      <c r="B2374">
        <v>32783639</v>
      </c>
      <c r="C2374" s="3">
        <v>7</v>
      </c>
      <c r="D2374" s="5" t="str">
        <f t="shared" si="84"/>
        <v>07</v>
      </c>
      <c r="E2374" t="str">
        <f>VLOOKUP(B2374,'HOGARES-BASELINE'!$B:$I,8,FALSE)</f>
        <v>00030694</v>
      </c>
      <c r="F2374" s="6" t="str">
        <f t="shared" si="83"/>
        <v>0003069407</v>
      </c>
    </row>
    <row r="2375" spans="1:6" x14ac:dyDescent="0.3">
      <c r="A2375" s="6" t="s">
        <v>2375</v>
      </c>
      <c r="B2375">
        <v>32783797</v>
      </c>
      <c r="C2375" s="3">
        <v>2</v>
      </c>
      <c r="D2375" s="5" t="str">
        <f t="shared" si="84"/>
        <v>02</v>
      </c>
      <c r="E2375" t="str">
        <f>VLOOKUP(B2375,'HOGARES-BASELINE'!$B:$I,8,FALSE)</f>
        <v>01030695</v>
      </c>
      <c r="F2375" s="6" t="str">
        <f t="shared" si="83"/>
        <v>0103069502</v>
      </c>
    </row>
    <row r="2376" spans="1:6" x14ac:dyDescent="0.3">
      <c r="A2376" s="6" t="s">
        <v>2376</v>
      </c>
      <c r="B2376">
        <v>32783797</v>
      </c>
      <c r="C2376" s="3">
        <v>1</v>
      </c>
      <c r="D2376" s="5" t="str">
        <f t="shared" si="84"/>
        <v>01</v>
      </c>
      <c r="E2376" t="str">
        <f>VLOOKUP(B2376,'HOGARES-BASELINE'!$B:$I,8,FALSE)</f>
        <v>01030695</v>
      </c>
      <c r="F2376" s="6" t="str">
        <f t="shared" si="83"/>
        <v>0103069501</v>
      </c>
    </row>
    <row r="2377" spans="1:6" x14ac:dyDescent="0.3">
      <c r="A2377" s="6" t="s">
        <v>2377</v>
      </c>
      <c r="B2377">
        <v>32783861</v>
      </c>
      <c r="C2377" s="3">
        <v>1</v>
      </c>
      <c r="D2377" s="5" t="str">
        <f t="shared" si="84"/>
        <v>01</v>
      </c>
      <c r="E2377" t="str">
        <f>VLOOKUP(B2377,'HOGARES-BASELINE'!$B:$I,8,FALSE)</f>
        <v>00030696</v>
      </c>
      <c r="F2377" s="6" t="str">
        <f t="shared" si="83"/>
        <v>0003069601</v>
      </c>
    </row>
    <row r="2378" spans="1:6" x14ac:dyDescent="0.3">
      <c r="A2378" s="6" t="s">
        <v>2378</v>
      </c>
      <c r="B2378">
        <v>32783861</v>
      </c>
      <c r="C2378" s="3">
        <v>4</v>
      </c>
      <c r="D2378" s="5" t="str">
        <f t="shared" si="84"/>
        <v>04</v>
      </c>
      <c r="E2378" t="str">
        <f>VLOOKUP(B2378,'HOGARES-BASELINE'!$B:$I,8,FALSE)</f>
        <v>00030696</v>
      </c>
      <c r="F2378" s="6" t="str">
        <f t="shared" si="83"/>
        <v>0003069604</v>
      </c>
    </row>
    <row r="2379" spans="1:6" x14ac:dyDescent="0.3">
      <c r="A2379" s="6" t="s">
        <v>2379</v>
      </c>
      <c r="B2379">
        <v>32783861</v>
      </c>
      <c r="C2379" s="3">
        <v>8</v>
      </c>
      <c r="D2379" s="5" t="str">
        <f t="shared" si="84"/>
        <v>08</v>
      </c>
      <c r="E2379" t="str">
        <f>VLOOKUP(B2379,'HOGARES-BASELINE'!$B:$I,8,FALSE)</f>
        <v>00030696</v>
      </c>
      <c r="F2379" s="6" t="str">
        <f t="shared" si="83"/>
        <v>0003069608</v>
      </c>
    </row>
    <row r="2380" spans="1:6" x14ac:dyDescent="0.3">
      <c r="A2380" s="6" t="s">
        <v>2380</v>
      </c>
      <c r="B2380">
        <v>32783861</v>
      </c>
      <c r="C2380" s="3">
        <v>5</v>
      </c>
      <c r="D2380" s="5" t="str">
        <f t="shared" si="84"/>
        <v>05</v>
      </c>
      <c r="E2380" t="str">
        <f>VLOOKUP(B2380,'HOGARES-BASELINE'!$B:$I,8,FALSE)</f>
        <v>00030696</v>
      </c>
      <c r="F2380" s="6" t="str">
        <f t="shared" si="83"/>
        <v>0003069605</v>
      </c>
    </row>
    <row r="2381" spans="1:6" x14ac:dyDescent="0.3">
      <c r="A2381" s="6" t="s">
        <v>2381</v>
      </c>
      <c r="B2381">
        <v>32783861</v>
      </c>
      <c r="C2381" s="3">
        <v>2</v>
      </c>
      <c r="D2381" s="5" t="str">
        <f t="shared" si="84"/>
        <v>02</v>
      </c>
      <c r="E2381" t="str">
        <f>VLOOKUP(B2381,'HOGARES-BASELINE'!$B:$I,8,FALSE)</f>
        <v>00030696</v>
      </c>
      <c r="F2381" s="6" t="str">
        <f t="shared" si="83"/>
        <v>0003069602</v>
      </c>
    </row>
    <row r="2382" spans="1:6" x14ac:dyDescent="0.3">
      <c r="A2382" s="6" t="s">
        <v>2382</v>
      </c>
      <c r="B2382">
        <v>32783861</v>
      </c>
      <c r="C2382" s="3">
        <v>6</v>
      </c>
      <c r="D2382" s="5" t="str">
        <f t="shared" si="84"/>
        <v>06</v>
      </c>
      <c r="E2382" t="str">
        <f>VLOOKUP(B2382,'HOGARES-BASELINE'!$B:$I,8,FALSE)</f>
        <v>00030696</v>
      </c>
      <c r="F2382" s="6" t="str">
        <f t="shared" si="83"/>
        <v>0003069606</v>
      </c>
    </row>
    <row r="2383" spans="1:6" x14ac:dyDescent="0.3">
      <c r="A2383" s="6" t="s">
        <v>2383</v>
      </c>
      <c r="B2383">
        <v>32783861</v>
      </c>
      <c r="C2383" s="3">
        <v>7</v>
      </c>
      <c r="D2383" s="5" t="str">
        <f t="shared" si="84"/>
        <v>07</v>
      </c>
      <c r="E2383" t="str">
        <f>VLOOKUP(B2383,'HOGARES-BASELINE'!$B:$I,8,FALSE)</f>
        <v>00030696</v>
      </c>
      <c r="F2383" s="6" t="str">
        <f t="shared" si="83"/>
        <v>0003069607</v>
      </c>
    </row>
    <row r="2384" spans="1:6" x14ac:dyDescent="0.3">
      <c r="A2384" s="6" t="s">
        <v>2384</v>
      </c>
      <c r="B2384">
        <v>32783861</v>
      </c>
      <c r="C2384" s="3">
        <v>3</v>
      </c>
      <c r="D2384" s="5" t="str">
        <f t="shared" si="84"/>
        <v>03</v>
      </c>
      <c r="E2384" t="str">
        <f>VLOOKUP(B2384,'HOGARES-BASELINE'!$B:$I,8,FALSE)</f>
        <v>00030696</v>
      </c>
      <c r="F2384" s="6" t="str">
        <f t="shared" si="83"/>
        <v>0003069603</v>
      </c>
    </row>
    <row r="2385" spans="1:6" x14ac:dyDescent="0.3">
      <c r="A2385" s="6" t="s">
        <v>2385</v>
      </c>
      <c r="B2385">
        <v>32785097</v>
      </c>
      <c r="C2385" s="3">
        <v>3</v>
      </c>
      <c r="D2385" s="5" t="str">
        <f t="shared" si="84"/>
        <v>03</v>
      </c>
      <c r="E2385" t="str">
        <f>VLOOKUP(B2385,'HOGARES-BASELINE'!$B:$I,8,FALSE)</f>
        <v>01030697</v>
      </c>
      <c r="F2385" s="6" t="str">
        <f t="shared" si="83"/>
        <v>0103069703</v>
      </c>
    </row>
    <row r="2386" spans="1:6" x14ac:dyDescent="0.3">
      <c r="A2386" s="6" t="s">
        <v>2386</v>
      </c>
      <c r="B2386">
        <v>32785097</v>
      </c>
      <c r="C2386" s="3">
        <v>2</v>
      </c>
      <c r="D2386" s="5" t="str">
        <f t="shared" si="84"/>
        <v>02</v>
      </c>
      <c r="E2386" t="str">
        <f>VLOOKUP(B2386,'HOGARES-BASELINE'!$B:$I,8,FALSE)</f>
        <v>01030697</v>
      </c>
      <c r="F2386" s="6" t="str">
        <f t="shared" si="83"/>
        <v>0103069702</v>
      </c>
    </row>
    <row r="2387" spans="1:6" x14ac:dyDescent="0.3">
      <c r="A2387" s="6" t="s">
        <v>2387</v>
      </c>
      <c r="B2387">
        <v>32785097</v>
      </c>
      <c r="C2387" s="3">
        <v>1</v>
      </c>
      <c r="D2387" s="5" t="str">
        <f t="shared" si="84"/>
        <v>01</v>
      </c>
      <c r="E2387" t="str">
        <f>VLOOKUP(B2387,'HOGARES-BASELINE'!$B:$I,8,FALSE)</f>
        <v>01030697</v>
      </c>
      <c r="F2387" s="6" t="str">
        <f t="shared" si="83"/>
        <v>0103069701</v>
      </c>
    </row>
    <row r="2388" spans="1:6" x14ac:dyDescent="0.3">
      <c r="A2388" s="6" t="s">
        <v>2388</v>
      </c>
      <c r="B2388">
        <v>32785097</v>
      </c>
      <c r="C2388" s="3">
        <v>4</v>
      </c>
      <c r="D2388" s="5" t="str">
        <f t="shared" si="84"/>
        <v>04</v>
      </c>
      <c r="E2388" t="str">
        <f>VLOOKUP(B2388,'HOGARES-BASELINE'!$B:$I,8,FALSE)</f>
        <v>01030697</v>
      </c>
      <c r="F2388" s="6" t="str">
        <f t="shared" si="83"/>
        <v>0103069704</v>
      </c>
    </row>
    <row r="2389" spans="1:6" x14ac:dyDescent="0.3">
      <c r="A2389" s="6" t="s">
        <v>2389</v>
      </c>
      <c r="B2389">
        <v>32786242</v>
      </c>
      <c r="C2389" s="3">
        <v>2</v>
      </c>
      <c r="D2389" s="5" t="str">
        <f t="shared" si="84"/>
        <v>02</v>
      </c>
      <c r="E2389" t="str">
        <f>VLOOKUP(B2389,'HOGARES-BASELINE'!$B:$I,8,FALSE)</f>
        <v>00030698</v>
      </c>
      <c r="F2389" s="6" t="str">
        <f t="shared" si="83"/>
        <v>0003069802</v>
      </c>
    </row>
    <row r="2390" spans="1:6" x14ac:dyDescent="0.3">
      <c r="A2390" s="6" t="s">
        <v>2390</v>
      </c>
      <c r="B2390">
        <v>32786242</v>
      </c>
      <c r="C2390" s="3">
        <v>1</v>
      </c>
      <c r="D2390" s="5" t="str">
        <f t="shared" si="84"/>
        <v>01</v>
      </c>
      <c r="E2390" t="str">
        <f>VLOOKUP(B2390,'HOGARES-BASELINE'!$B:$I,8,FALSE)</f>
        <v>00030698</v>
      </c>
      <c r="F2390" s="6" t="str">
        <f t="shared" si="83"/>
        <v>0003069801</v>
      </c>
    </row>
    <row r="2391" spans="1:6" x14ac:dyDescent="0.3">
      <c r="A2391" s="6" t="s">
        <v>2391</v>
      </c>
      <c r="B2391">
        <v>32790051</v>
      </c>
      <c r="C2391" s="3">
        <v>3</v>
      </c>
      <c r="D2391" s="5" t="str">
        <f t="shared" si="84"/>
        <v>03</v>
      </c>
      <c r="E2391" t="str">
        <f>VLOOKUP(B2391,'HOGARES-BASELINE'!$B:$I,8,FALSE)</f>
        <v>01030699</v>
      </c>
      <c r="F2391" s="6" t="str">
        <f t="shared" si="83"/>
        <v>0103069903</v>
      </c>
    </row>
    <row r="2392" spans="1:6" x14ac:dyDescent="0.3">
      <c r="A2392" s="6" t="s">
        <v>2392</v>
      </c>
      <c r="B2392">
        <v>32790051</v>
      </c>
      <c r="C2392" s="3">
        <v>5</v>
      </c>
      <c r="D2392" s="5" t="str">
        <f t="shared" si="84"/>
        <v>05</v>
      </c>
      <c r="E2392" t="str">
        <f>VLOOKUP(B2392,'HOGARES-BASELINE'!$B:$I,8,FALSE)</f>
        <v>01030699</v>
      </c>
      <c r="F2392" s="6" t="str">
        <f t="shared" si="83"/>
        <v>0103069905</v>
      </c>
    </row>
    <row r="2393" spans="1:6" x14ac:dyDescent="0.3">
      <c r="A2393" s="6" t="s">
        <v>2393</v>
      </c>
      <c r="B2393">
        <v>32790051</v>
      </c>
      <c r="C2393" s="3">
        <v>1</v>
      </c>
      <c r="D2393" s="5" t="str">
        <f t="shared" si="84"/>
        <v>01</v>
      </c>
      <c r="E2393" t="str">
        <f>VLOOKUP(B2393,'HOGARES-BASELINE'!$B:$I,8,FALSE)</f>
        <v>01030699</v>
      </c>
      <c r="F2393" s="6" t="str">
        <f t="shared" si="83"/>
        <v>0103069901</v>
      </c>
    </row>
    <row r="2394" spans="1:6" x14ac:dyDescent="0.3">
      <c r="A2394" s="6" t="s">
        <v>2394</v>
      </c>
      <c r="B2394">
        <v>32790051</v>
      </c>
      <c r="C2394" s="3">
        <v>2</v>
      </c>
      <c r="D2394" s="5" t="str">
        <f t="shared" si="84"/>
        <v>02</v>
      </c>
      <c r="E2394" t="str">
        <f>VLOOKUP(B2394,'HOGARES-BASELINE'!$B:$I,8,FALSE)</f>
        <v>01030699</v>
      </c>
      <c r="F2394" s="6" t="str">
        <f t="shared" si="83"/>
        <v>0103069902</v>
      </c>
    </row>
    <row r="2395" spans="1:6" x14ac:dyDescent="0.3">
      <c r="A2395" s="6" t="s">
        <v>2395</v>
      </c>
      <c r="B2395">
        <v>32790051</v>
      </c>
      <c r="C2395" s="3">
        <v>4</v>
      </c>
      <c r="D2395" s="5" t="str">
        <f t="shared" si="84"/>
        <v>04</v>
      </c>
      <c r="E2395" t="str">
        <f>VLOOKUP(B2395,'HOGARES-BASELINE'!$B:$I,8,FALSE)</f>
        <v>01030699</v>
      </c>
      <c r="F2395" s="6" t="str">
        <f t="shared" si="83"/>
        <v>0103069904</v>
      </c>
    </row>
    <row r="2396" spans="1:6" x14ac:dyDescent="0.3">
      <c r="A2396" s="6" t="s">
        <v>2396</v>
      </c>
      <c r="B2396">
        <v>32790051</v>
      </c>
      <c r="C2396" s="3">
        <v>6</v>
      </c>
      <c r="D2396" s="5" t="str">
        <f t="shared" si="84"/>
        <v>06</v>
      </c>
      <c r="E2396" t="str">
        <f>VLOOKUP(B2396,'HOGARES-BASELINE'!$B:$I,8,FALSE)</f>
        <v>01030699</v>
      </c>
      <c r="F2396" s="6" t="str">
        <f t="shared" si="83"/>
        <v>0103069906</v>
      </c>
    </row>
    <row r="2397" spans="1:6" x14ac:dyDescent="0.3">
      <c r="A2397" s="6" t="s">
        <v>2397</v>
      </c>
      <c r="B2397">
        <v>32792195</v>
      </c>
      <c r="C2397" s="3">
        <v>2</v>
      </c>
      <c r="D2397" s="5" t="str">
        <f t="shared" si="84"/>
        <v>02</v>
      </c>
      <c r="E2397" t="str">
        <f>VLOOKUP(B2397,'HOGARES-BASELINE'!$B:$I,8,FALSE)</f>
        <v>00030700</v>
      </c>
      <c r="F2397" s="6" t="str">
        <f t="shared" si="83"/>
        <v>0003070002</v>
      </c>
    </row>
    <row r="2398" spans="1:6" x14ac:dyDescent="0.3">
      <c r="A2398" s="6" t="s">
        <v>2398</v>
      </c>
      <c r="B2398">
        <v>32792195</v>
      </c>
      <c r="C2398" s="3">
        <v>3</v>
      </c>
      <c r="D2398" s="5" t="str">
        <f t="shared" si="84"/>
        <v>03</v>
      </c>
      <c r="E2398" t="str">
        <f>VLOOKUP(B2398,'HOGARES-BASELINE'!$B:$I,8,FALSE)</f>
        <v>00030700</v>
      </c>
      <c r="F2398" s="6" t="str">
        <f t="shared" si="83"/>
        <v>0003070003</v>
      </c>
    </row>
    <row r="2399" spans="1:6" x14ac:dyDescent="0.3">
      <c r="A2399" s="6" t="s">
        <v>2399</v>
      </c>
      <c r="B2399">
        <v>32792195</v>
      </c>
      <c r="C2399" s="3">
        <v>1</v>
      </c>
      <c r="D2399" s="5" t="str">
        <f t="shared" si="84"/>
        <v>01</v>
      </c>
      <c r="E2399" t="str">
        <f>VLOOKUP(B2399,'HOGARES-BASELINE'!$B:$I,8,FALSE)</f>
        <v>00030700</v>
      </c>
      <c r="F2399" s="6" t="str">
        <f t="shared" si="83"/>
        <v>0003070001</v>
      </c>
    </row>
    <row r="2400" spans="1:6" x14ac:dyDescent="0.3">
      <c r="A2400" s="6" t="s">
        <v>2400</v>
      </c>
      <c r="B2400">
        <v>32796944</v>
      </c>
      <c r="C2400" s="3">
        <v>1</v>
      </c>
      <c r="D2400" s="5" t="str">
        <f t="shared" si="84"/>
        <v>01</v>
      </c>
      <c r="E2400" t="str">
        <f>VLOOKUP(B2400,'HOGARES-BASELINE'!$B:$I,8,FALSE)</f>
        <v>01030701</v>
      </c>
      <c r="F2400" s="6" t="str">
        <f t="shared" si="83"/>
        <v>0103070101</v>
      </c>
    </row>
    <row r="2401" spans="1:6" x14ac:dyDescent="0.3">
      <c r="A2401" s="6" t="s">
        <v>2401</v>
      </c>
      <c r="B2401">
        <v>32796944</v>
      </c>
      <c r="C2401" s="3">
        <v>2</v>
      </c>
      <c r="D2401" s="5" t="str">
        <f t="shared" si="84"/>
        <v>02</v>
      </c>
      <c r="E2401" t="str">
        <f>VLOOKUP(B2401,'HOGARES-BASELINE'!$B:$I,8,FALSE)</f>
        <v>01030701</v>
      </c>
      <c r="F2401" s="6" t="str">
        <f t="shared" si="83"/>
        <v>0103070102</v>
      </c>
    </row>
    <row r="2402" spans="1:6" x14ac:dyDescent="0.3">
      <c r="A2402" s="6" t="s">
        <v>2402</v>
      </c>
      <c r="B2402">
        <v>32796944</v>
      </c>
      <c r="C2402" s="3">
        <v>4</v>
      </c>
      <c r="D2402" s="5" t="str">
        <f t="shared" si="84"/>
        <v>04</v>
      </c>
      <c r="E2402" t="str">
        <f>VLOOKUP(B2402,'HOGARES-BASELINE'!$B:$I,8,FALSE)</f>
        <v>01030701</v>
      </c>
      <c r="F2402" s="6" t="str">
        <f t="shared" si="83"/>
        <v>0103070104</v>
      </c>
    </row>
    <row r="2403" spans="1:6" x14ac:dyDescent="0.3">
      <c r="A2403" s="6" t="s">
        <v>2403</v>
      </c>
      <c r="B2403">
        <v>32796944</v>
      </c>
      <c r="C2403" s="3">
        <v>3</v>
      </c>
      <c r="D2403" s="5" t="str">
        <f t="shared" si="84"/>
        <v>03</v>
      </c>
      <c r="E2403" t="str">
        <f>VLOOKUP(B2403,'HOGARES-BASELINE'!$B:$I,8,FALSE)</f>
        <v>01030701</v>
      </c>
      <c r="F2403" s="6" t="str">
        <f t="shared" si="83"/>
        <v>0103070103</v>
      </c>
    </row>
    <row r="2404" spans="1:6" x14ac:dyDescent="0.3">
      <c r="A2404" s="6" t="s">
        <v>2404</v>
      </c>
      <c r="B2404">
        <v>32797627</v>
      </c>
      <c r="C2404" s="3">
        <v>1</v>
      </c>
      <c r="D2404" s="5" t="str">
        <f t="shared" si="84"/>
        <v>01</v>
      </c>
      <c r="E2404" t="str">
        <f>VLOOKUP(B2404,'HOGARES-BASELINE'!$B:$I,8,FALSE)</f>
        <v>01030702</v>
      </c>
      <c r="F2404" s="6" t="str">
        <f t="shared" si="83"/>
        <v>0103070201</v>
      </c>
    </row>
    <row r="2405" spans="1:6" x14ac:dyDescent="0.3">
      <c r="A2405" s="6" t="s">
        <v>2405</v>
      </c>
      <c r="B2405">
        <v>32797627</v>
      </c>
      <c r="C2405" s="3">
        <v>3</v>
      </c>
      <c r="D2405" s="5" t="str">
        <f t="shared" si="84"/>
        <v>03</v>
      </c>
      <c r="E2405" t="str">
        <f>VLOOKUP(B2405,'HOGARES-BASELINE'!$B:$I,8,FALSE)</f>
        <v>01030702</v>
      </c>
      <c r="F2405" s="6" t="str">
        <f t="shared" si="83"/>
        <v>0103070203</v>
      </c>
    </row>
    <row r="2406" spans="1:6" x14ac:dyDescent="0.3">
      <c r="A2406" s="6" t="s">
        <v>2406</v>
      </c>
      <c r="B2406">
        <v>32797627</v>
      </c>
      <c r="C2406" s="3">
        <v>7</v>
      </c>
      <c r="D2406" s="5" t="str">
        <f t="shared" si="84"/>
        <v>07</v>
      </c>
      <c r="E2406" t="str">
        <f>VLOOKUP(B2406,'HOGARES-BASELINE'!$B:$I,8,FALSE)</f>
        <v>01030702</v>
      </c>
      <c r="F2406" s="6" t="str">
        <f t="shared" si="83"/>
        <v>0103070207</v>
      </c>
    </row>
    <row r="2407" spans="1:6" x14ac:dyDescent="0.3">
      <c r="A2407" s="6" t="s">
        <v>2407</v>
      </c>
      <c r="B2407">
        <v>32797627</v>
      </c>
      <c r="C2407" s="3">
        <v>6</v>
      </c>
      <c r="D2407" s="5" t="str">
        <f t="shared" si="84"/>
        <v>06</v>
      </c>
      <c r="E2407" t="str">
        <f>VLOOKUP(B2407,'HOGARES-BASELINE'!$B:$I,8,FALSE)</f>
        <v>01030702</v>
      </c>
      <c r="F2407" s="6" t="str">
        <f t="shared" si="83"/>
        <v>0103070206</v>
      </c>
    </row>
    <row r="2408" spans="1:6" x14ac:dyDescent="0.3">
      <c r="A2408" s="6" t="s">
        <v>2408</v>
      </c>
      <c r="B2408">
        <v>32797627</v>
      </c>
      <c r="C2408" s="3">
        <v>5</v>
      </c>
      <c r="D2408" s="5" t="str">
        <f t="shared" si="84"/>
        <v>05</v>
      </c>
      <c r="E2408" t="str">
        <f>VLOOKUP(B2408,'HOGARES-BASELINE'!$B:$I,8,FALSE)</f>
        <v>01030702</v>
      </c>
      <c r="F2408" s="6" t="str">
        <f t="shared" si="83"/>
        <v>0103070205</v>
      </c>
    </row>
    <row r="2409" spans="1:6" x14ac:dyDescent="0.3">
      <c r="A2409" s="6" t="s">
        <v>2409</v>
      </c>
      <c r="B2409">
        <v>32797627</v>
      </c>
      <c r="C2409" s="3">
        <v>10</v>
      </c>
      <c r="D2409" s="2">
        <f>C2409</f>
        <v>10</v>
      </c>
      <c r="E2409" t="str">
        <f>VLOOKUP(B2409,'HOGARES-BASELINE'!$B:$I,8,FALSE)</f>
        <v>01030702</v>
      </c>
      <c r="F2409" s="6" t="str">
        <f t="shared" si="83"/>
        <v>0103070210</v>
      </c>
    </row>
    <row r="2410" spans="1:6" x14ac:dyDescent="0.3">
      <c r="A2410" s="6" t="s">
        <v>2410</v>
      </c>
      <c r="B2410">
        <v>32797627</v>
      </c>
      <c r="C2410" s="3">
        <v>9</v>
      </c>
      <c r="D2410" s="5" t="str">
        <f>_xlfn.CONCAT(0,C2410)</f>
        <v>09</v>
      </c>
      <c r="E2410" t="str">
        <f>VLOOKUP(B2410,'HOGARES-BASELINE'!$B:$I,8,FALSE)</f>
        <v>01030702</v>
      </c>
      <c r="F2410" s="6" t="str">
        <f t="shared" si="83"/>
        <v>0103070209</v>
      </c>
    </row>
    <row r="2411" spans="1:6" x14ac:dyDescent="0.3">
      <c r="A2411" s="6" t="s">
        <v>2411</v>
      </c>
      <c r="B2411">
        <v>32797627</v>
      </c>
      <c r="C2411" s="3">
        <v>11</v>
      </c>
      <c r="D2411" s="2">
        <f>C2411</f>
        <v>11</v>
      </c>
      <c r="E2411" t="str">
        <f>VLOOKUP(B2411,'HOGARES-BASELINE'!$B:$I,8,FALSE)</f>
        <v>01030702</v>
      </c>
      <c r="F2411" s="6" t="str">
        <f t="shared" si="83"/>
        <v>0103070211</v>
      </c>
    </row>
    <row r="2412" spans="1:6" x14ac:dyDescent="0.3">
      <c r="A2412" s="6" t="s">
        <v>2412</v>
      </c>
      <c r="B2412">
        <v>32797627</v>
      </c>
      <c r="C2412" s="3">
        <v>2</v>
      </c>
      <c r="D2412" s="5" t="str">
        <f t="shared" ref="D2412:D2475" si="85">_xlfn.CONCAT(0,C2412)</f>
        <v>02</v>
      </c>
      <c r="E2412" t="str">
        <f>VLOOKUP(B2412,'HOGARES-BASELINE'!$B:$I,8,FALSE)</f>
        <v>01030702</v>
      </c>
      <c r="F2412" s="6" t="str">
        <f t="shared" si="83"/>
        <v>0103070202</v>
      </c>
    </row>
    <row r="2413" spans="1:6" x14ac:dyDescent="0.3">
      <c r="A2413" s="6" t="s">
        <v>2413</v>
      </c>
      <c r="B2413">
        <v>32797627</v>
      </c>
      <c r="C2413" s="3">
        <v>4</v>
      </c>
      <c r="D2413" s="5" t="str">
        <f t="shared" si="85"/>
        <v>04</v>
      </c>
      <c r="E2413" t="str">
        <f>VLOOKUP(B2413,'HOGARES-BASELINE'!$B:$I,8,FALSE)</f>
        <v>01030702</v>
      </c>
      <c r="F2413" s="6" t="str">
        <f t="shared" si="83"/>
        <v>0103070204</v>
      </c>
    </row>
    <row r="2414" spans="1:6" x14ac:dyDescent="0.3">
      <c r="A2414" s="6" t="s">
        <v>2414</v>
      </c>
      <c r="B2414">
        <v>32797627</v>
      </c>
      <c r="C2414" s="3">
        <v>8</v>
      </c>
      <c r="D2414" s="5" t="str">
        <f t="shared" si="85"/>
        <v>08</v>
      </c>
      <c r="E2414" t="str">
        <f>VLOOKUP(B2414,'HOGARES-BASELINE'!$B:$I,8,FALSE)</f>
        <v>01030702</v>
      </c>
      <c r="F2414" s="6" t="str">
        <f t="shared" si="83"/>
        <v>0103070208</v>
      </c>
    </row>
    <row r="2415" spans="1:6" x14ac:dyDescent="0.3">
      <c r="A2415" s="6" t="s">
        <v>2415</v>
      </c>
      <c r="B2415">
        <v>32800662</v>
      </c>
      <c r="C2415" s="3">
        <v>2</v>
      </c>
      <c r="D2415" s="5" t="str">
        <f t="shared" si="85"/>
        <v>02</v>
      </c>
      <c r="E2415" t="str">
        <f>VLOOKUP(B2415,'HOGARES-BASELINE'!$B:$I,8,FALSE)</f>
        <v>01030703</v>
      </c>
      <c r="F2415" s="6" t="str">
        <f t="shared" si="83"/>
        <v>0103070302</v>
      </c>
    </row>
    <row r="2416" spans="1:6" x14ac:dyDescent="0.3">
      <c r="A2416" s="6" t="s">
        <v>2416</v>
      </c>
      <c r="B2416">
        <v>32800662</v>
      </c>
      <c r="C2416" s="3">
        <v>3</v>
      </c>
      <c r="D2416" s="5" t="str">
        <f t="shared" si="85"/>
        <v>03</v>
      </c>
      <c r="E2416" t="str">
        <f>VLOOKUP(B2416,'HOGARES-BASELINE'!$B:$I,8,FALSE)</f>
        <v>01030703</v>
      </c>
      <c r="F2416" s="6" t="str">
        <f t="shared" si="83"/>
        <v>0103070303</v>
      </c>
    </row>
    <row r="2417" spans="1:6" x14ac:dyDescent="0.3">
      <c r="A2417" s="6" t="s">
        <v>2417</v>
      </c>
      <c r="B2417">
        <v>32800662</v>
      </c>
      <c r="C2417" s="3">
        <v>1</v>
      </c>
      <c r="D2417" s="5" t="str">
        <f t="shared" si="85"/>
        <v>01</v>
      </c>
      <c r="E2417" t="str">
        <f>VLOOKUP(B2417,'HOGARES-BASELINE'!$B:$I,8,FALSE)</f>
        <v>01030703</v>
      </c>
      <c r="F2417" s="6" t="str">
        <f t="shared" si="83"/>
        <v>0103070301</v>
      </c>
    </row>
    <row r="2418" spans="1:6" x14ac:dyDescent="0.3">
      <c r="A2418" s="6" t="s">
        <v>2418</v>
      </c>
      <c r="B2418">
        <v>32800662</v>
      </c>
      <c r="C2418" s="3">
        <v>4</v>
      </c>
      <c r="D2418" s="5" t="str">
        <f t="shared" si="85"/>
        <v>04</v>
      </c>
      <c r="E2418" t="str">
        <f>VLOOKUP(B2418,'HOGARES-BASELINE'!$B:$I,8,FALSE)</f>
        <v>01030703</v>
      </c>
      <c r="F2418" s="6" t="str">
        <f t="shared" si="83"/>
        <v>0103070304</v>
      </c>
    </row>
    <row r="2419" spans="1:6" x14ac:dyDescent="0.3">
      <c r="A2419" s="6" t="s">
        <v>2419</v>
      </c>
      <c r="B2419">
        <v>32802610</v>
      </c>
      <c r="C2419" s="3">
        <v>1</v>
      </c>
      <c r="D2419" s="5" t="str">
        <f t="shared" si="85"/>
        <v>01</v>
      </c>
      <c r="E2419" t="str">
        <f>VLOOKUP(B2419,'HOGARES-BASELINE'!$B:$I,8,FALSE)</f>
        <v>01030704</v>
      </c>
      <c r="F2419" s="6" t="str">
        <f t="shared" si="83"/>
        <v>0103070401</v>
      </c>
    </row>
    <row r="2420" spans="1:6" x14ac:dyDescent="0.3">
      <c r="A2420" s="6" t="s">
        <v>2420</v>
      </c>
      <c r="B2420">
        <v>32802610</v>
      </c>
      <c r="C2420" s="3">
        <v>3</v>
      </c>
      <c r="D2420" s="5" t="str">
        <f t="shared" si="85"/>
        <v>03</v>
      </c>
      <c r="E2420" t="str">
        <f>VLOOKUP(B2420,'HOGARES-BASELINE'!$B:$I,8,FALSE)</f>
        <v>01030704</v>
      </c>
      <c r="F2420" s="6" t="str">
        <f t="shared" si="83"/>
        <v>0103070403</v>
      </c>
    </row>
    <row r="2421" spans="1:6" x14ac:dyDescent="0.3">
      <c r="A2421" s="6" t="s">
        <v>2421</v>
      </c>
      <c r="B2421">
        <v>32802610</v>
      </c>
      <c r="C2421" s="3">
        <v>2</v>
      </c>
      <c r="D2421" s="5" t="str">
        <f t="shared" si="85"/>
        <v>02</v>
      </c>
      <c r="E2421" t="str">
        <f>VLOOKUP(B2421,'HOGARES-BASELINE'!$B:$I,8,FALSE)</f>
        <v>01030704</v>
      </c>
      <c r="F2421" s="6" t="str">
        <f t="shared" si="83"/>
        <v>0103070402</v>
      </c>
    </row>
    <row r="2422" spans="1:6" x14ac:dyDescent="0.3">
      <c r="A2422" s="6" t="s">
        <v>2422</v>
      </c>
      <c r="B2422">
        <v>32803448</v>
      </c>
      <c r="C2422" s="3">
        <v>1</v>
      </c>
      <c r="D2422" s="5" t="str">
        <f t="shared" si="85"/>
        <v>01</v>
      </c>
      <c r="E2422" t="str">
        <f>VLOOKUP(B2422,'HOGARES-BASELINE'!$B:$I,8,FALSE)</f>
        <v>01030705</v>
      </c>
      <c r="F2422" s="6" t="str">
        <f t="shared" si="83"/>
        <v>0103070501</v>
      </c>
    </row>
    <row r="2423" spans="1:6" x14ac:dyDescent="0.3">
      <c r="A2423" s="6" t="s">
        <v>2423</v>
      </c>
      <c r="B2423">
        <v>32803448</v>
      </c>
      <c r="C2423" s="3">
        <v>3</v>
      </c>
      <c r="D2423" s="5" t="str">
        <f t="shared" si="85"/>
        <v>03</v>
      </c>
      <c r="E2423" t="str">
        <f>VLOOKUP(B2423,'HOGARES-BASELINE'!$B:$I,8,FALSE)</f>
        <v>01030705</v>
      </c>
      <c r="F2423" s="6" t="str">
        <f t="shared" si="83"/>
        <v>0103070503</v>
      </c>
    </row>
    <row r="2424" spans="1:6" x14ac:dyDescent="0.3">
      <c r="A2424" s="6" t="s">
        <v>2424</v>
      </c>
      <c r="B2424">
        <v>32803448</v>
      </c>
      <c r="C2424" s="3">
        <v>4</v>
      </c>
      <c r="D2424" s="5" t="str">
        <f t="shared" si="85"/>
        <v>04</v>
      </c>
      <c r="E2424" t="str">
        <f>VLOOKUP(B2424,'HOGARES-BASELINE'!$B:$I,8,FALSE)</f>
        <v>01030705</v>
      </c>
      <c r="F2424" s="6" t="str">
        <f t="shared" si="83"/>
        <v>0103070504</v>
      </c>
    </row>
    <row r="2425" spans="1:6" x14ac:dyDescent="0.3">
      <c r="A2425" s="6" t="s">
        <v>2425</v>
      </c>
      <c r="B2425">
        <v>32803448</v>
      </c>
      <c r="C2425" s="3">
        <v>5</v>
      </c>
      <c r="D2425" s="5" t="str">
        <f t="shared" si="85"/>
        <v>05</v>
      </c>
      <c r="E2425" t="str">
        <f>VLOOKUP(B2425,'HOGARES-BASELINE'!$B:$I,8,FALSE)</f>
        <v>01030705</v>
      </c>
      <c r="F2425" s="6" t="str">
        <f t="shared" si="83"/>
        <v>0103070505</v>
      </c>
    </row>
    <row r="2426" spans="1:6" x14ac:dyDescent="0.3">
      <c r="A2426" s="6" t="s">
        <v>2426</v>
      </c>
      <c r="B2426">
        <v>32803448</v>
      </c>
      <c r="C2426" s="3">
        <v>2</v>
      </c>
      <c r="D2426" s="5" t="str">
        <f t="shared" si="85"/>
        <v>02</v>
      </c>
      <c r="E2426" t="str">
        <f>VLOOKUP(B2426,'HOGARES-BASELINE'!$B:$I,8,FALSE)</f>
        <v>01030705</v>
      </c>
      <c r="F2426" s="6" t="str">
        <f t="shared" si="83"/>
        <v>0103070502</v>
      </c>
    </row>
    <row r="2427" spans="1:6" x14ac:dyDescent="0.3">
      <c r="A2427" s="6" t="s">
        <v>2427</v>
      </c>
      <c r="B2427">
        <v>32803484</v>
      </c>
      <c r="C2427" s="3">
        <v>2</v>
      </c>
      <c r="D2427" s="5" t="str">
        <f t="shared" si="85"/>
        <v>02</v>
      </c>
      <c r="E2427" t="str">
        <f>VLOOKUP(B2427,'HOGARES-BASELINE'!$B:$I,8,FALSE)</f>
        <v>01030706</v>
      </c>
      <c r="F2427" s="6" t="str">
        <f t="shared" si="83"/>
        <v>0103070602</v>
      </c>
    </row>
    <row r="2428" spans="1:6" x14ac:dyDescent="0.3">
      <c r="A2428" s="6" t="s">
        <v>2428</v>
      </c>
      <c r="B2428">
        <v>32803484</v>
      </c>
      <c r="C2428" s="3">
        <v>4</v>
      </c>
      <c r="D2428" s="5" t="str">
        <f t="shared" si="85"/>
        <v>04</v>
      </c>
      <c r="E2428" t="str">
        <f>VLOOKUP(B2428,'HOGARES-BASELINE'!$B:$I,8,FALSE)</f>
        <v>01030706</v>
      </c>
      <c r="F2428" s="6" t="str">
        <f t="shared" si="83"/>
        <v>0103070604</v>
      </c>
    </row>
    <row r="2429" spans="1:6" x14ac:dyDescent="0.3">
      <c r="A2429" s="6" t="s">
        <v>2429</v>
      </c>
      <c r="B2429">
        <v>32803484</v>
      </c>
      <c r="C2429" s="3">
        <v>3</v>
      </c>
      <c r="D2429" s="5" t="str">
        <f t="shared" si="85"/>
        <v>03</v>
      </c>
      <c r="E2429" t="str">
        <f>VLOOKUP(B2429,'HOGARES-BASELINE'!$B:$I,8,FALSE)</f>
        <v>01030706</v>
      </c>
      <c r="F2429" s="6" t="str">
        <f t="shared" si="83"/>
        <v>0103070603</v>
      </c>
    </row>
    <row r="2430" spans="1:6" x14ac:dyDescent="0.3">
      <c r="A2430" s="6" t="s">
        <v>2430</v>
      </c>
      <c r="B2430">
        <v>32803484</v>
      </c>
      <c r="C2430" s="3">
        <v>1</v>
      </c>
      <c r="D2430" s="5" t="str">
        <f t="shared" si="85"/>
        <v>01</v>
      </c>
      <c r="E2430" t="str">
        <f>VLOOKUP(B2430,'HOGARES-BASELINE'!$B:$I,8,FALSE)</f>
        <v>01030706</v>
      </c>
      <c r="F2430" s="6" t="str">
        <f t="shared" si="83"/>
        <v>0103070601</v>
      </c>
    </row>
    <row r="2431" spans="1:6" x14ac:dyDescent="0.3">
      <c r="A2431" s="6" t="s">
        <v>2431</v>
      </c>
      <c r="B2431">
        <v>32810131</v>
      </c>
      <c r="C2431" s="3">
        <v>3</v>
      </c>
      <c r="D2431" s="5" t="str">
        <f t="shared" si="85"/>
        <v>03</v>
      </c>
      <c r="E2431" t="str">
        <f>VLOOKUP(B2431,'HOGARES-BASELINE'!$B:$I,8,FALSE)</f>
        <v>01030707</v>
      </c>
      <c r="F2431" s="6" t="str">
        <f t="shared" si="83"/>
        <v>0103070703</v>
      </c>
    </row>
    <row r="2432" spans="1:6" x14ac:dyDescent="0.3">
      <c r="A2432" s="6" t="s">
        <v>2432</v>
      </c>
      <c r="B2432">
        <v>32810131</v>
      </c>
      <c r="C2432" s="3">
        <v>2</v>
      </c>
      <c r="D2432" s="5" t="str">
        <f t="shared" si="85"/>
        <v>02</v>
      </c>
      <c r="E2432" t="str">
        <f>VLOOKUP(B2432,'HOGARES-BASELINE'!$B:$I,8,FALSE)</f>
        <v>01030707</v>
      </c>
      <c r="F2432" s="6" t="str">
        <f t="shared" si="83"/>
        <v>0103070702</v>
      </c>
    </row>
    <row r="2433" spans="1:6" x14ac:dyDescent="0.3">
      <c r="A2433" s="6" t="s">
        <v>2433</v>
      </c>
      <c r="B2433">
        <v>32810131</v>
      </c>
      <c r="C2433" s="3">
        <v>4</v>
      </c>
      <c r="D2433" s="5" t="str">
        <f t="shared" si="85"/>
        <v>04</v>
      </c>
      <c r="E2433" t="str">
        <f>VLOOKUP(B2433,'HOGARES-BASELINE'!$B:$I,8,FALSE)</f>
        <v>01030707</v>
      </c>
      <c r="F2433" s="6" t="str">
        <f t="shared" si="83"/>
        <v>0103070704</v>
      </c>
    </row>
    <row r="2434" spans="1:6" x14ac:dyDescent="0.3">
      <c r="A2434" s="6" t="s">
        <v>2434</v>
      </c>
      <c r="B2434">
        <v>32810131</v>
      </c>
      <c r="C2434" s="3">
        <v>1</v>
      </c>
      <c r="D2434" s="5" t="str">
        <f t="shared" si="85"/>
        <v>01</v>
      </c>
      <c r="E2434" t="str">
        <f>VLOOKUP(B2434,'HOGARES-BASELINE'!$B:$I,8,FALSE)</f>
        <v>01030707</v>
      </c>
      <c r="F2434" s="6" t="str">
        <f t="shared" si="83"/>
        <v>0103070701</v>
      </c>
    </row>
    <row r="2435" spans="1:6" x14ac:dyDescent="0.3">
      <c r="A2435" s="6" t="s">
        <v>2435</v>
      </c>
      <c r="B2435">
        <v>32810131</v>
      </c>
      <c r="C2435" s="3">
        <v>5</v>
      </c>
      <c r="D2435" s="5" t="str">
        <f t="shared" si="85"/>
        <v>05</v>
      </c>
      <c r="E2435" t="str">
        <f>VLOOKUP(B2435,'HOGARES-BASELINE'!$B:$I,8,FALSE)</f>
        <v>01030707</v>
      </c>
      <c r="F2435" s="6" t="str">
        <f t="shared" ref="F2435:F2498" si="86">_xlfn.CONCAT(E2435,D2435)</f>
        <v>0103070705</v>
      </c>
    </row>
    <row r="2436" spans="1:6" x14ac:dyDescent="0.3">
      <c r="A2436" s="6" t="s">
        <v>2436</v>
      </c>
      <c r="B2436">
        <v>32811740</v>
      </c>
      <c r="C2436" s="3">
        <v>2</v>
      </c>
      <c r="D2436" s="5" t="str">
        <f t="shared" si="85"/>
        <v>02</v>
      </c>
      <c r="E2436" t="str">
        <f>VLOOKUP(B2436,'HOGARES-BASELINE'!$B:$I,8,FALSE)</f>
        <v>00030708</v>
      </c>
      <c r="F2436" s="6" t="str">
        <f t="shared" si="86"/>
        <v>0003070802</v>
      </c>
    </row>
    <row r="2437" spans="1:6" x14ac:dyDescent="0.3">
      <c r="A2437" s="6" t="s">
        <v>2437</v>
      </c>
      <c r="B2437">
        <v>32811740</v>
      </c>
      <c r="C2437" s="3">
        <v>1</v>
      </c>
      <c r="D2437" s="5" t="str">
        <f t="shared" si="85"/>
        <v>01</v>
      </c>
      <c r="E2437" t="str">
        <f>VLOOKUP(B2437,'HOGARES-BASELINE'!$B:$I,8,FALSE)</f>
        <v>00030708</v>
      </c>
      <c r="F2437" s="6" t="str">
        <f t="shared" si="86"/>
        <v>0003070801</v>
      </c>
    </row>
    <row r="2438" spans="1:6" x14ac:dyDescent="0.3">
      <c r="A2438" s="6" t="s">
        <v>2438</v>
      </c>
      <c r="B2438">
        <v>32811740</v>
      </c>
      <c r="C2438" s="3">
        <v>4</v>
      </c>
      <c r="D2438" s="5" t="str">
        <f t="shared" si="85"/>
        <v>04</v>
      </c>
      <c r="E2438" t="str">
        <f>VLOOKUP(B2438,'HOGARES-BASELINE'!$B:$I,8,FALSE)</f>
        <v>00030708</v>
      </c>
      <c r="F2438" s="6" t="str">
        <f t="shared" si="86"/>
        <v>0003070804</v>
      </c>
    </row>
    <row r="2439" spans="1:6" x14ac:dyDescent="0.3">
      <c r="A2439" s="6" t="s">
        <v>2439</v>
      </c>
      <c r="B2439">
        <v>32811740</v>
      </c>
      <c r="C2439" s="3">
        <v>3</v>
      </c>
      <c r="D2439" s="5" t="str">
        <f t="shared" si="85"/>
        <v>03</v>
      </c>
      <c r="E2439" t="str">
        <f>VLOOKUP(B2439,'HOGARES-BASELINE'!$B:$I,8,FALSE)</f>
        <v>00030708</v>
      </c>
      <c r="F2439" s="6" t="str">
        <f t="shared" si="86"/>
        <v>0003070803</v>
      </c>
    </row>
    <row r="2440" spans="1:6" x14ac:dyDescent="0.3">
      <c r="A2440" s="6" t="s">
        <v>2440</v>
      </c>
      <c r="B2440">
        <v>32812129</v>
      </c>
      <c r="C2440" s="3">
        <v>2</v>
      </c>
      <c r="D2440" s="5" t="str">
        <f t="shared" si="85"/>
        <v>02</v>
      </c>
      <c r="E2440" t="str">
        <f>VLOOKUP(B2440,'HOGARES-BASELINE'!$B:$I,8,FALSE)</f>
        <v>01030709</v>
      </c>
      <c r="F2440" s="6" t="str">
        <f t="shared" si="86"/>
        <v>0103070902</v>
      </c>
    </row>
    <row r="2441" spans="1:6" x14ac:dyDescent="0.3">
      <c r="A2441" s="6" t="s">
        <v>2441</v>
      </c>
      <c r="B2441">
        <v>32812129</v>
      </c>
      <c r="C2441" s="3">
        <v>3</v>
      </c>
      <c r="D2441" s="5" t="str">
        <f t="shared" si="85"/>
        <v>03</v>
      </c>
      <c r="E2441" t="str">
        <f>VLOOKUP(B2441,'HOGARES-BASELINE'!$B:$I,8,FALSE)</f>
        <v>01030709</v>
      </c>
      <c r="F2441" s="6" t="str">
        <f t="shared" si="86"/>
        <v>0103070903</v>
      </c>
    </row>
    <row r="2442" spans="1:6" x14ac:dyDescent="0.3">
      <c r="A2442" s="6" t="s">
        <v>2442</v>
      </c>
      <c r="B2442">
        <v>32812129</v>
      </c>
      <c r="C2442" s="3">
        <v>5</v>
      </c>
      <c r="D2442" s="5" t="str">
        <f t="shared" si="85"/>
        <v>05</v>
      </c>
      <c r="E2442" t="str">
        <f>VLOOKUP(B2442,'HOGARES-BASELINE'!$B:$I,8,FALSE)</f>
        <v>01030709</v>
      </c>
      <c r="F2442" s="6" t="str">
        <f t="shared" si="86"/>
        <v>0103070905</v>
      </c>
    </row>
    <row r="2443" spans="1:6" x14ac:dyDescent="0.3">
      <c r="A2443" s="6" t="s">
        <v>2443</v>
      </c>
      <c r="B2443">
        <v>32812129</v>
      </c>
      <c r="C2443" s="3">
        <v>4</v>
      </c>
      <c r="D2443" s="5" t="str">
        <f t="shared" si="85"/>
        <v>04</v>
      </c>
      <c r="E2443" t="str">
        <f>VLOOKUP(B2443,'HOGARES-BASELINE'!$B:$I,8,FALSE)</f>
        <v>01030709</v>
      </c>
      <c r="F2443" s="6" t="str">
        <f t="shared" si="86"/>
        <v>0103070904</v>
      </c>
    </row>
    <row r="2444" spans="1:6" x14ac:dyDescent="0.3">
      <c r="A2444" s="6" t="s">
        <v>2444</v>
      </c>
      <c r="B2444">
        <v>32812129</v>
      </c>
      <c r="C2444" s="3">
        <v>1</v>
      </c>
      <c r="D2444" s="5" t="str">
        <f t="shared" si="85"/>
        <v>01</v>
      </c>
      <c r="E2444" t="str">
        <f>VLOOKUP(B2444,'HOGARES-BASELINE'!$B:$I,8,FALSE)</f>
        <v>01030709</v>
      </c>
      <c r="F2444" s="6" t="str">
        <f t="shared" si="86"/>
        <v>0103070901</v>
      </c>
    </row>
    <row r="2445" spans="1:6" x14ac:dyDescent="0.3">
      <c r="A2445" s="6" t="s">
        <v>2445</v>
      </c>
      <c r="B2445">
        <v>32812890</v>
      </c>
      <c r="C2445" s="3">
        <v>2</v>
      </c>
      <c r="D2445" s="5" t="str">
        <f t="shared" si="85"/>
        <v>02</v>
      </c>
      <c r="E2445" t="str">
        <f>VLOOKUP(B2445,'HOGARES-BASELINE'!$B:$I,8,FALSE)</f>
        <v>01030710</v>
      </c>
      <c r="F2445" s="6" t="str">
        <f t="shared" si="86"/>
        <v>0103071002</v>
      </c>
    </row>
    <row r="2446" spans="1:6" x14ac:dyDescent="0.3">
      <c r="A2446" s="6" t="s">
        <v>2446</v>
      </c>
      <c r="B2446">
        <v>32812890</v>
      </c>
      <c r="C2446" s="3">
        <v>3</v>
      </c>
      <c r="D2446" s="5" t="str">
        <f t="shared" si="85"/>
        <v>03</v>
      </c>
      <c r="E2446" t="str">
        <f>VLOOKUP(B2446,'HOGARES-BASELINE'!$B:$I,8,FALSE)</f>
        <v>01030710</v>
      </c>
      <c r="F2446" s="6" t="str">
        <f t="shared" si="86"/>
        <v>0103071003</v>
      </c>
    </row>
    <row r="2447" spans="1:6" x14ac:dyDescent="0.3">
      <c r="A2447" s="6" t="s">
        <v>2447</v>
      </c>
      <c r="B2447">
        <v>32812890</v>
      </c>
      <c r="C2447" s="3">
        <v>1</v>
      </c>
      <c r="D2447" s="5" t="str">
        <f t="shared" si="85"/>
        <v>01</v>
      </c>
      <c r="E2447" t="str">
        <f>VLOOKUP(B2447,'HOGARES-BASELINE'!$B:$I,8,FALSE)</f>
        <v>01030710</v>
      </c>
      <c r="F2447" s="6" t="str">
        <f t="shared" si="86"/>
        <v>0103071001</v>
      </c>
    </row>
    <row r="2448" spans="1:6" x14ac:dyDescent="0.3">
      <c r="A2448" s="6" t="s">
        <v>2448</v>
      </c>
      <c r="B2448">
        <v>32817186</v>
      </c>
      <c r="C2448" s="3">
        <v>3</v>
      </c>
      <c r="D2448" s="5" t="str">
        <f t="shared" si="85"/>
        <v>03</v>
      </c>
      <c r="E2448" t="str">
        <f>VLOOKUP(B2448,'HOGARES-BASELINE'!$B:$I,8,FALSE)</f>
        <v>00030711</v>
      </c>
      <c r="F2448" s="6" t="str">
        <f t="shared" si="86"/>
        <v>0003071103</v>
      </c>
    </row>
    <row r="2449" spans="1:6" x14ac:dyDescent="0.3">
      <c r="A2449" s="6" t="s">
        <v>2449</v>
      </c>
      <c r="B2449">
        <v>32817186</v>
      </c>
      <c r="C2449" s="3">
        <v>1</v>
      </c>
      <c r="D2449" s="5" t="str">
        <f t="shared" si="85"/>
        <v>01</v>
      </c>
      <c r="E2449" t="str">
        <f>VLOOKUP(B2449,'HOGARES-BASELINE'!$B:$I,8,FALSE)</f>
        <v>00030711</v>
      </c>
      <c r="F2449" s="6" t="str">
        <f t="shared" si="86"/>
        <v>0003071101</v>
      </c>
    </row>
    <row r="2450" spans="1:6" x14ac:dyDescent="0.3">
      <c r="A2450" s="6" t="s">
        <v>2450</v>
      </c>
      <c r="B2450">
        <v>32817186</v>
      </c>
      <c r="C2450" s="3">
        <v>2</v>
      </c>
      <c r="D2450" s="5" t="str">
        <f t="shared" si="85"/>
        <v>02</v>
      </c>
      <c r="E2450" t="str">
        <f>VLOOKUP(B2450,'HOGARES-BASELINE'!$B:$I,8,FALSE)</f>
        <v>00030711</v>
      </c>
      <c r="F2450" s="6" t="str">
        <f t="shared" si="86"/>
        <v>0003071102</v>
      </c>
    </row>
    <row r="2451" spans="1:6" x14ac:dyDescent="0.3">
      <c r="A2451" s="6" t="s">
        <v>2451</v>
      </c>
      <c r="B2451">
        <v>32820161</v>
      </c>
      <c r="C2451" s="3">
        <v>1</v>
      </c>
      <c r="D2451" s="5" t="str">
        <f t="shared" si="85"/>
        <v>01</v>
      </c>
      <c r="E2451" t="str">
        <f>VLOOKUP(B2451,'HOGARES-BASELINE'!$B:$I,8,FALSE)</f>
        <v>00030712</v>
      </c>
      <c r="F2451" s="6" t="str">
        <f t="shared" si="86"/>
        <v>0003071201</v>
      </c>
    </row>
    <row r="2452" spans="1:6" x14ac:dyDescent="0.3">
      <c r="A2452" s="6" t="s">
        <v>2452</v>
      </c>
      <c r="B2452">
        <v>32821469</v>
      </c>
      <c r="C2452" s="3">
        <v>3</v>
      </c>
      <c r="D2452" s="5" t="str">
        <f t="shared" si="85"/>
        <v>03</v>
      </c>
      <c r="E2452" t="str">
        <f>VLOOKUP(B2452,'HOGARES-BASELINE'!$B:$I,8,FALSE)</f>
        <v>00030713</v>
      </c>
      <c r="F2452" s="6" t="str">
        <f t="shared" si="86"/>
        <v>0003071303</v>
      </c>
    </row>
    <row r="2453" spans="1:6" x14ac:dyDescent="0.3">
      <c r="A2453" s="6" t="s">
        <v>2453</v>
      </c>
      <c r="B2453">
        <v>32821469</v>
      </c>
      <c r="C2453" s="3">
        <v>2</v>
      </c>
      <c r="D2453" s="5" t="str">
        <f t="shared" si="85"/>
        <v>02</v>
      </c>
      <c r="E2453" t="str">
        <f>VLOOKUP(B2453,'HOGARES-BASELINE'!$B:$I,8,FALSE)</f>
        <v>00030713</v>
      </c>
      <c r="F2453" s="6" t="str">
        <f t="shared" si="86"/>
        <v>0003071302</v>
      </c>
    </row>
    <row r="2454" spans="1:6" x14ac:dyDescent="0.3">
      <c r="A2454" s="6" t="s">
        <v>2454</v>
      </c>
      <c r="B2454">
        <v>32821469</v>
      </c>
      <c r="C2454" s="3">
        <v>4</v>
      </c>
      <c r="D2454" s="5" t="str">
        <f t="shared" si="85"/>
        <v>04</v>
      </c>
      <c r="E2454" t="str">
        <f>VLOOKUP(B2454,'HOGARES-BASELINE'!$B:$I,8,FALSE)</f>
        <v>00030713</v>
      </c>
      <c r="F2454" s="6" t="str">
        <f t="shared" si="86"/>
        <v>0003071304</v>
      </c>
    </row>
    <row r="2455" spans="1:6" x14ac:dyDescent="0.3">
      <c r="A2455" s="6" t="s">
        <v>2455</v>
      </c>
      <c r="B2455">
        <v>32821469</v>
      </c>
      <c r="C2455" s="3">
        <v>5</v>
      </c>
      <c r="D2455" s="5" t="str">
        <f t="shared" si="85"/>
        <v>05</v>
      </c>
      <c r="E2455" t="str">
        <f>VLOOKUP(B2455,'HOGARES-BASELINE'!$B:$I,8,FALSE)</f>
        <v>00030713</v>
      </c>
      <c r="F2455" s="6" t="str">
        <f t="shared" si="86"/>
        <v>0003071305</v>
      </c>
    </row>
    <row r="2456" spans="1:6" x14ac:dyDescent="0.3">
      <c r="A2456" s="6" t="s">
        <v>2456</v>
      </c>
      <c r="B2456">
        <v>32821469</v>
      </c>
      <c r="C2456" s="3">
        <v>1</v>
      </c>
      <c r="D2456" s="5" t="str">
        <f t="shared" si="85"/>
        <v>01</v>
      </c>
      <c r="E2456" t="str">
        <f>VLOOKUP(B2456,'HOGARES-BASELINE'!$B:$I,8,FALSE)</f>
        <v>00030713</v>
      </c>
      <c r="F2456" s="6" t="str">
        <f t="shared" si="86"/>
        <v>0003071301</v>
      </c>
    </row>
    <row r="2457" spans="1:6" x14ac:dyDescent="0.3">
      <c r="A2457" s="6" t="s">
        <v>2457</v>
      </c>
      <c r="B2457">
        <v>32840396</v>
      </c>
      <c r="C2457" s="3">
        <v>3</v>
      </c>
      <c r="D2457" s="5" t="str">
        <f t="shared" si="85"/>
        <v>03</v>
      </c>
      <c r="E2457" t="str">
        <f>VLOOKUP(B2457,'HOGARES-BASELINE'!$B:$I,8,FALSE)</f>
        <v>01030714</v>
      </c>
      <c r="F2457" s="6" t="str">
        <f t="shared" si="86"/>
        <v>0103071403</v>
      </c>
    </row>
    <row r="2458" spans="1:6" x14ac:dyDescent="0.3">
      <c r="A2458" s="6" t="s">
        <v>2458</v>
      </c>
      <c r="B2458">
        <v>32840396</v>
      </c>
      <c r="C2458" s="3">
        <v>2</v>
      </c>
      <c r="D2458" s="5" t="str">
        <f t="shared" si="85"/>
        <v>02</v>
      </c>
      <c r="E2458" t="str">
        <f>VLOOKUP(B2458,'HOGARES-BASELINE'!$B:$I,8,FALSE)</f>
        <v>01030714</v>
      </c>
      <c r="F2458" s="6" t="str">
        <f t="shared" si="86"/>
        <v>0103071402</v>
      </c>
    </row>
    <row r="2459" spans="1:6" x14ac:dyDescent="0.3">
      <c r="A2459" s="6" t="s">
        <v>2459</v>
      </c>
      <c r="B2459">
        <v>32840396</v>
      </c>
      <c r="C2459" s="3">
        <v>1</v>
      </c>
      <c r="D2459" s="5" t="str">
        <f t="shared" si="85"/>
        <v>01</v>
      </c>
      <c r="E2459" t="str">
        <f>VLOOKUP(B2459,'HOGARES-BASELINE'!$B:$I,8,FALSE)</f>
        <v>01030714</v>
      </c>
      <c r="F2459" s="6" t="str">
        <f t="shared" si="86"/>
        <v>0103071401</v>
      </c>
    </row>
    <row r="2460" spans="1:6" x14ac:dyDescent="0.3">
      <c r="A2460" s="6" t="s">
        <v>2460</v>
      </c>
      <c r="B2460">
        <v>32840396</v>
      </c>
      <c r="C2460" s="3">
        <v>4</v>
      </c>
      <c r="D2460" s="5" t="str">
        <f t="shared" si="85"/>
        <v>04</v>
      </c>
      <c r="E2460" t="str">
        <f>VLOOKUP(B2460,'HOGARES-BASELINE'!$B:$I,8,FALSE)</f>
        <v>01030714</v>
      </c>
      <c r="F2460" s="6" t="str">
        <f t="shared" si="86"/>
        <v>0103071404</v>
      </c>
    </row>
    <row r="2461" spans="1:6" x14ac:dyDescent="0.3">
      <c r="A2461" s="6" t="s">
        <v>2461</v>
      </c>
      <c r="B2461">
        <v>32842694</v>
      </c>
      <c r="C2461" s="3">
        <v>1</v>
      </c>
      <c r="D2461" s="5" t="str">
        <f t="shared" si="85"/>
        <v>01</v>
      </c>
      <c r="E2461" t="str">
        <f>VLOOKUP(B2461,'HOGARES-BASELINE'!$B:$I,8,FALSE)</f>
        <v>00030715</v>
      </c>
      <c r="F2461" s="6" t="str">
        <f t="shared" si="86"/>
        <v>0003071501</v>
      </c>
    </row>
    <row r="2462" spans="1:6" x14ac:dyDescent="0.3">
      <c r="A2462" s="6" t="s">
        <v>2462</v>
      </c>
      <c r="B2462">
        <v>32843461</v>
      </c>
      <c r="C2462" s="3">
        <v>1</v>
      </c>
      <c r="D2462" s="5" t="str">
        <f t="shared" si="85"/>
        <v>01</v>
      </c>
      <c r="E2462" t="str">
        <f>VLOOKUP(B2462,'HOGARES-BASELINE'!$B:$I,8,FALSE)</f>
        <v>00030716</v>
      </c>
      <c r="F2462" s="6" t="str">
        <f t="shared" si="86"/>
        <v>0003071601</v>
      </c>
    </row>
    <row r="2463" spans="1:6" x14ac:dyDescent="0.3">
      <c r="A2463" s="6" t="s">
        <v>2463</v>
      </c>
      <c r="B2463">
        <v>32843461</v>
      </c>
      <c r="C2463" s="3">
        <v>2</v>
      </c>
      <c r="D2463" s="5" t="str">
        <f t="shared" si="85"/>
        <v>02</v>
      </c>
      <c r="E2463" t="str">
        <f>VLOOKUP(B2463,'HOGARES-BASELINE'!$B:$I,8,FALSE)</f>
        <v>00030716</v>
      </c>
      <c r="F2463" s="6" t="str">
        <f t="shared" si="86"/>
        <v>0003071602</v>
      </c>
    </row>
    <row r="2464" spans="1:6" x14ac:dyDescent="0.3">
      <c r="A2464" s="6" t="s">
        <v>2464</v>
      </c>
      <c r="B2464">
        <v>32843467</v>
      </c>
      <c r="C2464" s="3">
        <v>2</v>
      </c>
      <c r="D2464" s="5" t="str">
        <f t="shared" si="85"/>
        <v>02</v>
      </c>
      <c r="E2464" t="str">
        <f>VLOOKUP(B2464,'HOGARES-BASELINE'!$B:$I,8,FALSE)</f>
        <v>00030717</v>
      </c>
      <c r="F2464" s="6" t="str">
        <f t="shared" si="86"/>
        <v>0003071702</v>
      </c>
    </row>
    <row r="2465" spans="1:6" x14ac:dyDescent="0.3">
      <c r="A2465" s="6" t="s">
        <v>2465</v>
      </c>
      <c r="B2465">
        <v>32843467</v>
      </c>
      <c r="C2465" s="3">
        <v>1</v>
      </c>
      <c r="D2465" s="5" t="str">
        <f t="shared" si="85"/>
        <v>01</v>
      </c>
      <c r="E2465" t="str">
        <f>VLOOKUP(B2465,'HOGARES-BASELINE'!$B:$I,8,FALSE)</f>
        <v>00030717</v>
      </c>
      <c r="F2465" s="6" t="str">
        <f t="shared" si="86"/>
        <v>0003071701</v>
      </c>
    </row>
    <row r="2466" spans="1:6" x14ac:dyDescent="0.3">
      <c r="A2466" s="6" t="s">
        <v>2466</v>
      </c>
      <c r="B2466">
        <v>32843980</v>
      </c>
      <c r="C2466" s="3">
        <v>1</v>
      </c>
      <c r="D2466" s="5" t="str">
        <f t="shared" si="85"/>
        <v>01</v>
      </c>
      <c r="E2466" t="str">
        <f>VLOOKUP(B2466,'HOGARES-BASELINE'!$B:$I,8,FALSE)</f>
        <v>01030718</v>
      </c>
      <c r="F2466" s="6" t="str">
        <f t="shared" si="86"/>
        <v>0103071801</v>
      </c>
    </row>
    <row r="2467" spans="1:6" x14ac:dyDescent="0.3">
      <c r="A2467" s="6" t="s">
        <v>2467</v>
      </c>
      <c r="B2467">
        <v>32844160</v>
      </c>
      <c r="C2467" s="3">
        <v>2</v>
      </c>
      <c r="D2467" s="5" t="str">
        <f t="shared" si="85"/>
        <v>02</v>
      </c>
      <c r="E2467" t="str">
        <f>VLOOKUP(B2467,'HOGARES-BASELINE'!$B:$I,8,FALSE)</f>
        <v>00030719</v>
      </c>
      <c r="F2467" s="6" t="str">
        <f t="shared" si="86"/>
        <v>0003071902</v>
      </c>
    </row>
    <row r="2468" spans="1:6" x14ac:dyDescent="0.3">
      <c r="A2468" s="6" t="s">
        <v>2468</v>
      </c>
      <c r="B2468">
        <v>32844160</v>
      </c>
      <c r="C2468" s="3">
        <v>1</v>
      </c>
      <c r="D2468" s="5" t="str">
        <f t="shared" si="85"/>
        <v>01</v>
      </c>
      <c r="E2468" t="str">
        <f>VLOOKUP(B2468,'HOGARES-BASELINE'!$B:$I,8,FALSE)</f>
        <v>00030719</v>
      </c>
      <c r="F2468" s="6" t="str">
        <f t="shared" si="86"/>
        <v>0003071901</v>
      </c>
    </row>
    <row r="2469" spans="1:6" x14ac:dyDescent="0.3">
      <c r="A2469" s="6" t="s">
        <v>2469</v>
      </c>
      <c r="B2469">
        <v>32844160</v>
      </c>
      <c r="C2469" s="3">
        <v>4</v>
      </c>
      <c r="D2469" s="5" t="str">
        <f t="shared" si="85"/>
        <v>04</v>
      </c>
      <c r="E2469" t="str">
        <f>VLOOKUP(B2469,'HOGARES-BASELINE'!$B:$I,8,FALSE)</f>
        <v>00030719</v>
      </c>
      <c r="F2469" s="6" t="str">
        <f t="shared" si="86"/>
        <v>0003071904</v>
      </c>
    </row>
    <row r="2470" spans="1:6" x14ac:dyDescent="0.3">
      <c r="A2470" s="6" t="s">
        <v>2470</v>
      </c>
      <c r="B2470">
        <v>32844160</v>
      </c>
      <c r="C2470" s="3">
        <v>3</v>
      </c>
      <c r="D2470" s="5" t="str">
        <f t="shared" si="85"/>
        <v>03</v>
      </c>
      <c r="E2470" t="str">
        <f>VLOOKUP(B2470,'HOGARES-BASELINE'!$B:$I,8,FALSE)</f>
        <v>00030719</v>
      </c>
      <c r="F2470" s="6" t="str">
        <f t="shared" si="86"/>
        <v>0003071903</v>
      </c>
    </row>
    <row r="2471" spans="1:6" x14ac:dyDescent="0.3">
      <c r="A2471" s="6" t="s">
        <v>2471</v>
      </c>
      <c r="B2471">
        <v>32850495</v>
      </c>
      <c r="C2471" s="3">
        <v>1</v>
      </c>
      <c r="D2471" s="5" t="str">
        <f t="shared" si="85"/>
        <v>01</v>
      </c>
      <c r="E2471" t="str">
        <f>VLOOKUP(B2471,'HOGARES-BASELINE'!$B:$I,8,FALSE)</f>
        <v>01030720</v>
      </c>
      <c r="F2471" s="6" t="str">
        <f t="shared" si="86"/>
        <v>0103072001</v>
      </c>
    </row>
    <row r="2472" spans="1:6" x14ac:dyDescent="0.3">
      <c r="A2472" s="6" t="s">
        <v>2472</v>
      </c>
      <c r="B2472">
        <v>32850495</v>
      </c>
      <c r="C2472" s="3">
        <v>2</v>
      </c>
      <c r="D2472" s="5" t="str">
        <f t="shared" si="85"/>
        <v>02</v>
      </c>
      <c r="E2472" t="str">
        <f>VLOOKUP(B2472,'HOGARES-BASELINE'!$B:$I,8,FALSE)</f>
        <v>01030720</v>
      </c>
      <c r="F2472" s="6" t="str">
        <f t="shared" si="86"/>
        <v>0103072002</v>
      </c>
    </row>
    <row r="2473" spans="1:6" x14ac:dyDescent="0.3">
      <c r="A2473" s="6" t="s">
        <v>2473</v>
      </c>
      <c r="B2473">
        <v>32850495</v>
      </c>
      <c r="C2473" s="3">
        <v>4</v>
      </c>
      <c r="D2473" s="5" t="str">
        <f t="shared" si="85"/>
        <v>04</v>
      </c>
      <c r="E2473" t="str">
        <f>VLOOKUP(B2473,'HOGARES-BASELINE'!$B:$I,8,FALSE)</f>
        <v>01030720</v>
      </c>
      <c r="F2473" s="6" t="str">
        <f t="shared" si="86"/>
        <v>0103072004</v>
      </c>
    </row>
    <row r="2474" spans="1:6" x14ac:dyDescent="0.3">
      <c r="A2474" s="6" t="s">
        <v>2474</v>
      </c>
      <c r="B2474">
        <v>32850495</v>
      </c>
      <c r="C2474" s="3">
        <v>3</v>
      </c>
      <c r="D2474" s="5" t="str">
        <f t="shared" si="85"/>
        <v>03</v>
      </c>
      <c r="E2474" t="str">
        <f>VLOOKUP(B2474,'HOGARES-BASELINE'!$B:$I,8,FALSE)</f>
        <v>01030720</v>
      </c>
      <c r="F2474" s="6" t="str">
        <f t="shared" si="86"/>
        <v>0103072003</v>
      </c>
    </row>
    <row r="2475" spans="1:6" x14ac:dyDescent="0.3">
      <c r="A2475" s="6" t="s">
        <v>2475</v>
      </c>
      <c r="B2475">
        <v>32867107</v>
      </c>
      <c r="C2475" s="3">
        <v>1</v>
      </c>
      <c r="D2475" s="5" t="str">
        <f t="shared" si="85"/>
        <v>01</v>
      </c>
      <c r="E2475" t="str">
        <f>VLOOKUP(B2475,'HOGARES-BASELINE'!$B:$I,8,FALSE)</f>
        <v>00030721</v>
      </c>
      <c r="F2475" s="6" t="str">
        <f t="shared" si="86"/>
        <v>0003072101</v>
      </c>
    </row>
    <row r="2476" spans="1:6" x14ac:dyDescent="0.3">
      <c r="A2476" s="6" t="s">
        <v>2476</v>
      </c>
      <c r="B2476">
        <v>32867107</v>
      </c>
      <c r="C2476" s="3">
        <v>6</v>
      </c>
      <c r="D2476" s="5" t="str">
        <f t="shared" ref="D2476:D2539" si="87">_xlfn.CONCAT(0,C2476)</f>
        <v>06</v>
      </c>
      <c r="E2476" t="str">
        <f>VLOOKUP(B2476,'HOGARES-BASELINE'!$B:$I,8,FALSE)</f>
        <v>00030721</v>
      </c>
      <c r="F2476" s="6" t="str">
        <f t="shared" si="86"/>
        <v>0003072106</v>
      </c>
    </row>
    <row r="2477" spans="1:6" x14ac:dyDescent="0.3">
      <c r="A2477" s="6" t="s">
        <v>2477</v>
      </c>
      <c r="B2477">
        <v>32867107</v>
      </c>
      <c r="C2477" s="3">
        <v>2</v>
      </c>
      <c r="D2477" s="5" t="str">
        <f t="shared" si="87"/>
        <v>02</v>
      </c>
      <c r="E2477" t="str">
        <f>VLOOKUP(B2477,'HOGARES-BASELINE'!$B:$I,8,FALSE)</f>
        <v>00030721</v>
      </c>
      <c r="F2477" s="6" t="str">
        <f t="shared" si="86"/>
        <v>0003072102</v>
      </c>
    </row>
    <row r="2478" spans="1:6" x14ac:dyDescent="0.3">
      <c r="A2478" s="6" t="s">
        <v>2478</v>
      </c>
      <c r="B2478">
        <v>32867107</v>
      </c>
      <c r="C2478" s="3">
        <v>5</v>
      </c>
      <c r="D2478" s="5" t="str">
        <f t="shared" si="87"/>
        <v>05</v>
      </c>
      <c r="E2478" t="str">
        <f>VLOOKUP(B2478,'HOGARES-BASELINE'!$B:$I,8,FALSE)</f>
        <v>00030721</v>
      </c>
      <c r="F2478" s="6" t="str">
        <f t="shared" si="86"/>
        <v>0003072105</v>
      </c>
    </row>
    <row r="2479" spans="1:6" x14ac:dyDescent="0.3">
      <c r="A2479" s="6" t="s">
        <v>2479</v>
      </c>
      <c r="B2479">
        <v>32867107</v>
      </c>
      <c r="C2479" s="3">
        <v>3</v>
      </c>
      <c r="D2479" s="5" t="str">
        <f t="shared" si="87"/>
        <v>03</v>
      </c>
      <c r="E2479" t="str">
        <f>VLOOKUP(B2479,'HOGARES-BASELINE'!$B:$I,8,FALSE)</f>
        <v>00030721</v>
      </c>
      <c r="F2479" s="6" t="str">
        <f t="shared" si="86"/>
        <v>0003072103</v>
      </c>
    </row>
    <row r="2480" spans="1:6" x14ac:dyDescent="0.3">
      <c r="A2480" s="6" t="s">
        <v>2480</v>
      </c>
      <c r="B2480">
        <v>32867107</v>
      </c>
      <c r="C2480" s="3">
        <v>4</v>
      </c>
      <c r="D2480" s="5" t="str">
        <f t="shared" si="87"/>
        <v>04</v>
      </c>
      <c r="E2480" t="str">
        <f>VLOOKUP(B2480,'HOGARES-BASELINE'!$B:$I,8,FALSE)</f>
        <v>00030721</v>
      </c>
      <c r="F2480" s="6" t="str">
        <f t="shared" si="86"/>
        <v>0003072104</v>
      </c>
    </row>
    <row r="2481" spans="1:6" x14ac:dyDescent="0.3">
      <c r="A2481" s="6" t="s">
        <v>2481</v>
      </c>
      <c r="B2481">
        <v>32873927</v>
      </c>
      <c r="C2481" s="3">
        <v>2</v>
      </c>
      <c r="D2481" s="5" t="str">
        <f t="shared" si="87"/>
        <v>02</v>
      </c>
      <c r="E2481" t="str">
        <f>VLOOKUP(B2481,'HOGARES-BASELINE'!$B:$I,8,FALSE)</f>
        <v>00030722</v>
      </c>
      <c r="F2481" s="6" t="str">
        <f t="shared" si="86"/>
        <v>0003072202</v>
      </c>
    </row>
    <row r="2482" spans="1:6" x14ac:dyDescent="0.3">
      <c r="A2482" s="6" t="s">
        <v>2482</v>
      </c>
      <c r="B2482">
        <v>32873927</v>
      </c>
      <c r="C2482" s="3">
        <v>1</v>
      </c>
      <c r="D2482" s="5" t="str">
        <f t="shared" si="87"/>
        <v>01</v>
      </c>
      <c r="E2482" t="str">
        <f>VLOOKUP(B2482,'HOGARES-BASELINE'!$B:$I,8,FALSE)</f>
        <v>00030722</v>
      </c>
      <c r="F2482" s="6" t="str">
        <f t="shared" si="86"/>
        <v>0003072201</v>
      </c>
    </row>
    <row r="2483" spans="1:6" x14ac:dyDescent="0.3">
      <c r="A2483" s="6" t="s">
        <v>2483</v>
      </c>
      <c r="B2483">
        <v>32873927</v>
      </c>
      <c r="C2483" s="3">
        <v>4</v>
      </c>
      <c r="D2483" s="5" t="str">
        <f t="shared" si="87"/>
        <v>04</v>
      </c>
      <c r="E2483" t="str">
        <f>VLOOKUP(B2483,'HOGARES-BASELINE'!$B:$I,8,FALSE)</f>
        <v>00030722</v>
      </c>
      <c r="F2483" s="6" t="str">
        <f t="shared" si="86"/>
        <v>0003072204</v>
      </c>
    </row>
    <row r="2484" spans="1:6" x14ac:dyDescent="0.3">
      <c r="A2484" s="6" t="s">
        <v>2484</v>
      </c>
      <c r="B2484">
        <v>32873927</v>
      </c>
      <c r="C2484" s="3">
        <v>3</v>
      </c>
      <c r="D2484" s="5" t="str">
        <f t="shared" si="87"/>
        <v>03</v>
      </c>
      <c r="E2484" t="str">
        <f>VLOOKUP(B2484,'HOGARES-BASELINE'!$B:$I,8,FALSE)</f>
        <v>00030722</v>
      </c>
      <c r="F2484" s="6" t="str">
        <f t="shared" si="86"/>
        <v>0003072203</v>
      </c>
    </row>
    <row r="2485" spans="1:6" x14ac:dyDescent="0.3">
      <c r="A2485" s="6" t="s">
        <v>2485</v>
      </c>
      <c r="B2485">
        <v>32876516</v>
      </c>
      <c r="C2485" s="3">
        <v>1</v>
      </c>
      <c r="D2485" s="5" t="str">
        <f t="shared" si="87"/>
        <v>01</v>
      </c>
      <c r="E2485" t="str">
        <f>VLOOKUP(B2485,'HOGARES-BASELINE'!$B:$I,8,FALSE)</f>
        <v>00030723</v>
      </c>
      <c r="F2485" s="6" t="str">
        <f t="shared" si="86"/>
        <v>0003072301</v>
      </c>
    </row>
    <row r="2486" spans="1:6" x14ac:dyDescent="0.3">
      <c r="A2486" s="6" t="s">
        <v>2486</v>
      </c>
      <c r="B2486">
        <v>32876516</v>
      </c>
      <c r="C2486" s="3">
        <v>4</v>
      </c>
      <c r="D2486" s="5" t="str">
        <f t="shared" si="87"/>
        <v>04</v>
      </c>
      <c r="E2486" t="str">
        <f>VLOOKUP(B2486,'HOGARES-BASELINE'!$B:$I,8,FALSE)</f>
        <v>00030723</v>
      </c>
      <c r="F2486" s="6" t="str">
        <f t="shared" si="86"/>
        <v>0003072304</v>
      </c>
    </row>
    <row r="2487" spans="1:6" x14ac:dyDescent="0.3">
      <c r="A2487" s="6" t="s">
        <v>2487</v>
      </c>
      <c r="B2487">
        <v>32876516</v>
      </c>
      <c r="C2487" s="3">
        <v>3</v>
      </c>
      <c r="D2487" s="5" t="str">
        <f t="shared" si="87"/>
        <v>03</v>
      </c>
      <c r="E2487" t="str">
        <f>VLOOKUP(B2487,'HOGARES-BASELINE'!$B:$I,8,FALSE)</f>
        <v>00030723</v>
      </c>
      <c r="F2487" s="6" t="str">
        <f t="shared" si="86"/>
        <v>0003072303</v>
      </c>
    </row>
    <row r="2488" spans="1:6" x14ac:dyDescent="0.3">
      <c r="A2488" s="6" t="s">
        <v>2488</v>
      </c>
      <c r="B2488">
        <v>32876516</v>
      </c>
      <c r="C2488" s="3">
        <v>2</v>
      </c>
      <c r="D2488" s="5" t="str">
        <f t="shared" si="87"/>
        <v>02</v>
      </c>
      <c r="E2488" t="str">
        <f>VLOOKUP(B2488,'HOGARES-BASELINE'!$B:$I,8,FALSE)</f>
        <v>00030723</v>
      </c>
      <c r="F2488" s="6" t="str">
        <f t="shared" si="86"/>
        <v>0003072302</v>
      </c>
    </row>
    <row r="2489" spans="1:6" x14ac:dyDescent="0.3">
      <c r="A2489" s="6" t="s">
        <v>2489</v>
      </c>
      <c r="B2489">
        <v>32884029</v>
      </c>
      <c r="C2489" s="3">
        <v>4</v>
      </c>
      <c r="D2489" s="5" t="str">
        <f t="shared" si="87"/>
        <v>04</v>
      </c>
      <c r="E2489" t="str">
        <f>VLOOKUP(B2489,'HOGARES-BASELINE'!$B:$I,8,FALSE)</f>
        <v>01030724</v>
      </c>
      <c r="F2489" s="6" t="str">
        <f t="shared" si="86"/>
        <v>0103072404</v>
      </c>
    </row>
    <row r="2490" spans="1:6" x14ac:dyDescent="0.3">
      <c r="A2490" s="6" t="s">
        <v>2490</v>
      </c>
      <c r="B2490">
        <v>32884029</v>
      </c>
      <c r="C2490" s="3">
        <v>2</v>
      </c>
      <c r="D2490" s="5" t="str">
        <f t="shared" si="87"/>
        <v>02</v>
      </c>
      <c r="E2490" t="str">
        <f>VLOOKUP(B2490,'HOGARES-BASELINE'!$B:$I,8,FALSE)</f>
        <v>01030724</v>
      </c>
      <c r="F2490" s="6" t="str">
        <f t="shared" si="86"/>
        <v>0103072402</v>
      </c>
    </row>
    <row r="2491" spans="1:6" x14ac:dyDescent="0.3">
      <c r="A2491" s="6" t="s">
        <v>2491</v>
      </c>
      <c r="B2491">
        <v>32884029</v>
      </c>
      <c r="C2491" s="3">
        <v>1</v>
      </c>
      <c r="D2491" s="5" t="str">
        <f t="shared" si="87"/>
        <v>01</v>
      </c>
      <c r="E2491" t="str">
        <f>VLOOKUP(B2491,'HOGARES-BASELINE'!$B:$I,8,FALSE)</f>
        <v>01030724</v>
      </c>
      <c r="F2491" s="6" t="str">
        <f t="shared" si="86"/>
        <v>0103072401</v>
      </c>
    </row>
    <row r="2492" spans="1:6" x14ac:dyDescent="0.3">
      <c r="A2492" s="6" t="s">
        <v>2492</v>
      </c>
      <c r="B2492">
        <v>32884029</v>
      </c>
      <c r="C2492" s="3">
        <v>3</v>
      </c>
      <c r="D2492" s="5" t="str">
        <f t="shared" si="87"/>
        <v>03</v>
      </c>
      <c r="E2492" t="str">
        <f>VLOOKUP(B2492,'HOGARES-BASELINE'!$B:$I,8,FALSE)</f>
        <v>01030724</v>
      </c>
      <c r="F2492" s="6" t="str">
        <f t="shared" si="86"/>
        <v>0103072403</v>
      </c>
    </row>
    <row r="2493" spans="1:6" x14ac:dyDescent="0.3">
      <c r="A2493" s="6" t="s">
        <v>2493</v>
      </c>
      <c r="B2493">
        <v>32884556</v>
      </c>
      <c r="C2493" s="3">
        <v>3</v>
      </c>
      <c r="D2493" s="5" t="str">
        <f t="shared" si="87"/>
        <v>03</v>
      </c>
      <c r="E2493" t="str">
        <f>VLOOKUP(B2493,'HOGARES-BASELINE'!$B:$I,8,FALSE)</f>
        <v>01030725</v>
      </c>
      <c r="F2493" s="6" t="str">
        <f t="shared" si="86"/>
        <v>0103072503</v>
      </c>
    </row>
    <row r="2494" spans="1:6" x14ac:dyDescent="0.3">
      <c r="A2494" s="6" t="s">
        <v>2494</v>
      </c>
      <c r="B2494">
        <v>32884556</v>
      </c>
      <c r="C2494" s="3">
        <v>1</v>
      </c>
      <c r="D2494" s="5" t="str">
        <f t="shared" si="87"/>
        <v>01</v>
      </c>
      <c r="E2494" t="str">
        <f>VLOOKUP(B2494,'HOGARES-BASELINE'!$B:$I,8,FALSE)</f>
        <v>01030725</v>
      </c>
      <c r="F2494" s="6" t="str">
        <f t="shared" si="86"/>
        <v>0103072501</v>
      </c>
    </row>
    <row r="2495" spans="1:6" x14ac:dyDescent="0.3">
      <c r="A2495" s="6" t="s">
        <v>2495</v>
      </c>
      <c r="B2495">
        <v>32884556</v>
      </c>
      <c r="C2495" s="3">
        <v>2</v>
      </c>
      <c r="D2495" s="5" t="str">
        <f t="shared" si="87"/>
        <v>02</v>
      </c>
      <c r="E2495" t="str">
        <f>VLOOKUP(B2495,'HOGARES-BASELINE'!$B:$I,8,FALSE)</f>
        <v>01030725</v>
      </c>
      <c r="F2495" s="6" t="str">
        <f t="shared" si="86"/>
        <v>0103072502</v>
      </c>
    </row>
    <row r="2496" spans="1:6" x14ac:dyDescent="0.3">
      <c r="A2496" s="6" t="s">
        <v>2496</v>
      </c>
      <c r="B2496">
        <v>32884556</v>
      </c>
      <c r="C2496" s="3">
        <v>4</v>
      </c>
      <c r="D2496" s="5" t="str">
        <f t="shared" si="87"/>
        <v>04</v>
      </c>
      <c r="E2496" t="str">
        <f>VLOOKUP(B2496,'HOGARES-BASELINE'!$B:$I,8,FALSE)</f>
        <v>01030725</v>
      </c>
      <c r="F2496" s="6" t="str">
        <f t="shared" si="86"/>
        <v>0103072504</v>
      </c>
    </row>
    <row r="2497" spans="1:6" x14ac:dyDescent="0.3">
      <c r="A2497" s="6" t="s">
        <v>2497</v>
      </c>
      <c r="B2497">
        <v>32884723</v>
      </c>
      <c r="C2497" s="3">
        <v>1</v>
      </c>
      <c r="D2497" s="5" t="str">
        <f t="shared" si="87"/>
        <v>01</v>
      </c>
      <c r="E2497" t="str">
        <f>VLOOKUP(B2497,'HOGARES-BASELINE'!$B:$I,8,FALSE)</f>
        <v>01030726</v>
      </c>
      <c r="F2497" s="6" t="str">
        <f t="shared" si="86"/>
        <v>0103072601</v>
      </c>
    </row>
    <row r="2498" spans="1:6" x14ac:dyDescent="0.3">
      <c r="A2498" s="6" t="s">
        <v>2498</v>
      </c>
      <c r="B2498">
        <v>32884723</v>
      </c>
      <c r="C2498" s="3">
        <v>3</v>
      </c>
      <c r="D2498" s="5" t="str">
        <f t="shared" si="87"/>
        <v>03</v>
      </c>
      <c r="E2498" t="str">
        <f>VLOOKUP(B2498,'HOGARES-BASELINE'!$B:$I,8,FALSE)</f>
        <v>01030726</v>
      </c>
      <c r="F2498" s="6" t="str">
        <f t="shared" si="86"/>
        <v>0103072603</v>
      </c>
    </row>
    <row r="2499" spans="1:6" x14ac:dyDescent="0.3">
      <c r="A2499" s="6" t="s">
        <v>2499</v>
      </c>
      <c r="B2499">
        <v>32884723</v>
      </c>
      <c r="C2499" s="3">
        <v>2</v>
      </c>
      <c r="D2499" s="5" t="str">
        <f t="shared" si="87"/>
        <v>02</v>
      </c>
      <c r="E2499" t="str">
        <f>VLOOKUP(B2499,'HOGARES-BASELINE'!$B:$I,8,FALSE)</f>
        <v>01030726</v>
      </c>
      <c r="F2499" s="6" t="str">
        <f t="shared" ref="F2499:F2562" si="88">_xlfn.CONCAT(E2499,D2499)</f>
        <v>0103072602</v>
      </c>
    </row>
    <row r="2500" spans="1:6" x14ac:dyDescent="0.3">
      <c r="A2500" s="6" t="s">
        <v>2500</v>
      </c>
      <c r="B2500">
        <v>32893688</v>
      </c>
      <c r="C2500" s="3">
        <v>1</v>
      </c>
      <c r="D2500" s="5" t="str">
        <f t="shared" si="87"/>
        <v>01</v>
      </c>
      <c r="E2500" t="str">
        <f>VLOOKUP(B2500,'HOGARES-BASELINE'!$B:$I,8,FALSE)</f>
        <v>01030727</v>
      </c>
      <c r="F2500" s="6" t="str">
        <f t="shared" si="88"/>
        <v>0103072701</v>
      </c>
    </row>
    <row r="2501" spans="1:6" x14ac:dyDescent="0.3">
      <c r="A2501" s="6" t="s">
        <v>2501</v>
      </c>
      <c r="B2501">
        <v>32893688</v>
      </c>
      <c r="C2501" s="3">
        <v>6</v>
      </c>
      <c r="D2501" s="5" t="str">
        <f t="shared" si="87"/>
        <v>06</v>
      </c>
      <c r="E2501" t="str">
        <f>VLOOKUP(B2501,'HOGARES-BASELINE'!$B:$I,8,FALSE)</f>
        <v>01030727</v>
      </c>
      <c r="F2501" s="6" t="str">
        <f t="shared" si="88"/>
        <v>0103072706</v>
      </c>
    </row>
    <row r="2502" spans="1:6" x14ac:dyDescent="0.3">
      <c r="A2502" s="6" t="s">
        <v>2502</v>
      </c>
      <c r="B2502">
        <v>32893688</v>
      </c>
      <c r="C2502" s="3">
        <v>3</v>
      </c>
      <c r="D2502" s="5" t="str">
        <f t="shared" si="87"/>
        <v>03</v>
      </c>
      <c r="E2502" t="str">
        <f>VLOOKUP(B2502,'HOGARES-BASELINE'!$B:$I,8,FALSE)</f>
        <v>01030727</v>
      </c>
      <c r="F2502" s="6" t="str">
        <f t="shared" si="88"/>
        <v>0103072703</v>
      </c>
    </row>
    <row r="2503" spans="1:6" x14ac:dyDescent="0.3">
      <c r="A2503" s="6" t="s">
        <v>2503</v>
      </c>
      <c r="B2503">
        <v>32893688</v>
      </c>
      <c r="C2503" s="3">
        <v>5</v>
      </c>
      <c r="D2503" s="5" t="str">
        <f t="shared" si="87"/>
        <v>05</v>
      </c>
      <c r="E2503" t="str">
        <f>VLOOKUP(B2503,'HOGARES-BASELINE'!$B:$I,8,FALSE)</f>
        <v>01030727</v>
      </c>
      <c r="F2503" s="6" t="str">
        <f t="shared" si="88"/>
        <v>0103072705</v>
      </c>
    </row>
    <row r="2504" spans="1:6" x14ac:dyDescent="0.3">
      <c r="A2504" s="6" t="s">
        <v>2504</v>
      </c>
      <c r="B2504">
        <v>32893688</v>
      </c>
      <c r="C2504" s="3">
        <v>2</v>
      </c>
      <c r="D2504" s="5" t="str">
        <f t="shared" si="87"/>
        <v>02</v>
      </c>
      <c r="E2504" t="str">
        <f>VLOOKUP(B2504,'HOGARES-BASELINE'!$B:$I,8,FALSE)</f>
        <v>01030727</v>
      </c>
      <c r="F2504" s="6" t="str">
        <f t="shared" si="88"/>
        <v>0103072702</v>
      </c>
    </row>
    <row r="2505" spans="1:6" x14ac:dyDescent="0.3">
      <c r="A2505" s="6" t="s">
        <v>2505</v>
      </c>
      <c r="B2505">
        <v>32893688</v>
      </c>
      <c r="C2505" s="3">
        <v>4</v>
      </c>
      <c r="D2505" s="5" t="str">
        <f t="shared" si="87"/>
        <v>04</v>
      </c>
      <c r="E2505" t="str">
        <f>VLOOKUP(B2505,'HOGARES-BASELINE'!$B:$I,8,FALSE)</f>
        <v>01030727</v>
      </c>
      <c r="F2505" s="6" t="str">
        <f t="shared" si="88"/>
        <v>0103072704</v>
      </c>
    </row>
    <row r="2506" spans="1:6" x14ac:dyDescent="0.3">
      <c r="A2506" s="6" t="s">
        <v>2506</v>
      </c>
      <c r="B2506">
        <v>32894006</v>
      </c>
      <c r="C2506" s="3">
        <v>1</v>
      </c>
      <c r="D2506" s="5" t="str">
        <f t="shared" si="87"/>
        <v>01</v>
      </c>
      <c r="E2506" t="str">
        <f>VLOOKUP(B2506,'HOGARES-BASELINE'!$B:$I,8,FALSE)</f>
        <v>01030728</v>
      </c>
      <c r="F2506" s="6" t="str">
        <f t="shared" si="88"/>
        <v>0103072801</v>
      </c>
    </row>
    <row r="2507" spans="1:6" x14ac:dyDescent="0.3">
      <c r="A2507" s="6" t="s">
        <v>2507</v>
      </c>
      <c r="B2507">
        <v>32894006</v>
      </c>
      <c r="C2507" s="3">
        <v>4</v>
      </c>
      <c r="D2507" s="5" t="str">
        <f t="shared" si="87"/>
        <v>04</v>
      </c>
      <c r="E2507" t="str">
        <f>VLOOKUP(B2507,'HOGARES-BASELINE'!$B:$I,8,FALSE)</f>
        <v>01030728</v>
      </c>
      <c r="F2507" s="6" t="str">
        <f t="shared" si="88"/>
        <v>0103072804</v>
      </c>
    </row>
    <row r="2508" spans="1:6" x14ac:dyDescent="0.3">
      <c r="A2508" s="6" t="s">
        <v>2508</v>
      </c>
      <c r="B2508">
        <v>32894006</v>
      </c>
      <c r="C2508" s="3">
        <v>2</v>
      </c>
      <c r="D2508" s="5" t="str">
        <f t="shared" si="87"/>
        <v>02</v>
      </c>
      <c r="E2508" t="str">
        <f>VLOOKUP(B2508,'HOGARES-BASELINE'!$B:$I,8,FALSE)</f>
        <v>01030728</v>
      </c>
      <c r="F2508" s="6" t="str">
        <f t="shared" si="88"/>
        <v>0103072802</v>
      </c>
    </row>
    <row r="2509" spans="1:6" x14ac:dyDescent="0.3">
      <c r="A2509" s="6" t="s">
        <v>2509</v>
      </c>
      <c r="B2509">
        <v>32894006</v>
      </c>
      <c r="C2509" s="3">
        <v>3</v>
      </c>
      <c r="D2509" s="5" t="str">
        <f t="shared" si="87"/>
        <v>03</v>
      </c>
      <c r="E2509" t="str">
        <f>VLOOKUP(B2509,'HOGARES-BASELINE'!$B:$I,8,FALSE)</f>
        <v>01030728</v>
      </c>
      <c r="F2509" s="6" t="str">
        <f t="shared" si="88"/>
        <v>0103072803</v>
      </c>
    </row>
    <row r="2510" spans="1:6" x14ac:dyDescent="0.3">
      <c r="A2510" s="6" t="s">
        <v>2510</v>
      </c>
      <c r="B2510">
        <v>33107491</v>
      </c>
      <c r="C2510" s="3">
        <v>2</v>
      </c>
      <c r="D2510" s="5" t="str">
        <f t="shared" si="87"/>
        <v>02</v>
      </c>
      <c r="E2510" t="str">
        <f>VLOOKUP(B2510,'HOGARES-BASELINE'!$B:$I,8,FALSE)</f>
        <v>00030729</v>
      </c>
      <c r="F2510" s="6" t="str">
        <f t="shared" si="88"/>
        <v>0003072902</v>
      </c>
    </row>
    <row r="2511" spans="1:6" x14ac:dyDescent="0.3">
      <c r="A2511" s="6" t="s">
        <v>2511</v>
      </c>
      <c r="B2511">
        <v>33107491</v>
      </c>
      <c r="C2511" s="3">
        <v>3</v>
      </c>
      <c r="D2511" s="5" t="str">
        <f t="shared" si="87"/>
        <v>03</v>
      </c>
      <c r="E2511" t="str">
        <f>VLOOKUP(B2511,'HOGARES-BASELINE'!$B:$I,8,FALSE)</f>
        <v>00030729</v>
      </c>
      <c r="F2511" s="6" t="str">
        <f t="shared" si="88"/>
        <v>0003072903</v>
      </c>
    </row>
    <row r="2512" spans="1:6" x14ac:dyDescent="0.3">
      <c r="A2512" s="6" t="s">
        <v>2512</v>
      </c>
      <c r="B2512">
        <v>33107491</v>
      </c>
      <c r="C2512" s="3">
        <v>4</v>
      </c>
      <c r="D2512" s="5" t="str">
        <f t="shared" si="87"/>
        <v>04</v>
      </c>
      <c r="E2512" t="str">
        <f>VLOOKUP(B2512,'HOGARES-BASELINE'!$B:$I,8,FALSE)</f>
        <v>00030729</v>
      </c>
      <c r="F2512" s="6" t="str">
        <f t="shared" si="88"/>
        <v>0003072904</v>
      </c>
    </row>
    <row r="2513" spans="1:6" x14ac:dyDescent="0.3">
      <c r="A2513" s="6" t="s">
        <v>2513</v>
      </c>
      <c r="B2513">
        <v>33107491</v>
      </c>
      <c r="C2513" s="3">
        <v>6</v>
      </c>
      <c r="D2513" s="5" t="str">
        <f t="shared" si="87"/>
        <v>06</v>
      </c>
      <c r="E2513" t="str">
        <f>VLOOKUP(B2513,'HOGARES-BASELINE'!$B:$I,8,FALSE)</f>
        <v>00030729</v>
      </c>
      <c r="F2513" s="6" t="str">
        <f t="shared" si="88"/>
        <v>0003072906</v>
      </c>
    </row>
    <row r="2514" spans="1:6" x14ac:dyDescent="0.3">
      <c r="A2514" s="6" t="s">
        <v>2514</v>
      </c>
      <c r="B2514">
        <v>33107491</v>
      </c>
      <c r="C2514" s="3">
        <v>5</v>
      </c>
      <c r="D2514" s="5" t="str">
        <f t="shared" si="87"/>
        <v>05</v>
      </c>
      <c r="E2514" t="str">
        <f>VLOOKUP(B2514,'HOGARES-BASELINE'!$B:$I,8,FALSE)</f>
        <v>00030729</v>
      </c>
      <c r="F2514" s="6" t="str">
        <f t="shared" si="88"/>
        <v>0003072905</v>
      </c>
    </row>
    <row r="2515" spans="1:6" x14ac:dyDescent="0.3">
      <c r="A2515" s="6" t="s">
        <v>2515</v>
      </c>
      <c r="B2515">
        <v>33107491</v>
      </c>
      <c r="C2515" s="3">
        <v>1</v>
      </c>
      <c r="D2515" s="5" t="str">
        <f t="shared" si="87"/>
        <v>01</v>
      </c>
      <c r="E2515" t="str">
        <f>VLOOKUP(B2515,'HOGARES-BASELINE'!$B:$I,8,FALSE)</f>
        <v>00030729</v>
      </c>
      <c r="F2515" s="6" t="str">
        <f t="shared" si="88"/>
        <v>0003072901</v>
      </c>
    </row>
    <row r="2516" spans="1:6" x14ac:dyDescent="0.3">
      <c r="A2516" s="6" t="s">
        <v>2516</v>
      </c>
      <c r="B2516">
        <v>33172386</v>
      </c>
      <c r="C2516" s="3">
        <v>2</v>
      </c>
      <c r="D2516" s="5" t="str">
        <f t="shared" si="87"/>
        <v>02</v>
      </c>
      <c r="E2516" t="str">
        <f>VLOOKUP(B2516,'HOGARES-BASELINE'!$B:$I,8,FALSE)</f>
        <v>00030730</v>
      </c>
      <c r="F2516" s="6" t="str">
        <f t="shared" si="88"/>
        <v>0003073002</v>
      </c>
    </row>
    <row r="2517" spans="1:6" x14ac:dyDescent="0.3">
      <c r="A2517" s="6" t="s">
        <v>2517</v>
      </c>
      <c r="B2517">
        <v>33172386</v>
      </c>
      <c r="C2517" s="3">
        <v>3</v>
      </c>
      <c r="D2517" s="5" t="str">
        <f t="shared" si="87"/>
        <v>03</v>
      </c>
      <c r="E2517" t="str">
        <f>VLOOKUP(B2517,'HOGARES-BASELINE'!$B:$I,8,FALSE)</f>
        <v>00030730</v>
      </c>
      <c r="F2517" s="6" t="str">
        <f t="shared" si="88"/>
        <v>0003073003</v>
      </c>
    </row>
    <row r="2518" spans="1:6" x14ac:dyDescent="0.3">
      <c r="A2518" s="6" t="s">
        <v>2518</v>
      </c>
      <c r="B2518">
        <v>33172386</v>
      </c>
      <c r="C2518" s="3">
        <v>1</v>
      </c>
      <c r="D2518" s="5" t="str">
        <f t="shared" si="87"/>
        <v>01</v>
      </c>
      <c r="E2518" t="str">
        <f>VLOOKUP(B2518,'HOGARES-BASELINE'!$B:$I,8,FALSE)</f>
        <v>00030730</v>
      </c>
      <c r="F2518" s="6" t="str">
        <f t="shared" si="88"/>
        <v>0003073001</v>
      </c>
    </row>
    <row r="2519" spans="1:6" x14ac:dyDescent="0.3">
      <c r="A2519" s="6" t="s">
        <v>2519</v>
      </c>
      <c r="B2519">
        <v>33255246</v>
      </c>
      <c r="C2519" s="3">
        <v>4</v>
      </c>
      <c r="D2519" s="5" t="str">
        <f t="shared" si="87"/>
        <v>04</v>
      </c>
      <c r="E2519" t="str">
        <f>VLOOKUP(B2519,'HOGARES-BASELINE'!$B:$I,8,FALSE)</f>
        <v>01010731</v>
      </c>
      <c r="F2519" s="6" t="str">
        <f t="shared" si="88"/>
        <v>0101073104</v>
      </c>
    </row>
    <row r="2520" spans="1:6" x14ac:dyDescent="0.3">
      <c r="A2520" s="6" t="s">
        <v>2520</v>
      </c>
      <c r="B2520">
        <v>33255246</v>
      </c>
      <c r="C2520" s="3">
        <v>1</v>
      </c>
      <c r="D2520" s="5" t="str">
        <f t="shared" si="87"/>
        <v>01</v>
      </c>
      <c r="E2520" t="str">
        <f>VLOOKUP(B2520,'HOGARES-BASELINE'!$B:$I,8,FALSE)</f>
        <v>01010731</v>
      </c>
      <c r="F2520" s="6" t="str">
        <f t="shared" si="88"/>
        <v>0101073101</v>
      </c>
    </row>
    <row r="2521" spans="1:6" x14ac:dyDescent="0.3">
      <c r="A2521" s="6" t="s">
        <v>2521</v>
      </c>
      <c r="B2521">
        <v>33255246</v>
      </c>
      <c r="C2521" s="3">
        <v>3</v>
      </c>
      <c r="D2521" s="5" t="str">
        <f t="shared" si="87"/>
        <v>03</v>
      </c>
      <c r="E2521" t="str">
        <f>VLOOKUP(B2521,'HOGARES-BASELINE'!$B:$I,8,FALSE)</f>
        <v>01010731</v>
      </c>
      <c r="F2521" s="6" t="str">
        <f t="shared" si="88"/>
        <v>0101073103</v>
      </c>
    </row>
    <row r="2522" spans="1:6" x14ac:dyDescent="0.3">
      <c r="A2522" s="6" t="s">
        <v>2522</v>
      </c>
      <c r="B2522">
        <v>33255246</v>
      </c>
      <c r="C2522" s="3">
        <v>2</v>
      </c>
      <c r="D2522" s="5" t="str">
        <f t="shared" si="87"/>
        <v>02</v>
      </c>
      <c r="E2522" t="str">
        <f>VLOOKUP(B2522,'HOGARES-BASELINE'!$B:$I,8,FALSE)</f>
        <v>01010731</v>
      </c>
      <c r="F2522" s="6" t="str">
        <f t="shared" si="88"/>
        <v>0101073102</v>
      </c>
    </row>
    <row r="2523" spans="1:6" x14ac:dyDescent="0.3">
      <c r="A2523" s="6" t="s">
        <v>2523</v>
      </c>
      <c r="B2523">
        <v>33428029</v>
      </c>
      <c r="C2523" s="3">
        <v>6</v>
      </c>
      <c r="D2523" s="5" t="str">
        <f t="shared" si="87"/>
        <v>06</v>
      </c>
      <c r="E2523" t="str">
        <f>VLOOKUP(B2523,'HOGARES-BASELINE'!$B:$I,8,FALSE)</f>
        <v>00010732</v>
      </c>
      <c r="F2523" s="6" t="str">
        <f t="shared" si="88"/>
        <v>0001073206</v>
      </c>
    </row>
    <row r="2524" spans="1:6" x14ac:dyDescent="0.3">
      <c r="A2524" s="6" t="s">
        <v>2524</v>
      </c>
      <c r="B2524">
        <v>33428029</v>
      </c>
      <c r="C2524" s="3">
        <v>8</v>
      </c>
      <c r="D2524" s="5" t="str">
        <f t="shared" si="87"/>
        <v>08</v>
      </c>
      <c r="E2524" t="str">
        <f>VLOOKUP(B2524,'HOGARES-BASELINE'!$B:$I,8,FALSE)</f>
        <v>00010732</v>
      </c>
      <c r="F2524" s="6" t="str">
        <f t="shared" si="88"/>
        <v>0001073208</v>
      </c>
    </row>
    <row r="2525" spans="1:6" x14ac:dyDescent="0.3">
      <c r="A2525" s="6" t="s">
        <v>2525</v>
      </c>
      <c r="B2525">
        <v>33428029</v>
      </c>
      <c r="C2525" s="3">
        <v>2</v>
      </c>
      <c r="D2525" s="5" t="str">
        <f t="shared" si="87"/>
        <v>02</v>
      </c>
      <c r="E2525" t="str">
        <f>VLOOKUP(B2525,'HOGARES-BASELINE'!$B:$I,8,FALSE)</f>
        <v>00010732</v>
      </c>
      <c r="F2525" s="6" t="str">
        <f t="shared" si="88"/>
        <v>0001073202</v>
      </c>
    </row>
    <row r="2526" spans="1:6" x14ac:dyDescent="0.3">
      <c r="A2526" s="6" t="s">
        <v>2526</v>
      </c>
      <c r="B2526">
        <v>33428029</v>
      </c>
      <c r="C2526" s="3">
        <v>5</v>
      </c>
      <c r="D2526" s="5" t="str">
        <f t="shared" si="87"/>
        <v>05</v>
      </c>
      <c r="E2526" t="str">
        <f>VLOOKUP(B2526,'HOGARES-BASELINE'!$B:$I,8,FALSE)</f>
        <v>00010732</v>
      </c>
      <c r="F2526" s="6" t="str">
        <f t="shared" si="88"/>
        <v>0001073205</v>
      </c>
    </row>
    <row r="2527" spans="1:6" x14ac:dyDescent="0.3">
      <c r="A2527" s="6" t="s">
        <v>2527</v>
      </c>
      <c r="B2527">
        <v>33428029</v>
      </c>
      <c r="C2527" s="3">
        <v>4</v>
      </c>
      <c r="D2527" s="5" t="str">
        <f t="shared" si="87"/>
        <v>04</v>
      </c>
      <c r="E2527" t="str">
        <f>VLOOKUP(B2527,'HOGARES-BASELINE'!$B:$I,8,FALSE)</f>
        <v>00010732</v>
      </c>
      <c r="F2527" s="6" t="str">
        <f t="shared" si="88"/>
        <v>0001073204</v>
      </c>
    </row>
    <row r="2528" spans="1:6" x14ac:dyDescent="0.3">
      <c r="A2528" s="6" t="s">
        <v>2528</v>
      </c>
      <c r="B2528">
        <v>33428029</v>
      </c>
      <c r="C2528" s="3">
        <v>1</v>
      </c>
      <c r="D2528" s="5" t="str">
        <f t="shared" si="87"/>
        <v>01</v>
      </c>
      <c r="E2528" t="str">
        <f>VLOOKUP(B2528,'HOGARES-BASELINE'!$B:$I,8,FALSE)</f>
        <v>00010732</v>
      </c>
      <c r="F2528" s="6" t="str">
        <f t="shared" si="88"/>
        <v>0001073201</v>
      </c>
    </row>
    <row r="2529" spans="1:6" x14ac:dyDescent="0.3">
      <c r="A2529" s="6" t="s">
        <v>2529</v>
      </c>
      <c r="B2529">
        <v>33428029</v>
      </c>
      <c r="C2529" s="3">
        <v>7</v>
      </c>
      <c r="D2529" s="5" t="str">
        <f t="shared" si="87"/>
        <v>07</v>
      </c>
      <c r="E2529" t="str">
        <f>VLOOKUP(B2529,'HOGARES-BASELINE'!$B:$I,8,FALSE)</f>
        <v>00010732</v>
      </c>
      <c r="F2529" s="6" t="str">
        <f t="shared" si="88"/>
        <v>0001073207</v>
      </c>
    </row>
    <row r="2530" spans="1:6" x14ac:dyDescent="0.3">
      <c r="A2530" s="6" t="s">
        <v>2530</v>
      </c>
      <c r="B2530">
        <v>33428029</v>
      </c>
      <c r="C2530" s="3">
        <v>3</v>
      </c>
      <c r="D2530" s="5" t="str">
        <f t="shared" si="87"/>
        <v>03</v>
      </c>
      <c r="E2530" t="str">
        <f>VLOOKUP(B2530,'HOGARES-BASELINE'!$B:$I,8,FALSE)</f>
        <v>00010732</v>
      </c>
      <c r="F2530" s="6" t="str">
        <f t="shared" si="88"/>
        <v>0001073203</v>
      </c>
    </row>
    <row r="2531" spans="1:6" x14ac:dyDescent="0.3">
      <c r="A2531" s="6" t="s">
        <v>2531</v>
      </c>
      <c r="B2531">
        <v>3430889</v>
      </c>
      <c r="C2531" s="3">
        <v>1</v>
      </c>
      <c r="D2531" s="5" t="str">
        <f t="shared" si="87"/>
        <v>01</v>
      </c>
      <c r="E2531" t="str">
        <f>VLOOKUP(B2531,'HOGARES-BASELINE'!$B:$I,8,FALSE)</f>
        <v>00010733</v>
      </c>
      <c r="F2531" s="6" t="str">
        <f t="shared" si="88"/>
        <v>0001073301</v>
      </c>
    </row>
    <row r="2532" spans="1:6" x14ac:dyDescent="0.3">
      <c r="A2532" s="6" t="s">
        <v>2532</v>
      </c>
      <c r="B2532">
        <v>3430889</v>
      </c>
      <c r="C2532" s="3">
        <v>4</v>
      </c>
      <c r="D2532" s="5" t="str">
        <f t="shared" si="87"/>
        <v>04</v>
      </c>
      <c r="E2532" t="str">
        <f>VLOOKUP(B2532,'HOGARES-BASELINE'!$B:$I,8,FALSE)</f>
        <v>00010733</v>
      </c>
      <c r="F2532" s="6" t="str">
        <f t="shared" si="88"/>
        <v>0001073304</v>
      </c>
    </row>
    <row r="2533" spans="1:6" x14ac:dyDescent="0.3">
      <c r="A2533" s="6" t="s">
        <v>2533</v>
      </c>
      <c r="B2533">
        <v>3430889</v>
      </c>
      <c r="C2533" s="3">
        <v>2</v>
      </c>
      <c r="D2533" s="5" t="str">
        <f t="shared" si="87"/>
        <v>02</v>
      </c>
      <c r="E2533" t="str">
        <f>VLOOKUP(B2533,'HOGARES-BASELINE'!$B:$I,8,FALSE)</f>
        <v>00010733</v>
      </c>
      <c r="F2533" s="6" t="str">
        <f t="shared" si="88"/>
        <v>0001073302</v>
      </c>
    </row>
    <row r="2534" spans="1:6" x14ac:dyDescent="0.3">
      <c r="A2534" s="6" t="s">
        <v>2534</v>
      </c>
      <c r="B2534">
        <v>3430889</v>
      </c>
      <c r="C2534" s="3">
        <v>3</v>
      </c>
      <c r="D2534" s="5" t="str">
        <f t="shared" si="87"/>
        <v>03</v>
      </c>
      <c r="E2534" t="str">
        <f>VLOOKUP(B2534,'HOGARES-BASELINE'!$B:$I,8,FALSE)</f>
        <v>00010733</v>
      </c>
      <c r="F2534" s="6" t="str">
        <f t="shared" si="88"/>
        <v>0001073303</v>
      </c>
    </row>
    <row r="2535" spans="1:6" x14ac:dyDescent="0.3">
      <c r="A2535" s="6" t="s">
        <v>2535</v>
      </c>
      <c r="B2535">
        <v>34400184</v>
      </c>
      <c r="C2535" s="3">
        <v>2</v>
      </c>
      <c r="D2535" s="5" t="str">
        <f t="shared" si="87"/>
        <v>02</v>
      </c>
      <c r="E2535" t="str">
        <f>VLOOKUP(B2535,'HOGARES-BASELINE'!$B:$I,8,FALSE)</f>
        <v>01020734</v>
      </c>
      <c r="F2535" s="6" t="str">
        <f t="shared" si="88"/>
        <v>0102073402</v>
      </c>
    </row>
    <row r="2536" spans="1:6" x14ac:dyDescent="0.3">
      <c r="A2536" s="6" t="s">
        <v>2536</v>
      </c>
      <c r="B2536">
        <v>34400184</v>
      </c>
      <c r="C2536" s="3">
        <v>4</v>
      </c>
      <c r="D2536" s="5" t="str">
        <f t="shared" si="87"/>
        <v>04</v>
      </c>
      <c r="E2536" t="str">
        <f>VLOOKUP(B2536,'HOGARES-BASELINE'!$B:$I,8,FALSE)</f>
        <v>01020734</v>
      </c>
      <c r="F2536" s="6" t="str">
        <f t="shared" si="88"/>
        <v>0102073404</v>
      </c>
    </row>
    <row r="2537" spans="1:6" x14ac:dyDescent="0.3">
      <c r="A2537" s="6" t="s">
        <v>2537</v>
      </c>
      <c r="B2537">
        <v>34400184</v>
      </c>
      <c r="C2537" s="3">
        <v>1</v>
      </c>
      <c r="D2537" s="5" t="str">
        <f t="shared" si="87"/>
        <v>01</v>
      </c>
      <c r="E2537" t="str">
        <f>VLOOKUP(B2537,'HOGARES-BASELINE'!$B:$I,8,FALSE)</f>
        <v>01020734</v>
      </c>
      <c r="F2537" s="6" t="str">
        <f t="shared" si="88"/>
        <v>0102073401</v>
      </c>
    </row>
    <row r="2538" spans="1:6" x14ac:dyDescent="0.3">
      <c r="A2538" s="6" t="s">
        <v>2538</v>
      </c>
      <c r="B2538">
        <v>34400184</v>
      </c>
      <c r="C2538" s="3">
        <v>3</v>
      </c>
      <c r="D2538" s="5" t="str">
        <f t="shared" si="87"/>
        <v>03</v>
      </c>
      <c r="E2538" t="str">
        <f>VLOOKUP(B2538,'HOGARES-BASELINE'!$B:$I,8,FALSE)</f>
        <v>01020734</v>
      </c>
      <c r="F2538" s="6" t="str">
        <f t="shared" si="88"/>
        <v>0102073403</v>
      </c>
    </row>
    <row r="2539" spans="1:6" x14ac:dyDescent="0.3">
      <c r="A2539" s="6" t="s">
        <v>2539</v>
      </c>
      <c r="B2539">
        <v>3445785</v>
      </c>
      <c r="C2539" s="3">
        <v>2</v>
      </c>
      <c r="D2539" s="5" t="str">
        <f t="shared" si="87"/>
        <v>02</v>
      </c>
      <c r="E2539" t="str">
        <f>VLOOKUP(B2539,'HOGARES-BASELINE'!$B:$I,8,FALSE)</f>
        <v>00010735</v>
      </c>
      <c r="F2539" s="6" t="str">
        <f t="shared" si="88"/>
        <v>0001073502</v>
      </c>
    </row>
    <row r="2540" spans="1:6" x14ac:dyDescent="0.3">
      <c r="A2540" s="6" t="s">
        <v>2540</v>
      </c>
      <c r="B2540">
        <v>3445785</v>
      </c>
      <c r="C2540" s="3">
        <v>1</v>
      </c>
      <c r="D2540" s="5" t="str">
        <f t="shared" ref="D2540:D2603" si="89">_xlfn.CONCAT(0,C2540)</f>
        <v>01</v>
      </c>
      <c r="E2540" t="str">
        <f>VLOOKUP(B2540,'HOGARES-BASELINE'!$B:$I,8,FALSE)</f>
        <v>00010735</v>
      </c>
      <c r="F2540" s="6" t="str">
        <f t="shared" si="88"/>
        <v>0001073501</v>
      </c>
    </row>
    <row r="2541" spans="1:6" x14ac:dyDescent="0.3">
      <c r="A2541" s="6" t="s">
        <v>2541</v>
      </c>
      <c r="B2541">
        <v>34503573</v>
      </c>
      <c r="C2541" s="3">
        <v>1</v>
      </c>
      <c r="D2541" s="5" t="str">
        <f t="shared" si="89"/>
        <v>01</v>
      </c>
      <c r="E2541" t="str">
        <f>VLOOKUP(B2541,'HOGARES-BASELINE'!$B:$I,8,FALSE)</f>
        <v>01020736</v>
      </c>
      <c r="F2541" s="6" t="str">
        <f t="shared" si="88"/>
        <v>0102073601</v>
      </c>
    </row>
    <row r="2542" spans="1:6" x14ac:dyDescent="0.3">
      <c r="A2542" s="6" t="s">
        <v>2542</v>
      </c>
      <c r="B2542">
        <v>34503573</v>
      </c>
      <c r="C2542" s="3">
        <v>4</v>
      </c>
      <c r="D2542" s="5" t="str">
        <f t="shared" si="89"/>
        <v>04</v>
      </c>
      <c r="E2542" t="str">
        <f>VLOOKUP(B2542,'HOGARES-BASELINE'!$B:$I,8,FALSE)</f>
        <v>01020736</v>
      </c>
      <c r="F2542" s="6" t="str">
        <f t="shared" si="88"/>
        <v>0102073604</v>
      </c>
    </row>
    <row r="2543" spans="1:6" x14ac:dyDescent="0.3">
      <c r="A2543" s="6" t="s">
        <v>2543</v>
      </c>
      <c r="B2543">
        <v>34503573</v>
      </c>
      <c r="C2543" s="3">
        <v>3</v>
      </c>
      <c r="D2543" s="5" t="str">
        <f t="shared" si="89"/>
        <v>03</v>
      </c>
      <c r="E2543" t="str">
        <f>VLOOKUP(B2543,'HOGARES-BASELINE'!$B:$I,8,FALSE)</f>
        <v>01020736</v>
      </c>
      <c r="F2543" s="6" t="str">
        <f t="shared" si="88"/>
        <v>0102073603</v>
      </c>
    </row>
    <row r="2544" spans="1:6" x14ac:dyDescent="0.3">
      <c r="A2544" s="6" t="s">
        <v>2544</v>
      </c>
      <c r="B2544">
        <v>34503573</v>
      </c>
      <c r="C2544" s="3">
        <v>5</v>
      </c>
      <c r="D2544" s="5" t="str">
        <f t="shared" si="89"/>
        <v>05</v>
      </c>
      <c r="E2544" t="str">
        <f>VLOOKUP(B2544,'HOGARES-BASELINE'!$B:$I,8,FALSE)</f>
        <v>01020736</v>
      </c>
      <c r="F2544" s="6" t="str">
        <f t="shared" si="88"/>
        <v>0102073605</v>
      </c>
    </row>
    <row r="2545" spans="1:6" x14ac:dyDescent="0.3">
      <c r="A2545" s="6" t="s">
        <v>2545</v>
      </c>
      <c r="B2545">
        <v>34503573</v>
      </c>
      <c r="C2545" s="3">
        <v>2</v>
      </c>
      <c r="D2545" s="5" t="str">
        <f t="shared" si="89"/>
        <v>02</v>
      </c>
      <c r="E2545" t="str">
        <f>VLOOKUP(B2545,'HOGARES-BASELINE'!$B:$I,8,FALSE)</f>
        <v>01020736</v>
      </c>
      <c r="F2545" s="6" t="str">
        <f t="shared" si="88"/>
        <v>0102073602</v>
      </c>
    </row>
    <row r="2546" spans="1:6" x14ac:dyDescent="0.3">
      <c r="A2546" s="6" t="s">
        <v>2546</v>
      </c>
      <c r="B2546">
        <v>34515416</v>
      </c>
      <c r="C2546" s="3">
        <v>3</v>
      </c>
      <c r="D2546" s="5" t="str">
        <f t="shared" si="89"/>
        <v>03</v>
      </c>
      <c r="E2546" t="str">
        <f>VLOOKUP(B2546,'HOGARES-BASELINE'!$B:$I,8,FALSE)</f>
        <v>01020737</v>
      </c>
      <c r="F2546" s="6" t="str">
        <f t="shared" si="88"/>
        <v>0102073703</v>
      </c>
    </row>
    <row r="2547" spans="1:6" x14ac:dyDescent="0.3">
      <c r="A2547" s="6" t="s">
        <v>2547</v>
      </c>
      <c r="B2547">
        <v>34515416</v>
      </c>
      <c r="C2547" s="3">
        <v>4</v>
      </c>
      <c r="D2547" s="5" t="str">
        <f t="shared" si="89"/>
        <v>04</v>
      </c>
      <c r="E2547" t="str">
        <f>VLOOKUP(B2547,'HOGARES-BASELINE'!$B:$I,8,FALSE)</f>
        <v>01020737</v>
      </c>
      <c r="F2547" s="6" t="str">
        <f t="shared" si="88"/>
        <v>0102073704</v>
      </c>
    </row>
    <row r="2548" spans="1:6" x14ac:dyDescent="0.3">
      <c r="A2548" s="6" t="s">
        <v>2548</v>
      </c>
      <c r="B2548">
        <v>34515416</v>
      </c>
      <c r="C2548" s="3">
        <v>2</v>
      </c>
      <c r="D2548" s="5" t="str">
        <f t="shared" si="89"/>
        <v>02</v>
      </c>
      <c r="E2548" t="str">
        <f>VLOOKUP(B2548,'HOGARES-BASELINE'!$B:$I,8,FALSE)</f>
        <v>01020737</v>
      </c>
      <c r="F2548" s="6" t="str">
        <f t="shared" si="88"/>
        <v>0102073702</v>
      </c>
    </row>
    <row r="2549" spans="1:6" x14ac:dyDescent="0.3">
      <c r="A2549" s="6" t="s">
        <v>2549</v>
      </c>
      <c r="B2549">
        <v>34515416</v>
      </c>
      <c r="C2549" s="3">
        <v>1</v>
      </c>
      <c r="D2549" s="5" t="str">
        <f t="shared" si="89"/>
        <v>01</v>
      </c>
      <c r="E2549" t="str">
        <f>VLOOKUP(B2549,'HOGARES-BASELINE'!$B:$I,8,FALSE)</f>
        <v>01020737</v>
      </c>
      <c r="F2549" s="6" t="str">
        <f t="shared" si="88"/>
        <v>0102073701</v>
      </c>
    </row>
    <row r="2550" spans="1:6" x14ac:dyDescent="0.3">
      <c r="A2550" s="6" t="s">
        <v>2550</v>
      </c>
      <c r="B2550">
        <v>34572562</v>
      </c>
      <c r="C2550" s="3">
        <v>1</v>
      </c>
      <c r="D2550" s="5" t="str">
        <f t="shared" si="89"/>
        <v>01</v>
      </c>
      <c r="E2550" t="str">
        <f>VLOOKUP(B2550,'HOGARES-BASELINE'!$B:$I,8,FALSE)</f>
        <v>01020738</v>
      </c>
      <c r="F2550" s="6" t="str">
        <f t="shared" si="88"/>
        <v>0102073801</v>
      </c>
    </row>
    <row r="2551" spans="1:6" x14ac:dyDescent="0.3">
      <c r="A2551" s="6" t="s">
        <v>2551</v>
      </c>
      <c r="B2551">
        <v>34572562</v>
      </c>
      <c r="C2551" s="3">
        <v>2</v>
      </c>
      <c r="D2551" s="5" t="str">
        <f t="shared" si="89"/>
        <v>02</v>
      </c>
      <c r="E2551" t="str">
        <f>VLOOKUP(B2551,'HOGARES-BASELINE'!$B:$I,8,FALSE)</f>
        <v>01020738</v>
      </c>
      <c r="F2551" s="6" t="str">
        <f t="shared" si="88"/>
        <v>0102073802</v>
      </c>
    </row>
    <row r="2552" spans="1:6" x14ac:dyDescent="0.3">
      <c r="A2552" s="6" t="s">
        <v>2552</v>
      </c>
      <c r="B2552">
        <v>34572562</v>
      </c>
      <c r="C2552" s="3">
        <v>3</v>
      </c>
      <c r="D2552" s="5" t="str">
        <f t="shared" si="89"/>
        <v>03</v>
      </c>
      <c r="E2552" t="str">
        <f>VLOOKUP(B2552,'HOGARES-BASELINE'!$B:$I,8,FALSE)</f>
        <v>01020738</v>
      </c>
      <c r="F2552" s="6" t="str">
        <f t="shared" si="88"/>
        <v>0102073803</v>
      </c>
    </row>
    <row r="2553" spans="1:6" x14ac:dyDescent="0.3">
      <c r="A2553" s="6" t="s">
        <v>2553</v>
      </c>
      <c r="B2553">
        <v>34573715</v>
      </c>
      <c r="C2553" s="3">
        <v>3</v>
      </c>
      <c r="D2553" s="5" t="str">
        <f t="shared" si="89"/>
        <v>03</v>
      </c>
      <c r="E2553" t="str">
        <f>VLOOKUP(B2553,'HOGARES-BASELINE'!$B:$I,8,FALSE)</f>
        <v>01020739</v>
      </c>
      <c r="F2553" s="6" t="str">
        <f t="shared" si="88"/>
        <v>0102073903</v>
      </c>
    </row>
    <row r="2554" spans="1:6" x14ac:dyDescent="0.3">
      <c r="A2554" s="6" t="s">
        <v>2554</v>
      </c>
      <c r="B2554">
        <v>34573715</v>
      </c>
      <c r="C2554" s="3">
        <v>2</v>
      </c>
      <c r="D2554" s="5" t="str">
        <f t="shared" si="89"/>
        <v>02</v>
      </c>
      <c r="E2554" t="str">
        <f>VLOOKUP(B2554,'HOGARES-BASELINE'!$B:$I,8,FALSE)</f>
        <v>01020739</v>
      </c>
      <c r="F2554" s="6" t="str">
        <f t="shared" si="88"/>
        <v>0102073902</v>
      </c>
    </row>
    <row r="2555" spans="1:6" x14ac:dyDescent="0.3">
      <c r="A2555" s="6" t="s">
        <v>2555</v>
      </c>
      <c r="B2555">
        <v>34573715</v>
      </c>
      <c r="C2555" s="3">
        <v>1</v>
      </c>
      <c r="D2555" s="5" t="str">
        <f t="shared" si="89"/>
        <v>01</v>
      </c>
      <c r="E2555" t="str">
        <f>VLOOKUP(B2555,'HOGARES-BASELINE'!$B:$I,8,FALSE)</f>
        <v>01020739</v>
      </c>
      <c r="F2555" s="6" t="str">
        <f t="shared" si="88"/>
        <v>0102073901</v>
      </c>
    </row>
    <row r="2556" spans="1:6" x14ac:dyDescent="0.3">
      <c r="A2556" s="6" t="s">
        <v>2556</v>
      </c>
      <c r="B2556">
        <v>34573715</v>
      </c>
      <c r="C2556" s="3">
        <v>4</v>
      </c>
      <c r="D2556" s="5" t="str">
        <f t="shared" si="89"/>
        <v>04</v>
      </c>
      <c r="E2556" t="str">
        <f>VLOOKUP(B2556,'HOGARES-BASELINE'!$B:$I,8,FALSE)</f>
        <v>01020739</v>
      </c>
      <c r="F2556" s="6" t="str">
        <f t="shared" si="88"/>
        <v>0102073904</v>
      </c>
    </row>
    <row r="2557" spans="1:6" x14ac:dyDescent="0.3">
      <c r="A2557" s="6" t="s">
        <v>2557</v>
      </c>
      <c r="B2557">
        <v>34690139</v>
      </c>
      <c r="C2557" s="3">
        <v>1</v>
      </c>
      <c r="D2557" s="5" t="str">
        <f t="shared" si="89"/>
        <v>01</v>
      </c>
      <c r="E2557" t="str">
        <f>VLOOKUP(B2557,'HOGARES-BASELINE'!$B:$I,8,FALSE)</f>
        <v>01020740</v>
      </c>
      <c r="F2557" s="6" t="str">
        <f t="shared" si="88"/>
        <v>0102074001</v>
      </c>
    </row>
    <row r="2558" spans="1:6" x14ac:dyDescent="0.3">
      <c r="A2558" s="6" t="s">
        <v>2558</v>
      </c>
      <c r="B2558">
        <v>34690139</v>
      </c>
      <c r="C2558" s="3">
        <v>7</v>
      </c>
      <c r="D2558" s="5" t="str">
        <f t="shared" si="89"/>
        <v>07</v>
      </c>
      <c r="E2558" t="str">
        <f>VLOOKUP(B2558,'HOGARES-BASELINE'!$B:$I,8,FALSE)</f>
        <v>01020740</v>
      </c>
      <c r="F2558" s="6" t="str">
        <f t="shared" si="88"/>
        <v>0102074007</v>
      </c>
    </row>
    <row r="2559" spans="1:6" x14ac:dyDescent="0.3">
      <c r="A2559" s="6" t="s">
        <v>2559</v>
      </c>
      <c r="B2559">
        <v>34690139</v>
      </c>
      <c r="C2559" s="3">
        <v>5</v>
      </c>
      <c r="D2559" s="5" t="str">
        <f t="shared" si="89"/>
        <v>05</v>
      </c>
      <c r="E2559" t="str">
        <f>VLOOKUP(B2559,'HOGARES-BASELINE'!$B:$I,8,FALSE)</f>
        <v>01020740</v>
      </c>
      <c r="F2559" s="6" t="str">
        <f t="shared" si="88"/>
        <v>0102074005</v>
      </c>
    </row>
    <row r="2560" spans="1:6" x14ac:dyDescent="0.3">
      <c r="A2560" s="6" t="s">
        <v>2560</v>
      </c>
      <c r="B2560">
        <v>34690139</v>
      </c>
      <c r="C2560" s="3">
        <v>6</v>
      </c>
      <c r="D2560" s="5" t="str">
        <f t="shared" si="89"/>
        <v>06</v>
      </c>
      <c r="E2560" t="str">
        <f>VLOOKUP(B2560,'HOGARES-BASELINE'!$B:$I,8,FALSE)</f>
        <v>01020740</v>
      </c>
      <c r="F2560" s="6" t="str">
        <f t="shared" si="88"/>
        <v>0102074006</v>
      </c>
    </row>
    <row r="2561" spans="1:6" x14ac:dyDescent="0.3">
      <c r="A2561" s="6" t="s">
        <v>2561</v>
      </c>
      <c r="B2561">
        <v>34690139</v>
      </c>
      <c r="C2561" s="3">
        <v>3</v>
      </c>
      <c r="D2561" s="5" t="str">
        <f t="shared" si="89"/>
        <v>03</v>
      </c>
      <c r="E2561" t="str">
        <f>VLOOKUP(B2561,'HOGARES-BASELINE'!$B:$I,8,FALSE)</f>
        <v>01020740</v>
      </c>
      <c r="F2561" s="6" t="str">
        <f t="shared" si="88"/>
        <v>0102074003</v>
      </c>
    </row>
    <row r="2562" spans="1:6" x14ac:dyDescent="0.3">
      <c r="A2562" s="6" t="s">
        <v>2562</v>
      </c>
      <c r="B2562">
        <v>34690139</v>
      </c>
      <c r="C2562" s="3">
        <v>4</v>
      </c>
      <c r="D2562" s="5" t="str">
        <f t="shared" si="89"/>
        <v>04</v>
      </c>
      <c r="E2562" t="str">
        <f>VLOOKUP(B2562,'HOGARES-BASELINE'!$B:$I,8,FALSE)</f>
        <v>01020740</v>
      </c>
      <c r="F2562" s="6" t="str">
        <f t="shared" si="88"/>
        <v>0102074004</v>
      </c>
    </row>
    <row r="2563" spans="1:6" x14ac:dyDescent="0.3">
      <c r="A2563" s="6" t="s">
        <v>2563</v>
      </c>
      <c r="B2563">
        <v>34690139</v>
      </c>
      <c r="C2563" s="3">
        <v>2</v>
      </c>
      <c r="D2563" s="5" t="str">
        <f t="shared" si="89"/>
        <v>02</v>
      </c>
      <c r="E2563" t="str">
        <f>VLOOKUP(B2563,'HOGARES-BASELINE'!$B:$I,8,FALSE)</f>
        <v>01020740</v>
      </c>
      <c r="F2563" s="6" t="str">
        <f t="shared" ref="F2563:F2626" si="90">_xlfn.CONCAT(E2563,D2563)</f>
        <v>0102074002</v>
      </c>
    </row>
    <row r="2564" spans="1:6" x14ac:dyDescent="0.3">
      <c r="A2564" s="6" t="s">
        <v>2564</v>
      </c>
      <c r="B2564">
        <v>34977363</v>
      </c>
      <c r="C2564" s="3">
        <v>2</v>
      </c>
      <c r="D2564" s="5" t="str">
        <f t="shared" si="89"/>
        <v>02</v>
      </c>
      <c r="E2564" t="str">
        <f>VLOOKUP(B2564,'HOGARES-BASELINE'!$B:$I,8,FALSE)</f>
        <v>01030741</v>
      </c>
      <c r="F2564" s="6" t="str">
        <f t="shared" si="90"/>
        <v>0103074102</v>
      </c>
    </row>
    <row r="2565" spans="1:6" x14ac:dyDescent="0.3">
      <c r="A2565" s="6" t="s">
        <v>2565</v>
      </c>
      <c r="B2565">
        <v>34977363</v>
      </c>
      <c r="C2565" s="3">
        <v>5</v>
      </c>
      <c r="D2565" s="5" t="str">
        <f t="shared" si="89"/>
        <v>05</v>
      </c>
      <c r="E2565" t="str">
        <f>VLOOKUP(B2565,'HOGARES-BASELINE'!$B:$I,8,FALSE)</f>
        <v>01030741</v>
      </c>
      <c r="F2565" s="6" t="str">
        <f t="shared" si="90"/>
        <v>0103074105</v>
      </c>
    </row>
    <row r="2566" spans="1:6" x14ac:dyDescent="0.3">
      <c r="A2566" s="6" t="s">
        <v>2566</v>
      </c>
      <c r="B2566">
        <v>34977363</v>
      </c>
      <c r="C2566" s="3">
        <v>1</v>
      </c>
      <c r="D2566" s="5" t="str">
        <f t="shared" si="89"/>
        <v>01</v>
      </c>
      <c r="E2566" t="str">
        <f>VLOOKUP(B2566,'HOGARES-BASELINE'!$B:$I,8,FALSE)</f>
        <v>01030741</v>
      </c>
      <c r="F2566" s="6" t="str">
        <f t="shared" si="90"/>
        <v>0103074101</v>
      </c>
    </row>
    <row r="2567" spans="1:6" x14ac:dyDescent="0.3">
      <c r="A2567" s="6" t="s">
        <v>2567</v>
      </c>
      <c r="B2567">
        <v>34977363</v>
      </c>
      <c r="C2567" s="3">
        <v>3</v>
      </c>
      <c r="D2567" s="5" t="str">
        <f t="shared" si="89"/>
        <v>03</v>
      </c>
      <c r="E2567" t="str">
        <f>VLOOKUP(B2567,'HOGARES-BASELINE'!$B:$I,8,FALSE)</f>
        <v>01030741</v>
      </c>
      <c r="F2567" s="6" t="str">
        <f t="shared" si="90"/>
        <v>0103074103</v>
      </c>
    </row>
    <row r="2568" spans="1:6" x14ac:dyDescent="0.3">
      <c r="A2568" s="6" t="s">
        <v>2568</v>
      </c>
      <c r="B2568">
        <v>34977363</v>
      </c>
      <c r="C2568" s="3">
        <v>4</v>
      </c>
      <c r="D2568" s="5" t="str">
        <f t="shared" si="89"/>
        <v>04</v>
      </c>
      <c r="E2568" t="str">
        <f>VLOOKUP(B2568,'HOGARES-BASELINE'!$B:$I,8,FALSE)</f>
        <v>01030741</v>
      </c>
      <c r="F2568" s="6" t="str">
        <f t="shared" si="90"/>
        <v>0103074104</v>
      </c>
    </row>
    <row r="2569" spans="1:6" x14ac:dyDescent="0.3">
      <c r="A2569" s="6" t="s">
        <v>2569</v>
      </c>
      <c r="B2569">
        <v>35546366</v>
      </c>
      <c r="C2569" s="3">
        <v>4</v>
      </c>
      <c r="D2569" s="5" t="str">
        <f t="shared" si="89"/>
        <v>04</v>
      </c>
      <c r="E2569" t="str">
        <f>VLOOKUP(B2569,'HOGARES-BASELINE'!$B:$I,8,FALSE)</f>
        <v>01020742</v>
      </c>
      <c r="F2569" s="6" t="str">
        <f t="shared" si="90"/>
        <v>0102074204</v>
      </c>
    </row>
    <row r="2570" spans="1:6" x14ac:dyDescent="0.3">
      <c r="A2570" s="6" t="s">
        <v>2570</v>
      </c>
      <c r="B2570">
        <v>35546366</v>
      </c>
      <c r="C2570" s="3">
        <v>2</v>
      </c>
      <c r="D2570" s="5" t="str">
        <f t="shared" si="89"/>
        <v>02</v>
      </c>
      <c r="E2570" t="str">
        <f>VLOOKUP(B2570,'HOGARES-BASELINE'!$B:$I,8,FALSE)</f>
        <v>01020742</v>
      </c>
      <c r="F2570" s="6" t="str">
        <f t="shared" si="90"/>
        <v>0102074202</v>
      </c>
    </row>
    <row r="2571" spans="1:6" x14ac:dyDescent="0.3">
      <c r="A2571" s="6" t="s">
        <v>2571</v>
      </c>
      <c r="B2571">
        <v>35546366</v>
      </c>
      <c r="C2571" s="3">
        <v>1</v>
      </c>
      <c r="D2571" s="5" t="str">
        <f t="shared" si="89"/>
        <v>01</v>
      </c>
      <c r="E2571" t="str">
        <f>VLOOKUP(B2571,'HOGARES-BASELINE'!$B:$I,8,FALSE)</f>
        <v>01020742</v>
      </c>
      <c r="F2571" s="6" t="str">
        <f t="shared" si="90"/>
        <v>0102074201</v>
      </c>
    </row>
    <row r="2572" spans="1:6" x14ac:dyDescent="0.3">
      <c r="A2572" s="6" t="s">
        <v>2572</v>
      </c>
      <c r="B2572">
        <v>35546366</v>
      </c>
      <c r="C2572" s="3">
        <v>3</v>
      </c>
      <c r="D2572" s="5" t="str">
        <f t="shared" si="89"/>
        <v>03</v>
      </c>
      <c r="E2572" t="str">
        <f>VLOOKUP(B2572,'HOGARES-BASELINE'!$B:$I,8,FALSE)</f>
        <v>01020742</v>
      </c>
      <c r="F2572" s="6" t="str">
        <f t="shared" si="90"/>
        <v>0102074203</v>
      </c>
    </row>
    <row r="2573" spans="1:6" x14ac:dyDescent="0.3">
      <c r="A2573" s="6" t="s">
        <v>2573</v>
      </c>
      <c r="B2573">
        <v>3569578</v>
      </c>
      <c r="C2573" s="3">
        <v>1</v>
      </c>
      <c r="D2573" s="5" t="str">
        <f t="shared" si="89"/>
        <v>01</v>
      </c>
      <c r="E2573" t="str">
        <f>VLOOKUP(B2573,'HOGARES-BASELINE'!$B:$I,8,FALSE)</f>
        <v>01010743</v>
      </c>
      <c r="F2573" s="6" t="str">
        <f t="shared" si="90"/>
        <v>0101074301</v>
      </c>
    </row>
    <row r="2574" spans="1:6" x14ac:dyDescent="0.3">
      <c r="A2574" s="6" t="s">
        <v>2574</v>
      </c>
      <c r="B2574">
        <v>3569578</v>
      </c>
      <c r="C2574" s="3">
        <v>2</v>
      </c>
      <c r="D2574" s="5" t="str">
        <f t="shared" si="89"/>
        <v>02</v>
      </c>
      <c r="E2574" t="str">
        <f>VLOOKUP(B2574,'HOGARES-BASELINE'!$B:$I,8,FALSE)</f>
        <v>01010743</v>
      </c>
      <c r="F2574" s="6" t="str">
        <f t="shared" si="90"/>
        <v>0101074302</v>
      </c>
    </row>
    <row r="2575" spans="1:6" x14ac:dyDescent="0.3">
      <c r="A2575" s="6" t="s">
        <v>2575</v>
      </c>
      <c r="B2575">
        <v>3575338</v>
      </c>
      <c r="C2575" s="3">
        <v>3</v>
      </c>
      <c r="D2575" s="5" t="str">
        <f t="shared" si="89"/>
        <v>03</v>
      </c>
      <c r="E2575" t="str">
        <f>VLOOKUP(B2575,'HOGARES-BASELINE'!$B:$I,8,FALSE)</f>
        <v>01010744</v>
      </c>
      <c r="F2575" s="6" t="str">
        <f t="shared" si="90"/>
        <v>0101074403</v>
      </c>
    </row>
    <row r="2576" spans="1:6" x14ac:dyDescent="0.3">
      <c r="A2576" s="6" t="s">
        <v>2576</v>
      </c>
      <c r="B2576">
        <v>3575338</v>
      </c>
      <c r="C2576" s="3">
        <v>1</v>
      </c>
      <c r="D2576" s="5" t="str">
        <f t="shared" si="89"/>
        <v>01</v>
      </c>
      <c r="E2576" t="str">
        <f>VLOOKUP(B2576,'HOGARES-BASELINE'!$B:$I,8,FALSE)</f>
        <v>01010744</v>
      </c>
      <c r="F2576" s="6" t="str">
        <f t="shared" si="90"/>
        <v>0101074401</v>
      </c>
    </row>
    <row r="2577" spans="1:6" x14ac:dyDescent="0.3">
      <c r="A2577" s="6" t="s">
        <v>2577</v>
      </c>
      <c r="B2577">
        <v>3575338</v>
      </c>
      <c r="C2577" s="3">
        <v>2</v>
      </c>
      <c r="D2577" s="5" t="str">
        <f t="shared" si="89"/>
        <v>02</v>
      </c>
      <c r="E2577" t="str">
        <f>VLOOKUP(B2577,'HOGARES-BASELINE'!$B:$I,8,FALSE)</f>
        <v>01010744</v>
      </c>
      <c r="F2577" s="6" t="str">
        <f t="shared" si="90"/>
        <v>0101074402</v>
      </c>
    </row>
    <row r="2578" spans="1:6" x14ac:dyDescent="0.3">
      <c r="A2578" s="6" t="s">
        <v>2578</v>
      </c>
      <c r="B2578">
        <v>35990267</v>
      </c>
      <c r="C2578" s="3">
        <v>4</v>
      </c>
      <c r="D2578" s="5" t="str">
        <f t="shared" si="89"/>
        <v>04</v>
      </c>
      <c r="E2578" t="str">
        <f>VLOOKUP(B2578,'HOGARES-BASELINE'!$B:$I,8,FALSE)</f>
        <v>01020745</v>
      </c>
      <c r="F2578" s="6" t="str">
        <f t="shared" si="90"/>
        <v>0102074504</v>
      </c>
    </row>
    <row r="2579" spans="1:6" x14ac:dyDescent="0.3">
      <c r="A2579" s="6" t="s">
        <v>2579</v>
      </c>
      <c r="B2579">
        <v>35990267</v>
      </c>
      <c r="C2579" s="3">
        <v>2</v>
      </c>
      <c r="D2579" s="5" t="str">
        <f t="shared" si="89"/>
        <v>02</v>
      </c>
      <c r="E2579" t="str">
        <f>VLOOKUP(B2579,'HOGARES-BASELINE'!$B:$I,8,FALSE)</f>
        <v>01020745</v>
      </c>
      <c r="F2579" s="6" t="str">
        <f t="shared" si="90"/>
        <v>0102074502</v>
      </c>
    </row>
    <row r="2580" spans="1:6" x14ac:dyDescent="0.3">
      <c r="A2580" s="6" t="s">
        <v>2580</v>
      </c>
      <c r="B2580">
        <v>35990267</v>
      </c>
      <c r="C2580" s="3">
        <v>1</v>
      </c>
      <c r="D2580" s="5" t="str">
        <f t="shared" si="89"/>
        <v>01</v>
      </c>
      <c r="E2580" t="str">
        <f>VLOOKUP(B2580,'HOGARES-BASELINE'!$B:$I,8,FALSE)</f>
        <v>01020745</v>
      </c>
      <c r="F2580" s="6" t="str">
        <f t="shared" si="90"/>
        <v>0102074501</v>
      </c>
    </row>
    <row r="2581" spans="1:6" x14ac:dyDescent="0.3">
      <c r="A2581" s="6" t="s">
        <v>2581</v>
      </c>
      <c r="B2581">
        <v>35990267</v>
      </c>
      <c r="C2581" s="3">
        <v>3</v>
      </c>
      <c r="D2581" s="5" t="str">
        <f t="shared" si="89"/>
        <v>03</v>
      </c>
      <c r="E2581" t="str">
        <f>VLOOKUP(B2581,'HOGARES-BASELINE'!$B:$I,8,FALSE)</f>
        <v>01020745</v>
      </c>
      <c r="F2581" s="6" t="str">
        <f t="shared" si="90"/>
        <v>0102074503</v>
      </c>
    </row>
    <row r="2582" spans="1:6" x14ac:dyDescent="0.3">
      <c r="A2582" s="6" t="s">
        <v>2582</v>
      </c>
      <c r="B2582">
        <v>35990267</v>
      </c>
      <c r="C2582" s="3">
        <v>5</v>
      </c>
      <c r="D2582" s="5" t="str">
        <f t="shared" si="89"/>
        <v>05</v>
      </c>
      <c r="E2582" t="str">
        <f>VLOOKUP(B2582,'HOGARES-BASELINE'!$B:$I,8,FALSE)</f>
        <v>01020745</v>
      </c>
      <c r="F2582" s="6" t="str">
        <f t="shared" si="90"/>
        <v>0102074505</v>
      </c>
    </row>
    <row r="2583" spans="1:6" x14ac:dyDescent="0.3">
      <c r="A2583" s="6" t="s">
        <v>2583</v>
      </c>
      <c r="B2583">
        <v>36489408</v>
      </c>
      <c r="C2583" s="3">
        <v>1</v>
      </c>
      <c r="D2583" s="5" t="str">
        <f t="shared" si="89"/>
        <v>01</v>
      </c>
      <c r="E2583" t="str">
        <f>VLOOKUP(B2583,'HOGARES-BASELINE'!$B:$I,8,FALSE)</f>
        <v>00030746</v>
      </c>
      <c r="F2583" s="6" t="str">
        <f t="shared" si="90"/>
        <v>0003074601</v>
      </c>
    </row>
    <row r="2584" spans="1:6" x14ac:dyDescent="0.3">
      <c r="A2584" s="6" t="s">
        <v>2584</v>
      </c>
      <c r="B2584">
        <v>36594665</v>
      </c>
      <c r="C2584" s="3">
        <v>1</v>
      </c>
      <c r="D2584" s="5" t="str">
        <f t="shared" si="89"/>
        <v>01</v>
      </c>
      <c r="E2584" t="str">
        <f>VLOOKUP(B2584,'HOGARES-BASELINE'!$B:$I,8,FALSE)</f>
        <v>00030747</v>
      </c>
      <c r="F2584" s="6" t="str">
        <f t="shared" si="90"/>
        <v>0003074701</v>
      </c>
    </row>
    <row r="2585" spans="1:6" x14ac:dyDescent="0.3">
      <c r="A2585" s="6" t="s">
        <v>2585</v>
      </c>
      <c r="B2585">
        <v>37075013</v>
      </c>
      <c r="C2585" s="3">
        <v>5</v>
      </c>
      <c r="D2585" s="5" t="str">
        <f t="shared" si="89"/>
        <v>05</v>
      </c>
      <c r="E2585" t="str">
        <f>VLOOKUP(B2585,'HOGARES-BASELINE'!$B:$I,8,FALSE)</f>
        <v>01020748</v>
      </c>
      <c r="F2585" s="6" t="str">
        <f t="shared" si="90"/>
        <v>0102074805</v>
      </c>
    </row>
    <row r="2586" spans="1:6" x14ac:dyDescent="0.3">
      <c r="A2586" s="6" t="s">
        <v>2586</v>
      </c>
      <c r="B2586">
        <v>37075013</v>
      </c>
      <c r="C2586" s="3">
        <v>2</v>
      </c>
      <c r="D2586" s="5" t="str">
        <f t="shared" si="89"/>
        <v>02</v>
      </c>
      <c r="E2586" t="str">
        <f>VLOOKUP(B2586,'HOGARES-BASELINE'!$B:$I,8,FALSE)</f>
        <v>01020748</v>
      </c>
      <c r="F2586" s="6" t="str">
        <f t="shared" si="90"/>
        <v>0102074802</v>
      </c>
    </row>
    <row r="2587" spans="1:6" x14ac:dyDescent="0.3">
      <c r="A2587" s="6" t="s">
        <v>2587</v>
      </c>
      <c r="B2587">
        <v>37075013</v>
      </c>
      <c r="C2587" s="3">
        <v>3</v>
      </c>
      <c r="D2587" s="5" t="str">
        <f t="shared" si="89"/>
        <v>03</v>
      </c>
      <c r="E2587" t="str">
        <f>VLOOKUP(B2587,'HOGARES-BASELINE'!$B:$I,8,FALSE)</f>
        <v>01020748</v>
      </c>
      <c r="F2587" s="6" t="str">
        <f t="shared" si="90"/>
        <v>0102074803</v>
      </c>
    </row>
    <row r="2588" spans="1:6" x14ac:dyDescent="0.3">
      <c r="A2588" s="6" t="s">
        <v>2588</v>
      </c>
      <c r="B2588">
        <v>37075013</v>
      </c>
      <c r="C2588" s="3">
        <v>4</v>
      </c>
      <c r="D2588" s="5" t="str">
        <f t="shared" si="89"/>
        <v>04</v>
      </c>
      <c r="E2588" t="str">
        <f>VLOOKUP(B2588,'HOGARES-BASELINE'!$B:$I,8,FALSE)</f>
        <v>01020748</v>
      </c>
      <c r="F2588" s="6" t="str">
        <f t="shared" si="90"/>
        <v>0102074804</v>
      </c>
    </row>
    <row r="2589" spans="1:6" x14ac:dyDescent="0.3">
      <c r="A2589" s="6" t="s">
        <v>2589</v>
      </c>
      <c r="B2589">
        <v>37075013</v>
      </c>
      <c r="C2589" s="3">
        <v>1</v>
      </c>
      <c r="D2589" s="5" t="str">
        <f t="shared" si="89"/>
        <v>01</v>
      </c>
      <c r="E2589" t="str">
        <f>VLOOKUP(B2589,'HOGARES-BASELINE'!$B:$I,8,FALSE)</f>
        <v>01020748</v>
      </c>
      <c r="F2589" s="6" t="str">
        <f t="shared" si="90"/>
        <v>0102074801</v>
      </c>
    </row>
    <row r="2590" spans="1:6" x14ac:dyDescent="0.3">
      <c r="A2590" s="6" t="s">
        <v>2590</v>
      </c>
      <c r="B2590">
        <v>37236302</v>
      </c>
      <c r="C2590" s="3">
        <v>1</v>
      </c>
      <c r="D2590" s="5" t="str">
        <f t="shared" si="89"/>
        <v>01</v>
      </c>
      <c r="E2590" t="str">
        <f>VLOOKUP(B2590,'HOGARES-BASELINE'!$B:$I,8,FALSE)</f>
        <v>00020749</v>
      </c>
      <c r="F2590" s="6" t="str">
        <f t="shared" si="90"/>
        <v>0002074901</v>
      </c>
    </row>
    <row r="2591" spans="1:6" x14ac:dyDescent="0.3">
      <c r="A2591" s="6" t="s">
        <v>2591</v>
      </c>
      <c r="B2591">
        <v>37253427</v>
      </c>
      <c r="C2591" s="3">
        <v>1</v>
      </c>
      <c r="D2591" s="5" t="str">
        <f t="shared" si="89"/>
        <v>01</v>
      </c>
      <c r="E2591" t="str">
        <f>VLOOKUP(B2591,'HOGARES-BASELINE'!$B:$I,8,FALSE)</f>
        <v>01020750</v>
      </c>
      <c r="F2591" s="6" t="str">
        <f t="shared" si="90"/>
        <v>0102075001</v>
      </c>
    </row>
    <row r="2592" spans="1:6" x14ac:dyDescent="0.3">
      <c r="A2592" s="6" t="s">
        <v>2592</v>
      </c>
      <c r="B2592">
        <v>3774099</v>
      </c>
      <c r="C2592" s="3">
        <v>1</v>
      </c>
      <c r="D2592" s="5" t="str">
        <f t="shared" si="89"/>
        <v>01</v>
      </c>
      <c r="E2592" t="str">
        <f>VLOOKUP(B2592,'HOGARES-BASELINE'!$B:$I,8,FALSE)</f>
        <v>00030751</v>
      </c>
      <c r="F2592" s="6" t="str">
        <f t="shared" si="90"/>
        <v>0003075101</v>
      </c>
    </row>
    <row r="2593" spans="1:6" x14ac:dyDescent="0.3">
      <c r="A2593" s="6" t="s">
        <v>2593</v>
      </c>
      <c r="B2593">
        <v>3774099</v>
      </c>
      <c r="C2593" s="3">
        <v>3</v>
      </c>
      <c r="D2593" s="5" t="str">
        <f t="shared" si="89"/>
        <v>03</v>
      </c>
      <c r="E2593" t="str">
        <f>VLOOKUP(B2593,'HOGARES-BASELINE'!$B:$I,8,FALSE)</f>
        <v>00030751</v>
      </c>
      <c r="F2593" s="6" t="str">
        <f t="shared" si="90"/>
        <v>0003075103</v>
      </c>
    </row>
    <row r="2594" spans="1:6" x14ac:dyDescent="0.3">
      <c r="A2594" s="6" t="s">
        <v>2594</v>
      </c>
      <c r="B2594">
        <v>3774099</v>
      </c>
      <c r="C2594" s="3">
        <v>2</v>
      </c>
      <c r="D2594" s="5" t="str">
        <f t="shared" si="89"/>
        <v>02</v>
      </c>
      <c r="E2594" t="str">
        <f>VLOOKUP(B2594,'HOGARES-BASELINE'!$B:$I,8,FALSE)</f>
        <v>00030751</v>
      </c>
      <c r="F2594" s="6" t="str">
        <f t="shared" si="90"/>
        <v>0003075102</v>
      </c>
    </row>
    <row r="2595" spans="1:6" x14ac:dyDescent="0.3">
      <c r="A2595" s="6" t="s">
        <v>2595</v>
      </c>
      <c r="B2595">
        <v>37926108</v>
      </c>
      <c r="C2595" s="3">
        <v>4</v>
      </c>
      <c r="D2595" s="5" t="str">
        <f t="shared" si="89"/>
        <v>04</v>
      </c>
      <c r="E2595" t="str">
        <f>VLOOKUP(B2595,'HOGARES-BASELINE'!$B:$I,8,FALSE)</f>
        <v>01030752</v>
      </c>
      <c r="F2595" s="6" t="str">
        <f t="shared" si="90"/>
        <v>0103075204</v>
      </c>
    </row>
    <row r="2596" spans="1:6" x14ac:dyDescent="0.3">
      <c r="A2596" s="6" t="s">
        <v>2596</v>
      </c>
      <c r="B2596">
        <v>37926108</v>
      </c>
      <c r="C2596" s="3">
        <v>8</v>
      </c>
      <c r="D2596" s="5" t="str">
        <f t="shared" si="89"/>
        <v>08</v>
      </c>
      <c r="E2596" t="str">
        <f>VLOOKUP(B2596,'HOGARES-BASELINE'!$B:$I,8,FALSE)</f>
        <v>01030752</v>
      </c>
      <c r="F2596" s="6" t="str">
        <f t="shared" si="90"/>
        <v>0103075208</v>
      </c>
    </row>
    <row r="2597" spans="1:6" x14ac:dyDescent="0.3">
      <c r="A2597" s="6" t="s">
        <v>2597</v>
      </c>
      <c r="B2597">
        <v>37926108</v>
      </c>
      <c r="C2597" s="3">
        <v>6</v>
      </c>
      <c r="D2597" s="5" t="str">
        <f t="shared" si="89"/>
        <v>06</v>
      </c>
      <c r="E2597" t="str">
        <f>VLOOKUP(B2597,'HOGARES-BASELINE'!$B:$I,8,FALSE)</f>
        <v>01030752</v>
      </c>
      <c r="F2597" s="6" t="str">
        <f t="shared" si="90"/>
        <v>0103075206</v>
      </c>
    </row>
    <row r="2598" spans="1:6" x14ac:dyDescent="0.3">
      <c r="A2598" s="6" t="s">
        <v>2598</v>
      </c>
      <c r="B2598">
        <v>37926108</v>
      </c>
      <c r="C2598" s="3">
        <v>7</v>
      </c>
      <c r="D2598" s="5" t="str">
        <f t="shared" si="89"/>
        <v>07</v>
      </c>
      <c r="E2598" t="str">
        <f>VLOOKUP(B2598,'HOGARES-BASELINE'!$B:$I,8,FALSE)</f>
        <v>01030752</v>
      </c>
      <c r="F2598" s="6" t="str">
        <f t="shared" si="90"/>
        <v>0103075207</v>
      </c>
    </row>
    <row r="2599" spans="1:6" x14ac:dyDescent="0.3">
      <c r="A2599" s="6" t="s">
        <v>2599</v>
      </c>
      <c r="B2599">
        <v>37926108</v>
      </c>
      <c r="C2599" s="3">
        <v>1</v>
      </c>
      <c r="D2599" s="5" t="str">
        <f t="shared" si="89"/>
        <v>01</v>
      </c>
      <c r="E2599" t="str">
        <f>VLOOKUP(B2599,'HOGARES-BASELINE'!$B:$I,8,FALSE)</f>
        <v>01030752</v>
      </c>
      <c r="F2599" s="6" t="str">
        <f t="shared" si="90"/>
        <v>0103075201</v>
      </c>
    </row>
    <row r="2600" spans="1:6" x14ac:dyDescent="0.3">
      <c r="A2600" s="6" t="s">
        <v>2600</v>
      </c>
      <c r="B2600">
        <v>37926108</v>
      </c>
      <c r="C2600" s="3">
        <v>3</v>
      </c>
      <c r="D2600" s="5" t="str">
        <f t="shared" si="89"/>
        <v>03</v>
      </c>
      <c r="E2600" t="str">
        <f>VLOOKUP(B2600,'HOGARES-BASELINE'!$B:$I,8,FALSE)</f>
        <v>01030752</v>
      </c>
      <c r="F2600" s="6" t="str">
        <f t="shared" si="90"/>
        <v>0103075203</v>
      </c>
    </row>
    <row r="2601" spans="1:6" x14ac:dyDescent="0.3">
      <c r="A2601" s="6" t="s">
        <v>2601</v>
      </c>
      <c r="B2601">
        <v>37926108</v>
      </c>
      <c r="C2601" s="3">
        <v>5</v>
      </c>
      <c r="D2601" s="5" t="str">
        <f t="shared" si="89"/>
        <v>05</v>
      </c>
      <c r="E2601" t="str">
        <f>VLOOKUP(B2601,'HOGARES-BASELINE'!$B:$I,8,FALSE)</f>
        <v>01030752</v>
      </c>
      <c r="F2601" s="6" t="str">
        <f t="shared" si="90"/>
        <v>0103075205</v>
      </c>
    </row>
    <row r="2602" spans="1:6" x14ac:dyDescent="0.3">
      <c r="A2602" s="6" t="s">
        <v>2602</v>
      </c>
      <c r="B2602">
        <v>37926108</v>
      </c>
      <c r="C2602" s="3">
        <v>2</v>
      </c>
      <c r="D2602" s="5" t="str">
        <f t="shared" si="89"/>
        <v>02</v>
      </c>
      <c r="E2602" t="str">
        <f>VLOOKUP(B2602,'HOGARES-BASELINE'!$B:$I,8,FALSE)</f>
        <v>01030752</v>
      </c>
      <c r="F2602" s="6" t="str">
        <f t="shared" si="90"/>
        <v>0103075202</v>
      </c>
    </row>
    <row r="2603" spans="1:6" x14ac:dyDescent="0.3">
      <c r="A2603" s="6" t="s">
        <v>2603</v>
      </c>
      <c r="B2603">
        <v>38551583</v>
      </c>
      <c r="C2603" s="3">
        <v>2</v>
      </c>
      <c r="D2603" s="5" t="str">
        <f t="shared" si="89"/>
        <v>02</v>
      </c>
      <c r="E2603" t="str">
        <f>VLOOKUP(B2603,'HOGARES-BASELINE'!$B:$I,8,FALSE)</f>
        <v>00020753</v>
      </c>
      <c r="F2603" s="6" t="str">
        <f t="shared" si="90"/>
        <v>0002075302</v>
      </c>
    </row>
    <row r="2604" spans="1:6" x14ac:dyDescent="0.3">
      <c r="A2604" s="6" t="s">
        <v>2604</v>
      </c>
      <c r="B2604">
        <v>38551583</v>
      </c>
      <c r="C2604" s="3">
        <v>1</v>
      </c>
      <c r="D2604" s="5" t="str">
        <f t="shared" ref="D2604:D2667" si="91">_xlfn.CONCAT(0,C2604)</f>
        <v>01</v>
      </c>
      <c r="E2604" t="str">
        <f>VLOOKUP(B2604,'HOGARES-BASELINE'!$B:$I,8,FALSE)</f>
        <v>00020753</v>
      </c>
      <c r="F2604" s="6" t="str">
        <f t="shared" si="90"/>
        <v>0002075301</v>
      </c>
    </row>
    <row r="2605" spans="1:6" x14ac:dyDescent="0.3">
      <c r="A2605" s="6" t="s">
        <v>2605</v>
      </c>
      <c r="B2605">
        <v>38551583</v>
      </c>
      <c r="C2605" s="3">
        <v>3</v>
      </c>
      <c r="D2605" s="5" t="str">
        <f t="shared" si="91"/>
        <v>03</v>
      </c>
      <c r="E2605" t="str">
        <f>VLOOKUP(B2605,'HOGARES-BASELINE'!$B:$I,8,FALSE)</f>
        <v>00020753</v>
      </c>
      <c r="F2605" s="6" t="str">
        <f t="shared" si="90"/>
        <v>0002075303</v>
      </c>
    </row>
    <row r="2606" spans="1:6" x14ac:dyDescent="0.3">
      <c r="A2606" s="6" t="s">
        <v>2606</v>
      </c>
      <c r="B2606">
        <v>38558662</v>
      </c>
      <c r="C2606" s="3">
        <v>4</v>
      </c>
      <c r="D2606" s="5" t="str">
        <f t="shared" si="91"/>
        <v>04</v>
      </c>
      <c r="E2606" t="str">
        <f>VLOOKUP(B2606,'HOGARES-BASELINE'!$B:$I,8,FALSE)</f>
        <v>00020754</v>
      </c>
      <c r="F2606" s="6" t="str">
        <f t="shared" si="90"/>
        <v>0002075404</v>
      </c>
    </row>
    <row r="2607" spans="1:6" x14ac:dyDescent="0.3">
      <c r="A2607" s="6" t="s">
        <v>2607</v>
      </c>
      <c r="B2607">
        <v>38558662</v>
      </c>
      <c r="C2607" s="3">
        <v>2</v>
      </c>
      <c r="D2607" s="5" t="str">
        <f t="shared" si="91"/>
        <v>02</v>
      </c>
      <c r="E2607" t="str">
        <f>VLOOKUP(B2607,'HOGARES-BASELINE'!$B:$I,8,FALSE)</f>
        <v>00020754</v>
      </c>
      <c r="F2607" s="6" t="str">
        <f t="shared" si="90"/>
        <v>0002075402</v>
      </c>
    </row>
    <row r="2608" spans="1:6" x14ac:dyDescent="0.3">
      <c r="A2608" s="6" t="s">
        <v>2608</v>
      </c>
      <c r="B2608">
        <v>38558662</v>
      </c>
      <c r="C2608" s="3">
        <v>1</v>
      </c>
      <c r="D2608" s="5" t="str">
        <f t="shared" si="91"/>
        <v>01</v>
      </c>
      <c r="E2608" t="str">
        <f>VLOOKUP(B2608,'HOGARES-BASELINE'!$B:$I,8,FALSE)</f>
        <v>00020754</v>
      </c>
      <c r="F2608" s="6" t="str">
        <f t="shared" si="90"/>
        <v>0002075401</v>
      </c>
    </row>
    <row r="2609" spans="1:6" x14ac:dyDescent="0.3">
      <c r="A2609" s="6" t="s">
        <v>2609</v>
      </c>
      <c r="B2609">
        <v>38558662</v>
      </c>
      <c r="C2609" s="3">
        <v>3</v>
      </c>
      <c r="D2609" s="5" t="str">
        <f t="shared" si="91"/>
        <v>03</v>
      </c>
      <c r="E2609" t="str">
        <f>VLOOKUP(B2609,'HOGARES-BASELINE'!$B:$I,8,FALSE)</f>
        <v>00020754</v>
      </c>
      <c r="F2609" s="6" t="str">
        <f t="shared" si="90"/>
        <v>0002075403</v>
      </c>
    </row>
    <row r="2610" spans="1:6" x14ac:dyDescent="0.3">
      <c r="A2610" s="6" t="s">
        <v>2610</v>
      </c>
      <c r="B2610">
        <v>38561325</v>
      </c>
      <c r="C2610" s="3">
        <v>2</v>
      </c>
      <c r="D2610" s="5" t="str">
        <f t="shared" si="91"/>
        <v>02</v>
      </c>
      <c r="E2610" t="str">
        <f>VLOOKUP(B2610,'HOGARES-BASELINE'!$B:$I,8,FALSE)</f>
        <v>00020755</v>
      </c>
      <c r="F2610" s="6" t="str">
        <f t="shared" si="90"/>
        <v>0002075502</v>
      </c>
    </row>
    <row r="2611" spans="1:6" x14ac:dyDescent="0.3">
      <c r="A2611" s="6" t="s">
        <v>2611</v>
      </c>
      <c r="B2611">
        <v>38561325</v>
      </c>
      <c r="C2611" s="3">
        <v>1</v>
      </c>
      <c r="D2611" s="5" t="str">
        <f t="shared" si="91"/>
        <v>01</v>
      </c>
      <c r="E2611" t="str">
        <f>VLOOKUP(B2611,'HOGARES-BASELINE'!$B:$I,8,FALSE)</f>
        <v>00020755</v>
      </c>
      <c r="F2611" s="6" t="str">
        <f t="shared" si="90"/>
        <v>0002075501</v>
      </c>
    </row>
    <row r="2612" spans="1:6" x14ac:dyDescent="0.3">
      <c r="A2612" s="6" t="s">
        <v>2612</v>
      </c>
      <c r="B2612">
        <v>38561325</v>
      </c>
      <c r="C2612" s="3">
        <v>3</v>
      </c>
      <c r="D2612" s="5" t="str">
        <f t="shared" si="91"/>
        <v>03</v>
      </c>
      <c r="E2612" t="str">
        <f>VLOOKUP(B2612,'HOGARES-BASELINE'!$B:$I,8,FALSE)</f>
        <v>00020755</v>
      </c>
      <c r="F2612" s="6" t="str">
        <f t="shared" si="90"/>
        <v>0002075503</v>
      </c>
    </row>
    <row r="2613" spans="1:6" x14ac:dyDescent="0.3">
      <c r="A2613" s="6" t="s">
        <v>2613</v>
      </c>
      <c r="B2613">
        <v>38567213</v>
      </c>
      <c r="C2613" s="3">
        <v>2</v>
      </c>
      <c r="D2613" s="5" t="str">
        <f t="shared" si="91"/>
        <v>02</v>
      </c>
      <c r="E2613" t="str">
        <f>VLOOKUP(B2613,'HOGARES-BASELINE'!$B:$I,8,FALSE)</f>
        <v>00020756</v>
      </c>
      <c r="F2613" s="6" t="str">
        <f t="shared" si="90"/>
        <v>0002075602</v>
      </c>
    </row>
    <row r="2614" spans="1:6" x14ac:dyDescent="0.3">
      <c r="A2614" s="6" t="s">
        <v>2614</v>
      </c>
      <c r="B2614">
        <v>38567213</v>
      </c>
      <c r="C2614" s="3">
        <v>1</v>
      </c>
      <c r="D2614" s="5" t="str">
        <f t="shared" si="91"/>
        <v>01</v>
      </c>
      <c r="E2614" t="str">
        <f>VLOOKUP(B2614,'HOGARES-BASELINE'!$B:$I,8,FALSE)</f>
        <v>00020756</v>
      </c>
      <c r="F2614" s="6" t="str">
        <f t="shared" si="90"/>
        <v>0002075601</v>
      </c>
    </row>
    <row r="2615" spans="1:6" x14ac:dyDescent="0.3">
      <c r="A2615" s="6" t="s">
        <v>2615</v>
      </c>
      <c r="B2615">
        <v>38601290</v>
      </c>
      <c r="C2615" s="3">
        <v>2</v>
      </c>
      <c r="D2615" s="5" t="str">
        <f t="shared" si="91"/>
        <v>02</v>
      </c>
      <c r="E2615" t="str">
        <f>VLOOKUP(B2615,'HOGARES-BASELINE'!$B:$I,8,FALSE)</f>
        <v>01020757</v>
      </c>
      <c r="F2615" s="6" t="str">
        <f t="shared" si="90"/>
        <v>0102075702</v>
      </c>
    </row>
    <row r="2616" spans="1:6" x14ac:dyDescent="0.3">
      <c r="A2616" s="6" t="s">
        <v>2616</v>
      </c>
      <c r="B2616">
        <v>38601290</v>
      </c>
      <c r="C2616" s="3">
        <v>1</v>
      </c>
      <c r="D2616" s="5" t="str">
        <f t="shared" si="91"/>
        <v>01</v>
      </c>
      <c r="E2616" t="str">
        <f>VLOOKUP(B2616,'HOGARES-BASELINE'!$B:$I,8,FALSE)</f>
        <v>01020757</v>
      </c>
      <c r="F2616" s="6" t="str">
        <f t="shared" si="90"/>
        <v>0102075701</v>
      </c>
    </row>
    <row r="2617" spans="1:6" x14ac:dyDescent="0.3">
      <c r="A2617" s="6" t="s">
        <v>2617</v>
      </c>
      <c r="B2617">
        <v>38604490</v>
      </c>
      <c r="C2617" s="3">
        <v>2</v>
      </c>
      <c r="D2617" s="5" t="str">
        <f t="shared" si="91"/>
        <v>02</v>
      </c>
      <c r="E2617" t="str">
        <f>VLOOKUP(B2617,'HOGARES-BASELINE'!$B:$I,8,FALSE)</f>
        <v>00020758</v>
      </c>
      <c r="F2617" s="6" t="str">
        <f t="shared" si="90"/>
        <v>0002075802</v>
      </c>
    </row>
    <row r="2618" spans="1:6" x14ac:dyDescent="0.3">
      <c r="A2618" s="6" t="s">
        <v>2618</v>
      </c>
      <c r="B2618">
        <v>38604490</v>
      </c>
      <c r="C2618" s="3">
        <v>1</v>
      </c>
      <c r="D2618" s="5" t="str">
        <f t="shared" si="91"/>
        <v>01</v>
      </c>
      <c r="E2618" t="str">
        <f>VLOOKUP(B2618,'HOGARES-BASELINE'!$B:$I,8,FALSE)</f>
        <v>00020758</v>
      </c>
      <c r="F2618" s="6" t="str">
        <f t="shared" si="90"/>
        <v>0002075801</v>
      </c>
    </row>
    <row r="2619" spans="1:6" x14ac:dyDescent="0.3">
      <c r="A2619" s="6" t="s">
        <v>2619</v>
      </c>
      <c r="B2619">
        <v>38641010</v>
      </c>
      <c r="C2619" s="3">
        <v>3</v>
      </c>
      <c r="D2619" s="5" t="str">
        <f t="shared" si="91"/>
        <v>03</v>
      </c>
      <c r="E2619" t="str">
        <f>VLOOKUP(B2619,'HOGARES-BASELINE'!$B:$I,8,FALSE)</f>
        <v>00020759</v>
      </c>
      <c r="F2619" s="6" t="str">
        <f t="shared" si="90"/>
        <v>0002075903</v>
      </c>
    </row>
    <row r="2620" spans="1:6" x14ac:dyDescent="0.3">
      <c r="A2620" s="6" t="s">
        <v>2620</v>
      </c>
      <c r="B2620">
        <v>38641010</v>
      </c>
      <c r="C2620" s="3">
        <v>1</v>
      </c>
      <c r="D2620" s="5" t="str">
        <f t="shared" si="91"/>
        <v>01</v>
      </c>
      <c r="E2620" t="str">
        <f>VLOOKUP(B2620,'HOGARES-BASELINE'!$B:$I,8,FALSE)</f>
        <v>00020759</v>
      </c>
      <c r="F2620" s="6" t="str">
        <f t="shared" si="90"/>
        <v>0002075901</v>
      </c>
    </row>
    <row r="2621" spans="1:6" x14ac:dyDescent="0.3">
      <c r="A2621" s="6" t="s">
        <v>2621</v>
      </c>
      <c r="B2621">
        <v>38641010</v>
      </c>
      <c r="C2621" s="3">
        <v>2</v>
      </c>
      <c r="D2621" s="5" t="str">
        <f t="shared" si="91"/>
        <v>02</v>
      </c>
      <c r="E2621" t="str">
        <f>VLOOKUP(B2621,'HOGARES-BASELINE'!$B:$I,8,FALSE)</f>
        <v>00020759</v>
      </c>
      <c r="F2621" s="6" t="str">
        <f t="shared" si="90"/>
        <v>0002075902</v>
      </c>
    </row>
    <row r="2622" spans="1:6" x14ac:dyDescent="0.3">
      <c r="A2622" s="6" t="s">
        <v>2622</v>
      </c>
      <c r="B2622">
        <v>38642608</v>
      </c>
      <c r="C2622" s="3">
        <v>1</v>
      </c>
      <c r="D2622" s="5" t="str">
        <f t="shared" si="91"/>
        <v>01</v>
      </c>
      <c r="E2622" t="str">
        <f>VLOOKUP(B2622,'HOGARES-BASELINE'!$B:$I,8,FALSE)</f>
        <v>01020760</v>
      </c>
      <c r="F2622" s="6" t="str">
        <f t="shared" si="90"/>
        <v>0102076001</v>
      </c>
    </row>
    <row r="2623" spans="1:6" x14ac:dyDescent="0.3">
      <c r="A2623" s="6" t="s">
        <v>2623</v>
      </c>
      <c r="B2623">
        <v>38642608</v>
      </c>
      <c r="C2623" s="3">
        <v>4</v>
      </c>
      <c r="D2623" s="5" t="str">
        <f t="shared" si="91"/>
        <v>04</v>
      </c>
      <c r="E2623" t="str">
        <f>VLOOKUP(B2623,'HOGARES-BASELINE'!$B:$I,8,FALSE)</f>
        <v>01020760</v>
      </c>
      <c r="F2623" s="6" t="str">
        <f t="shared" si="90"/>
        <v>0102076004</v>
      </c>
    </row>
    <row r="2624" spans="1:6" x14ac:dyDescent="0.3">
      <c r="A2624" s="6" t="s">
        <v>2624</v>
      </c>
      <c r="B2624">
        <v>38642608</v>
      </c>
      <c r="C2624" s="3">
        <v>3</v>
      </c>
      <c r="D2624" s="5" t="str">
        <f t="shared" si="91"/>
        <v>03</v>
      </c>
      <c r="E2624" t="str">
        <f>VLOOKUP(B2624,'HOGARES-BASELINE'!$B:$I,8,FALSE)</f>
        <v>01020760</v>
      </c>
      <c r="F2624" s="6" t="str">
        <f t="shared" si="90"/>
        <v>0102076003</v>
      </c>
    </row>
    <row r="2625" spans="1:6" x14ac:dyDescent="0.3">
      <c r="A2625" s="6" t="s">
        <v>2625</v>
      </c>
      <c r="B2625">
        <v>38642608</v>
      </c>
      <c r="C2625" s="3">
        <v>2</v>
      </c>
      <c r="D2625" s="5" t="str">
        <f t="shared" si="91"/>
        <v>02</v>
      </c>
      <c r="E2625" t="str">
        <f>VLOOKUP(B2625,'HOGARES-BASELINE'!$B:$I,8,FALSE)</f>
        <v>01020760</v>
      </c>
      <c r="F2625" s="6" t="str">
        <f t="shared" si="90"/>
        <v>0102076002</v>
      </c>
    </row>
    <row r="2626" spans="1:6" x14ac:dyDescent="0.3">
      <c r="A2626" s="6" t="s">
        <v>2626</v>
      </c>
      <c r="B2626">
        <v>38642608</v>
      </c>
      <c r="C2626" s="3">
        <v>5</v>
      </c>
      <c r="D2626" s="5" t="str">
        <f t="shared" si="91"/>
        <v>05</v>
      </c>
      <c r="E2626" t="str">
        <f>VLOOKUP(B2626,'HOGARES-BASELINE'!$B:$I,8,FALSE)</f>
        <v>01020760</v>
      </c>
      <c r="F2626" s="6" t="str">
        <f t="shared" si="90"/>
        <v>0102076005</v>
      </c>
    </row>
    <row r="2627" spans="1:6" x14ac:dyDescent="0.3">
      <c r="A2627" s="6" t="s">
        <v>2627</v>
      </c>
      <c r="B2627">
        <v>38665695</v>
      </c>
      <c r="C2627" s="3">
        <v>4</v>
      </c>
      <c r="D2627" s="5" t="str">
        <f t="shared" si="91"/>
        <v>04</v>
      </c>
      <c r="E2627" t="str">
        <f>VLOOKUP(B2627,'HOGARES-BASELINE'!$B:$I,8,FALSE)</f>
        <v>01020761</v>
      </c>
      <c r="F2627" s="6" t="str">
        <f t="shared" ref="F2627:F2690" si="92">_xlfn.CONCAT(E2627,D2627)</f>
        <v>0102076104</v>
      </c>
    </row>
    <row r="2628" spans="1:6" x14ac:dyDescent="0.3">
      <c r="A2628" s="6" t="s">
        <v>2628</v>
      </c>
      <c r="B2628">
        <v>38665695</v>
      </c>
      <c r="C2628" s="3">
        <v>3</v>
      </c>
      <c r="D2628" s="5" t="str">
        <f t="shared" si="91"/>
        <v>03</v>
      </c>
      <c r="E2628" t="str">
        <f>VLOOKUP(B2628,'HOGARES-BASELINE'!$B:$I,8,FALSE)</f>
        <v>01020761</v>
      </c>
      <c r="F2628" s="6" t="str">
        <f t="shared" si="92"/>
        <v>0102076103</v>
      </c>
    </row>
    <row r="2629" spans="1:6" x14ac:dyDescent="0.3">
      <c r="A2629" s="6" t="s">
        <v>2629</v>
      </c>
      <c r="B2629">
        <v>38665695</v>
      </c>
      <c r="C2629" s="3">
        <v>2</v>
      </c>
      <c r="D2629" s="5" t="str">
        <f t="shared" si="91"/>
        <v>02</v>
      </c>
      <c r="E2629" t="str">
        <f>VLOOKUP(B2629,'HOGARES-BASELINE'!$B:$I,8,FALSE)</f>
        <v>01020761</v>
      </c>
      <c r="F2629" s="6" t="str">
        <f t="shared" si="92"/>
        <v>0102076102</v>
      </c>
    </row>
    <row r="2630" spans="1:6" x14ac:dyDescent="0.3">
      <c r="A2630" s="6" t="s">
        <v>2630</v>
      </c>
      <c r="B2630">
        <v>38665695</v>
      </c>
      <c r="C2630" s="3">
        <v>1</v>
      </c>
      <c r="D2630" s="5" t="str">
        <f t="shared" si="91"/>
        <v>01</v>
      </c>
      <c r="E2630" t="str">
        <f>VLOOKUP(B2630,'HOGARES-BASELINE'!$B:$I,8,FALSE)</f>
        <v>01020761</v>
      </c>
      <c r="F2630" s="6" t="str">
        <f t="shared" si="92"/>
        <v>0102076101</v>
      </c>
    </row>
    <row r="2631" spans="1:6" x14ac:dyDescent="0.3">
      <c r="A2631" s="6" t="s">
        <v>2631</v>
      </c>
      <c r="B2631">
        <v>38667116</v>
      </c>
      <c r="C2631" s="3">
        <v>1</v>
      </c>
      <c r="D2631" s="5" t="str">
        <f t="shared" si="91"/>
        <v>01</v>
      </c>
      <c r="E2631" t="str">
        <f>VLOOKUP(B2631,'HOGARES-BASELINE'!$B:$I,8,FALSE)</f>
        <v>00020762</v>
      </c>
      <c r="F2631" s="6" t="str">
        <f t="shared" si="92"/>
        <v>0002076201</v>
      </c>
    </row>
    <row r="2632" spans="1:6" x14ac:dyDescent="0.3">
      <c r="A2632" s="6" t="s">
        <v>2632</v>
      </c>
      <c r="B2632">
        <v>38667116</v>
      </c>
      <c r="C2632" s="3">
        <v>2</v>
      </c>
      <c r="D2632" s="5" t="str">
        <f t="shared" si="91"/>
        <v>02</v>
      </c>
      <c r="E2632" t="str">
        <f>VLOOKUP(B2632,'HOGARES-BASELINE'!$B:$I,8,FALSE)</f>
        <v>00020762</v>
      </c>
      <c r="F2632" s="6" t="str">
        <f t="shared" si="92"/>
        <v>0002076202</v>
      </c>
    </row>
    <row r="2633" spans="1:6" x14ac:dyDescent="0.3">
      <c r="A2633" s="6" t="s">
        <v>2633</v>
      </c>
      <c r="B2633">
        <v>38667116</v>
      </c>
      <c r="C2633" s="3">
        <v>3</v>
      </c>
      <c r="D2633" s="5" t="str">
        <f t="shared" si="91"/>
        <v>03</v>
      </c>
      <c r="E2633" t="str">
        <f>VLOOKUP(B2633,'HOGARES-BASELINE'!$B:$I,8,FALSE)</f>
        <v>00020762</v>
      </c>
      <c r="F2633" s="6" t="str">
        <f t="shared" si="92"/>
        <v>0002076203</v>
      </c>
    </row>
    <row r="2634" spans="1:6" x14ac:dyDescent="0.3">
      <c r="A2634" s="6" t="s">
        <v>2634</v>
      </c>
      <c r="B2634">
        <v>38667243</v>
      </c>
      <c r="C2634" s="3">
        <v>2</v>
      </c>
      <c r="D2634" s="5" t="str">
        <f t="shared" si="91"/>
        <v>02</v>
      </c>
      <c r="E2634" t="str">
        <f>VLOOKUP(B2634,'HOGARES-BASELINE'!$B:$I,8,FALSE)</f>
        <v>00020763</v>
      </c>
      <c r="F2634" s="6" t="str">
        <f t="shared" si="92"/>
        <v>0002076302</v>
      </c>
    </row>
    <row r="2635" spans="1:6" x14ac:dyDescent="0.3">
      <c r="A2635" s="6" t="s">
        <v>2635</v>
      </c>
      <c r="B2635">
        <v>38667243</v>
      </c>
      <c r="C2635" s="3">
        <v>4</v>
      </c>
      <c r="D2635" s="5" t="str">
        <f t="shared" si="91"/>
        <v>04</v>
      </c>
      <c r="E2635" t="str">
        <f>VLOOKUP(B2635,'HOGARES-BASELINE'!$B:$I,8,FALSE)</f>
        <v>00020763</v>
      </c>
      <c r="F2635" s="6" t="str">
        <f t="shared" si="92"/>
        <v>0002076304</v>
      </c>
    </row>
    <row r="2636" spans="1:6" x14ac:dyDescent="0.3">
      <c r="A2636" s="6" t="s">
        <v>2636</v>
      </c>
      <c r="B2636">
        <v>38667243</v>
      </c>
      <c r="C2636" s="3">
        <v>1</v>
      </c>
      <c r="D2636" s="5" t="str">
        <f t="shared" si="91"/>
        <v>01</v>
      </c>
      <c r="E2636" t="str">
        <f>VLOOKUP(B2636,'HOGARES-BASELINE'!$B:$I,8,FALSE)</f>
        <v>00020763</v>
      </c>
      <c r="F2636" s="6" t="str">
        <f t="shared" si="92"/>
        <v>0002076301</v>
      </c>
    </row>
    <row r="2637" spans="1:6" x14ac:dyDescent="0.3">
      <c r="A2637" s="6" t="s">
        <v>2637</v>
      </c>
      <c r="B2637">
        <v>38667243</v>
      </c>
      <c r="C2637" s="3">
        <v>3</v>
      </c>
      <c r="D2637" s="5" t="str">
        <f t="shared" si="91"/>
        <v>03</v>
      </c>
      <c r="E2637" t="str">
        <f>VLOOKUP(B2637,'HOGARES-BASELINE'!$B:$I,8,FALSE)</f>
        <v>00020763</v>
      </c>
      <c r="F2637" s="6" t="str">
        <f t="shared" si="92"/>
        <v>0002076303</v>
      </c>
    </row>
    <row r="2638" spans="1:6" x14ac:dyDescent="0.3">
      <c r="A2638" s="6" t="s">
        <v>2638</v>
      </c>
      <c r="B2638">
        <v>38668909</v>
      </c>
      <c r="C2638" s="3">
        <v>4</v>
      </c>
      <c r="D2638" s="5" t="str">
        <f t="shared" si="91"/>
        <v>04</v>
      </c>
      <c r="E2638" t="str">
        <f>VLOOKUP(B2638,'HOGARES-BASELINE'!$B:$I,8,FALSE)</f>
        <v>01020764</v>
      </c>
      <c r="F2638" s="6" t="str">
        <f t="shared" si="92"/>
        <v>0102076404</v>
      </c>
    </row>
    <row r="2639" spans="1:6" x14ac:dyDescent="0.3">
      <c r="A2639" s="6" t="s">
        <v>2639</v>
      </c>
      <c r="B2639">
        <v>38668909</v>
      </c>
      <c r="C2639" s="3">
        <v>2</v>
      </c>
      <c r="D2639" s="5" t="str">
        <f t="shared" si="91"/>
        <v>02</v>
      </c>
      <c r="E2639" t="str">
        <f>VLOOKUP(B2639,'HOGARES-BASELINE'!$B:$I,8,FALSE)</f>
        <v>01020764</v>
      </c>
      <c r="F2639" s="6" t="str">
        <f t="shared" si="92"/>
        <v>0102076402</v>
      </c>
    </row>
    <row r="2640" spans="1:6" x14ac:dyDescent="0.3">
      <c r="A2640" s="6" t="s">
        <v>2640</v>
      </c>
      <c r="B2640">
        <v>38668909</v>
      </c>
      <c r="C2640" s="3">
        <v>1</v>
      </c>
      <c r="D2640" s="5" t="str">
        <f t="shared" si="91"/>
        <v>01</v>
      </c>
      <c r="E2640" t="str">
        <f>VLOOKUP(B2640,'HOGARES-BASELINE'!$B:$I,8,FALSE)</f>
        <v>01020764</v>
      </c>
      <c r="F2640" s="6" t="str">
        <f t="shared" si="92"/>
        <v>0102076401</v>
      </c>
    </row>
    <row r="2641" spans="1:6" x14ac:dyDescent="0.3">
      <c r="A2641" s="6" t="s">
        <v>2641</v>
      </c>
      <c r="B2641">
        <v>38668909</v>
      </c>
      <c r="C2641" s="3">
        <v>3</v>
      </c>
      <c r="D2641" s="5" t="str">
        <f t="shared" si="91"/>
        <v>03</v>
      </c>
      <c r="E2641" t="str">
        <f>VLOOKUP(B2641,'HOGARES-BASELINE'!$B:$I,8,FALSE)</f>
        <v>01020764</v>
      </c>
      <c r="F2641" s="6" t="str">
        <f t="shared" si="92"/>
        <v>0102076403</v>
      </c>
    </row>
    <row r="2642" spans="1:6" x14ac:dyDescent="0.3">
      <c r="A2642" s="6" t="s">
        <v>2642</v>
      </c>
      <c r="B2642">
        <v>38669358</v>
      </c>
      <c r="C2642" s="3">
        <v>3</v>
      </c>
      <c r="D2642" s="5" t="str">
        <f t="shared" si="91"/>
        <v>03</v>
      </c>
      <c r="E2642" t="str">
        <f>VLOOKUP(B2642,'HOGARES-BASELINE'!$B:$I,8,FALSE)</f>
        <v>00020765</v>
      </c>
      <c r="F2642" s="6" t="str">
        <f t="shared" si="92"/>
        <v>0002076503</v>
      </c>
    </row>
    <row r="2643" spans="1:6" x14ac:dyDescent="0.3">
      <c r="A2643" s="6" t="s">
        <v>2643</v>
      </c>
      <c r="B2643">
        <v>38669358</v>
      </c>
      <c r="C2643" s="3">
        <v>1</v>
      </c>
      <c r="D2643" s="5" t="str">
        <f t="shared" si="91"/>
        <v>01</v>
      </c>
      <c r="E2643" t="str">
        <f>VLOOKUP(B2643,'HOGARES-BASELINE'!$B:$I,8,FALSE)</f>
        <v>00020765</v>
      </c>
      <c r="F2643" s="6" t="str">
        <f t="shared" si="92"/>
        <v>0002076501</v>
      </c>
    </row>
    <row r="2644" spans="1:6" x14ac:dyDescent="0.3">
      <c r="A2644" s="6" t="s">
        <v>2644</v>
      </c>
      <c r="B2644">
        <v>38669358</v>
      </c>
      <c r="C2644" s="3">
        <v>2</v>
      </c>
      <c r="D2644" s="5" t="str">
        <f t="shared" si="91"/>
        <v>02</v>
      </c>
      <c r="E2644" t="str">
        <f>VLOOKUP(B2644,'HOGARES-BASELINE'!$B:$I,8,FALSE)</f>
        <v>00020765</v>
      </c>
      <c r="F2644" s="6" t="str">
        <f t="shared" si="92"/>
        <v>0002076502</v>
      </c>
    </row>
    <row r="2645" spans="1:6" x14ac:dyDescent="0.3">
      <c r="A2645" s="6" t="s">
        <v>2645</v>
      </c>
      <c r="B2645">
        <v>38671487</v>
      </c>
      <c r="C2645" s="3">
        <v>2</v>
      </c>
      <c r="D2645" s="5" t="str">
        <f t="shared" si="91"/>
        <v>02</v>
      </c>
      <c r="E2645" t="str">
        <f>VLOOKUP(B2645,'HOGARES-BASELINE'!$B:$I,8,FALSE)</f>
        <v>01020766</v>
      </c>
      <c r="F2645" s="6" t="str">
        <f t="shared" si="92"/>
        <v>0102076602</v>
      </c>
    </row>
    <row r="2646" spans="1:6" x14ac:dyDescent="0.3">
      <c r="A2646" s="6" t="s">
        <v>2646</v>
      </c>
      <c r="B2646">
        <v>38671487</v>
      </c>
      <c r="C2646" s="3">
        <v>4</v>
      </c>
      <c r="D2646" s="5" t="str">
        <f t="shared" si="91"/>
        <v>04</v>
      </c>
      <c r="E2646" t="str">
        <f>VLOOKUP(B2646,'HOGARES-BASELINE'!$B:$I,8,FALSE)</f>
        <v>01020766</v>
      </c>
      <c r="F2646" s="6" t="str">
        <f t="shared" si="92"/>
        <v>0102076604</v>
      </c>
    </row>
    <row r="2647" spans="1:6" x14ac:dyDescent="0.3">
      <c r="A2647" s="6" t="s">
        <v>2647</v>
      </c>
      <c r="B2647">
        <v>38671487</v>
      </c>
      <c r="C2647" s="3">
        <v>3</v>
      </c>
      <c r="D2647" s="5" t="str">
        <f t="shared" si="91"/>
        <v>03</v>
      </c>
      <c r="E2647" t="str">
        <f>VLOOKUP(B2647,'HOGARES-BASELINE'!$B:$I,8,FALSE)</f>
        <v>01020766</v>
      </c>
      <c r="F2647" s="6" t="str">
        <f t="shared" si="92"/>
        <v>0102076603</v>
      </c>
    </row>
    <row r="2648" spans="1:6" x14ac:dyDescent="0.3">
      <c r="A2648" s="6" t="s">
        <v>2648</v>
      </c>
      <c r="B2648">
        <v>38671487</v>
      </c>
      <c r="C2648" s="3">
        <v>1</v>
      </c>
      <c r="D2648" s="5" t="str">
        <f t="shared" si="91"/>
        <v>01</v>
      </c>
      <c r="E2648" t="str">
        <f>VLOOKUP(B2648,'HOGARES-BASELINE'!$B:$I,8,FALSE)</f>
        <v>01020766</v>
      </c>
      <c r="F2648" s="6" t="str">
        <f t="shared" si="92"/>
        <v>0102076601</v>
      </c>
    </row>
    <row r="2649" spans="1:6" x14ac:dyDescent="0.3">
      <c r="A2649" s="6" t="s">
        <v>2649</v>
      </c>
      <c r="B2649">
        <v>38892442</v>
      </c>
      <c r="C2649" s="3">
        <v>3</v>
      </c>
      <c r="D2649" s="5" t="str">
        <f t="shared" si="91"/>
        <v>03</v>
      </c>
      <c r="E2649" t="str">
        <f>VLOOKUP(B2649,'HOGARES-BASELINE'!$B:$I,8,FALSE)</f>
        <v>00020767</v>
      </c>
      <c r="F2649" s="6" t="str">
        <f t="shared" si="92"/>
        <v>0002076703</v>
      </c>
    </row>
    <row r="2650" spans="1:6" x14ac:dyDescent="0.3">
      <c r="A2650" s="6" t="s">
        <v>2650</v>
      </c>
      <c r="B2650">
        <v>38892442</v>
      </c>
      <c r="C2650" s="3">
        <v>2</v>
      </c>
      <c r="D2650" s="5" t="str">
        <f t="shared" si="91"/>
        <v>02</v>
      </c>
      <c r="E2650" t="str">
        <f>VLOOKUP(B2650,'HOGARES-BASELINE'!$B:$I,8,FALSE)</f>
        <v>00020767</v>
      </c>
      <c r="F2650" s="6" t="str">
        <f t="shared" si="92"/>
        <v>0002076702</v>
      </c>
    </row>
    <row r="2651" spans="1:6" x14ac:dyDescent="0.3">
      <c r="A2651" s="6" t="s">
        <v>2651</v>
      </c>
      <c r="B2651">
        <v>38892442</v>
      </c>
      <c r="C2651" s="3">
        <v>4</v>
      </c>
      <c r="D2651" s="5" t="str">
        <f t="shared" si="91"/>
        <v>04</v>
      </c>
      <c r="E2651" t="str">
        <f>VLOOKUP(B2651,'HOGARES-BASELINE'!$B:$I,8,FALSE)</f>
        <v>00020767</v>
      </c>
      <c r="F2651" s="6" t="str">
        <f t="shared" si="92"/>
        <v>0002076704</v>
      </c>
    </row>
    <row r="2652" spans="1:6" x14ac:dyDescent="0.3">
      <c r="A2652" s="6" t="s">
        <v>2652</v>
      </c>
      <c r="B2652">
        <v>38892442</v>
      </c>
      <c r="C2652" s="3">
        <v>1</v>
      </c>
      <c r="D2652" s="5" t="str">
        <f t="shared" si="91"/>
        <v>01</v>
      </c>
      <c r="E2652" t="str">
        <f>VLOOKUP(B2652,'HOGARES-BASELINE'!$B:$I,8,FALSE)</f>
        <v>00020767</v>
      </c>
      <c r="F2652" s="6" t="str">
        <f t="shared" si="92"/>
        <v>0002076701</v>
      </c>
    </row>
    <row r="2653" spans="1:6" x14ac:dyDescent="0.3">
      <c r="A2653" s="6" t="s">
        <v>2653</v>
      </c>
      <c r="B2653">
        <v>38941394</v>
      </c>
      <c r="C2653" s="3">
        <v>1</v>
      </c>
      <c r="D2653" s="5" t="str">
        <f t="shared" si="91"/>
        <v>01</v>
      </c>
      <c r="E2653" t="str">
        <f>VLOOKUP(B2653,'HOGARES-BASELINE'!$B:$I,8,FALSE)</f>
        <v>00020768</v>
      </c>
      <c r="F2653" s="6" t="str">
        <f t="shared" si="92"/>
        <v>0002076801</v>
      </c>
    </row>
    <row r="2654" spans="1:6" x14ac:dyDescent="0.3">
      <c r="A2654" s="6" t="s">
        <v>2654</v>
      </c>
      <c r="B2654">
        <v>38941394</v>
      </c>
      <c r="C2654" s="3">
        <v>2</v>
      </c>
      <c r="D2654" s="5" t="str">
        <f t="shared" si="91"/>
        <v>02</v>
      </c>
      <c r="E2654" t="str">
        <f>VLOOKUP(B2654,'HOGARES-BASELINE'!$B:$I,8,FALSE)</f>
        <v>00020768</v>
      </c>
      <c r="F2654" s="6" t="str">
        <f t="shared" si="92"/>
        <v>0002076802</v>
      </c>
    </row>
    <row r="2655" spans="1:6" x14ac:dyDescent="0.3">
      <c r="A2655" s="6" t="s">
        <v>2655</v>
      </c>
      <c r="B2655">
        <v>38942002</v>
      </c>
      <c r="C2655" s="3">
        <v>3</v>
      </c>
      <c r="D2655" s="5" t="str">
        <f t="shared" si="91"/>
        <v>03</v>
      </c>
      <c r="E2655" t="str">
        <f>VLOOKUP(B2655,'HOGARES-BASELINE'!$B:$I,8,FALSE)</f>
        <v>00020769</v>
      </c>
      <c r="F2655" s="6" t="str">
        <f t="shared" si="92"/>
        <v>0002076903</v>
      </c>
    </row>
    <row r="2656" spans="1:6" x14ac:dyDescent="0.3">
      <c r="A2656" s="6" t="s">
        <v>2656</v>
      </c>
      <c r="B2656">
        <v>38942002</v>
      </c>
      <c r="C2656" s="3">
        <v>2</v>
      </c>
      <c r="D2656" s="5" t="str">
        <f t="shared" si="91"/>
        <v>02</v>
      </c>
      <c r="E2656" t="str">
        <f>VLOOKUP(B2656,'HOGARES-BASELINE'!$B:$I,8,FALSE)</f>
        <v>00020769</v>
      </c>
      <c r="F2656" s="6" t="str">
        <f t="shared" si="92"/>
        <v>0002076902</v>
      </c>
    </row>
    <row r="2657" spans="1:6" x14ac:dyDescent="0.3">
      <c r="A2657" s="6" t="s">
        <v>2657</v>
      </c>
      <c r="B2657">
        <v>38942002</v>
      </c>
      <c r="C2657" s="3">
        <v>1</v>
      </c>
      <c r="D2657" s="5" t="str">
        <f t="shared" si="91"/>
        <v>01</v>
      </c>
      <c r="E2657" t="str">
        <f>VLOOKUP(B2657,'HOGARES-BASELINE'!$B:$I,8,FALSE)</f>
        <v>00020769</v>
      </c>
      <c r="F2657" s="6" t="str">
        <f t="shared" si="92"/>
        <v>0002076901</v>
      </c>
    </row>
    <row r="2658" spans="1:6" x14ac:dyDescent="0.3">
      <c r="A2658" s="6" t="s">
        <v>2658</v>
      </c>
      <c r="B2658">
        <v>38942002</v>
      </c>
      <c r="C2658" s="3">
        <v>4</v>
      </c>
      <c r="D2658" s="5" t="str">
        <f t="shared" si="91"/>
        <v>04</v>
      </c>
      <c r="E2658" t="str">
        <f>VLOOKUP(B2658,'HOGARES-BASELINE'!$B:$I,8,FALSE)</f>
        <v>00020769</v>
      </c>
      <c r="F2658" s="6" t="str">
        <f t="shared" si="92"/>
        <v>0002076904</v>
      </c>
    </row>
    <row r="2659" spans="1:6" x14ac:dyDescent="0.3">
      <c r="A2659" s="6" t="s">
        <v>2659</v>
      </c>
      <c r="B2659">
        <v>38942002</v>
      </c>
      <c r="C2659" s="3">
        <v>5</v>
      </c>
      <c r="D2659" s="5" t="str">
        <f t="shared" si="91"/>
        <v>05</v>
      </c>
      <c r="E2659" t="str">
        <f>VLOOKUP(B2659,'HOGARES-BASELINE'!$B:$I,8,FALSE)</f>
        <v>00020769</v>
      </c>
      <c r="F2659" s="6" t="str">
        <f t="shared" si="92"/>
        <v>0002076905</v>
      </c>
    </row>
    <row r="2660" spans="1:6" x14ac:dyDescent="0.3">
      <c r="A2660" s="6" t="s">
        <v>2660</v>
      </c>
      <c r="B2660">
        <v>38973256</v>
      </c>
      <c r="C2660" s="3">
        <v>1</v>
      </c>
      <c r="D2660" s="5" t="str">
        <f t="shared" si="91"/>
        <v>01</v>
      </c>
      <c r="E2660" t="str">
        <f>VLOOKUP(B2660,'HOGARES-BASELINE'!$B:$I,8,FALSE)</f>
        <v>01020770</v>
      </c>
      <c r="F2660" s="6" t="str">
        <f t="shared" si="92"/>
        <v>0102077001</v>
      </c>
    </row>
    <row r="2661" spans="1:6" x14ac:dyDescent="0.3">
      <c r="A2661" s="6" t="s">
        <v>2661</v>
      </c>
      <c r="B2661">
        <v>38973256</v>
      </c>
      <c r="C2661" s="3">
        <v>2</v>
      </c>
      <c r="D2661" s="5" t="str">
        <f t="shared" si="91"/>
        <v>02</v>
      </c>
      <c r="E2661" t="str">
        <f>VLOOKUP(B2661,'HOGARES-BASELINE'!$B:$I,8,FALSE)</f>
        <v>01020770</v>
      </c>
      <c r="F2661" s="6" t="str">
        <f t="shared" si="92"/>
        <v>0102077002</v>
      </c>
    </row>
    <row r="2662" spans="1:6" x14ac:dyDescent="0.3">
      <c r="A2662" s="6" t="s">
        <v>2662</v>
      </c>
      <c r="B2662">
        <v>38980483</v>
      </c>
      <c r="C2662" s="3">
        <v>4</v>
      </c>
      <c r="D2662" s="5" t="str">
        <f t="shared" si="91"/>
        <v>04</v>
      </c>
      <c r="E2662" t="str">
        <f>VLOOKUP(B2662,'HOGARES-BASELINE'!$B:$I,8,FALSE)</f>
        <v>00020771</v>
      </c>
      <c r="F2662" s="6" t="str">
        <f t="shared" si="92"/>
        <v>0002077104</v>
      </c>
    </row>
    <row r="2663" spans="1:6" x14ac:dyDescent="0.3">
      <c r="A2663" s="6" t="s">
        <v>2663</v>
      </c>
      <c r="B2663">
        <v>38980483</v>
      </c>
      <c r="C2663" s="3">
        <v>3</v>
      </c>
      <c r="D2663" s="5" t="str">
        <f t="shared" si="91"/>
        <v>03</v>
      </c>
      <c r="E2663" t="str">
        <f>VLOOKUP(B2663,'HOGARES-BASELINE'!$B:$I,8,FALSE)</f>
        <v>00020771</v>
      </c>
      <c r="F2663" s="6" t="str">
        <f t="shared" si="92"/>
        <v>0002077103</v>
      </c>
    </row>
    <row r="2664" spans="1:6" x14ac:dyDescent="0.3">
      <c r="A2664" s="6" t="s">
        <v>2664</v>
      </c>
      <c r="B2664">
        <v>38980483</v>
      </c>
      <c r="C2664" s="3">
        <v>2</v>
      </c>
      <c r="D2664" s="5" t="str">
        <f t="shared" si="91"/>
        <v>02</v>
      </c>
      <c r="E2664" t="str">
        <f>VLOOKUP(B2664,'HOGARES-BASELINE'!$B:$I,8,FALSE)</f>
        <v>00020771</v>
      </c>
      <c r="F2664" s="6" t="str">
        <f t="shared" si="92"/>
        <v>0002077102</v>
      </c>
    </row>
    <row r="2665" spans="1:6" x14ac:dyDescent="0.3">
      <c r="A2665" s="6" t="s">
        <v>2665</v>
      </c>
      <c r="B2665">
        <v>38980483</v>
      </c>
      <c r="C2665" s="3">
        <v>1</v>
      </c>
      <c r="D2665" s="5" t="str">
        <f t="shared" si="91"/>
        <v>01</v>
      </c>
      <c r="E2665" t="str">
        <f>VLOOKUP(B2665,'HOGARES-BASELINE'!$B:$I,8,FALSE)</f>
        <v>00020771</v>
      </c>
      <c r="F2665" s="6" t="str">
        <f t="shared" si="92"/>
        <v>0002077101</v>
      </c>
    </row>
    <row r="2666" spans="1:6" x14ac:dyDescent="0.3">
      <c r="A2666" s="6" t="s">
        <v>2666</v>
      </c>
      <c r="B2666">
        <v>38992016</v>
      </c>
      <c r="C2666" s="3">
        <v>1</v>
      </c>
      <c r="D2666" s="5" t="str">
        <f t="shared" si="91"/>
        <v>01</v>
      </c>
      <c r="E2666" t="str">
        <f>VLOOKUP(B2666,'HOGARES-BASELINE'!$B:$I,8,FALSE)</f>
        <v>01020772</v>
      </c>
      <c r="F2666" s="6" t="str">
        <f t="shared" si="92"/>
        <v>0102077201</v>
      </c>
    </row>
    <row r="2667" spans="1:6" x14ac:dyDescent="0.3">
      <c r="A2667" s="6" t="s">
        <v>2667</v>
      </c>
      <c r="B2667">
        <v>39177963</v>
      </c>
      <c r="C2667" s="3">
        <v>7</v>
      </c>
      <c r="D2667" s="5" t="str">
        <f t="shared" si="91"/>
        <v>07</v>
      </c>
      <c r="E2667" t="str">
        <f>VLOOKUP(B2667,'HOGARES-BASELINE'!$B:$I,8,FALSE)</f>
        <v>00010773</v>
      </c>
      <c r="F2667" s="6" t="str">
        <f t="shared" si="92"/>
        <v>0001077307</v>
      </c>
    </row>
    <row r="2668" spans="1:6" x14ac:dyDescent="0.3">
      <c r="A2668" s="6" t="s">
        <v>2668</v>
      </c>
      <c r="B2668">
        <v>39177963</v>
      </c>
      <c r="C2668" s="3">
        <v>2</v>
      </c>
      <c r="D2668" s="5" t="str">
        <f t="shared" ref="D2668:D2731" si="93">_xlfn.CONCAT(0,C2668)</f>
        <v>02</v>
      </c>
      <c r="E2668" t="str">
        <f>VLOOKUP(B2668,'HOGARES-BASELINE'!$B:$I,8,FALSE)</f>
        <v>00010773</v>
      </c>
      <c r="F2668" s="6" t="str">
        <f t="shared" si="92"/>
        <v>0001077302</v>
      </c>
    </row>
    <row r="2669" spans="1:6" x14ac:dyDescent="0.3">
      <c r="A2669" s="6" t="s">
        <v>2669</v>
      </c>
      <c r="B2669">
        <v>39177963</v>
      </c>
      <c r="C2669" s="3">
        <v>3</v>
      </c>
      <c r="D2669" s="5" t="str">
        <f t="shared" si="93"/>
        <v>03</v>
      </c>
      <c r="E2669" t="str">
        <f>VLOOKUP(B2669,'HOGARES-BASELINE'!$B:$I,8,FALSE)</f>
        <v>00010773</v>
      </c>
      <c r="F2669" s="6" t="str">
        <f t="shared" si="92"/>
        <v>0001077303</v>
      </c>
    </row>
    <row r="2670" spans="1:6" x14ac:dyDescent="0.3">
      <c r="A2670" s="6" t="s">
        <v>2670</v>
      </c>
      <c r="B2670">
        <v>39177963</v>
      </c>
      <c r="C2670" s="3">
        <v>4</v>
      </c>
      <c r="D2670" s="5" t="str">
        <f t="shared" si="93"/>
        <v>04</v>
      </c>
      <c r="E2670" t="str">
        <f>VLOOKUP(B2670,'HOGARES-BASELINE'!$B:$I,8,FALSE)</f>
        <v>00010773</v>
      </c>
      <c r="F2670" s="6" t="str">
        <f t="shared" si="92"/>
        <v>0001077304</v>
      </c>
    </row>
    <row r="2671" spans="1:6" x14ac:dyDescent="0.3">
      <c r="A2671" s="6" t="s">
        <v>2671</v>
      </c>
      <c r="B2671">
        <v>39177963</v>
      </c>
      <c r="C2671" s="3">
        <v>5</v>
      </c>
      <c r="D2671" s="5" t="str">
        <f t="shared" si="93"/>
        <v>05</v>
      </c>
      <c r="E2671" t="str">
        <f>VLOOKUP(B2671,'HOGARES-BASELINE'!$B:$I,8,FALSE)</f>
        <v>00010773</v>
      </c>
      <c r="F2671" s="6" t="str">
        <f t="shared" si="92"/>
        <v>0001077305</v>
      </c>
    </row>
    <row r="2672" spans="1:6" x14ac:dyDescent="0.3">
      <c r="A2672" s="6" t="s">
        <v>2672</v>
      </c>
      <c r="B2672">
        <v>39177963</v>
      </c>
      <c r="C2672" s="3">
        <v>1</v>
      </c>
      <c r="D2672" s="5" t="str">
        <f t="shared" si="93"/>
        <v>01</v>
      </c>
      <c r="E2672" t="str">
        <f>VLOOKUP(B2672,'HOGARES-BASELINE'!$B:$I,8,FALSE)</f>
        <v>00010773</v>
      </c>
      <c r="F2672" s="6" t="str">
        <f t="shared" si="92"/>
        <v>0001077301</v>
      </c>
    </row>
    <row r="2673" spans="1:6" x14ac:dyDescent="0.3">
      <c r="A2673" s="6" t="s">
        <v>2673</v>
      </c>
      <c r="B2673">
        <v>39177963</v>
      </c>
      <c r="C2673" s="3">
        <v>6</v>
      </c>
      <c r="D2673" s="5" t="str">
        <f t="shared" si="93"/>
        <v>06</v>
      </c>
      <c r="E2673" t="str">
        <f>VLOOKUP(B2673,'HOGARES-BASELINE'!$B:$I,8,FALSE)</f>
        <v>00010773</v>
      </c>
      <c r="F2673" s="6" t="str">
        <f t="shared" si="92"/>
        <v>0001077306</v>
      </c>
    </row>
    <row r="2674" spans="1:6" x14ac:dyDescent="0.3">
      <c r="A2674" s="6" t="s">
        <v>2674</v>
      </c>
      <c r="B2674">
        <v>39179753</v>
      </c>
      <c r="C2674" s="3">
        <v>2</v>
      </c>
      <c r="D2674" s="5" t="str">
        <f t="shared" si="93"/>
        <v>02</v>
      </c>
      <c r="E2674" t="str">
        <f>VLOOKUP(B2674,'HOGARES-BASELINE'!$B:$I,8,FALSE)</f>
        <v>00010774</v>
      </c>
      <c r="F2674" s="6" t="str">
        <f t="shared" si="92"/>
        <v>0001077402</v>
      </c>
    </row>
    <row r="2675" spans="1:6" x14ac:dyDescent="0.3">
      <c r="A2675" s="6" t="s">
        <v>2675</v>
      </c>
      <c r="B2675">
        <v>39179753</v>
      </c>
      <c r="C2675" s="3">
        <v>4</v>
      </c>
      <c r="D2675" s="5" t="str">
        <f t="shared" si="93"/>
        <v>04</v>
      </c>
      <c r="E2675" t="str">
        <f>VLOOKUP(B2675,'HOGARES-BASELINE'!$B:$I,8,FALSE)</f>
        <v>00010774</v>
      </c>
      <c r="F2675" s="6" t="str">
        <f t="shared" si="92"/>
        <v>0001077404</v>
      </c>
    </row>
    <row r="2676" spans="1:6" x14ac:dyDescent="0.3">
      <c r="A2676" s="6" t="s">
        <v>2676</v>
      </c>
      <c r="B2676">
        <v>39179753</v>
      </c>
      <c r="C2676" s="3">
        <v>6</v>
      </c>
      <c r="D2676" s="5" t="str">
        <f t="shared" si="93"/>
        <v>06</v>
      </c>
      <c r="E2676" t="str">
        <f>VLOOKUP(B2676,'HOGARES-BASELINE'!$B:$I,8,FALSE)</f>
        <v>00010774</v>
      </c>
      <c r="F2676" s="6" t="str">
        <f t="shared" si="92"/>
        <v>0001077406</v>
      </c>
    </row>
    <row r="2677" spans="1:6" x14ac:dyDescent="0.3">
      <c r="A2677" s="6" t="s">
        <v>2677</v>
      </c>
      <c r="B2677">
        <v>39179753</v>
      </c>
      <c r="C2677" s="3">
        <v>5</v>
      </c>
      <c r="D2677" s="5" t="str">
        <f t="shared" si="93"/>
        <v>05</v>
      </c>
      <c r="E2677" t="str">
        <f>VLOOKUP(B2677,'HOGARES-BASELINE'!$B:$I,8,FALSE)</f>
        <v>00010774</v>
      </c>
      <c r="F2677" s="6" t="str">
        <f t="shared" si="92"/>
        <v>0001077405</v>
      </c>
    </row>
    <row r="2678" spans="1:6" x14ac:dyDescent="0.3">
      <c r="A2678" s="6" t="s">
        <v>2678</v>
      </c>
      <c r="B2678">
        <v>39179753</v>
      </c>
      <c r="C2678" s="3">
        <v>3</v>
      </c>
      <c r="D2678" s="5" t="str">
        <f t="shared" si="93"/>
        <v>03</v>
      </c>
      <c r="E2678" t="str">
        <f>VLOOKUP(B2678,'HOGARES-BASELINE'!$B:$I,8,FALSE)</f>
        <v>00010774</v>
      </c>
      <c r="F2678" s="6" t="str">
        <f t="shared" si="92"/>
        <v>0001077403</v>
      </c>
    </row>
    <row r="2679" spans="1:6" x14ac:dyDescent="0.3">
      <c r="A2679" s="6" t="s">
        <v>2679</v>
      </c>
      <c r="B2679">
        <v>39179753</v>
      </c>
      <c r="C2679" s="3">
        <v>1</v>
      </c>
      <c r="D2679" s="5" t="str">
        <f t="shared" si="93"/>
        <v>01</v>
      </c>
      <c r="E2679" t="str">
        <f>VLOOKUP(B2679,'HOGARES-BASELINE'!$B:$I,8,FALSE)</f>
        <v>00010774</v>
      </c>
      <c r="F2679" s="6" t="str">
        <f t="shared" si="92"/>
        <v>0001077401</v>
      </c>
    </row>
    <row r="2680" spans="1:6" x14ac:dyDescent="0.3">
      <c r="A2680" s="6" t="s">
        <v>2680</v>
      </c>
      <c r="B2680">
        <v>39268214</v>
      </c>
      <c r="C2680" s="3">
        <v>2</v>
      </c>
      <c r="D2680" s="5" t="str">
        <f t="shared" si="93"/>
        <v>02</v>
      </c>
      <c r="E2680" t="str">
        <f>VLOOKUP(B2680,'HOGARES-BASELINE'!$B:$I,8,FALSE)</f>
        <v>01010775</v>
      </c>
      <c r="F2680" s="6" t="str">
        <f t="shared" si="92"/>
        <v>0101077502</v>
      </c>
    </row>
    <row r="2681" spans="1:6" x14ac:dyDescent="0.3">
      <c r="A2681" s="6" t="s">
        <v>2681</v>
      </c>
      <c r="B2681">
        <v>39268214</v>
      </c>
      <c r="C2681" s="3">
        <v>1</v>
      </c>
      <c r="D2681" s="5" t="str">
        <f t="shared" si="93"/>
        <v>01</v>
      </c>
      <c r="E2681" t="str">
        <f>VLOOKUP(B2681,'HOGARES-BASELINE'!$B:$I,8,FALSE)</f>
        <v>01010775</v>
      </c>
      <c r="F2681" s="6" t="str">
        <f t="shared" si="92"/>
        <v>0101077501</v>
      </c>
    </row>
    <row r="2682" spans="1:6" x14ac:dyDescent="0.3">
      <c r="A2682" s="6" t="s">
        <v>2682</v>
      </c>
      <c r="B2682">
        <v>39384513</v>
      </c>
      <c r="C2682" s="3">
        <v>2</v>
      </c>
      <c r="D2682" s="5" t="str">
        <f t="shared" si="93"/>
        <v>02</v>
      </c>
      <c r="E2682" t="str">
        <f>VLOOKUP(B2682,'HOGARES-BASELINE'!$B:$I,8,FALSE)</f>
        <v>01010776</v>
      </c>
      <c r="F2682" s="6" t="str">
        <f t="shared" si="92"/>
        <v>0101077602</v>
      </c>
    </row>
    <row r="2683" spans="1:6" x14ac:dyDescent="0.3">
      <c r="A2683" s="6" t="s">
        <v>2683</v>
      </c>
      <c r="B2683">
        <v>39384513</v>
      </c>
      <c r="C2683" s="3">
        <v>1</v>
      </c>
      <c r="D2683" s="5" t="str">
        <f t="shared" si="93"/>
        <v>01</v>
      </c>
      <c r="E2683" t="str">
        <f>VLOOKUP(B2683,'HOGARES-BASELINE'!$B:$I,8,FALSE)</f>
        <v>01010776</v>
      </c>
      <c r="F2683" s="6" t="str">
        <f t="shared" si="92"/>
        <v>0101077601</v>
      </c>
    </row>
    <row r="2684" spans="1:6" x14ac:dyDescent="0.3">
      <c r="A2684" s="6" t="s">
        <v>2684</v>
      </c>
      <c r="B2684">
        <v>39384513</v>
      </c>
      <c r="C2684" s="3">
        <v>3</v>
      </c>
      <c r="D2684" s="5" t="str">
        <f t="shared" si="93"/>
        <v>03</v>
      </c>
      <c r="E2684" t="str">
        <f>VLOOKUP(B2684,'HOGARES-BASELINE'!$B:$I,8,FALSE)</f>
        <v>01010776</v>
      </c>
      <c r="F2684" s="6" t="str">
        <f t="shared" si="92"/>
        <v>0101077603</v>
      </c>
    </row>
    <row r="2685" spans="1:6" x14ac:dyDescent="0.3">
      <c r="A2685" s="6" t="s">
        <v>2685</v>
      </c>
      <c r="B2685">
        <v>39387899</v>
      </c>
      <c r="C2685" s="3">
        <v>1</v>
      </c>
      <c r="D2685" s="5" t="str">
        <f t="shared" si="93"/>
        <v>01</v>
      </c>
      <c r="E2685" t="str">
        <f>VLOOKUP(B2685,'HOGARES-BASELINE'!$B:$I,8,FALSE)</f>
        <v>00010777</v>
      </c>
      <c r="F2685" s="6" t="str">
        <f t="shared" si="92"/>
        <v>0001077701</v>
      </c>
    </row>
    <row r="2686" spans="1:6" x14ac:dyDescent="0.3">
      <c r="A2686" s="6" t="s">
        <v>2686</v>
      </c>
      <c r="B2686">
        <v>39387899</v>
      </c>
      <c r="C2686" s="3">
        <v>2</v>
      </c>
      <c r="D2686" s="5" t="str">
        <f t="shared" si="93"/>
        <v>02</v>
      </c>
      <c r="E2686" t="str">
        <f>VLOOKUP(B2686,'HOGARES-BASELINE'!$B:$I,8,FALSE)</f>
        <v>00010777</v>
      </c>
      <c r="F2686" s="6" t="str">
        <f t="shared" si="92"/>
        <v>0001077702</v>
      </c>
    </row>
    <row r="2687" spans="1:6" x14ac:dyDescent="0.3">
      <c r="A2687" s="6" t="s">
        <v>2687</v>
      </c>
      <c r="B2687">
        <v>39387899</v>
      </c>
      <c r="C2687" s="3">
        <v>3</v>
      </c>
      <c r="D2687" s="5" t="str">
        <f t="shared" si="93"/>
        <v>03</v>
      </c>
      <c r="E2687" t="str">
        <f>VLOOKUP(B2687,'HOGARES-BASELINE'!$B:$I,8,FALSE)</f>
        <v>00010777</v>
      </c>
      <c r="F2687" s="6" t="str">
        <f t="shared" si="92"/>
        <v>0001077703</v>
      </c>
    </row>
    <row r="2688" spans="1:6" x14ac:dyDescent="0.3">
      <c r="A2688" s="6" t="s">
        <v>2688</v>
      </c>
      <c r="B2688">
        <v>39387899</v>
      </c>
      <c r="C2688" s="3">
        <v>4</v>
      </c>
      <c r="D2688" s="5" t="str">
        <f t="shared" si="93"/>
        <v>04</v>
      </c>
      <c r="E2688" t="str">
        <f>VLOOKUP(B2688,'HOGARES-BASELINE'!$B:$I,8,FALSE)</f>
        <v>00010777</v>
      </c>
      <c r="F2688" s="6" t="str">
        <f t="shared" si="92"/>
        <v>0001077704</v>
      </c>
    </row>
    <row r="2689" spans="1:6" x14ac:dyDescent="0.3">
      <c r="A2689" s="6" t="s">
        <v>2689</v>
      </c>
      <c r="B2689">
        <v>39435019</v>
      </c>
      <c r="C2689" s="3">
        <v>1</v>
      </c>
      <c r="D2689" s="5" t="str">
        <f t="shared" si="93"/>
        <v>01</v>
      </c>
      <c r="E2689" t="str">
        <f>VLOOKUP(B2689,'HOGARES-BASELINE'!$B:$I,8,FALSE)</f>
        <v>00010778</v>
      </c>
      <c r="F2689" s="6" t="str">
        <f t="shared" si="92"/>
        <v>0001077801</v>
      </c>
    </row>
    <row r="2690" spans="1:6" x14ac:dyDescent="0.3">
      <c r="A2690" s="6" t="s">
        <v>2690</v>
      </c>
      <c r="B2690">
        <v>40765438</v>
      </c>
      <c r="C2690" s="3">
        <v>2</v>
      </c>
      <c r="D2690" s="5" t="str">
        <f t="shared" si="93"/>
        <v>02</v>
      </c>
      <c r="E2690" t="str">
        <f>VLOOKUP(B2690,'HOGARES-BASELINE'!$B:$I,8,FALSE)</f>
        <v>00020779</v>
      </c>
      <c r="F2690" s="6" t="str">
        <f t="shared" si="92"/>
        <v>0002077902</v>
      </c>
    </row>
    <row r="2691" spans="1:6" x14ac:dyDescent="0.3">
      <c r="A2691" s="6" t="s">
        <v>2691</v>
      </c>
      <c r="B2691">
        <v>40765438</v>
      </c>
      <c r="C2691" s="3">
        <v>1</v>
      </c>
      <c r="D2691" s="5" t="str">
        <f t="shared" si="93"/>
        <v>01</v>
      </c>
      <c r="E2691" t="str">
        <f>VLOOKUP(B2691,'HOGARES-BASELINE'!$B:$I,8,FALSE)</f>
        <v>00020779</v>
      </c>
      <c r="F2691" s="6" t="str">
        <f t="shared" ref="F2691:F2754" si="94">_xlfn.CONCAT(E2691,D2691)</f>
        <v>0002077901</v>
      </c>
    </row>
    <row r="2692" spans="1:6" x14ac:dyDescent="0.3">
      <c r="A2692" s="6" t="s">
        <v>2692</v>
      </c>
      <c r="B2692">
        <v>41631902</v>
      </c>
      <c r="C2692" s="3">
        <v>5</v>
      </c>
      <c r="D2692" s="5" t="str">
        <f t="shared" si="93"/>
        <v>05</v>
      </c>
      <c r="E2692" t="str">
        <f>VLOOKUP(B2692,'HOGARES-BASELINE'!$B:$I,8,FALSE)</f>
        <v>00030780</v>
      </c>
      <c r="F2692" s="6" t="str">
        <f t="shared" si="94"/>
        <v>0003078005</v>
      </c>
    </row>
    <row r="2693" spans="1:6" x14ac:dyDescent="0.3">
      <c r="A2693" s="6" t="s">
        <v>2693</v>
      </c>
      <c r="B2693">
        <v>41631902</v>
      </c>
      <c r="C2693" s="3">
        <v>3</v>
      </c>
      <c r="D2693" s="5" t="str">
        <f t="shared" si="93"/>
        <v>03</v>
      </c>
      <c r="E2693" t="str">
        <f>VLOOKUP(B2693,'HOGARES-BASELINE'!$B:$I,8,FALSE)</f>
        <v>00030780</v>
      </c>
      <c r="F2693" s="6" t="str">
        <f t="shared" si="94"/>
        <v>0003078003</v>
      </c>
    </row>
    <row r="2694" spans="1:6" x14ac:dyDescent="0.3">
      <c r="A2694" s="6" t="s">
        <v>2694</v>
      </c>
      <c r="B2694">
        <v>41631902</v>
      </c>
      <c r="C2694" s="3">
        <v>2</v>
      </c>
      <c r="D2694" s="5" t="str">
        <f t="shared" si="93"/>
        <v>02</v>
      </c>
      <c r="E2694" t="str">
        <f>VLOOKUP(B2694,'HOGARES-BASELINE'!$B:$I,8,FALSE)</f>
        <v>00030780</v>
      </c>
      <c r="F2694" s="6" t="str">
        <f t="shared" si="94"/>
        <v>0003078002</v>
      </c>
    </row>
    <row r="2695" spans="1:6" x14ac:dyDescent="0.3">
      <c r="A2695" s="6" t="s">
        <v>2695</v>
      </c>
      <c r="B2695">
        <v>41631902</v>
      </c>
      <c r="C2695" s="3">
        <v>1</v>
      </c>
      <c r="D2695" s="5" t="str">
        <f t="shared" si="93"/>
        <v>01</v>
      </c>
      <c r="E2695" t="str">
        <f>VLOOKUP(B2695,'HOGARES-BASELINE'!$B:$I,8,FALSE)</f>
        <v>00030780</v>
      </c>
      <c r="F2695" s="6" t="str">
        <f t="shared" si="94"/>
        <v>0003078001</v>
      </c>
    </row>
    <row r="2696" spans="1:6" x14ac:dyDescent="0.3">
      <c r="A2696" s="6" t="s">
        <v>2696</v>
      </c>
      <c r="B2696">
        <v>41631902</v>
      </c>
      <c r="C2696" s="3">
        <v>4</v>
      </c>
      <c r="D2696" s="5" t="str">
        <f t="shared" si="93"/>
        <v>04</v>
      </c>
      <c r="E2696" t="str">
        <f>VLOOKUP(B2696,'HOGARES-BASELINE'!$B:$I,8,FALSE)</f>
        <v>00030780</v>
      </c>
      <c r="F2696" s="6" t="str">
        <f t="shared" si="94"/>
        <v>0003078004</v>
      </c>
    </row>
    <row r="2697" spans="1:6" x14ac:dyDescent="0.3">
      <c r="A2697" s="6" t="s">
        <v>2697</v>
      </c>
      <c r="B2697">
        <v>41632550</v>
      </c>
      <c r="C2697" s="3">
        <v>2</v>
      </c>
      <c r="D2697" s="5" t="str">
        <f t="shared" si="93"/>
        <v>02</v>
      </c>
      <c r="E2697" t="str">
        <f>VLOOKUP(B2697,'HOGARES-BASELINE'!$B:$I,8,FALSE)</f>
        <v>01010781</v>
      </c>
      <c r="F2697" s="6" t="str">
        <f t="shared" si="94"/>
        <v>0101078102</v>
      </c>
    </row>
    <row r="2698" spans="1:6" x14ac:dyDescent="0.3">
      <c r="A2698" s="6" t="s">
        <v>2698</v>
      </c>
      <c r="B2698">
        <v>41632550</v>
      </c>
      <c r="C2698" s="3">
        <v>1</v>
      </c>
      <c r="D2698" s="5" t="str">
        <f t="shared" si="93"/>
        <v>01</v>
      </c>
      <c r="E2698" t="str">
        <f>VLOOKUP(B2698,'HOGARES-BASELINE'!$B:$I,8,FALSE)</f>
        <v>01010781</v>
      </c>
      <c r="F2698" s="6" t="str">
        <f t="shared" si="94"/>
        <v>0101078101</v>
      </c>
    </row>
    <row r="2699" spans="1:6" x14ac:dyDescent="0.3">
      <c r="A2699" s="6" t="s">
        <v>2699</v>
      </c>
      <c r="B2699">
        <v>42008677</v>
      </c>
      <c r="C2699" s="3">
        <v>1</v>
      </c>
      <c r="D2699" s="5" t="str">
        <f t="shared" si="93"/>
        <v>01</v>
      </c>
      <c r="E2699" t="str">
        <f>VLOOKUP(B2699,'HOGARES-BASELINE'!$B:$I,8,FALSE)</f>
        <v>00010782</v>
      </c>
      <c r="F2699" s="6" t="str">
        <f t="shared" si="94"/>
        <v>0001078201</v>
      </c>
    </row>
    <row r="2700" spans="1:6" x14ac:dyDescent="0.3">
      <c r="A2700" s="6" t="s">
        <v>2700</v>
      </c>
      <c r="B2700">
        <v>42008677</v>
      </c>
      <c r="C2700" s="3">
        <v>3</v>
      </c>
      <c r="D2700" s="5" t="str">
        <f t="shared" si="93"/>
        <v>03</v>
      </c>
      <c r="E2700" t="str">
        <f>VLOOKUP(B2700,'HOGARES-BASELINE'!$B:$I,8,FALSE)</f>
        <v>00010782</v>
      </c>
      <c r="F2700" s="6" t="str">
        <f t="shared" si="94"/>
        <v>0001078203</v>
      </c>
    </row>
    <row r="2701" spans="1:6" x14ac:dyDescent="0.3">
      <c r="A2701" s="6" t="s">
        <v>2701</v>
      </c>
      <c r="B2701">
        <v>42008677</v>
      </c>
      <c r="C2701" s="3">
        <v>2</v>
      </c>
      <c r="D2701" s="5" t="str">
        <f t="shared" si="93"/>
        <v>02</v>
      </c>
      <c r="E2701" t="str">
        <f>VLOOKUP(B2701,'HOGARES-BASELINE'!$B:$I,8,FALSE)</f>
        <v>00010782</v>
      </c>
      <c r="F2701" s="6" t="str">
        <f t="shared" si="94"/>
        <v>0001078202</v>
      </c>
    </row>
    <row r="2702" spans="1:6" x14ac:dyDescent="0.3">
      <c r="A2702" s="6" t="s">
        <v>2702</v>
      </c>
      <c r="B2702">
        <v>42061051</v>
      </c>
      <c r="C2702" s="3">
        <v>3</v>
      </c>
      <c r="D2702" s="5" t="str">
        <f t="shared" si="93"/>
        <v>03</v>
      </c>
      <c r="E2702" t="str">
        <f>VLOOKUP(B2702,'HOGARES-BASELINE'!$B:$I,8,FALSE)</f>
        <v>01020783</v>
      </c>
      <c r="F2702" s="6" t="str">
        <f t="shared" si="94"/>
        <v>0102078303</v>
      </c>
    </row>
    <row r="2703" spans="1:6" x14ac:dyDescent="0.3">
      <c r="A2703" s="6" t="s">
        <v>2703</v>
      </c>
      <c r="B2703">
        <v>42061051</v>
      </c>
      <c r="C2703" s="3">
        <v>4</v>
      </c>
      <c r="D2703" s="5" t="str">
        <f t="shared" si="93"/>
        <v>04</v>
      </c>
      <c r="E2703" t="str">
        <f>VLOOKUP(B2703,'HOGARES-BASELINE'!$B:$I,8,FALSE)</f>
        <v>01020783</v>
      </c>
      <c r="F2703" s="6" t="str">
        <f t="shared" si="94"/>
        <v>0102078304</v>
      </c>
    </row>
    <row r="2704" spans="1:6" x14ac:dyDescent="0.3">
      <c r="A2704" s="6" t="s">
        <v>2704</v>
      </c>
      <c r="B2704">
        <v>42061051</v>
      </c>
      <c r="C2704" s="3">
        <v>2</v>
      </c>
      <c r="D2704" s="5" t="str">
        <f t="shared" si="93"/>
        <v>02</v>
      </c>
      <c r="E2704" t="str">
        <f>VLOOKUP(B2704,'HOGARES-BASELINE'!$B:$I,8,FALSE)</f>
        <v>01020783</v>
      </c>
      <c r="F2704" s="6" t="str">
        <f t="shared" si="94"/>
        <v>0102078302</v>
      </c>
    </row>
    <row r="2705" spans="1:6" x14ac:dyDescent="0.3">
      <c r="A2705" s="6" t="s">
        <v>2705</v>
      </c>
      <c r="B2705">
        <v>42061051</v>
      </c>
      <c r="C2705" s="3">
        <v>1</v>
      </c>
      <c r="D2705" s="5" t="str">
        <f t="shared" si="93"/>
        <v>01</v>
      </c>
      <c r="E2705" t="str">
        <f>VLOOKUP(B2705,'HOGARES-BASELINE'!$B:$I,8,FALSE)</f>
        <v>01020783</v>
      </c>
      <c r="F2705" s="6" t="str">
        <f t="shared" si="94"/>
        <v>0102078301</v>
      </c>
    </row>
    <row r="2706" spans="1:6" x14ac:dyDescent="0.3">
      <c r="A2706" s="6" t="s">
        <v>2706</v>
      </c>
      <c r="B2706">
        <v>42128788</v>
      </c>
      <c r="C2706" s="3">
        <v>3</v>
      </c>
      <c r="D2706" s="5" t="str">
        <f t="shared" si="93"/>
        <v>03</v>
      </c>
      <c r="E2706" t="str">
        <f>VLOOKUP(B2706,'HOGARES-BASELINE'!$B:$I,8,FALSE)</f>
        <v>01010784</v>
      </c>
      <c r="F2706" s="6" t="str">
        <f t="shared" si="94"/>
        <v>0101078403</v>
      </c>
    </row>
    <row r="2707" spans="1:6" x14ac:dyDescent="0.3">
      <c r="A2707" s="6" t="s">
        <v>2707</v>
      </c>
      <c r="B2707">
        <v>42128788</v>
      </c>
      <c r="C2707" s="3">
        <v>2</v>
      </c>
      <c r="D2707" s="5" t="str">
        <f t="shared" si="93"/>
        <v>02</v>
      </c>
      <c r="E2707" t="str">
        <f>VLOOKUP(B2707,'HOGARES-BASELINE'!$B:$I,8,FALSE)</f>
        <v>01010784</v>
      </c>
      <c r="F2707" s="6" t="str">
        <f t="shared" si="94"/>
        <v>0101078402</v>
      </c>
    </row>
    <row r="2708" spans="1:6" x14ac:dyDescent="0.3">
      <c r="A2708" s="6" t="s">
        <v>2708</v>
      </c>
      <c r="B2708">
        <v>42128788</v>
      </c>
      <c r="C2708" s="3">
        <v>1</v>
      </c>
      <c r="D2708" s="5" t="str">
        <f t="shared" si="93"/>
        <v>01</v>
      </c>
      <c r="E2708" t="str">
        <f>VLOOKUP(B2708,'HOGARES-BASELINE'!$B:$I,8,FALSE)</f>
        <v>01010784</v>
      </c>
      <c r="F2708" s="6" t="str">
        <f t="shared" si="94"/>
        <v>0101078401</v>
      </c>
    </row>
    <row r="2709" spans="1:6" x14ac:dyDescent="0.3">
      <c r="A2709" s="6" t="s">
        <v>2709</v>
      </c>
      <c r="B2709">
        <v>42271248</v>
      </c>
      <c r="C2709" s="3">
        <v>3</v>
      </c>
      <c r="D2709" s="5" t="str">
        <f t="shared" si="93"/>
        <v>03</v>
      </c>
      <c r="E2709" t="str">
        <f>VLOOKUP(B2709,'HOGARES-BASELINE'!$B:$I,8,FALSE)</f>
        <v>01030785</v>
      </c>
      <c r="F2709" s="6" t="str">
        <f t="shared" si="94"/>
        <v>0103078503</v>
      </c>
    </row>
    <row r="2710" spans="1:6" x14ac:dyDescent="0.3">
      <c r="A2710" s="6" t="s">
        <v>2710</v>
      </c>
      <c r="B2710">
        <v>42271248</v>
      </c>
      <c r="C2710" s="3">
        <v>2</v>
      </c>
      <c r="D2710" s="5" t="str">
        <f t="shared" si="93"/>
        <v>02</v>
      </c>
      <c r="E2710" t="str">
        <f>VLOOKUP(B2710,'HOGARES-BASELINE'!$B:$I,8,FALSE)</f>
        <v>01030785</v>
      </c>
      <c r="F2710" s="6" t="str">
        <f t="shared" si="94"/>
        <v>0103078502</v>
      </c>
    </row>
    <row r="2711" spans="1:6" x14ac:dyDescent="0.3">
      <c r="A2711" s="6" t="s">
        <v>2711</v>
      </c>
      <c r="B2711">
        <v>42271248</v>
      </c>
      <c r="C2711" s="3">
        <v>1</v>
      </c>
      <c r="D2711" s="5" t="str">
        <f t="shared" si="93"/>
        <v>01</v>
      </c>
      <c r="E2711" t="str">
        <f>VLOOKUP(B2711,'HOGARES-BASELINE'!$B:$I,8,FALSE)</f>
        <v>01030785</v>
      </c>
      <c r="F2711" s="6" t="str">
        <f t="shared" si="94"/>
        <v>0103078501</v>
      </c>
    </row>
    <row r="2712" spans="1:6" x14ac:dyDescent="0.3">
      <c r="A2712" s="6" t="s">
        <v>2712</v>
      </c>
      <c r="B2712">
        <v>42701708</v>
      </c>
      <c r="C2712" s="3">
        <v>1</v>
      </c>
      <c r="D2712" s="5" t="str">
        <f t="shared" si="93"/>
        <v>01</v>
      </c>
      <c r="E2712" t="str">
        <f>VLOOKUP(B2712,'HOGARES-BASELINE'!$B:$I,8,FALSE)</f>
        <v>01010786</v>
      </c>
      <c r="F2712" s="6" t="str">
        <f t="shared" si="94"/>
        <v>0101078601</v>
      </c>
    </row>
    <row r="2713" spans="1:6" x14ac:dyDescent="0.3">
      <c r="A2713" s="6" t="s">
        <v>2713</v>
      </c>
      <c r="B2713">
        <v>42701708</v>
      </c>
      <c r="C2713" s="3">
        <v>4</v>
      </c>
      <c r="D2713" s="5" t="str">
        <f t="shared" si="93"/>
        <v>04</v>
      </c>
      <c r="E2713" t="str">
        <f>VLOOKUP(B2713,'HOGARES-BASELINE'!$B:$I,8,FALSE)</f>
        <v>01010786</v>
      </c>
      <c r="F2713" s="6" t="str">
        <f t="shared" si="94"/>
        <v>0101078604</v>
      </c>
    </row>
    <row r="2714" spans="1:6" x14ac:dyDescent="0.3">
      <c r="A2714" s="6" t="s">
        <v>2714</v>
      </c>
      <c r="B2714">
        <v>42701708</v>
      </c>
      <c r="C2714" s="3">
        <v>5</v>
      </c>
      <c r="D2714" s="5" t="str">
        <f t="shared" si="93"/>
        <v>05</v>
      </c>
      <c r="E2714" t="str">
        <f>VLOOKUP(B2714,'HOGARES-BASELINE'!$B:$I,8,FALSE)</f>
        <v>01010786</v>
      </c>
      <c r="F2714" s="6" t="str">
        <f t="shared" si="94"/>
        <v>0101078605</v>
      </c>
    </row>
    <row r="2715" spans="1:6" x14ac:dyDescent="0.3">
      <c r="A2715" s="6" t="s">
        <v>2715</v>
      </c>
      <c r="B2715">
        <v>42701708</v>
      </c>
      <c r="C2715" s="3">
        <v>2</v>
      </c>
      <c r="D2715" s="5" t="str">
        <f t="shared" si="93"/>
        <v>02</v>
      </c>
      <c r="E2715" t="str">
        <f>VLOOKUP(B2715,'HOGARES-BASELINE'!$B:$I,8,FALSE)</f>
        <v>01010786</v>
      </c>
      <c r="F2715" s="6" t="str">
        <f t="shared" si="94"/>
        <v>0101078602</v>
      </c>
    </row>
    <row r="2716" spans="1:6" x14ac:dyDescent="0.3">
      <c r="A2716" s="6" t="s">
        <v>2716</v>
      </c>
      <c r="B2716">
        <v>42701708</v>
      </c>
      <c r="C2716" s="3">
        <v>3</v>
      </c>
      <c r="D2716" s="5" t="str">
        <f t="shared" si="93"/>
        <v>03</v>
      </c>
      <c r="E2716" t="str">
        <f>VLOOKUP(B2716,'HOGARES-BASELINE'!$B:$I,8,FALSE)</f>
        <v>01010786</v>
      </c>
      <c r="F2716" s="6" t="str">
        <f t="shared" si="94"/>
        <v>0101078603</v>
      </c>
    </row>
    <row r="2717" spans="1:6" x14ac:dyDescent="0.3">
      <c r="A2717" s="6" t="s">
        <v>2717</v>
      </c>
      <c r="B2717">
        <v>42762856</v>
      </c>
      <c r="C2717" s="3">
        <v>2</v>
      </c>
      <c r="D2717" s="5" t="str">
        <f t="shared" si="93"/>
        <v>02</v>
      </c>
      <c r="E2717" t="str">
        <f>VLOOKUP(B2717,'HOGARES-BASELINE'!$B:$I,8,FALSE)</f>
        <v>00010787</v>
      </c>
      <c r="F2717" s="6" t="str">
        <f t="shared" si="94"/>
        <v>0001078702</v>
      </c>
    </row>
    <row r="2718" spans="1:6" x14ac:dyDescent="0.3">
      <c r="A2718" s="6" t="s">
        <v>2718</v>
      </c>
      <c r="B2718">
        <v>42762856</v>
      </c>
      <c r="C2718" s="3">
        <v>1</v>
      </c>
      <c r="D2718" s="5" t="str">
        <f t="shared" si="93"/>
        <v>01</v>
      </c>
      <c r="E2718" t="str">
        <f>VLOOKUP(B2718,'HOGARES-BASELINE'!$B:$I,8,FALSE)</f>
        <v>00010787</v>
      </c>
      <c r="F2718" s="6" t="str">
        <f t="shared" si="94"/>
        <v>0001078701</v>
      </c>
    </row>
    <row r="2719" spans="1:6" x14ac:dyDescent="0.3">
      <c r="A2719" s="6" t="s">
        <v>2719</v>
      </c>
      <c r="B2719">
        <v>42762856</v>
      </c>
      <c r="C2719" s="3">
        <v>3</v>
      </c>
      <c r="D2719" s="5" t="str">
        <f t="shared" si="93"/>
        <v>03</v>
      </c>
      <c r="E2719" t="str">
        <f>VLOOKUP(B2719,'HOGARES-BASELINE'!$B:$I,8,FALSE)</f>
        <v>00010787</v>
      </c>
      <c r="F2719" s="6" t="str">
        <f t="shared" si="94"/>
        <v>0001078703</v>
      </c>
    </row>
    <row r="2720" spans="1:6" x14ac:dyDescent="0.3">
      <c r="A2720" s="6" t="s">
        <v>2720</v>
      </c>
      <c r="B2720">
        <v>42767896</v>
      </c>
      <c r="C2720" s="3">
        <v>3</v>
      </c>
      <c r="D2720" s="5" t="str">
        <f t="shared" si="93"/>
        <v>03</v>
      </c>
      <c r="E2720" t="str">
        <f>VLOOKUP(B2720,'HOGARES-BASELINE'!$B:$I,8,FALSE)</f>
        <v>01010788</v>
      </c>
      <c r="F2720" s="6" t="str">
        <f t="shared" si="94"/>
        <v>0101078803</v>
      </c>
    </row>
    <row r="2721" spans="1:6" x14ac:dyDescent="0.3">
      <c r="A2721" s="6" t="s">
        <v>2721</v>
      </c>
      <c r="B2721">
        <v>42767896</v>
      </c>
      <c r="C2721" s="3">
        <v>2</v>
      </c>
      <c r="D2721" s="5" t="str">
        <f t="shared" si="93"/>
        <v>02</v>
      </c>
      <c r="E2721" t="str">
        <f>VLOOKUP(B2721,'HOGARES-BASELINE'!$B:$I,8,FALSE)</f>
        <v>01010788</v>
      </c>
      <c r="F2721" s="6" t="str">
        <f t="shared" si="94"/>
        <v>0101078802</v>
      </c>
    </row>
    <row r="2722" spans="1:6" x14ac:dyDescent="0.3">
      <c r="A2722" s="6" t="s">
        <v>2722</v>
      </c>
      <c r="B2722">
        <v>42767896</v>
      </c>
      <c r="C2722" s="3">
        <v>1</v>
      </c>
      <c r="D2722" s="5" t="str">
        <f t="shared" si="93"/>
        <v>01</v>
      </c>
      <c r="E2722" t="str">
        <f>VLOOKUP(B2722,'HOGARES-BASELINE'!$B:$I,8,FALSE)</f>
        <v>01010788</v>
      </c>
      <c r="F2722" s="6" t="str">
        <f t="shared" si="94"/>
        <v>0101078801</v>
      </c>
    </row>
    <row r="2723" spans="1:6" x14ac:dyDescent="0.3">
      <c r="A2723" s="6" t="s">
        <v>2723</v>
      </c>
      <c r="B2723">
        <v>42767896</v>
      </c>
      <c r="C2723" s="3">
        <v>4</v>
      </c>
      <c r="D2723" s="5" t="str">
        <f t="shared" si="93"/>
        <v>04</v>
      </c>
      <c r="E2723" t="str">
        <f>VLOOKUP(B2723,'HOGARES-BASELINE'!$B:$I,8,FALSE)</f>
        <v>01010788</v>
      </c>
      <c r="F2723" s="6" t="str">
        <f t="shared" si="94"/>
        <v>0101078804</v>
      </c>
    </row>
    <row r="2724" spans="1:6" x14ac:dyDescent="0.3">
      <c r="A2724" s="6" t="s">
        <v>2724</v>
      </c>
      <c r="B2724">
        <v>42772039</v>
      </c>
      <c r="C2724" s="3">
        <v>2</v>
      </c>
      <c r="D2724" s="5" t="str">
        <f t="shared" si="93"/>
        <v>02</v>
      </c>
      <c r="E2724" t="str">
        <f>VLOOKUP(B2724,'HOGARES-BASELINE'!$B:$I,8,FALSE)</f>
        <v>01010789</v>
      </c>
      <c r="F2724" s="6" t="str">
        <f t="shared" si="94"/>
        <v>0101078902</v>
      </c>
    </row>
    <row r="2725" spans="1:6" x14ac:dyDescent="0.3">
      <c r="A2725" s="6" t="s">
        <v>2725</v>
      </c>
      <c r="B2725">
        <v>42772039</v>
      </c>
      <c r="C2725" s="3">
        <v>6</v>
      </c>
      <c r="D2725" s="5" t="str">
        <f t="shared" si="93"/>
        <v>06</v>
      </c>
      <c r="E2725" t="str">
        <f>VLOOKUP(B2725,'HOGARES-BASELINE'!$B:$I,8,FALSE)</f>
        <v>01010789</v>
      </c>
      <c r="F2725" s="6" t="str">
        <f t="shared" si="94"/>
        <v>0101078906</v>
      </c>
    </row>
    <row r="2726" spans="1:6" x14ac:dyDescent="0.3">
      <c r="A2726" s="6" t="s">
        <v>2726</v>
      </c>
      <c r="B2726">
        <v>42772039</v>
      </c>
      <c r="C2726" s="3">
        <v>1</v>
      </c>
      <c r="D2726" s="5" t="str">
        <f t="shared" si="93"/>
        <v>01</v>
      </c>
      <c r="E2726" t="str">
        <f>VLOOKUP(B2726,'HOGARES-BASELINE'!$B:$I,8,FALSE)</f>
        <v>01010789</v>
      </c>
      <c r="F2726" s="6" t="str">
        <f t="shared" si="94"/>
        <v>0101078901</v>
      </c>
    </row>
    <row r="2727" spans="1:6" x14ac:dyDescent="0.3">
      <c r="A2727" s="6" t="s">
        <v>2727</v>
      </c>
      <c r="B2727">
        <v>42772039</v>
      </c>
      <c r="C2727" s="3">
        <v>3</v>
      </c>
      <c r="D2727" s="5" t="str">
        <f t="shared" si="93"/>
        <v>03</v>
      </c>
      <c r="E2727" t="str">
        <f>VLOOKUP(B2727,'HOGARES-BASELINE'!$B:$I,8,FALSE)</f>
        <v>01010789</v>
      </c>
      <c r="F2727" s="6" t="str">
        <f t="shared" si="94"/>
        <v>0101078903</v>
      </c>
    </row>
    <row r="2728" spans="1:6" x14ac:dyDescent="0.3">
      <c r="A2728" s="6" t="s">
        <v>2728</v>
      </c>
      <c r="B2728">
        <v>42772039</v>
      </c>
      <c r="C2728" s="3">
        <v>4</v>
      </c>
      <c r="D2728" s="5" t="str">
        <f t="shared" si="93"/>
        <v>04</v>
      </c>
      <c r="E2728" t="str">
        <f>VLOOKUP(B2728,'HOGARES-BASELINE'!$B:$I,8,FALSE)</f>
        <v>01010789</v>
      </c>
      <c r="F2728" s="6" t="str">
        <f t="shared" si="94"/>
        <v>0101078904</v>
      </c>
    </row>
    <row r="2729" spans="1:6" x14ac:dyDescent="0.3">
      <c r="A2729" s="6" t="s">
        <v>2729</v>
      </c>
      <c r="B2729">
        <v>42772039</v>
      </c>
      <c r="C2729" s="3">
        <v>5</v>
      </c>
      <c r="D2729" s="5" t="str">
        <f t="shared" si="93"/>
        <v>05</v>
      </c>
      <c r="E2729" t="str">
        <f>VLOOKUP(B2729,'HOGARES-BASELINE'!$B:$I,8,FALSE)</f>
        <v>01010789</v>
      </c>
      <c r="F2729" s="6" t="str">
        <f t="shared" si="94"/>
        <v>0101078905</v>
      </c>
    </row>
    <row r="2730" spans="1:6" x14ac:dyDescent="0.3">
      <c r="A2730" s="6" t="s">
        <v>2730</v>
      </c>
      <c r="B2730">
        <v>42792571</v>
      </c>
      <c r="C2730" s="3">
        <v>1</v>
      </c>
      <c r="D2730" s="5" t="str">
        <f t="shared" si="93"/>
        <v>01</v>
      </c>
      <c r="E2730" t="str">
        <f>VLOOKUP(B2730,'HOGARES-BASELINE'!$B:$I,8,FALSE)</f>
        <v>00010790</v>
      </c>
      <c r="F2730" s="6" t="str">
        <f t="shared" si="94"/>
        <v>0001079001</v>
      </c>
    </row>
    <row r="2731" spans="1:6" x14ac:dyDescent="0.3">
      <c r="A2731" s="6" t="s">
        <v>2731</v>
      </c>
      <c r="B2731">
        <v>42792823</v>
      </c>
      <c r="C2731" s="3">
        <v>1</v>
      </c>
      <c r="D2731" s="5" t="str">
        <f t="shared" si="93"/>
        <v>01</v>
      </c>
      <c r="E2731" t="str">
        <f>VLOOKUP(B2731,'HOGARES-BASELINE'!$B:$I,8,FALSE)</f>
        <v>00010791</v>
      </c>
      <c r="F2731" s="6" t="str">
        <f t="shared" si="94"/>
        <v>0001079101</v>
      </c>
    </row>
    <row r="2732" spans="1:6" x14ac:dyDescent="0.3">
      <c r="A2732" s="6" t="s">
        <v>2732</v>
      </c>
      <c r="B2732">
        <v>42820074</v>
      </c>
      <c r="C2732" s="3">
        <v>3</v>
      </c>
      <c r="D2732" s="5" t="str">
        <f t="shared" ref="D2732:D2795" si="95">_xlfn.CONCAT(0,C2732)</f>
        <v>03</v>
      </c>
      <c r="E2732" t="str">
        <f>VLOOKUP(B2732,'HOGARES-BASELINE'!$B:$I,8,FALSE)</f>
        <v>00010792</v>
      </c>
      <c r="F2732" s="6" t="str">
        <f t="shared" si="94"/>
        <v>0001079203</v>
      </c>
    </row>
    <row r="2733" spans="1:6" x14ac:dyDescent="0.3">
      <c r="A2733" s="6" t="s">
        <v>2733</v>
      </c>
      <c r="B2733">
        <v>42820074</v>
      </c>
      <c r="C2733" s="3">
        <v>2</v>
      </c>
      <c r="D2733" s="5" t="str">
        <f t="shared" si="95"/>
        <v>02</v>
      </c>
      <c r="E2733" t="str">
        <f>VLOOKUP(B2733,'HOGARES-BASELINE'!$B:$I,8,FALSE)</f>
        <v>00010792</v>
      </c>
      <c r="F2733" s="6" t="str">
        <f t="shared" si="94"/>
        <v>0001079202</v>
      </c>
    </row>
    <row r="2734" spans="1:6" x14ac:dyDescent="0.3">
      <c r="A2734" s="6" t="s">
        <v>2734</v>
      </c>
      <c r="B2734">
        <v>42820074</v>
      </c>
      <c r="C2734" s="3">
        <v>4</v>
      </c>
      <c r="D2734" s="5" t="str">
        <f t="shared" si="95"/>
        <v>04</v>
      </c>
      <c r="E2734" t="str">
        <f>VLOOKUP(B2734,'HOGARES-BASELINE'!$B:$I,8,FALSE)</f>
        <v>00010792</v>
      </c>
      <c r="F2734" s="6" t="str">
        <f t="shared" si="94"/>
        <v>0001079204</v>
      </c>
    </row>
    <row r="2735" spans="1:6" x14ac:dyDescent="0.3">
      <c r="A2735" s="6" t="s">
        <v>2735</v>
      </c>
      <c r="B2735">
        <v>42820074</v>
      </c>
      <c r="C2735" s="3">
        <v>1</v>
      </c>
      <c r="D2735" s="5" t="str">
        <f t="shared" si="95"/>
        <v>01</v>
      </c>
      <c r="E2735" t="str">
        <f>VLOOKUP(B2735,'HOGARES-BASELINE'!$B:$I,8,FALSE)</f>
        <v>00010792</v>
      </c>
      <c r="F2735" s="6" t="str">
        <f t="shared" si="94"/>
        <v>0001079201</v>
      </c>
    </row>
    <row r="2736" spans="1:6" x14ac:dyDescent="0.3">
      <c r="A2736" s="6" t="s">
        <v>2736</v>
      </c>
      <c r="B2736">
        <v>42884497</v>
      </c>
      <c r="C2736" s="3">
        <v>1</v>
      </c>
      <c r="D2736" s="5" t="str">
        <f t="shared" si="95"/>
        <v>01</v>
      </c>
      <c r="E2736" t="str">
        <f>VLOOKUP(B2736,'HOGARES-BASELINE'!$B:$I,8,FALSE)</f>
        <v>01010793</v>
      </c>
      <c r="F2736" s="6" t="str">
        <f t="shared" si="94"/>
        <v>0101079301</v>
      </c>
    </row>
    <row r="2737" spans="1:6" x14ac:dyDescent="0.3">
      <c r="A2737" s="6" t="s">
        <v>2737</v>
      </c>
      <c r="B2737">
        <v>42884497</v>
      </c>
      <c r="C2737" s="3">
        <v>2</v>
      </c>
      <c r="D2737" s="5" t="str">
        <f t="shared" si="95"/>
        <v>02</v>
      </c>
      <c r="E2737" t="str">
        <f>VLOOKUP(B2737,'HOGARES-BASELINE'!$B:$I,8,FALSE)</f>
        <v>01010793</v>
      </c>
      <c r="F2737" s="6" t="str">
        <f t="shared" si="94"/>
        <v>0101079302</v>
      </c>
    </row>
    <row r="2738" spans="1:6" x14ac:dyDescent="0.3">
      <c r="A2738" s="6" t="s">
        <v>2738</v>
      </c>
      <c r="B2738">
        <v>42884497</v>
      </c>
      <c r="C2738" s="3">
        <v>3</v>
      </c>
      <c r="D2738" s="5" t="str">
        <f t="shared" si="95"/>
        <v>03</v>
      </c>
      <c r="E2738" t="str">
        <f>VLOOKUP(B2738,'HOGARES-BASELINE'!$B:$I,8,FALSE)</f>
        <v>01010793</v>
      </c>
      <c r="F2738" s="6" t="str">
        <f t="shared" si="94"/>
        <v>0101079303</v>
      </c>
    </row>
    <row r="2739" spans="1:6" x14ac:dyDescent="0.3">
      <c r="A2739" s="6" t="s">
        <v>2739</v>
      </c>
      <c r="B2739">
        <v>42892754</v>
      </c>
      <c r="C2739" s="3">
        <v>5</v>
      </c>
      <c r="D2739" s="5" t="str">
        <f t="shared" si="95"/>
        <v>05</v>
      </c>
      <c r="E2739" t="str">
        <f>VLOOKUP(B2739,'HOGARES-BASELINE'!$B:$I,8,FALSE)</f>
        <v>00010794</v>
      </c>
      <c r="F2739" s="6" t="str">
        <f t="shared" si="94"/>
        <v>0001079405</v>
      </c>
    </row>
    <row r="2740" spans="1:6" x14ac:dyDescent="0.3">
      <c r="A2740" s="6" t="s">
        <v>2740</v>
      </c>
      <c r="B2740">
        <v>42892754</v>
      </c>
      <c r="C2740" s="3">
        <v>4</v>
      </c>
      <c r="D2740" s="5" t="str">
        <f t="shared" si="95"/>
        <v>04</v>
      </c>
      <c r="E2740" t="str">
        <f>VLOOKUP(B2740,'HOGARES-BASELINE'!$B:$I,8,FALSE)</f>
        <v>00010794</v>
      </c>
      <c r="F2740" s="6" t="str">
        <f t="shared" si="94"/>
        <v>0001079404</v>
      </c>
    </row>
    <row r="2741" spans="1:6" x14ac:dyDescent="0.3">
      <c r="A2741" s="6" t="s">
        <v>2741</v>
      </c>
      <c r="B2741">
        <v>42892754</v>
      </c>
      <c r="C2741" s="3">
        <v>3</v>
      </c>
      <c r="D2741" s="5" t="str">
        <f t="shared" si="95"/>
        <v>03</v>
      </c>
      <c r="E2741" t="str">
        <f>VLOOKUP(B2741,'HOGARES-BASELINE'!$B:$I,8,FALSE)</f>
        <v>00010794</v>
      </c>
      <c r="F2741" s="6" t="str">
        <f t="shared" si="94"/>
        <v>0001079403</v>
      </c>
    </row>
    <row r="2742" spans="1:6" x14ac:dyDescent="0.3">
      <c r="A2742" s="6" t="s">
        <v>2742</v>
      </c>
      <c r="B2742">
        <v>42892754</v>
      </c>
      <c r="C2742" s="3">
        <v>2</v>
      </c>
      <c r="D2742" s="5" t="str">
        <f t="shared" si="95"/>
        <v>02</v>
      </c>
      <c r="E2742" t="str">
        <f>VLOOKUP(B2742,'HOGARES-BASELINE'!$B:$I,8,FALSE)</f>
        <v>00010794</v>
      </c>
      <c r="F2742" s="6" t="str">
        <f t="shared" si="94"/>
        <v>0001079402</v>
      </c>
    </row>
    <row r="2743" spans="1:6" x14ac:dyDescent="0.3">
      <c r="A2743" s="6" t="s">
        <v>2743</v>
      </c>
      <c r="B2743">
        <v>42892754</v>
      </c>
      <c r="C2743" s="3">
        <v>1</v>
      </c>
      <c r="D2743" s="5" t="str">
        <f t="shared" si="95"/>
        <v>01</v>
      </c>
      <c r="E2743" t="str">
        <f>VLOOKUP(B2743,'HOGARES-BASELINE'!$B:$I,8,FALSE)</f>
        <v>00010794</v>
      </c>
      <c r="F2743" s="6" t="str">
        <f t="shared" si="94"/>
        <v>0001079401</v>
      </c>
    </row>
    <row r="2744" spans="1:6" x14ac:dyDescent="0.3">
      <c r="A2744" s="6" t="s">
        <v>2744</v>
      </c>
      <c r="B2744">
        <v>42973581</v>
      </c>
      <c r="C2744" s="3">
        <v>2</v>
      </c>
      <c r="D2744" s="5" t="str">
        <f t="shared" si="95"/>
        <v>02</v>
      </c>
      <c r="E2744" t="str">
        <f>VLOOKUP(B2744,'HOGARES-BASELINE'!$B:$I,8,FALSE)</f>
        <v>01010795</v>
      </c>
      <c r="F2744" s="6" t="str">
        <f t="shared" si="94"/>
        <v>0101079502</v>
      </c>
    </row>
    <row r="2745" spans="1:6" x14ac:dyDescent="0.3">
      <c r="A2745" s="6" t="s">
        <v>2745</v>
      </c>
      <c r="B2745">
        <v>42973581</v>
      </c>
      <c r="C2745" s="3">
        <v>1</v>
      </c>
      <c r="D2745" s="5" t="str">
        <f t="shared" si="95"/>
        <v>01</v>
      </c>
      <c r="E2745" t="str">
        <f>VLOOKUP(B2745,'HOGARES-BASELINE'!$B:$I,8,FALSE)</f>
        <v>01010795</v>
      </c>
      <c r="F2745" s="6" t="str">
        <f t="shared" si="94"/>
        <v>0101079501</v>
      </c>
    </row>
    <row r="2746" spans="1:6" x14ac:dyDescent="0.3">
      <c r="A2746" s="6" t="s">
        <v>2746</v>
      </c>
      <c r="B2746">
        <v>42977679</v>
      </c>
      <c r="C2746" s="3">
        <v>1</v>
      </c>
      <c r="D2746" s="5" t="str">
        <f t="shared" si="95"/>
        <v>01</v>
      </c>
      <c r="E2746" t="str">
        <f>VLOOKUP(B2746,'HOGARES-BASELINE'!$B:$I,8,FALSE)</f>
        <v>01010796</v>
      </c>
      <c r="F2746" s="6" t="str">
        <f t="shared" si="94"/>
        <v>0101079601</v>
      </c>
    </row>
    <row r="2747" spans="1:6" x14ac:dyDescent="0.3">
      <c r="A2747" s="6" t="s">
        <v>2747</v>
      </c>
      <c r="B2747">
        <v>42977679</v>
      </c>
      <c r="C2747" s="3">
        <v>2</v>
      </c>
      <c r="D2747" s="5" t="str">
        <f t="shared" si="95"/>
        <v>02</v>
      </c>
      <c r="E2747" t="str">
        <f>VLOOKUP(B2747,'HOGARES-BASELINE'!$B:$I,8,FALSE)</f>
        <v>01010796</v>
      </c>
      <c r="F2747" s="6" t="str">
        <f t="shared" si="94"/>
        <v>0101079602</v>
      </c>
    </row>
    <row r="2748" spans="1:6" x14ac:dyDescent="0.3">
      <c r="A2748" s="6" t="s">
        <v>2748</v>
      </c>
      <c r="B2748">
        <v>42979655</v>
      </c>
      <c r="C2748" s="3">
        <v>5</v>
      </c>
      <c r="D2748" s="5" t="str">
        <f t="shared" si="95"/>
        <v>05</v>
      </c>
      <c r="E2748" t="str">
        <f>VLOOKUP(B2748,'HOGARES-BASELINE'!$B:$I,8,FALSE)</f>
        <v>00010797</v>
      </c>
      <c r="F2748" s="6" t="str">
        <f t="shared" si="94"/>
        <v>0001079705</v>
      </c>
    </row>
    <row r="2749" spans="1:6" x14ac:dyDescent="0.3">
      <c r="A2749" s="6" t="s">
        <v>2749</v>
      </c>
      <c r="B2749">
        <v>42979655</v>
      </c>
      <c r="C2749" s="3">
        <v>4</v>
      </c>
      <c r="D2749" s="5" t="str">
        <f t="shared" si="95"/>
        <v>04</v>
      </c>
      <c r="E2749" t="str">
        <f>VLOOKUP(B2749,'HOGARES-BASELINE'!$B:$I,8,FALSE)</f>
        <v>00010797</v>
      </c>
      <c r="F2749" s="6" t="str">
        <f t="shared" si="94"/>
        <v>0001079704</v>
      </c>
    </row>
    <row r="2750" spans="1:6" x14ac:dyDescent="0.3">
      <c r="A2750" s="6" t="s">
        <v>2750</v>
      </c>
      <c r="B2750">
        <v>42979655</v>
      </c>
      <c r="C2750" s="3">
        <v>3</v>
      </c>
      <c r="D2750" s="5" t="str">
        <f t="shared" si="95"/>
        <v>03</v>
      </c>
      <c r="E2750" t="str">
        <f>VLOOKUP(B2750,'HOGARES-BASELINE'!$B:$I,8,FALSE)</f>
        <v>00010797</v>
      </c>
      <c r="F2750" s="6" t="str">
        <f t="shared" si="94"/>
        <v>0001079703</v>
      </c>
    </row>
    <row r="2751" spans="1:6" x14ac:dyDescent="0.3">
      <c r="A2751" s="6" t="s">
        <v>2751</v>
      </c>
      <c r="B2751">
        <v>42979655</v>
      </c>
      <c r="C2751" s="3">
        <v>2</v>
      </c>
      <c r="D2751" s="5" t="str">
        <f t="shared" si="95"/>
        <v>02</v>
      </c>
      <c r="E2751" t="str">
        <f>VLOOKUP(B2751,'HOGARES-BASELINE'!$B:$I,8,FALSE)</f>
        <v>00010797</v>
      </c>
      <c r="F2751" s="6" t="str">
        <f t="shared" si="94"/>
        <v>0001079702</v>
      </c>
    </row>
    <row r="2752" spans="1:6" x14ac:dyDescent="0.3">
      <c r="A2752" s="6" t="s">
        <v>2752</v>
      </c>
      <c r="B2752">
        <v>42979655</v>
      </c>
      <c r="C2752" s="3">
        <v>1</v>
      </c>
      <c r="D2752" s="5" t="str">
        <f t="shared" si="95"/>
        <v>01</v>
      </c>
      <c r="E2752" t="str">
        <f>VLOOKUP(B2752,'HOGARES-BASELINE'!$B:$I,8,FALSE)</f>
        <v>00010797</v>
      </c>
      <c r="F2752" s="6" t="str">
        <f t="shared" si="94"/>
        <v>0001079701</v>
      </c>
    </row>
    <row r="2753" spans="1:6" x14ac:dyDescent="0.3">
      <c r="A2753" s="6" t="s">
        <v>2753</v>
      </c>
      <c r="B2753">
        <v>42981495</v>
      </c>
      <c r="C2753" s="3">
        <v>2</v>
      </c>
      <c r="D2753" s="5" t="str">
        <f t="shared" si="95"/>
        <v>02</v>
      </c>
      <c r="E2753" t="str">
        <f>VLOOKUP(B2753,'HOGARES-BASELINE'!$B:$I,8,FALSE)</f>
        <v>00010798</v>
      </c>
      <c r="F2753" s="6" t="str">
        <f t="shared" si="94"/>
        <v>0001079802</v>
      </c>
    </row>
    <row r="2754" spans="1:6" x14ac:dyDescent="0.3">
      <c r="A2754" s="6" t="s">
        <v>2754</v>
      </c>
      <c r="B2754">
        <v>42981495</v>
      </c>
      <c r="C2754" s="3">
        <v>1</v>
      </c>
      <c r="D2754" s="5" t="str">
        <f t="shared" si="95"/>
        <v>01</v>
      </c>
      <c r="E2754" t="str">
        <f>VLOOKUP(B2754,'HOGARES-BASELINE'!$B:$I,8,FALSE)</f>
        <v>00010798</v>
      </c>
      <c r="F2754" s="6" t="str">
        <f t="shared" si="94"/>
        <v>0001079801</v>
      </c>
    </row>
    <row r="2755" spans="1:6" x14ac:dyDescent="0.3">
      <c r="A2755" s="6" t="s">
        <v>2755</v>
      </c>
      <c r="B2755">
        <v>42987727</v>
      </c>
      <c r="C2755" s="3">
        <v>1</v>
      </c>
      <c r="D2755" s="5" t="str">
        <f t="shared" si="95"/>
        <v>01</v>
      </c>
      <c r="E2755" t="str">
        <f>VLOOKUP(B2755,'HOGARES-BASELINE'!$B:$I,8,FALSE)</f>
        <v>00010799</v>
      </c>
      <c r="F2755" s="6" t="str">
        <f t="shared" ref="F2755:F2818" si="96">_xlfn.CONCAT(E2755,D2755)</f>
        <v>0001079901</v>
      </c>
    </row>
    <row r="2756" spans="1:6" x14ac:dyDescent="0.3">
      <c r="A2756" s="6" t="s">
        <v>2756</v>
      </c>
      <c r="B2756">
        <v>42987727</v>
      </c>
      <c r="C2756" s="3">
        <v>2</v>
      </c>
      <c r="D2756" s="5" t="str">
        <f t="shared" si="95"/>
        <v>02</v>
      </c>
      <c r="E2756" t="str">
        <f>VLOOKUP(B2756,'HOGARES-BASELINE'!$B:$I,8,FALSE)</f>
        <v>00010799</v>
      </c>
      <c r="F2756" s="6" t="str">
        <f t="shared" si="96"/>
        <v>0001079902</v>
      </c>
    </row>
    <row r="2757" spans="1:6" x14ac:dyDescent="0.3">
      <c r="A2757" s="6" t="s">
        <v>2757</v>
      </c>
      <c r="B2757">
        <v>42991676</v>
      </c>
      <c r="C2757" s="3">
        <v>1</v>
      </c>
      <c r="D2757" s="5" t="str">
        <f t="shared" si="95"/>
        <v>01</v>
      </c>
      <c r="E2757" t="str">
        <f>VLOOKUP(B2757,'HOGARES-BASELINE'!$B:$I,8,FALSE)</f>
        <v>01010800</v>
      </c>
      <c r="F2757" s="6" t="str">
        <f t="shared" si="96"/>
        <v>0101080001</v>
      </c>
    </row>
    <row r="2758" spans="1:6" x14ac:dyDescent="0.3">
      <c r="A2758" s="6" t="s">
        <v>2758</v>
      </c>
      <c r="B2758">
        <v>42991676</v>
      </c>
      <c r="C2758" s="3">
        <v>6</v>
      </c>
      <c r="D2758" s="5" t="str">
        <f t="shared" si="95"/>
        <v>06</v>
      </c>
      <c r="E2758" t="str">
        <f>VLOOKUP(B2758,'HOGARES-BASELINE'!$B:$I,8,FALSE)</f>
        <v>01010800</v>
      </c>
      <c r="F2758" s="6" t="str">
        <f t="shared" si="96"/>
        <v>0101080006</v>
      </c>
    </row>
    <row r="2759" spans="1:6" x14ac:dyDescent="0.3">
      <c r="A2759" s="6" t="s">
        <v>2759</v>
      </c>
      <c r="B2759">
        <v>42991676</v>
      </c>
      <c r="C2759" s="3">
        <v>3</v>
      </c>
      <c r="D2759" s="5" t="str">
        <f t="shared" si="95"/>
        <v>03</v>
      </c>
      <c r="E2759" t="str">
        <f>VLOOKUP(B2759,'HOGARES-BASELINE'!$B:$I,8,FALSE)</f>
        <v>01010800</v>
      </c>
      <c r="F2759" s="6" t="str">
        <f t="shared" si="96"/>
        <v>0101080003</v>
      </c>
    </row>
    <row r="2760" spans="1:6" x14ac:dyDescent="0.3">
      <c r="A2760" s="6" t="s">
        <v>2760</v>
      </c>
      <c r="B2760">
        <v>42991676</v>
      </c>
      <c r="C2760" s="3">
        <v>2</v>
      </c>
      <c r="D2760" s="5" t="str">
        <f t="shared" si="95"/>
        <v>02</v>
      </c>
      <c r="E2760" t="str">
        <f>VLOOKUP(B2760,'HOGARES-BASELINE'!$B:$I,8,FALSE)</f>
        <v>01010800</v>
      </c>
      <c r="F2760" s="6" t="str">
        <f t="shared" si="96"/>
        <v>0101080002</v>
      </c>
    </row>
    <row r="2761" spans="1:6" x14ac:dyDescent="0.3">
      <c r="A2761" s="6" t="s">
        <v>2761</v>
      </c>
      <c r="B2761">
        <v>42991676</v>
      </c>
      <c r="C2761" s="3">
        <v>5</v>
      </c>
      <c r="D2761" s="5" t="str">
        <f t="shared" si="95"/>
        <v>05</v>
      </c>
      <c r="E2761" t="str">
        <f>VLOOKUP(B2761,'HOGARES-BASELINE'!$B:$I,8,FALSE)</f>
        <v>01010800</v>
      </c>
      <c r="F2761" s="6" t="str">
        <f t="shared" si="96"/>
        <v>0101080005</v>
      </c>
    </row>
    <row r="2762" spans="1:6" x14ac:dyDescent="0.3">
      <c r="A2762" s="6" t="s">
        <v>2762</v>
      </c>
      <c r="B2762">
        <v>42991676</v>
      </c>
      <c r="C2762" s="3">
        <v>4</v>
      </c>
      <c r="D2762" s="5" t="str">
        <f t="shared" si="95"/>
        <v>04</v>
      </c>
      <c r="E2762" t="str">
        <f>VLOOKUP(B2762,'HOGARES-BASELINE'!$B:$I,8,FALSE)</f>
        <v>01010800</v>
      </c>
      <c r="F2762" s="6" t="str">
        <f t="shared" si="96"/>
        <v>0101080004</v>
      </c>
    </row>
    <row r="2763" spans="1:6" x14ac:dyDescent="0.3">
      <c r="A2763" s="6" t="s">
        <v>2763</v>
      </c>
      <c r="B2763">
        <v>42995862</v>
      </c>
      <c r="C2763" s="3">
        <v>2</v>
      </c>
      <c r="D2763" s="5" t="str">
        <f t="shared" si="95"/>
        <v>02</v>
      </c>
      <c r="E2763" t="str">
        <f>VLOOKUP(B2763,'HOGARES-BASELINE'!$B:$I,8,FALSE)</f>
        <v>01010801</v>
      </c>
      <c r="F2763" s="6" t="str">
        <f t="shared" si="96"/>
        <v>0101080102</v>
      </c>
    </row>
    <row r="2764" spans="1:6" x14ac:dyDescent="0.3">
      <c r="A2764" s="6" t="s">
        <v>2764</v>
      </c>
      <c r="B2764">
        <v>42995862</v>
      </c>
      <c r="C2764" s="3">
        <v>1</v>
      </c>
      <c r="D2764" s="5" t="str">
        <f t="shared" si="95"/>
        <v>01</v>
      </c>
      <c r="E2764" t="str">
        <f>VLOOKUP(B2764,'HOGARES-BASELINE'!$B:$I,8,FALSE)</f>
        <v>01010801</v>
      </c>
      <c r="F2764" s="6" t="str">
        <f t="shared" si="96"/>
        <v>0101080101</v>
      </c>
    </row>
    <row r="2765" spans="1:6" x14ac:dyDescent="0.3">
      <c r="A2765" s="6" t="s">
        <v>2765</v>
      </c>
      <c r="B2765">
        <v>42995862</v>
      </c>
      <c r="C2765" s="3">
        <v>3</v>
      </c>
      <c r="D2765" s="5" t="str">
        <f t="shared" si="95"/>
        <v>03</v>
      </c>
      <c r="E2765" t="str">
        <f>VLOOKUP(B2765,'HOGARES-BASELINE'!$B:$I,8,FALSE)</f>
        <v>01010801</v>
      </c>
      <c r="F2765" s="6" t="str">
        <f t="shared" si="96"/>
        <v>0101080103</v>
      </c>
    </row>
    <row r="2766" spans="1:6" x14ac:dyDescent="0.3">
      <c r="A2766" s="6" t="s">
        <v>2766</v>
      </c>
      <c r="B2766">
        <v>42995862</v>
      </c>
      <c r="C2766" s="3">
        <v>4</v>
      </c>
      <c r="D2766" s="5" t="str">
        <f t="shared" si="95"/>
        <v>04</v>
      </c>
      <c r="E2766" t="str">
        <f>VLOOKUP(B2766,'HOGARES-BASELINE'!$B:$I,8,FALSE)</f>
        <v>01010801</v>
      </c>
      <c r="F2766" s="6" t="str">
        <f t="shared" si="96"/>
        <v>0101080104</v>
      </c>
    </row>
    <row r="2767" spans="1:6" x14ac:dyDescent="0.3">
      <c r="A2767" s="6" t="s">
        <v>2767</v>
      </c>
      <c r="B2767">
        <v>43000384</v>
      </c>
      <c r="C2767" s="3">
        <v>1</v>
      </c>
      <c r="D2767" s="5" t="str">
        <f t="shared" si="95"/>
        <v>01</v>
      </c>
      <c r="E2767" t="str">
        <f>VLOOKUP(B2767,'HOGARES-BASELINE'!$B:$I,8,FALSE)</f>
        <v>00010802</v>
      </c>
      <c r="F2767" s="6" t="str">
        <f t="shared" si="96"/>
        <v>0001080201</v>
      </c>
    </row>
    <row r="2768" spans="1:6" x14ac:dyDescent="0.3">
      <c r="A2768" s="6" t="s">
        <v>2768</v>
      </c>
      <c r="B2768">
        <v>43011082</v>
      </c>
      <c r="C2768" s="3">
        <v>1</v>
      </c>
      <c r="D2768" s="5" t="str">
        <f t="shared" si="95"/>
        <v>01</v>
      </c>
      <c r="E2768" t="str">
        <f>VLOOKUP(B2768,'HOGARES-BASELINE'!$B:$I,8,FALSE)</f>
        <v>00010803</v>
      </c>
      <c r="F2768" s="6" t="str">
        <f t="shared" si="96"/>
        <v>0001080301</v>
      </c>
    </row>
    <row r="2769" spans="1:6" x14ac:dyDescent="0.3">
      <c r="A2769" s="6" t="s">
        <v>2769</v>
      </c>
      <c r="B2769">
        <v>43011082</v>
      </c>
      <c r="C2769" s="3">
        <v>2</v>
      </c>
      <c r="D2769" s="5" t="str">
        <f t="shared" si="95"/>
        <v>02</v>
      </c>
      <c r="E2769" t="str">
        <f>VLOOKUP(B2769,'HOGARES-BASELINE'!$B:$I,8,FALSE)</f>
        <v>00010803</v>
      </c>
      <c r="F2769" s="6" t="str">
        <f t="shared" si="96"/>
        <v>0001080302</v>
      </c>
    </row>
    <row r="2770" spans="1:6" x14ac:dyDescent="0.3">
      <c r="A2770" s="6" t="s">
        <v>2770</v>
      </c>
      <c r="B2770">
        <v>43025963</v>
      </c>
      <c r="C2770" s="3">
        <v>1</v>
      </c>
      <c r="D2770" s="5" t="str">
        <f t="shared" si="95"/>
        <v>01</v>
      </c>
      <c r="E2770" t="str">
        <f>VLOOKUP(B2770,'HOGARES-BASELINE'!$B:$I,8,FALSE)</f>
        <v>00010804</v>
      </c>
      <c r="F2770" s="6" t="str">
        <f t="shared" si="96"/>
        <v>0001080401</v>
      </c>
    </row>
    <row r="2771" spans="1:6" x14ac:dyDescent="0.3">
      <c r="A2771" s="6" t="s">
        <v>2771</v>
      </c>
      <c r="B2771">
        <v>43025963</v>
      </c>
      <c r="C2771" s="3">
        <v>2</v>
      </c>
      <c r="D2771" s="5" t="str">
        <f t="shared" si="95"/>
        <v>02</v>
      </c>
      <c r="E2771" t="str">
        <f>VLOOKUP(B2771,'HOGARES-BASELINE'!$B:$I,8,FALSE)</f>
        <v>00010804</v>
      </c>
      <c r="F2771" s="6" t="str">
        <f t="shared" si="96"/>
        <v>0001080402</v>
      </c>
    </row>
    <row r="2772" spans="1:6" x14ac:dyDescent="0.3">
      <c r="A2772" s="6" t="s">
        <v>2772</v>
      </c>
      <c r="B2772">
        <v>43030246</v>
      </c>
      <c r="C2772" s="3">
        <v>2</v>
      </c>
      <c r="D2772" s="5" t="str">
        <f t="shared" si="95"/>
        <v>02</v>
      </c>
      <c r="E2772" t="str">
        <f>VLOOKUP(B2772,'HOGARES-BASELINE'!$B:$I,8,FALSE)</f>
        <v>00010805</v>
      </c>
      <c r="F2772" s="6" t="str">
        <f t="shared" si="96"/>
        <v>0001080502</v>
      </c>
    </row>
    <row r="2773" spans="1:6" x14ac:dyDescent="0.3">
      <c r="A2773" s="6" t="s">
        <v>2773</v>
      </c>
      <c r="B2773">
        <v>43030246</v>
      </c>
      <c r="C2773" s="3">
        <v>4</v>
      </c>
      <c r="D2773" s="5" t="str">
        <f t="shared" si="95"/>
        <v>04</v>
      </c>
      <c r="E2773" t="str">
        <f>VLOOKUP(B2773,'HOGARES-BASELINE'!$B:$I,8,FALSE)</f>
        <v>00010805</v>
      </c>
      <c r="F2773" s="6" t="str">
        <f t="shared" si="96"/>
        <v>0001080504</v>
      </c>
    </row>
    <row r="2774" spans="1:6" x14ac:dyDescent="0.3">
      <c r="A2774" s="6" t="s">
        <v>2774</v>
      </c>
      <c r="B2774">
        <v>43030246</v>
      </c>
      <c r="C2774" s="3">
        <v>1</v>
      </c>
      <c r="D2774" s="5" t="str">
        <f t="shared" si="95"/>
        <v>01</v>
      </c>
      <c r="E2774" t="str">
        <f>VLOOKUP(B2774,'HOGARES-BASELINE'!$B:$I,8,FALSE)</f>
        <v>00010805</v>
      </c>
      <c r="F2774" s="6" t="str">
        <f t="shared" si="96"/>
        <v>0001080501</v>
      </c>
    </row>
    <row r="2775" spans="1:6" x14ac:dyDescent="0.3">
      <c r="A2775" s="6" t="s">
        <v>2775</v>
      </c>
      <c r="B2775">
        <v>43030246</v>
      </c>
      <c r="C2775" s="3">
        <v>3</v>
      </c>
      <c r="D2775" s="5" t="str">
        <f t="shared" si="95"/>
        <v>03</v>
      </c>
      <c r="E2775" t="str">
        <f>VLOOKUP(B2775,'HOGARES-BASELINE'!$B:$I,8,FALSE)</f>
        <v>00010805</v>
      </c>
      <c r="F2775" s="6" t="str">
        <f t="shared" si="96"/>
        <v>0001080503</v>
      </c>
    </row>
    <row r="2776" spans="1:6" x14ac:dyDescent="0.3">
      <c r="A2776" s="6" t="s">
        <v>2776</v>
      </c>
      <c r="B2776">
        <v>43033841</v>
      </c>
      <c r="C2776" s="3">
        <v>3</v>
      </c>
      <c r="D2776" s="5" t="str">
        <f t="shared" si="95"/>
        <v>03</v>
      </c>
      <c r="E2776" t="str">
        <f>VLOOKUP(B2776,'HOGARES-BASELINE'!$B:$I,8,FALSE)</f>
        <v>00010806</v>
      </c>
      <c r="F2776" s="6" t="str">
        <f t="shared" si="96"/>
        <v>0001080603</v>
      </c>
    </row>
    <row r="2777" spans="1:6" x14ac:dyDescent="0.3">
      <c r="A2777" s="6" t="s">
        <v>2777</v>
      </c>
      <c r="B2777">
        <v>43033841</v>
      </c>
      <c r="C2777" s="3">
        <v>1</v>
      </c>
      <c r="D2777" s="5" t="str">
        <f t="shared" si="95"/>
        <v>01</v>
      </c>
      <c r="E2777" t="str">
        <f>VLOOKUP(B2777,'HOGARES-BASELINE'!$B:$I,8,FALSE)</f>
        <v>00010806</v>
      </c>
      <c r="F2777" s="6" t="str">
        <f t="shared" si="96"/>
        <v>0001080601</v>
      </c>
    </row>
    <row r="2778" spans="1:6" x14ac:dyDescent="0.3">
      <c r="A2778" s="6" t="s">
        <v>2778</v>
      </c>
      <c r="B2778">
        <v>43033841</v>
      </c>
      <c r="C2778" s="3">
        <v>2</v>
      </c>
      <c r="D2778" s="5" t="str">
        <f t="shared" si="95"/>
        <v>02</v>
      </c>
      <c r="E2778" t="str">
        <f>VLOOKUP(B2778,'HOGARES-BASELINE'!$B:$I,8,FALSE)</f>
        <v>00010806</v>
      </c>
      <c r="F2778" s="6" t="str">
        <f t="shared" si="96"/>
        <v>0001080602</v>
      </c>
    </row>
    <row r="2779" spans="1:6" x14ac:dyDescent="0.3">
      <c r="A2779" s="6" t="s">
        <v>2779</v>
      </c>
      <c r="B2779">
        <v>43034542</v>
      </c>
      <c r="C2779" s="3">
        <v>1</v>
      </c>
      <c r="D2779" s="5" t="str">
        <f t="shared" si="95"/>
        <v>01</v>
      </c>
      <c r="E2779" t="str">
        <f>VLOOKUP(B2779,'HOGARES-BASELINE'!$B:$I,8,FALSE)</f>
        <v>01010807</v>
      </c>
      <c r="F2779" s="6" t="str">
        <f t="shared" si="96"/>
        <v>0101080701</v>
      </c>
    </row>
    <row r="2780" spans="1:6" x14ac:dyDescent="0.3">
      <c r="A2780" s="6" t="s">
        <v>2780</v>
      </c>
      <c r="B2780">
        <v>43034542</v>
      </c>
      <c r="C2780" s="3">
        <v>2</v>
      </c>
      <c r="D2780" s="5" t="str">
        <f t="shared" si="95"/>
        <v>02</v>
      </c>
      <c r="E2780" t="str">
        <f>VLOOKUP(B2780,'HOGARES-BASELINE'!$B:$I,8,FALSE)</f>
        <v>01010807</v>
      </c>
      <c r="F2780" s="6" t="str">
        <f t="shared" si="96"/>
        <v>0101080702</v>
      </c>
    </row>
    <row r="2781" spans="1:6" x14ac:dyDescent="0.3">
      <c r="A2781" s="6" t="s">
        <v>2781</v>
      </c>
      <c r="B2781">
        <v>43036224</v>
      </c>
      <c r="C2781" s="3">
        <v>2</v>
      </c>
      <c r="D2781" s="5" t="str">
        <f t="shared" si="95"/>
        <v>02</v>
      </c>
      <c r="E2781" t="str">
        <f>VLOOKUP(B2781,'HOGARES-BASELINE'!$B:$I,8,FALSE)</f>
        <v>00010808</v>
      </c>
      <c r="F2781" s="6" t="str">
        <f t="shared" si="96"/>
        <v>0001080802</v>
      </c>
    </row>
    <row r="2782" spans="1:6" x14ac:dyDescent="0.3">
      <c r="A2782" s="6" t="s">
        <v>2782</v>
      </c>
      <c r="B2782">
        <v>43036224</v>
      </c>
      <c r="C2782" s="3">
        <v>1</v>
      </c>
      <c r="D2782" s="5" t="str">
        <f t="shared" si="95"/>
        <v>01</v>
      </c>
      <c r="E2782" t="str">
        <f>VLOOKUP(B2782,'HOGARES-BASELINE'!$B:$I,8,FALSE)</f>
        <v>00010808</v>
      </c>
      <c r="F2782" s="6" t="str">
        <f t="shared" si="96"/>
        <v>0001080801</v>
      </c>
    </row>
    <row r="2783" spans="1:6" x14ac:dyDescent="0.3">
      <c r="A2783" s="6" t="s">
        <v>2783</v>
      </c>
      <c r="B2783">
        <v>43044407</v>
      </c>
      <c r="C2783" s="3">
        <v>3</v>
      </c>
      <c r="D2783" s="5" t="str">
        <f t="shared" si="95"/>
        <v>03</v>
      </c>
      <c r="E2783" t="str">
        <f>VLOOKUP(B2783,'HOGARES-BASELINE'!$B:$I,8,FALSE)</f>
        <v>00010809</v>
      </c>
      <c r="F2783" s="6" t="str">
        <f t="shared" si="96"/>
        <v>0001080903</v>
      </c>
    </row>
    <row r="2784" spans="1:6" x14ac:dyDescent="0.3">
      <c r="A2784" s="6" t="s">
        <v>2784</v>
      </c>
      <c r="B2784">
        <v>43044407</v>
      </c>
      <c r="C2784" s="3">
        <v>2</v>
      </c>
      <c r="D2784" s="5" t="str">
        <f t="shared" si="95"/>
        <v>02</v>
      </c>
      <c r="E2784" t="str">
        <f>VLOOKUP(B2784,'HOGARES-BASELINE'!$B:$I,8,FALSE)</f>
        <v>00010809</v>
      </c>
      <c r="F2784" s="6" t="str">
        <f t="shared" si="96"/>
        <v>0001080902</v>
      </c>
    </row>
    <row r="2785" spans="1:6" x14ac:dyDescent="0.3">
      <c r="A2785" s="6" t="s">
        <v>2785</v>
      </c>
      <c r="B2785">
        <v>43044407</v>
      </c>
      <c r="C2785" s="3">
        <v>1</v>
      </c>
      <c r="D2785" s="5" t="str">
        <f t="shared" si="95"/>
        <v>01</v>
      </c>
      <c r="E2785" t="str">
        <f>VLOOKUP(B2785,'HOGARES-BASELINE'!$B:$I,8,FALSE)</f>
        <v>00010809</v>
      </c>
      <c r="F2785" s="6" t="str">
        <f t="shared" si="96"/>
        <v>0001080901</v>
      </c>
    </row>
    <row r="2786" spans="1:6" x14ac:dyDescent="0.3">
      <c r="A2786" s="6" t="s">
        <v>2786</v>
      </c>
      <c r="B2786">
        <v>43057779</v>
      </c>
      <c r="C2786" s="3">
        <v>5</v>
      </c>
      <c r="D2786" s="5" t="str">
        <f t="shared" si="95"/>
        <v>05</v>
      </c>
      <c r="E2786" t="str">
        <f>VLOOKUP(B2786,'HOGARES-BASELINE'!$B:$I,8,FALSE)</f>
        <v>01010810</v>
      </c>
      <c r="F2786" s="6" t="str">
        <f t="shared" si="96"/>
        <v>0101081005</v>
      </c>
    </row>
    <row r="2787" spans="1:6" x14ac:dyDescent="0.3">
      <c r="A2787" s="6" t="s">
        <v>2787</v>
      </c>
      <c r="B2787">
        <v>43057779</v>
      </c>
      <c r="C2787" s="3">
        <v>6</v>
      </c>
      <c r="D2787" s="5" t="str">
        <f t="shared" si="95"/>
        <v>06</v>
      </c>
      <c r="E2787" t="str">
        <f>VLOOKUP(B2787,'HOGARES-BASELINE'!$B:$I,8,FALSE)</f>
        <v>01010810</v>
      </c>
      <c r="F2787" s="6" t="str">
        <f t="shared" si="96"/>
        <v>0101081006</v>
      </c>
    </row>
    <row r="2788" spans="1:6" x14ac:dyDescent="0.3">
      <c r="A2788" s="6" t="s">
        <v>2788</v>
      </c>
      <c r="B2788">
        <v>43057779</v>
      </c>
      <c r="C2788" s="3">
        <v>3</v>
      </c>
      <c r="D2788" s="5" t="str">
        <f t="shared" si="95"/>
        <v>03</v>
      </c>
      <c r="E2788" t="str">
        <f>VLOOKUP(B2788,'HOGARES-BASELINE'!$B:$I,8,FALSE)</f>
        <v>01010810</v>
      </c>
      <c r="F2788" s="6" t="str">
        <f t="shared" si="96"/>
        <v>0101081003</v>
      </c>
    </row>
    <row r="2789" spans="1:6" x14ac:dyDescent="0.3">
      <c r="A2789" s="6" t="s">
        <v>2789</v>
      </c>
      <c r="B2789">
        <v>43057779</v>
      </c>
      <c r="C2789" s="3">
        <v>2</v>
      </c>
      <c r="D2789" s="5" t="str">
        <f t="shared" si="95"/>
        <v>02</v>
      </c>
      <c r="E2789" t="str">
        <f>VLOOKUP(B2789,'HOGARES-BASELINE'!$B:$I,8,FALSE)</f>
        <v>01010810</v>
      </c>
      <c r="F2789" s="6" t="str">
        <f t="shared" si="96"/>
        <v>0101081002</v>
      </c>
    </row>
    <row r="2790" spans="1:6" x14ac:dyDescent="0.3">
      <c r="A2790" s="6" t="s">
        <v>2790</v>
      </c>
      <c r="B2790">
        <v>43057779</v>
      </c>
      <c r="C2790" s="3">
        <v>4</v>
      </c>
      <c r="D2790" s="5" t="str">
        <f t="shared" si="95"/>
        <v>04</v>
      </c>
      <c r="E2790" t="str">
        <f>VLOOKUP(B2790,'HOGARES-BASELINE'!$B:$I,8,FALSE)</f>
        <v>01010810</v>
      </c>
      <c r="F2790" s="6" t="str">
        <f t="shared" si="96"/>
        <v>0101081004</v>
      </c>
    </row>
    <row r="2791" spans="1:6" x14ac:dyDescent="0.3">
      <c r="A2791" s="6" t="s">
        <v>2791</v>
      </c>
      <c r="B2791">
        <v>43057779</v>
      </c>
      <c r="C2791" s="3">
        <v>7</v>
      </c>
      <c r="D2791" s="5" t="str">
        <f t="shared" si="95"/>
        <v>07</v>
      </c>
      <c r="E2791" t="str">
        <f>VLOOKUP(B2791,'HOGARES-BASELINE'!$B:$I,8,FALSE)</f>
        <v>01010810</v>
      </c>
      <c r="F2791" s="6" t="str">
        <f t="shared" si="96"/>
        <v>0101081007</v>
      </c>
    </row>
    <row r="2792" spans="1:6" x14ac:dyDescent="0.3">
      <c r="A2792" s="6" t="s">
        <v>2792</v>
      </c>
      <c r="B2792">
        <v>43057779</v>
      </c>
      <c r="C2792" s="3">
        <v>1</v>
      </c>
      <c r="D2792" s="5" t="str">
        <f t="shared" si="95"/>
        <v>01</v>
      </c>
      <c r="E2792" t="str">
        <f>VLOOKUP(B2792,'HOGARES-BASELINE'!$B:$I,8,FALSE)</f>
        <v>01010810</v>
      </c>
      <c r="F2792" s="6" t="str">
        <f t="shared" si="96"/>
        <v>0101081001</v>
      </c>
    </row>
    <row r="2793" spans="1:6" x14ac:dyDescent="0.3">
      <c r="A2793" s="6" t="s">
        <v>2793</v>
      </c>
      <c r="B2793">
        <v>43062092</v>
      </c>
      <c r="C2793" s="3">
        <v>1</v>
      </c>
      <c r="D2793" s="5" t="str">
        <f t="shared" si="95"/>
        <v>01</v>
      </c>
      <c r="E2793" t="str">
        <f>VLOOKUP(B2793,'HOGARES-BASELINE'!$B:$I,8,FALSE)</f>
        <v>01010811</v>
      </c>
      <c r="F2793" s="6" t="str">
        <f t="shared" si="96"/>
        <v>0101081101</v>
      </c>
    </row>
    <row r="2794" spans="1:6" x14ac:dyDescent="0.3">
      <c r="A2794" s="6" t="s">
        <v>2794</v>
      </c>
      <c r="B2794">
        <v>43062092</v>
      </c>
      <c r="C2794" s="3">
        <v>2</v>
      </c>
      <c r="D2794" s="5" t="str">
        <f t="shared" si="95"/>
        <v>02</v>
      </c>
      <c r="E2794" t="str">
        <f>VLOOKUP(B2794,'HOGARES-BASELINE'!$B:$I,8,FALSE)</f>
        <v>01010811</v>
      </c>
      <c r="F2794" s="6" t="str">
        <f t="shared" si="96"/>
        <v>0101081102</v>
      </c>
    </row>
    <row r="2795" spans="1:6" x14ac:dyDescent="0.3">
      <c r="A2795" s="6" t="s">
        <v>2795</v>
      </c>
      <c r="B2795">
        <v>43065696</v>
      </c>
      <c r="C2795" s="3">
        <v>2</v>
      </c>
      <c r="D2795" s="5" t="str">
        <f t="shared" si="95"/>
        <v>02</v>
      </c>
      <c r="E2795" t="str">
        <f>VLOOKUP(B2795,'HOGARES-BASELINE'!$B:$I,8,FALSE)</f>
        <v>00010812</v>
      </c>
      <c r="F2795" s="6" t="str">
        <f t="shared" si="96"/>
        <v>0001081202</v>
      </c>
    </row>
    <row r="2796" spans="1:6" x14ac:dyDescent="0.3">
      <c r="A2796" s="6" t="s">
        <v>2796</v>
      </c>
      <c r="B2796">
        <v>43065696</v>
      </c>
      <c r="C2796" s="3">
        <v>1</v>
      </c>
      <c r="D2796" s="5" t="str">
        <f t="shared" ref="D2796:D2859" si="97">_xlfn.CONCAT(0,C2796)</f>
        <v>01</v>
      </c>
      <c r="E2796" t="str">
        <f>VLOOKUP(B2796,'HOGARES-BASELINE'!$B:$I,8,FALSE)</f>
        <v>00010812</v>
      </c>
      <c r="F2796" s="6" t="str">
        <f t="shared" si="96"/>
        <v>0001081201</v>
      </c>
    </row>
    <row r="2797" spans="1:6" x14ac:dyDescent="0.3">
      <c r="A2797" s="6" t="s">
        <v>2797</v>
      </c>
      <c r="B2797">
        <v>43066439</v>
      </c>
      <c r="C2797" s="3">
        <v>1</v>
      </c>
      <c r="D2797" s="5" t="str">
        <f t="shared" si="97"/>
        <v>01</v>
      </c>
      <c r="E2797" t="str">
        <f>VLOOKUP(B2797,'HOGARES-BASELINE'!$B:$I,8,FALSE)</f>
        <v>00010813</v>
      </c>
      <c r="F2797" s="6" t="str">
        <f t="shared" si="96"/>
        <v>0001081301</v>
      </c>
    </row>
    <row r="2798" spans="1:6" x14ac:dyDescent="0.3">
      <c r="A2798" s="6" t="s">
        <v>2798</v>
      </c>
      <c r="B2798">
        <v>43066481</v>
      </c>
      <c r="C2798" s="3">
        <v>1</v>
      </c>
      <c r="D2798" s="5" t="str">
        <f t="shared" si="97"/>
        <v>01</v>
      </c>
      <c r="E2798" t="str">
        <f>VLOOKUP(B2798,'HOGARES-BASELINE'!$B:$I,8,FALSE)</f>
        <v>00010814</v>
      </c>
      <c r="F2798" s="6" t="str">
        <f t="shared" si="96"/>
        <v>0001081401</v>
      </c>
    </row>
    <row r="2799" spans="1:6" x14ac:dyDescent="0.3">
      <c r="A2799" s="6" t="s">
        <v>2799</v>
      </c>
      <c r="B2799">
        <v>43066859</v>
      </c>
      <c r="C2799" s="3">
        <v>2</v>
      </c>
      <c r="D2799" s="5" t="str">
        <f t="shared" si="97"/>
        <v>02</v>
      </c>
      <c r="E2799" t="str">
        <f>VLOOKUP(B2799,'HOGARES-BASELINE'!$B:$I,8,FALSE)</f>
        <v>01010815</v>
      </c>
      <c r="F2799" s="6" t="str">
        <f t="shared" si="96"/>
        <v>0101081502</v>
      </c>
    </row>
    <row r="2800" spans="1:6" x14ac:dyDescent="0.3">
      <c r="A2800" s="6" t="s">
        <v>2800</v>
      </c>
      <c r="B2800">
        <v>43066859</v>
      </c>
      <c r="C2800" s="3">
        <v>3</v>
      </c>
      <c r="D2800" s="5" t="str">
        <f t="shared" si="97"/>
        <v>03</v>
      </c>
      <c r="E2800" t="str">
        <f>VLOOKUP(B2800,'HOGARES-BASELINE'!$B:$I,8,FALSE)</f>
        <v>01010815</v>
      </c>
      <c r="F2800" s="6" t="str">
        <f t="shared" si="96"/>
        <v>0101081503</v>
      </c>
    </row>
    <row r="2801" spans="1:6" x14ac:dyDescent="0.3">
      <c r="A2801" s="6" t="s">
        <v>2801</v>
      </c>
      <c r="B2801">
        <v>43066859</v>
      </c>
      <c r="C2801" s="3">
        <v>5</v>
      </c>
      <c r="D2801" s="5" t="str">
        <f t="shared" si="97"/>
        <v>05</v>
      </c>
      <c r="E2801" t="str">
        <f>VLOOKUP(B2801,'HOGARES-BASELINE'!$B:$I,8,FALSE)</f>
        <v>01010815</v>
      </c>
      <c r="F2801" s="6" t="str">
        <f t="shared" si="96"/>
        <v>0101081505</v>
      </c>
    </row>
    <row r="2802" spans="1:6" x14ac:dyDescent="0.3">
      <c r="A2802" s="6" t="s">
        <v>2802</v>
      </c>
      <c r="B2802">
        <v>43066859</v>
      </c>
      <c r="C2802" s="3">
        <v>7</v>
      </c>
      <c r="D2802" s="5" t="str">
        <f t="shared" si="97"/>
        <v>07</v>
      </c>
      <c r="E2802" t="str">
        <f>VLOOKUP(B2802,'HOGARES-BASELINE'!$B:$I,8,FALSE)</f>
        <v>01010815</v>
      </c>
      <c r="F2802" s="6" t="str">
        <f t="shared" si="96"/>
        <v>0101081507</v>
      </c>
    </row>
    <row r="2803" spans="1:6" x14ac:dyDescent="0.3">
      <c r="A2803" s="6" t="s">
        <v>2803</v>
      </c>
      <c r="B2803">
        <v>43066859</v>
      </c>
      <c r="C2803" s="3">
        <v>4</v>
      </c>
      <c r="D2803" s="5" t="str">
        <f t="shared" si="97"/>
        <v>04</v>
      </c>
      <c r="E2803" t="str">
        <f>VLOOKUP(B2803,'HOGARES-BASELINE'!$B:$I,8,FALSE)</f>
        <v>01010815</v>
      </c>
      <c r="F2803" s="6" t="str">
        <f t="shared" si="96"/>
        <v>0101081504</v>
      </c>
    </row>
    <row r="2804" spans="1:6" x14ac:dyDescent="0.3">
      <c r="A2804" s="6" t="s">
        <v>2804</v>
      </c>
      <c r="B2804">
        <v>43066859</v>
      </c>
      <c r="C2804" s="3">
        <v>1</v>
      </c>
      <c r="D2804" s="5" t="str">
        <f t="shared" si="97"/>
        <v>01</v>
      </c>
      <c r="E2804" t="str">
        <f>VLOOKUP(B2804,'HOGARES-BASELINE'!$B:$I,8,FALSE)</f>
        <v>01010815</v>
      </c>
      <c r="F2804" s="6" t="str">
        <f t="shared" si="96"/>
        <v>0101081501</v>
      </c>
    </row>
    <row r="2805" spans="1:6" x14ac:dyDescent="0.3">
      <c r="A2805" s="6" t="s">
        <v>2805</v>
      </c>
      <c r="B2805">
        <v>43066859</v>
      </c>
      <c r="C2805" s="3">
        <v>6</v>
      </c>
      <c r="D2805" s="5" t="str">
        <f t="shared" si="97"/>
        <v>06</v>
      </c>
      <c r="E2805" t="str">
        <f>VLOOKUP(B2805,'HOGARES-BASELINE'!$B:$I,8,FALSE)</f>
        <v>01010815</v>
      </c>
      <c r="F2805" s="6" t="str">
        <f t="shared" si="96"/>
        <v>0101081506</v>
      </c>
    </row>
    <row r="2806" spans="1:6" x14ac:dyDescent="0.3">
      <c r="A2806" s="6" t="s">
        <v>2806</v>
      </c>
      <c r="B2806">
        <v>43069093</v>
      </c>
      <c r="C2806" s="3">
        <v>2</v>
      </c>
      <c r="D2806" s="5" t="str">
        <f t="shared" si="97"/>
        <v>02</v>
      </c>
      <c r="E2806" t="str">
        <f>VLOOKUP(B2806,'HOGARES-BASELINE'!$B:$I,8,FALSE)</f>
        <v>01010816</v>
      </c>
      <c r="F2806" s="6" t="str">
        <f t="shared" si="96"/>
        <v>0101081602</v>
      </c>
    </row>
    <row r="2807" spans="1:6" x14ac:dyDescent="0.3">
      <c r="A2807" s="6" t="s">
        <v>2807</v>
      </c>
      <c r="B2807">
        <v>43069093</v>
      </c>
      <c r="C2807" s="3">
        <v>1</v>
      </c>
      <c r="D2807" s="5" t="str">
        <f t="shared" si="97"/>
        <v>01</v>
      </c>
      <c r="E2807" t="str">
        <f>VLOOKUP(B2807,'HOGARES-BASELINE'!$B:$I,8,FALSE)</f>
        <v>01010816</v>
      </c>
      <c r="F2807" s="6" t="str">
        <f t="shared" si="96"/>
        <v>0101081601</v>
      </c>
    </row>
    <row r="2808" spans="1:6" x14ac:dyDescent="0.3">
      <c r="A2808" s="6" t="s">
        <v>2808</v>
      </c>
      <c r="B2808">
        <v>43070425</v>
      </c>
      <c r="C2808" s="3">
        <v>1</v>
      </c>
      <c r="D2808" s="5" t="str">
        <f t="shared" si="97"/>
        <v>01</v>
      </c>
      <c r="E2808" t="str">
        <f>VLOOKUP(B2808,'HOGARES-BASELINE'!$B:$I,8,FALSE)</f>
        <v>00010817</v>
      </c>
      <c r="F2808" s="6" t="str">
        <f t="shared" si="96"/>
        <v>0001081701</v>
      </c>
    </row>
    <row r="2809" spans="1:6" x14ac:dyDescent="0.3">
      <c r="A2809" s="6" t="s">
        <v>2809</v>
      </c>
      <c r="B2809">
        <v>43070884</v>
      </c>
      <c r="C2809" s="3">
        <v>1</v>
      </c>
      <c r="D2809" s="5" t="str">
        <f t="shared" si="97"/>
        <v>01</v>
      </c>
      <c r="E2809" t="str">
        <f>VLOOKUP(B2809,'HOGARES-BASELINE'!$B:$I,8,FALSE)</f>
        <v>01010818</v>
      </c>
      <c r="F2809" s="6" t="str">
        <f t="shared" si="96"/>
        <v>0101081801</v>
      </c>
    </row>
    <row r="2810" spans="1:6" x14ac:dyDescent="0.3">
      <c r="A2810" s="6" t="s">
        <v>2810</v>
      </c>
      <c r="B2810">
        <v>43073733</v>
      </c>
      <c r="C2810" s="3">
        <v>2</v>
      </c>
      <c r="D2810" s="5" t="str">
        <f t="shared" si="97"/>
        <v>02</v>
      </c>
      <c r="E2810" t="str">
        <f>VLOOKUP(B2810,'HOGARES-BASELINE'!$B:$I,8,FALSE)</f>
        <v>00010819</v>
      </c>
      <c r="F2810" s="6" t="str">
        <f t="shared" si="96"/>
        <v>0001081902</v>
      </c>
    </row>
    <row r="2811" spans="1:6" x14ac:dyDescent="0.3">
      <c r="A2811" s="6" t="s">
        <v>2811</v>
      </c>
      <c r="B2811">
        <v>43073733</v>
      </c>
      <c r="C2811" s="3">
        <v>1</v>
      </c>
      <c r="D2811" s="5" t="str">
        <f t="shared" si="97"/>
        <v>01</v>
      </c>
      <c r="E2811" t="str">
        <f>VLOOKUP(B2811,'HOGARES-BASELINE'!$B:$I,8,FALSE)</f>
        <v>00010819</v>
      </c>
      <c r="F2811" s="6" t="str">
        <f t="shared" si="96"/>
        <v>0001081901</v>
      </c>
    </row>
    <row r="2812" spans="1:6" x14ac:dyDescent="0.3">
      <c r="A2812" s="6" t="s">
        <v>2812</v>
      </c>
      <c r="B2812">
        <v>43073733</v>
      </c>
      <c r="C2812" s="3">
        <v>3</v>
      </c>
      <c r="D2812" s="5" t="str">
        <f t="shared" si="97"/>
        <v>03</v>
      </c>
      <c r="E2812" t="str">
        <f>VLOOKUP(B2812,'HOGARES-BASELINE'!$B:$I,8,FALSE)</f>
        <v>00010819</v>
      </c>
      <c r="F2812" s="6" t="str">
        <f t="shared" si="96"/>
        <v>0001081903</v>
      </c>
    </row>
    <row r="2813" spans="1:6" x14ac:dyDescent="0.3">
      <c r="A2813" s="6" t="s">
        <v>2813</v>
      </c>
      <c r="B2813">
        <v>43075851</v>
      </c>
      <c r="C2813" s="3">
        <v>2</v>
      </c>
      <c r="D2813" s="5" t="str">
        <f t="shared" si="97"/>
        <v>02</v>
      </c>
      <c r="E2813" t="str">
        <f>VLOOKUP(B2813,'HOGARES-BASELINE'!$B:$I,8,FALSE)</f>
        <v>01010820</v>
      </c>
      <c r="F2813" s="6" t="str">
        <f t="shared" si="96"/>
        <v>0101082002</v>
      </c>
    </row>
    <row r="2814" spans="1:6" x14ac:dyDescent="0.3">
      <c r="A2814" s="6" t="s">
        <v>2814</v>
      </c>
      <c r="B2814">
        <v>43075851</v>
      </c>
      <c r="C2814" s="3">
        <v>1</v>
      </c>
      <c r="D2814" s="5" t="str">
        <f t="shared" si="97"/>
        <v>01</v>
      </c>
      <c r="E2814" t="str">
        <f>VLOOKUP(B2814,'HOGARES-BASELINE'!$B:$I,8,FALSE)</f>
        <v>01010820</v>
      </c>
      <c r="F2814" s="6" t="str">
        <f t="shared" si="96"/>
        <v>0101082001</v>
      </c>
    </row>
    <row r="2815" spans="1:6" x14ac:dyDescent="0.3">
      <c r="A2815" s="6" t="s">
        <v>2815</v>
      </c>
      <c r="B2815">
        <v>43078979</v>
      </c>
      <c r="C2815" s="3">
        <v>1</v>
      </c>
      <c r="D2815" s="5" t="str">
        <f t="shared" si="97"/>
        <v>01</v>
      </c>
      <c r="E2815" t="str">
        <f>VLOOKUP(B2815,'HOGARES-BASELINE'!$B:$I,8,FALSE)</f>
        <v>00010821</v>
      </c>
      <c r="F2815" s="6" t="str">
        <f t="shared" si="96"/>
        <v>0001082101</v>
      </c>
    </row>
    <row r="2816" spans="1:6" x14ac:dyDescent="0.3">
      <c r="A2816" s="6" t="s">
        <v>2816</v>
      </c>
      <c r="B2816">
        <v>43083979</v>
      </c>
      <c r="C2816" s="3">
        <v>1</v>
      </c>
      <c r="D2816" s="5" t="str">
        <f t="shared" si="97"/>
        <v>01</v>
      </c>
      <c r="E2816" t="str">
        <f>VLOOKUP(B2816,'HOGARES-BASELINE'!$B:$I,8,FALSE)</f>
        <v>00010822</v>
      </c>
      <c r="F2816" s="6" t="str">
        <f t="shared" si="96"/>
        <v>0001082201</v>
      </c>
    </row>
    <row r="2817" spans="1:6" x14ac:dyDescent="0.3">
      <c r="A2817" s="6" t="s">
        <v>2817</v>
      </c>
      <c r="B2817">
        <v>43085567</v>
      </c>
      <c r="C2817" s="3">
        <v>2</v>
      </c>
      <c r="D2817" s="5" t="str">
        <f t="shared" si="97"/>
        <v>02</v>
      </c>
      <c r="E2817" t="str">
        <f>VLOOKUP(B2817,'HOGARES-BASELINE'!$B:$I,8,FALSE)</f>
        <v>00010823</v>
      </c>
      <c r="F2817" s="6" t="str">
        <f t="shared" si="96"/>
        <v>0001082302</v>
      </c>
    </row>
    <row r="2818" spans="1:6" x14ac:dyDescent="0.3">
      <c r="A2818" s="6" t="s">
        <v>2818</v>
      </c>
      <c r="B2818">
        <v>43085567</v>
      </c>
      <c r="C2818" s="3">
        <v>1</v>
      </c>
      <c r="D2818" s="5" t="str">
        <f t="shared" si="97"/>
        <v>01</v>
      </c>
      <c r="E2818" t="str">
        <f>VLOOKUP(B2818,'HOGARES-BASELINE'!$B:$I,8,FALSE)</f>
        <v>00010823</v>
      </c>
      <c r="F2818" s="6" t="str">
        <f t="shared" si="96"/>
        <v>0001082301</v>
      </c>
    </row>
    <row r="2819" spans="1:6" x14ac:dyDescent="0.3">
      <c r="A2819" s="6" t="s">
        <v>2819</v>
      </c>
      <c r="B2819">
        <v>43085567</v>
      </c>
      <c r="C2819" s="3">
        <v>5</v>
      </c>
      <c r="D2819" s="5" t="str">
        <f t="shared" si="97"/>
        <v>05</v>
      </c>
      <c r="E2819" t="str">
        <f>VLOOKUP(B2819,'HOGARES-BASELINE'!$B:$I,8,FALSE)</f>
        <v>00010823</v>
      </c>
      <c r="F2819" s="6" t="str">
        <f t="shared" ref="F2819:F2882" si="98">_xlfn.CONCAT(E2819,D2819)</f>
        <v>0001082305</v>
      </c>
    </row>
    <row r="2820" spans="1:6" x14ac:dyDescent="0.3">
      <c r="A2820" s="6" t="s">
        <v>2820</v>
      </c>
      <c r="B2820">
        <v>43085567</v>
      </c>
      <c r="C2820" s="3">
        <v>6</v>
      </c>
      <c r="D2820" s="5" t="str">
        <f t="shared" si="97"/>
        <v>06</v>
      </c>
      <c r="E2820" t="str">
        <f>VLOOKUP(B2820,'HOGARES-BASELINE'!$B:$I,8,FALSE)</f>
        <v>00010823</v>
      </c>
      <c r="F2820" s="6" t="str">
        <f t="shared" si="98"/>
        <v>0001082306</v>
      </c>
    </row>
    <row r="2821" spans="1:6" x14ac:dyDescent="0.3">
      <c r="A2821" s="6" t="s">
        <v>2821</v>
      </c>
      <c r="B2821">
        <v>43085567</v>
      </c>
      <c r="C2821" s="3">
        <v>3</v>
      </c>
      <c r="D2821" s="5" t="str">
        <f t="shared" si="97"/>
        <v>03</v>
      </c>
      <c r="E2821" t="str">
        <f>VLOOKUP(B2821,'HOGARES-BASELINE'!$B:$I,8,FALSE)</f>
        <v>00010823</v>
      </c>
      <c r="F2821" s="6" t="str">
        <f t="shared" si="98"/>
        <v>0001082303</v>
      </c>
    </row>
    <row r="2822" spans="1:6" x14ac:dyDescent="0.3">
      <c r="A2822" s="6" t="s">
        <v>2822</v>
      </c>
      <c r="B2822">
        <v>43085567</v>
      </c>
      <c r="C2822" s="3">
        <v>7</v>
      </c>
      <c r="D2822" s="5" t="str">
        <f t="shared" si="97"/>
        <v>07</v>
      </c>
      <c r="E2822" t="str">
        <f>VLOOKUP(B2822,'HOGARES-BASELINE'!$B:$I,8,FALSE)</f>
        <v>00010823</v>
      </c>
      <c r="F2822" s="6" t="str">
        <f t="shared" si="98"/>
        <v>0001082307</v>
      </c>
    </row>
    <row r="2823" spans="1:6" x14ac:dyDescent="0.3">
      <c r="A2823" s="6" t="s">
        <v>2823</v>
      </c>
      <c r="B2823">
        <v>43085567</v>
      </c>
      <c r="C2823" s="3">
        <v>4</v>
      </c>
      <c r="D2823" s="5" t="str">
        <f t="shared" si="97"/>
        <v>04</v>
      </c>
      <c r="E2823" t="str">
        <f>VLOOKUP(B2823,'HOGARES-BASELINE'!$B:$I,8,FALSE)</f>
        <v>00010823</v>
      </c>
      <c r="F2823" s="6" t="str">
        <f t="shared" si="98"/>
        <v>0001082304</v>
      </c>
    </row>
    <row r="2824" spans="1:6" x14ac:dyDescent="0.3">
      <c r="A2824" s="6" t="s">
        <v>2824</v>
      </c>
      <c r="B2824">
        <v>43085637</v>
      </c>
      <c r="C2824" s="3">
        <v>2</v>
      </c>
      <c r="D2824" s="5" t="str">
        <f t="shared" si="97"/>
        <v>02</v>
      </c>
      <c r="E2824" t="str">
        <f>VLOOKUP(B2824,'HOGARES-BASELINE'!$B:$I,8,FALSE)</f>
        <v>01010824</v>
      </c>
      <c r="F2824" s="6" t="str">
        <f t="shared" si="98"/>
        <v>0101082402</v>
      </c>
    </row>
    <row r="2825" spans="1:6" x14ac:dyDescent="0.3">
      <c r="A2825" s="6" t="s">
        <v>2825</v>
      </c>
      <c r="B2825">
        <v>43085637</v>
      </c>
      <c r="C2825" s="3">
        <v>3</v>
      </c>
      <c r="D2825" s="5" t="str">
        <f t="shared" si="97"/>
        <v>03</v>
      </c>
      <c r="E2825" t="str">
        <f>VLOOKUP(B2825,'HOGARES-BASELINE'!$B:$I,8,FALSE)</f>
        <v>01010824</v>
      </c>
      <c r="F2825" s="6" t="str">
        <f t="shared" si="98"/>
        <v>0101082403</v>
      </c>
    </row>
    <row r="2826" spans="1:6" x14ac:dyDescent="0.3">
      <c r="A2826" s="6" t="s">
        <v>2826</v>
      </c>
      <c r="B2826">
        <v>43085637</v>
      </c>
      <c r="C2826" s="3">
        <v>1</v>
      </c>
      <c r="D2826" s="5" t="str">
        <f t="shared" si="97"/>
        <v>01</v>
      </c>
      <c r="E2826" t="str">
        <f>VLOOKUP(B2826,'HOGARES-BASELINE'!$B:$I,8,FALSE)</f>
        <v>01010824</v>
      </c>
      <c r="F2826" s="6" t="str">
        <f t="shared" si="98"/>
        <v>0101082401</v>
      </c>
    </row>
    <row r="2827" spans="1:6" x14ac:dyDescent="0.3">
      <c r="A2827" s="6" t="s">
        <v>2827</v>
      </c>
      <c r="B2827">
        <v>43097896</v>
      </c>
      <c r="C2827" s="3">
        <v>2</v>
      </c>
      <c r="D2827" s="5" t="str">
        <f t="shared" si="97"/>
        <v>02</v>
      </c>
      <c r="E2827" t="str">
        <f>VLOOKUP(B2827,'HOGARES-BASELINE'!$B:$I,8,FALSE)</f>
        <v>00010825</v>
      </c>
      <c r="F2827" s="6" t="str">
        <f t="shared" si="98"/>
        <v>0001082502</v>
      </c>
    </row>
    <row r="2828" spans="1:6" x14ac:dyDescent="0.3">
      <c r="A2828" s="6" t="s">
        <v>2828</v>
      </c>
      <c r="B2828">
        <v>43097896</v>
      </c>
      <c r="C2828" s="3">
        <v>1</v>
      </c>
      <c r="D2828" s="5" t="str">
        <f t="shared" si="97"/>
        <v>01</v>
      </c>
      <c r="E2828" t="str">
        <f>VLOOKUP(B2828,'HOGARES-BASELINE'!$B:$I,8,FALSE)</f>
        <v>00010825</v>
      </c>
      <c r="F2828" s="6" t="str">
        <f t="shared" si="98"/>
        <v>0001082501</v>
      </c>
    </row>
    <row r="2829" spans="1:6" x14ac:dyDescent="0.3">
      <c r="A2829" s="6" t="s">
        <v>2829</v>
      </c>
      <c r="B2829">
        <v>43100548</v>
      </c>
      <c r="C2829" s="3">
        <v>1</v>
      </c>
      <c r="D2829" s="5" t="str">
        <f t="shared" si="97"/>
        <v>01</v>
      </c>
      <c r="E2829" t="str">
        <f>VLOOKUP(B2829,'HOGARES-BASELINE'!$B:$I,8,FALSE)</f>
        <v>00010826</v>
      </c>
      <c r="F2829" s="6" t="str">
        <f t="shared" si="98"/>
        <v>0001082601</v>
      </c>
    </row>
    <row r="2830" spans="1:6" x14ac:dyDescent="0.3">
      <c r="A2830" s="6" t="s">
        <v>2830</v>
      </c>
      <c r="B2830">
        <v>43100548</v>
      </c>
      <c r="C2830" s="3">
        <v>2</v>
      </c>
      <c r="D2830" s="5" t="str">
        <f t="shared" si="97"/>
        <v>02</v>
      </c>
      <c r="E2830" t="str">
        <f>VLOOKUP(B2830,'HOGARES-BASELINE'!$B:$I,8,FALSE)</f>
        <v>00010826</v>
      </c>
      <c r="F2830" s="6" t="str">
        <f t="shared" si="98"/>
        <v>0001082602</v>
      </c>
    </row>
    <row r="2831" spans="1:6" x14ac:dyDescent="0.3">
      <c r="A2831" s="6" t="s">
        <v>2831</v>
      </c>
      <c r="B2831">
        <v>43100739</v>
      </c>
      <c r="C2831" s="3">
        <v>3</v>
      </c>
      <c r="D2831" s="5" t="str">
        <f t="shared" si="97"/>
        <v>03</v>
      </c>
      <c r="E2831" t="str">
        <f>VLOOKUP(B2831,'HOGARES-BASELINE'!$B:$I,8,FALSE)</f>
        <v>01010827</v>
      </c>
      <c r="F2831" s="6" t="str">
        <f t="shared" si="98"/>
        <v>0101082703</v>
      </c>
    </row>
    <row r="2832" spans="1:6" x14ac:dyDescent="0.3">
      <c r="A2832" s="6" t="s">
        <v>2832</v>
      </c>
      <c r="B2832">
        <v>43100739</v>
      </c>
      <c r="C2832" s="3">
        <v>1</v>
      </c>
      <c r="D2832" s="5" t="str">
        <f t="shared" si="97"/>
        <v>01</v>
      </c>
      <c r="E2832" t="str">
        <f>VLOOKUP(B2832,'HOGARES-BASELINE'!$B:$I,8,FALSE)</f>
        <v>01010827</v>
      </c>
      <c r="F2832" s="6" t="str">
        <f t="shared" si="98"/>
        <v>0101082701</v>
      </c>
    </row>
    <row r="2833" spans="1:6" x14ac:dyDescent="0.3">
      <c r="A2833" s="6" t="s">
        <v>2833</v>
      </c>
      <c r="B2833">
        <v>43100739</v>
      </c>
      <c r="C2833" s="3">
        <v>6</v>
      </c>
      <c r="D2833" s="5" t="str">
        <f t="shared" si="97"/>
        <v>06</v>
      </c>
      <c r="E2833" t="str">
        <f>VLOOKUP(B2833,'HOGARES-BASELINE'!$B:$I,8,FALSE)</f>
        <v>01010827</v>
      </c>
      <c r="F2833" s="6" t="str">
        <f t="shared" si="98"/>
        <v>0101082706</v>
      </c>
    </row>
    <row r="2834" spans="1:6" x14ac:dyDescent="0.3">
      <c r="A2834" s="6" t="s">
        <v>2834</v>
      </c>
      <c r="B2834">
        <v>43100739</v>
      </c>
      <c r="C2834" s="3">
        <v>5</v>
      </c>
      <c r="D2834" s="5" t="str">
        <f t="shared" si="97"/>
        <v>05</v>
      </c>
      <c r="E2834" t="str">
        <f>VLOOKUP(B2834,'HOGARES-BASELINE'!$B:$I,8,FALSE)</f>
        <v>01010827</v>
      </c>
      <c r="F2834" s="6" t="str">
        <f t="shared" si="98"/>
        <v>0101082705</v>
      </c>
    </row>
    <row r="2835" spans="1:6" x14ac:dyDescent="0.3">
      <c r="A2835" s="6" t="s">
        <v>2835</v>
      </c>
      <c r="B2835">
        <v>43100739</v>
      </c>
      <c r="C2835" s="3">
        <v>2</v>
      </c>
      <c r="D2835" s="5" t="str">
        <f t="shared" si="97"/>
        <v>02</v>
      </c>
      <c r="E2835" t="str">
        <f>VLOOKUP(B2835,'HOGARES-BASELINE'!$B:$I,8,FALSE)</f>
        <v>01010827</v>
      </c>
      <c r="F2835" s="6" t="str">
        <f t="shared" si="98"/>
        <v>0101082702</v>
      </c>
    </row>
    <row r="2836" spans="1:6" x14ac:dyDescent="0.3">
      <c r="A2836" s="6" t="s">
        <v>2836</v>
      </c>
      <c r="B2836">
        <v>43100739</v>
      </c>
      <c r="C2836" s="3">
        <v>4</v>
      </c>
      <c r="D2836" s="5" t="str">
        <f t="shared" si="97"/>
        <v>04</v>
      </c>
      <c r="E2836" t="str">
        <f>VLOOKUP(B2836,'HOGARES-BASELINE'!$B:$I,8,FALSE)</f>
        <v>01010827</v>
      </c>
      <c r="F2836" s="6" t="str">
        <f t="shared" si="98"/>
        <v>0101082704</v>
      </c>
    </row>
    <row r="2837" spans="1:6" x14ac:dyDescent="0.3">
      <c r="A2837" s="6" t="s">
        <v>2837</v>
      </c>
      <c r="B2837">
        <v>43101586</v>
      </c>
      <c r="C2837" s="3">
        <v>1</v>
      </c>
      <c r="D2837" s="5" t="str">
        <f t="shared" si="97"/>
        <v>01</v>
      </c>
      <c r="E2837" t="str">
        <f>VLOOKUP(B2837,'HOGARES-BASELINE'!$B:$I,8,FALSE)</f>
        <v>01010828</v>
      </c>
      <c r="F2837" s="6" t="str">
        <f t="shared" si="98"/>
        <v>0101082801</v>
      </c>
    </row>
    <row r="2838" spans="1:6" x14ac:dyDescent="0.3">
      <c r="A2838" s="6" t="s">
        <v>2838</v>
      </c>
      <c r="B2838">
        <v>43101586</v>
      </c>
      <c r="C2838" s="3">
        <v>2</v>
      </c>
      <c r="D2838" s="5" t="str">
        <f t="shared" si="97"/>
        <v>02</v>
      </c>
      <c r="E2838" t="str">
        <f>VLOOKUP(B2838,'HOGARES-BASELINE'!$B:$I,8,FALSE)</f>
        <v>01010828</v>
      </c>
      <c r="F2838" s="6" t="str">
        <f t="shared" si="98"/>
        <v>0101082802</v>
      </c>
    </row>
    <row r="2839" spans="1:6" x14ac:dyDescent="0.3">
      <c r="A2839" s="6" t="s">
        <v>2839</v>
      </c>
      <c r="B2839">
        <v>43101586</v>
      </c>
      <c r="C2839" s="3">
        <v>4</v>
      </c>
      <c r="D2839" s="5" t="str">
        <f t="shared" si="97"/>
        <v>04</v>
      </c>
      <c r="E2839" t="str">
        <f>VLOOKUP(B2839,'HOGARES-BASELINE'!$B:$I,8,FALSE)</f>
        <v>01010828</v>
      </c>
      <c r="F2839" s="6" t="str">
        <f t="shared" si="98"/>
        <v>0101082804</v>
      </c>
    </row>
    <row r="2840" spans="1:6" x14ac:dyDescent="0.3">
      <c r="A2840" s="6" t="s">
        <v>2840</v>
      </c>
      <c r="B2840">
        <v>43101586</v>
      </c>
      <c r="C2840" s="3">
        <v>3</v>
      </c>
      <c r="D2840" s="5" t="str">
        <f t="shared" si="97"/>
        <v>03</v>
      </c>
      <c r="E2840" t="str">
        <f>VLOOKUP(B2840,'HOGARES-BASELINE'!$B:$I,8,FALSE)</f>
        <v>01010828</v>
      </c>
      <c r="F2840" s="6" t="str">
        <f t="shared" si="98"/>
        <v>0101082803</v>
      </c>
    </row>
    <row r="2841" spans="1:6" x14ac:dyDescent="0.3">
      <c r="A2841" s="6" t="s">
        <v>2841</v>
      </c>
      <c r="B2841">
        <v>43117917</v>
      </c>
      <c r="C2841" s="3">
        <v>2</v>
      </c>
      <c r="D2841" s="5" t="str">
        <f t="shared" si="97"/>
        <v>02</v>
      </c>
      <c r="E2841" t="str">
        <f>VLOOKUP(B2841,'HOGARES-BASELINE'!$B:$I,8,FALSE)</f>
        <v>00010829</v>
      </c>
      <c r="F2841" s="6" t="str">
        <f t="shared" si="98"/>
        <v>0001082902</v>
      </c>
    </row>
    <row r="2842" spans="1:6" x14ac:dyDescent="0.3">
      <c r="A2842" s="6" t="s">
        <v>2842</v>
      </c>
      <c r="B2842">
        <v>43117917</v>
      </c>
      <c r="C2842" s="3">
        <v>1</v>
      </c>
      <c r="D2842" s="5" t="str">
        <f t="shared" si="97"/>
        <v>01</v>
      </c>
      <c r="E2842" t="str">
        <f>VLOOKUP(B2842,'HOGARES-BASELINE'!$B:$I,8,FALSE)</f>
        <v>00010829</v>
      </c>
      <c r="F2842" s="6" t="str">
        <f t="shared" si="98"/>
        <v>0001082901</v>
      </c>
    </row>
    <row r="2843" spans="1:6" x14ac:dyDescent="0.3">
      <c r="A2843" s="6" t="s">
        <v>2843</v>
      </c>
      <c r="B2843">
        <v>43117917</v>
      </c>
      <c r="C2843" s="3">
        <v>3</v>
      </c>
      <c r="D2843" s="5" t="str">
        <f t="shared" si="97"/>
        <v>03</v>
      </c>
      <c r="E2843" t="str">
        <f>VLOOKUP(B2843,'HOGARES-BASELINE'!$B:$I,8,FALSE)</f>
        <v>00010829</v>
      </c>
      <c r="F2843" s="6" t="str">
        <f t="shared" si="98"/>
        <v>0001082903</v>
      </c>
    </row>
    <row r="2844" spans="1:6" x14ac:dyDescent="0.3">
      <c r="A2844" s="6" t="s">
        <v>2844</v>
      </c>
      <c r="B2844">
        <v>43141643</v>
      </c>
      <c r="C2844" s="3">
        <v>1</v>
      </c>
      <c r="D2844" s="5" t="str">
        <f t="shared" si="97"/>
        <v>01</v>
      </c>
      <c r="E2844" t="str">
        <f>VLOOKUP(B2844,'HOGARES-BASELINE'!$B:$I,8,FALSE)</f>
        <v>01010830</v>
      </c>
      <c r="F2844" s="6" t="str">
        <f t="shared" si="98"/>
        <v>0101083001</v>
      </c>
    </row>
    <row r="2845" spans="1:6" x14ac:dyDescent="0.3">
      <c r="A2845" s="6" t="s">
        <v>2845</v>
      </c>
      <c r="B2845">
        <v>43150064</v>
      </c>
      <c r="C2845" s="3">
        <v>2</v>
      </c>
      <c r="D2845" s="5" t="str">
        <f t="shared" si="97"/>
        <v>02</v>
      </c>
      <c r="E2845" t="str">
        <f>VLOOKUP(B2845,'HOGARES-BASELINE'!$B:$I,8,FALSE)</f>
        <v>01010831</v>
      </c>
      <c r="F2845" s="6" t="str">
        <f t="shared" si="98"/>
        <v>0101083102</v>
      </c>
    </row>
    <row r="2846" spans="1:6" x14ac:dyDescent="0.3">
      <c r="A2846" s="6" t="s">
        <v>2846</v>
      </c>
      <c r="B2846">
        <v>43150064</v>
      </c>
      <c r="C2846" s="3">
        <v>3</v>
      </c>
      <c r="D2846" s="5" t="str">
        <f t="shared" si="97"/>
        <v>03</v>
      </c>
      <c r="E2846" t="str">
        <f>VLOOKUP(B2846,'HOGARES-BASELINE'!$B:$I,8,FALSE)</f>
        <v>01010831</v>
      </c>
      <c r="F2846" s="6" t="str">
        <f t="shared" si="98"/>
        <v>0101083103</v>
      </c>
    </row>
    <row r="2847" spans="1:6" x14ac:dyDescent="0.3">
      <c r="A2847" s="6" t="s">
        <v>2847</v>
      </c>
      <c r="B2847">
        <v>43150064</v>
      </c>
      <c r="C2847" s="3">
        <v>1</v>
      </c>
      <c r="D2847" s="5" t="str">
        <f t="shared" si="97"/>
        <v>01</v>
      </c>
      <c r="E2847" t="str">
        <f>VLOOKUP(B2847,'HOGARES-BASELINE'!$B:$I,8,FALSE)</f>
        <v>01010831</v>
      </c>
      <c r="F2847" s="6" t="str">
        <f t="shared" si="98"/>
        <v>0101083101</v>
      </c>
    </row>
    <row r="2848" spans="1:6" x14ac:dyDescent="0.3">
      <c r="A2848" s="6" t="s">
        <v>2848</v>
      </c>
      <c r="B2848">
        <v>43150064</v>
      </c>
      <c r="C2848" s="3">
        <v>4</v>
      </c>
      <c r="D2848" s="5" t="str">
        <f t="shared" si="97"/>
        <v>04</v>
      </c>
      <c r="E2848" t="str">
        <f>VLOOKUP(B2848,'HOGARES-BASELINE'!$B:$I,8,FALSE)</f>
        <v>01010831</v>
      </c>
      <c r="F2848" s="6" t="str">
        <f t="shared" si="98"/>
        <v>0101083104</v>
      </c>
    </row>
    <row r="2849" spans="1:6" x14ac:dyDescent="0.3">
      <c r="A2849" s="6" t="s">
        <v>2849</v>
      </c>
      <c r="B2849">
        <v>43150064</v>
      </c>
      <c r="C2849" s="3">
        <v>5</v>
      </c>
      <c r="D2849" s="5" t="str">
        <f t="shared" si="97"/>
        <v>05</v>
      </c>
      <c r="E2849" t="str">
        <f>VLOOKUP(B2849,'HOGARES-BASELINE'!$B:$I,8,FALSE)</f>
        <v>01010831</v>
      </c>
      <c r="F2849" s="6" t="str">
        <f t="shared" si="98"/>
        <v>0101083105</v>
      </c>
    </row>
    <row r="2850" spans="1:6" x14ac:dyDescent="0.3">
      <c r="A2850" s="6" t="s">
        <v>2850</v>
      </c>
      <c r="B2850">
        <v>43152836</v>
      </c>
      <c r="C2850" s="3">
        <v>2</v>
      </c>
      <c r="D2850" s="5" t="str">
        <f t="shared" si="97"/>
        <v>02</v>
      </c>
      <c r="E2850" t="str">
        <f>VLOOKUP(B2850,'HOGARES-BASELINE'!$B:$I,8,FALSE)</f>
        <v>01010832</v>
      </c>
      <c r="F2850" s="6" t="str">
        <f t="shared" si="98"/>
        <v>0101083202</v>
      </c>
    </row>
    <row r="2851" spans="1:6" x14ac:dyDescent="0.3">
      <c r="A2851" s="6" t="s">
        <v>2851</v>
      </c>
      <c r="B2851">
        <v>43152836</v>
      </c>
      <c r="C2851" s="3">
        <v>1</v>
      </c>
      <c r="D2851" s="5" t="str">
        <f t="shared" si="97"/>
        <v>01</v>
      </c>
      <c r="E2851" t="str">
        <f>VLOOKUP(B2851,'HOGARES-BASELINE'!$B:$I,8,FALSE)</f>
        <v>01010832</v>
      </c>
      <c r="F2851" s="6" t="str">
        <f t="shared" si="98"/>
        <v>0101083201</v>
      </c>
    </row>
    <row r="2852" spans="1:6" x14ac:dyDescent="0.3">
      <c r="A2852" s="6" t="s">
        <v>2852</v>
      </c>
      <c r="B2852">
        <v>43159959</v>
      </c>
      <c r="C2852" s="3">
        <v>3</v>
      </c>
      <c r="D2852" s="5" t="str">
        <f t="shared" si="97"/>
        <v>03</v>
      </c>
      <c r="E2852" t="str">
        <f>VLOOKUP(B2852,'HOGARES-BASELINE'!$B:$I,8,FALSE)</f>
        <v>00010833</v>
      </c>
      <c r="F2852" s="6" t="str">
        <f t="shared" si="98"/>
        <v>0001083303</v>
      </c>
    </row>
    <row r="2853" spans="1:6" x14ac:dyDescent="0.3">
      <c r="A2853" s="6" t="s">
        <v>2853</v>
      </c>
      <c r="B2853">
        <v>43159959</v>
      </c>
      <c r="C2853" s="3">
        <v>1</v>
      </c>
      <c r="D2853" s="5" t="str">
        <f t="shared" si="97"/>
        <v>01</v>
      </c>
      <c r="E2853" t="str">
        <f>VLOOKUP(B2853,'HOGARES-BASELINE'!$B:$I,8,FALSE)</f>
        <v>00010833</v>
      </c>
      <c r="F2853" s="6" t="str">
        <f t="shared" si="98"/>
        <v>0001083301</v>
      </c>
    </row>
    <row r="2854" spans="1:6" x14ac:dyDescent="0.3">
      <c r="A2854" s="6" t="s">
        <v>2854</v>
      </c>
      <c r="B2854">
        <v>43159959</v>
      </c>
      <c r="C2854" s="3">
        <v>2</v>
      </c>
      <c r="D2854" s="5" t="str">
        <f t="shared" si="97"/>
        <v>02</v>
      </c>
      <c r="E2854" t="str">
        <f>VLOOKUP(B2854,'HOGARES-BASELINE'!$B:$I,8,FALSE)</f>
        <v>00010833</v>
      </c>
      <c r="F2854" s="6" t="str">
        <f t="shared" si="98"/>
        <v>0001083302</v>
      </c>
    </row>
    <row r="2855" spans="1:6" x14ac:dyDescent="0.3">
      <c r="A2855" s="6" t="s">
        <v>2855</v>
      </c>
      <c r="B2855">
        <v>43164479</v>
      </c>
      <c r="C2855" s="3">
        <v>1</v>
      </c>
      <c r="D2855" s="5" t="str">
        <f t="shared" si="97"/>
        <v>01</v>
      </c>
      <c r="E2855" t="str">
        <f>VLOOKUP(B2855,'HOGARES-BASELINE'!$B:$I,8,FALSE)</f>
        <v>00010834</v>
      </c>
      <c r="F2855" s="6" t="str">
        <f t="shared" si="98"/>
        <v>0001083401</v>
      </c>
    </row>
    <row r="2856" spans="1:6" x14ac:dyDescent="0.3">
      <c r="A2856" s="6" t="s">
        <v>2856</v>
      </c>
      <c r="B2856">
        <v>43164479</v>
      </c>
      <c r="C2856" s="3">
        <v>2</v>
      </c>
      <c r="D2856" s="5" t="str">
        <f t="shared" si="97"/>
        <v>02</v>
      </c>
      <c r="E2856" t="str">
        <f>VLOOKUP(B2856,'HOGARES-BASELINE'!$B:$I,8,FALSE)</f>
        <v>00010834</v>
      </c>
      <c r="F2856" s="6" t="str">
        <f t="shared" si="98"/>
        <v>0001083402</v>
      </c>
    </row>
    <row r="2857" spans="1:6" x14ac:dyDescent="0.3">
      <c r="A2857" s="6" t="s">
        <v>2857</v>
      </c>
      <c r="B2857">
        <v>43164479</v>
      </c>
      <c r="C2857" s="3">
        <v>3</v>
      </c>
      <c r="D2857" s="5" t="str">
        <f t="shared" si="97"/>
        <v>03</v>
      </c>
      <c r="E2857" t="str">
        <f>VLOOKUP(B2857,'HOGARES-BASELINE'!$B:$I,8,FALSE)</f>
        <v>00010834</v>
      </c>
      <c r="F2857" s="6" t="str">
        <f t="shared" si="98"/>
        <v>0001083403</v>
      </c>
    </row>
    <row r="2858" spans="1:6" x14ac:dyDescent="0.3">
      <c r="A2858" s="6" t="s">
        <v>2858</v>
      </c>
      <c r="B2858">
        <v>43164479</v>
      </c>
      <c r="C2858" s="3">
        <v>4</v>
      </c>
      <c r="D2858" s="5" t="str">
        <f t="shared" si="97"/>
        <v>04</v>
      </c>
      <c r="E2858" t="str">
        <f>VLOOKUP(B2858,'HOGARES-BASELINE'!$B:$I,8,FALSE)</f>
        <v>00010834</v>
      </c>
      <c r="F2858" s="6" t="str">
        <f t="shared" si="98"/>
        <v>0001083404</v>
      </c>
    </row>
    <row r="2859" spans="1:6" x14ac:dyDescent="0.3">
      <c r="A2859" s="6" t="s">
        <v>2859</v>
      </c>
      <c r="B2859">
        <v>43164479</v>
      </c>
      <c r="C2859" s="3">
        <v>5</v>
      </c>
      <c r="D2859" s="5" t="str">
        <f t="shared" si="97"/>
        <v>05</v>
      </c>
      <c r="E2859" t="str">
        <f>VLOOKUP(B2859,'HOGARES-BASELINE'!$B:$I,8,FALSE)</f>
        <v>00010834</v>
      </c>
      <c r="F2859" s="6" t="str">
        <f t="shared" si="98"/>
        <v>0001083405</v>
      </c>
    </row>
    <row r="2860" spans="1:6" x14ac:dyDescent="0.3">
      <c r="A2860" s="6" t="s">
        <v>2860</v>
      </c>
      <c r="B2860">
        <v>43203228</v>
      </c>
      <c r="C2860" s="3">
        <v>6</v>
      </c>
      <c r="D2860" s="5" t="str">
        <f t="shared" ref="D2860:D2923" si="99">_xlfn.CONCAT(0,C2860)</f>
        <v>06</v>
      </c>
      <c r="E2860" t="str">
        <f>VLOOKUP(B2860,'HOGARES-BASELINE'!$B:$I,8,FALSE)</f>
        <v>01010835</v>
      </c>
      <c r="F2860" s="6" t="str">
        <f t="shared" si="98"/>
        <v>0101083506</v>
      </c>
    </row>
    <row r="2861" spans="1:6" x14ac:dyDescent="0.3">
      <c r="A2861" s="6" t="s">
        <v>2861</v>
      </c>
      <c r="B2861">
        <v>43203228</v>
      </c>
      <c r="C2861" s="3">
        <v>3</v>
      </c>
      <c r="D2861" s="5" t="str">
        <f t="shared" si="99"/>
        <v>03</v>
      </c>
      <c r="E2861" t="str">
        <f>VLOOKUP(B2861,'HOGARES-BASELINE'!$B:$I,8,FALSE)</f>
        <v>01010835</v>
      </c>
      <c r="F2861" s="6" t="str">
        <f t="shared" si="98"/>
        <v>0101083503</v>
      </c>
    </row>
    <row r="2862" spans="1:6" x14ac:dyDescent="0.3">
      <c r="A2862" s="6" t="s">
        <v>2862</v>
      </c>
      <c r="B2862">
        <v>43203228</v>
      </c>
      <c r="C2862" s="3">
        <v>5</v>
      </c>
      <c r="D2862" s="5" t="str">
        <f t="shared" si="99"/>
        <v>05</v>
      </c>
      <c r="E2862" t="str">
        <f>VLOOKUP(B2862,'HOGARES-BASELINE'!$B:$I,8,FALSE)</f>
        <v>01010835</v>
      </c>
      <c r="F2862" s="6" t="str">
        <f t="shared" si="98"/>
        <v>0101083505</v>
      </c>
    </row>
    <row r="2863" spans="1:6" x14ac:dyDescent="0.3">
      <c r="A2863" s="6" t="s">
        <v>2863</v>
      </c>
      <c r="B2863">
        <v>43203228</v>
      </c>
      <c r="C2863" s="3">
        <v>1</v>
      </c>
      <c r="D2863" s="5" t="str">
        <f t="shared" si="99"/>
        <v>01</v>
      </c>
      <c r="E2863" t="str">
        <f>VLOOKUP(B2863,'HOGARES-BASELINE'!$B:$I,8,FALSE)</f>
        <v>01010835</v>
      </c>
      <c r="F2863" s="6" t="str">
        <f t="shared" si="98"/>
        <v>0101083501</v>
      </c>
    </row>
    <row r="2864" spans="1:6" x14ac:dyDescent="0.3">
      <c r="A2864" s="6" t="s">
        <v>2864</v>
      </c>
      <c r="B2864">
        <v>43203228</v>
      </c>
      <c r="C2864" s="3">
        <v>2</v>
      </c>
      <c r="D2864" s="5" t="str">
        <f t="shared" si="99"/>
        <v>02</v>
      </c>
      <c r="E2864" t="str">
        <f>VLOOKUP(B2864,'HOGARES-BASELINE'!$B:$I,8,FALSE)</f>
        <v>01010835</v>
      </c>
      <c r="F2864" s="6" t="str">
        <f t="shared" si="98"/>
        <v>0101083502</v>
      </c>
    </row>
    <row r="2865" spans="1:6" x14ac:dyDescent="0.3">
      <c r="A2865" s="6" t="s">
        <v>2865</v>
      </c>
      <c r="B2865">
        <v>43203228</v>
      </c>
      <c r="C2865" s="3">
        <v>4</v>
      </c>
      <c r="D2865" s="5" t="str">
        <f t="shared" si="99"/>
        <v>04</v>
      </c>
      <c r="E2865" t="str">
        <f>VLOOKUP(B2865,'HOGARES-BASELINE'!$B:$I,8,FALSE)</f>
        <v>01010835</v>
      </c>
      <c r="F2865" s="6" t="str">
        <f t="shared" si="98"/>
        <v>0101083504</v>
      </c>
    </row>
    <row r="2866" spans="1:6" x14ac:dyDescent="0.3">
      <c r="A2866" s="6" t="s">
        <v>2866</v>
      </c>
      <c r="B2866">
        <v>43205365</v>
      </c>
      <c r="C2866" s="3">
        <v>1</v>
      </c>
      <c r="D2866" s="5" t="str">
        <f t="shared" si="99"/>
        <v>01</v>
      </c>
      <c r="E2866" t="str">
        <f>VLOOKUP(B2866,'HOGARES-BASELINE'!$B:$I,8,FALSE)</f>
        <v>00010836</v>
      </c>
      <c r="F2866" s="6" t="str">
        <f t="shared" si="98"/>
        <v>0001083601</v>
      </c>
    </row>
    <row r="2867" spans="1:6" x14ac:dyDescent="0.3">
      <c r="A2867" s="6" t="s">
        <v>2867</v>
      </c>
      <c r="B2867">
        <v>43205365</v>
      </c>
      <c r="C2867" s="3">
        <v>4</v>
      </c>
      <c r="D2867" s="5" t="str">
        <f t="shared" si="99"/>
        <v>04</v>
      </c>
      <c r="E2867" t="str">
        <f>VLOOKUP(B2867,'HOGARES-BASELINE'!$B:$I,8,FALSE)</f>
        <v>00010836</v>
      </c>
      <c r="F2867" s="6" t="str">
        <f t="shared" si="98"/>
        <v>0001083604</v>
      </c>
    </row>
    <row r="2868" spans="1:6" x14ac:dyDescent="0.3">
      <c r="A2868" s="6" t="s">
        <v>2868</v>
      </c>
      <c r="B2868">
        <v>43205365</v>
      </c>
      <c r="C2868" s="3">
        <v>3</v>
      </c>
      <c r="D2868" s="5" t="str">
        <f t="shared" si="99"/>
        <v>03</v>
      </c>
      <c r="E2868" t="str">
        <f>VLOOKUP(B2868,'HOGARES-BASELINE'!$B:$I,8,FALSE)</f>
        <v>00010836</v>
      </c>
      <c r="F2868" s="6" t="str">
        <f t="shared" si="98"/>
        <v>0001083603</v>
      </c>
    </row>
    <row r="2869" spans="1:6" x14ac:dyDescent="0.3">
      <c r="A2869" s="6" t="s">
        <v>2869</v>
      </c>
      <c r="B2869">
        <v>43205365</v>
      </c>
      <c r="C2869" s="3">
        <v>2</v>
      </c>
      <c r="D2869" s="5" t="str">
        <f t="shared" si="99"/>
        <v>02</v>
      </c>
      <c r="E2869" t="str">
        <f>VLOOKUP(B2869,'HOGARES-BASELINE'!$B:$I,8,FALSE)</f>
        <v>00010836</v>
      </c>
      <c r="F2869" s="6" t="str">
        <f t="shared" si="98"/>
        <v>0001083602</v>
      </c>
    </row>
    <row r="2870" spans="1:6" x14ac:dyDescent="0.3">
      <c r="A2870" s="6" t="s">
        <v>2870</v>
      </c>
      <c r="B2870">
        <v>43221546</v>
      </c>
      <c r="C2870" s="3">
        <v>2</v>
      </c>
      <c r="D2870" s="5" t="str">
        <f t="shared" si="99"/>
        <v>02</v>
      </c>
      <c r="E2870" t="str">
        <f>VLOOKUP(B2870,'HOGARES-BASELINE'!$B:$I,8,FALSE)</f>
        <v>00010837</v>
      </c>
      <c r="F2870" s="6" t="str">
        <f t="shared" si="98"/>
        <v>0001083702</v>
      </c>
    </row>
    <row r="2871" spans="1:6" x14ac:dyDescent="0.3">
      <c r="A2871" s="6" t="s">
        <v>2871</v>
      </c>
      <c r="B2871">
        <v>43221546</v>
      </c>
      <c r="C2871" s="3">
        <v>1</v>
      </c>
      <c r="D2871" s="5" t="str">
        <f t="shared" si="99"/>
        <v>01</v>
      </c>
      <c r="E2871" t="str">
        <f>VLOOKUP(B2871,'HOGARES-BASELINE'!$B:$I,8,FALSE)</f>
        <v>00010837</v>
      </c>
      <c r="F2871" s="6" t="str">
        <f t="shared" si="98"/>
        <v>0001083701</v>
      </c>
    </row>
    <row r="2872" spans="1:6" x14ac:dyDescent="0.3">
      <c r="A2872" s="6" t="s">
        <v>2872</v>
      </c>
      <c r="B2872">
        <v>43221546</v>
      </c>
      <c r="C2872" s="3">
        <v>3</v>
      </c>
      <c r="D2872" s="5" t="str">
        <f t="shared" si="99"/>
        <v>03</v>
      </c>
      <c r="E2872" t="str">
        <f>VLOOKUP(B2872,'HOGARES-BASELINE'!$B:$I,8,FALSE)</f>
        <v>00010837</v>
      </c>
      <c r="F2872" s="6" t="str">
        <f t="shared" si="98"/>
        <v>0001083703</v>
      </c>
    </row>
    <row r="2873" spans="1:6" x14ac:dyDescent="0.3">
      <c r="A2873" s="6" t="s">
        <v>2873</v>
      </c>
      <c r="B2873">
        <v>43251278</v>
      </c>
      <c r="C2873" s="3">
        <v>4</v>
      </c>
      <c r="D2873" s="5" t="str">
        <f t="shared" si="99"/>
        <v>04</v>
      </c>
      <c r="E2873" t="str">
        <f>VLOOKUP(B2873,'HOGARES-BASELINE'!$B:$I,8,FALSE)</f>
        <v>01010838</v>
      </c>
      <c r="F2873" s="6" t="str">
        <f t="shared" si="98"/>
        <v>0101083804</v>
      </c>
    </row>
    <row r="2874" spans="1:6" x14ac:dyDescent="0.3">
      <c r="A2874" s="6" t="s">
        <v>2874</v>
      </c>
      <c r="B2874">
        <v>43251278</v>
      </c>
      <c r="C2874" s="3">
        <v>3</v>
      </c>
      <c r="D2874" s="5" t="str">
        <f t="shared" si="99"/>
        <v>03</v>
      </c>
      <c r="E2874" t="str">
        <f>VLOOKUP(B2874,'HOGARES-BASELINE'!$B:$I,8,FALSE)</f>
        <v>01010838</v>
      </c>
      <c r="F2874" s="6" t="str">
        <f t="shared" si="98"/>
        <v>0101083803</v>
      </c>
    </row>
    <row r="2875" spans="1:6" x14ac:dyDescent="0.3">
      <c r="A2875" s="6" t="s">
        <v>2875</v>
      </c>
      <c r="B2875">
        <v>43251278</v>
      </c>
      <c r="C2875" s="3">
        <v>1</v>
      </c>
      <c r="D2875" s="5" t="str">
        <f t="shared" si="99"/>
        <v>01</v>
      </c>
      <c r="E2875" t="str">
        <f>VLOOKUP(B2875,'HOGARES-BASELINE'!$B:$I,8,FALSE)</f>
        <v>01010838</v>
      </c>
      <c r="F2875" s="6" t="str">
        <f t="shared" si="98"/>
        <v>0101083801</v>
      </c>
    </row>
    <row r="2876" spans="1:6" x14ac:dyDescent="0.3">
      <c r="A2876" s="6" t="s">
        <v>2876</v>
      </c>
      <c r="B2876">
        <v>43251278</v>
      </c>
      <c r="C2876" s="3">
        <v>2</v>
      </c>
      <c r="D2876" s="5" t="str">
        <f t="shared" si="99"/>
        <v>02</v>
      </c>
      <c r="E2876" t="str">
        <f>VLOOKUP(B2876,'HOGARES-BASELINE'!$B:$I,8,FALSE)</f>
        <v>01010838</v>
      </c>
      <c r="F2876" s="6" t="str">
        <f t="shared" si="98"/>
        <v>0101083802</v>
      </c>
    </row>
    <row r="2877" spans="1:6" x14ac:dyDescent="0.3">
      <c r="A2877" s="6" t="s">
        <v>2877</v>
      </c>
      <c r="B2877">
        <v>43259030</v>
      </c>
      <c r="C2877" s="3">
        <v>3</v>
      </c>
      <c r="D2877" s="5" t="str">
        <f t="shared" si="99"/>
        <v>03</v>
      </c>
      <c r="E2877" t="str">
        <f>VLOOKUP(B2877,'HOGARES-BASELINE'!$B:$I,8,FALSE)</f>
        <v>01010839</v>
      </c>
      <c r="F2877" s="6" t="str">
        <f t="shared" si="98"/>
        <v>0101083903</v>
      </c>
    </row>
    <row r="2878" spans="1:6" x14ac:dyDescent="0.3">
      <c r="A2878" s="6" t="s">
        <v>2878</v>
      </c>
      <c r="B2878">
        <v>43259030</v>
      </c>
      <c r="C2878" s="3">
        <v>4</v>
      </c>
      <c r="D2878" s="5" t="str">
        <f t="shared" si="99"/>
        <v>04</v>
      </c>
      <c r="E2878" t="str">
        <f>VLOOKUP(B2878,'HOGARES-BASELINE'!$B:$I,8,FALSE)</f>
        <v>01010839</v>
      </c>
      <c r="F2878" s="6" t="str">
        <f t="shared" si="98"/>
        <v>0101083904</v>
      </c>
    </row>
    <row r="2879" spans="1:6" x14ac:dyDescent="0.3">
      <c r="A2879" s="6" t="s">
        <v>2879</v>
      </c>
      <c r="B2879">
        <v>43259030</v>
      </c>
      <c r="C2879" s="3">
        <v>9</v>
      </c>
      <c r="D2879" s="5" t="str">
        <f t="shared" si="99"/>
        <v>09</v>
      </c>
      <c r="E2879" t="str">
        <f>VLOOKUP(B2879,'HOGARES-BASELINE'!$B:$I,8,FALSE)</f>
        <v>01010839</v>
      </c>
      <c r="F2879" s="6" t="str">
        <f t="shared" si="98"/>
        <v>0101083909</v>
      </c>
    </row>
    <row r="2880" spans="1:6" x14ac:dyDescent="0.3">
      <c r="A2880" s="6" t="s">
        <v>2880</v>
      </c>
      <c r="B2880">
        <v>43259030</v>
      </c>
      <c r="C2880" s="3">
        <v>5</v>
      </c>
      <c r="D2880" s="5" t="str">
        <f t="shared" si="99"/>
        <v>05</v>
      </c>
      <c r="E2880" t="str">
        <f>VLOOKUP(B2880,'HOGARES-BASELINE'!$B:$I,8,FALSE)</f>
        <v>01010839</v>
      </c>
      <c r="F2880" s="6" t="str">
        <f t="shared" si="98"/>
        <v>0101083905</v>
      </c>
    </row>
    <row r="2881" spans="1:6" x14ac:dyDescent="0.3">
      <c r="A2881" s="6" t="s">
        <v>2881</v>
      </c>
      <c r="B2881">
        <v>43259030</v>
      </c>
      <c r="C2881" s="3">
        <v>6</v>
      </c>
      <c r="D2881" s="5" t="str">
        <f t="shared" si="99"/>
        <v>06</v>
      </c>
      <c r="E2881" t="str">
        <f>VLOOKUP(B2881,'HOGARES-BASELINE'!$B:$I,8,FALSE)</f>
        <v>01010839</v>
      </c>
      <c r="F2881" s="6" t="str">
        <f t="shared" si="98"/>
        <v>0101083906</v>
      </c>
    </row>
    <row r="2882" spans="1:6" x14ac:dyDescent="0.3">
      <c r="A2882" s="6" t="s">
        <v>2882</v>
      </c>
      <c r="B2882">
        <v>43259030</v>
      </c>
      <c r="C2882" s="3">
        <v>2</v>
      </c>
      <c r="D2882" s="5" t="str">
        <f t="shared" si="99"/>
        <v>02</v>
      </c>
      <c r="E2882" t="str">
        <f>VLOOKUP(B2882,'HOGARES-BASELINE'!$B:$I,8,FALSE)</f>
        <v>01010839</v>
      </c>
      <c r="F2882" s="6" t="str">
        <f t="shared" si="98"/>
        <v>0101083902</v>
      </c>
    </row>
    <row r="2883" spans="1:6" x14ac:dyDescent="0.3">
      <c r="A2883" s="6" t="s">
        <v>2883</v>
      </c>
      <c r="B2883">
        <v>43259030</v>
      </c>
      <c r="C2883" s="3">
        <v>1</v>
      </c>
      <c r="D2883" s="5" t="str">
        <f t="shared" si="99"/>
        <v>01</v>
      </c>
      <c r="E2883" t="str">
        <f>VLOOKUP(B2883,'HOGARES-BASELINE'!$B:$I,8,FALSE)</f>
        <v>01010839</v>
      </c>
      <c r="F2883" s="6" t="str">
        <f t="shared" ref="F2883:F2946" si="100">_xlfn.CONCAT(E2883,D2883)</f>
        <v>0101083901</v>
      </c>
    </row>
    <row r="2884" spans="1:6" x14ac:dyDescent="0.3">
      <c r="A2884" s="6" t="s">
        <v>2884</v>
      </c>
      <c r="B2884">
        <v>43259030</v>
      </c>
      <c r="C2884" s="3">
        <v>7</v>
      </c>
      <c r="D2884" s="5" t="str">
        <f t="shared" si="99"/>
        <v>07</v>
      </c>
      <c r="E2884" t="str">
        <f>VLOOKUP(B2884,'HOGARES-BASELINE'!$B:$I,8,FALSE)</f>
        <v>01010839</v>
      </c>
      <c r="F2884" s="6" t="str">
        <f t="shared" si="100"/>
        <v>0101083907</v>
      </c>
    </row>
    <row r="2885" spans="1:6" x14ac:dyDescent="0.3">
      <c r="A2885" s="6" t="s">
        <v>2885</v>
      </c>
      <c r="B2885">
        <v>43259030</v>
      </c>
      <c r="C2885" s="3">
        <v>8</v>
      </c>
      <c r="D2885" s="5" t="str">
        <f t="shared" si="99"/>
        <v>08</v>
      </c>
      <c r="E2885" t="str">
        <f>VLOOKUP(B2885,'HOGARES-BASELINE'!$B:$I,8,FALSE)</f>
        <v>01010839</v>
      </c>
      <c r="F2885" s="6" t="str">
        <f t="shared" si="100"/>
        <v>0101083908</v>
      </c>
    </row>
    <row r="2886" spans="1:6" x14ac:dyDescent="0.3">
      <c r="A2886" s="6" t="s">
        <v>2886</v>
      </c>
      <c r="B2886">
        <v>43262338</v>
      </c>
      <c r="C2886" s="3">
        <v>1</v>
      </c>
      <c r="D2886" s="5" t="str">
        <f t="shared" si="99"/>
        <v>01</v>
      </c>
      <c r="E2886" t="str">
        <f>VLOOKUP(B2886,'HOGARES-BASELINE'!$B:$I,8,FALSE)</f>
        <v>00010840</v>
      </c>
      <c r="F2886" s="6" t="str">
        <f t="shared" si="100"/>
        <v>0001084001</v>
      </c>
    </row>
    <row r="2887" spans="1:6" x14ac:dyDescent="0.3">
      <c r="A2887" s="6" t="s">
        <v>2887</v>
      </c>
      <c r="B2887">
        <v>43262338</v>
      </c>
      <c r="C2887" s="3">
        <v>2</v>
      </c>
      <c r="D2887" s="5" t="str">
        <f t="shared" si="99"/>
        <v>02</v>
      </c>
      <c r="E2887" t="str">
        <f>VLOOKUP(B2887,'HOGARES-BASELINE'!$B:$I,8,FALSE)</f>
        <v>00010840</v>
      </c>
      <c r="F2887" s="6" t="str">
        <f t="shared" si="100"/>
        <v>0001084002</v>
      </c>
    </row>
    <row r="2888" spans="1:6" x14ac:dyDescent="0.3">
      <c r="A2888" s="6" t="s">
        <v>2888</v>
      </c>
      <c r="B2888">
        <v>43262338</v>
      </c>
      <c r="C2888" s="3">
        <v>3</v>
      </c>
      <c r="D2888" s="5" t="str">
        <f t="shared" si="99"/>
        <v>03</v>
      </c>
      <c r="E2888" t="str">
        <f>VLOOKUP(B2888,'HOGARES-BASELINE'!$B:$I,8,FALSE)</f>
        <v>00010840</v>
      </c>
      <c r="F2888" s="6" t="str">
        <f t="shared" si="100"/>
        <v>0001084003</v>
      </c>
    </row>
    <row r="2889" spans="1:6" x14ac:dyDescent="0.3">
      <c r="A2889" s="6" t="s">
        <v>2889</v>
      </c>
      <c r="B2889">
        <v>43265078</v>
      </c>
      <c r="C2889" s="3">
        <v>2</v>
      </c>
      <c r="D2889" s="5" t="str">
        <f t="shared" si="99"/>
        <v>02</v>
      </c>
      <c r="E2889" t="str">
        <f>VLOOKUP(B2889,'HOGARES-BASELINE'!$B:$I,8,FALSE)</f>
        <v>00010841</v>
      </c>
      <c r="F2889" s="6" t="str">
        <f t="shared" si="100"/>
        <v>0001084102</v>
      </c>
    </row>
    <row r="2890" spans="1:6" x14ac:dyDescent="0.3">
      <c r="A2890" s="6" t="s">
        <v>2890</v>
      </c>
      <c r="B2890">
        <v>43265078</v>
      </c>
      <c r="C2890" s="3">
        <v>1</v>
      </c>
      <c r="D2890" s="5" t="str">
        <f t="shared" si="99"/>
        <v>01</v>
      </c>
      <c r="E2890" t="str">
        <f>VLOOKUP(B2890,'HOGARES-BASELINE'!$B:$I,8,FALSE)</f>
        <v>00010841</v>
      </c>
      <c r="F2890" s="6" t="str">
        <f t="shared" si="100"/>
        <v>0001084101</v>
      </c>
    </row>
    <row r="2891" spans="1:6" x14ac:dyDescent="0.3">
      <c r="A2891" s="6" t="s">
        <v>2891</v>
      </c>
      <c r="B2891">
        <v>43268570</v>
      </c>
      <c r="C2891" s="3">
        <v>3</v>
      </c>
      <c r="D2891" s="5" t="str">
        <f t="shared" si="99"/>
        <v>03</v>
      </c>
      <c r="E2891" t="str">
        <f>VLOOKUP(B2891,'HOGARES-BASELINE'!$B:$I,8,FALSE)</f>
        <v>01010842</v>
      </c>
      <c r="F2891" s="6" t="str">
        <f t="shared" si="100"/>
        <v>0101084203</v>
      </c>
    </row>
    <row r="2892" spans="1:6" x14ac:dyDescent="0.3">
      <c r="A2892" s="6" t="s">
        <v>2892</v>
      </c>
      <c r="B2892">
        <v>43268570</v>
      </c>
      <c r="C2892" s="3">
        <v>2</v>
      </c>
      <c r="D2892" s="5" t="str">
        <f t="shared" si="99"/>
        <v>02</v>
      </c>
      <c r="E2892" t="str">
        <f>VLOOKUP(B2892,'HOGARES-BASELINE'!$B:$I,8,FALSE)</f>
        <v>01010842</v>
      </c>
      <c r="F2892" s="6" t="str">
        <f t="shared" si="100"/>
        <v>0101084202</v>
      </c>
    </row>
    <row r="2893" spans="1:6" x14ac:dyDescent="0.3">
      <c r="A2893" s="6" t="s">
        <v>2893</v>
      </c>
      <c r="B2893">
        <v>43268570</v>
      </c>
      <c r="C2893" s="3">
        <v>1</v>
      </c>
      <c r="D2893" s="5" t="str">
        <f t="shared" si="99"/>
        <v>01</v>
      </c>
      <c r="E2893" t="str">
        <f>VLOOKUP(B2893,'HOGARES-BASELINE'!$B:$I,8,FALSE)</f>
        <v>01010842</v>
      </c>
      <c r="F2893" s="6" t="str">
        <f t="shared" si="100"/>
        <v>0101084201</v>
      </c>
    </row>
    <row r="2894" spans="1:6" x14ac:dyDescent="0.3">
      <c r="A2894" s="6" t="s">
        <v>2894</v>
      </c>
      <c r="B2894">
        <v>43268570</v>
      </c>
      <c r="C2894" s="3">
        <v>4</v>
      </c>
      <c r="D2894" s="5" t="str">
        <f t="shared" si="99"/>
        <v>04</v>
      </c>
      <c r="E2894" t="str">
        <f>VLOOKUP(B2894,'HOGARES-BASELINE'!$B:$I,8,FALSE)</f>
        <v>01010842</v>
      </c>
      <c r="F2894" s="6" t="str">
        <f t="shared" si="100"/>
        <v>0101084204</v>
      </c>
    </row>
    <row r="2895" spans="1:6" x14ac:dyDescent="0.3">
      <c r="A2895" s="6" t="s">
        <v>2895</v>
      </c>
      <c r="B2895">
        <v>43269156</v>
      </c>
      <c r="C2895" s="3">
        <v>5</v>
      </c>
      <c r="D2895" s="5" t="str">
        <f t="shared" si="99"/>
        <v>05</v>
      </c>
      <c r="E2895" t="str">
        <f>VLOOKUP(B2895,'HOGARES-BASELINE'!$B:$I,8,FALSE)</f>
        <v>01010843</v>
      </c>
      <c r="F2895" s="6" t="str">
        <f t="shared" si="100"/>
        <v>0101084305</v>
      </c>
    </row>
    <row r="2896" spans="1:6" x14ac:dyDescent="0.3">
      <c r="A2896" s="6" t="s">
        <v>2896</v>
      </c>
      <c r="B2896">
        <v>43269156</v>
      </c>
      <c r="C2896" s="3">
        <v>4</v>
      </c>
      <c r="D2896" s="5" t="str">
        <f t="shared" si="99"/>
        <v>04</v>
      </c>
      <c r="E2896" t="str">
        <f>VLOOKUP(B2896,'HOGARES-BASELINE'!$B:$I,8,FALSE)</f>
        <v>01010843</v>
      </c>
      <c r="F2896" s="6" t="str">
        <f t="shared" si="100"/>
        <v>0101084304</v>
      </c>
    </row>
    <row r="2897" spans="1:6" x14ac:dyDescent="0.3">
      <c r="A2897" s="6" t="s">
        <v>2897</v>
      </c>
      <c r="B2897">
        <v>43269156</v>
      </c>
      <c r="C2897" s="3">
        <v>1</v>
      </c>
      <c r="D2897" s="5" t="str">
        <f t="shared" si="99"/>
        <v>01</v>
      </c>
      <c r="E2897" t="str">
        <f>VLOOKUP(B2897,'HOGARES-BASELINE'!$B:$I,8,FALSE)</f>
        <v>01010843</v>
      </c>
      <c r="F2897" s="6" t="str">
        <f t="shared" si="100"/>
        <v>0101084301</v>
      </c>
    </row>
    <row r="2898" spans="1:6" x14ac:dyDescent="0.3">
      <c r="A2898" s="6" t="s">
        <v>2898</v>
      </c>
      <c r="B2898">
        <v>43269156</v>
      </c>
      <c r="C2898" s="3">
        <v>7</v>
      </c>
      <c r="D2898" s="5" t="str">
        <f t="shared" si="99"/>
        <v>07</v>
      </c>
      <c r="E2898" t="str">
        <f>VLOOKUP(B2898,'HOGARES-BASELINE'!$B:$I,8,FALSE)</f>
        <v>01010843</v>
      </c>
      <c r="F2898" s="6" t="str">
        <f t="shared" si="100"/>
        <v>0101084307</v>
      </c>
    </row>
    <row r="2899" spans="1:6" x14ac:dyDescent="0.3">
      <c r="A2899" s="6" t="s">
        <v>2899</v>
      </c>
      <c r="B2899">
        <v>43269156</v>
      </c>
      <c r="C2899" s="3">
        <v>6</v>
      </c>
      <c r="D2899" s="5" t="str">
        <f t="shared" si="99"/>
        <v>06</v>
      </c>
      <c r="E2899" t="str">
        <f>VLOOKUP(B2899,'HOGARES-BASELINE'!$B:$I,8,FALSE)</f>
        <v>01010843</v>
      </c>
      <c r="F2899" s="6" t="str">
        <f t="shared" si="100"/>
        <v>0101084306</v>
      </c>
    </row>
    <row r="2900" spans="1:6" x14ac:dyDescent="0.3">
      <c r="A2900" s="6" t="s">
        <v>2900</v>
      </c>
      <c r="B2900">
        <v>43269156</v>
      </c>
      <c r="C2900" s="3">
        <v>2</v>
      </c>
      <c r="D2900" s="5" t="str">
        <f t="shared" si="99"/>
        <v>02</v>
      </c>
      <c r="E2900" t="str">
        <f>VLOOKUP(B2900,'HOGARES-BASELINE'!$B:$I,8,FALSE)</f>
        <v>01010843</v>
      </c>
      <c r="F2900" s="6" t="str">
        <f t="shared" si="100"/>
        <v>0101084302</v>
      </c>
    </row>
    <row r="2901" spans="1:6" x14ac:dyDescent="0.3">
      <c r="A2901" s="6" t="s">
        <v>2901</v>
      </c>
      <c r="B2901">
        <v>43269156</v>
      </c>
      <c r="C2901" s="3">
        <v>3</v>
      </c>
      <c r="D2901" s="5" t="str">
        <f t="shared" si="99"/>
        <v>03</v>
      </c>
      <c r="E2901" t="str">
        <f>VLOOKUP(B2901,'HOGARES-BASELINE'!$B:$I,8,FALSE)</f>
        <v>01010843</v>
      </c>
      <c r="F2901" s="6" t="str">
        <f t="shared" si="100"/>
        <v>0101084303</v>
      </c>
    </row>
    <row r="2902" spans="1:6" x14ac:dyDescent="0.3">
      <c r="A2902" s="6" t="s">
        <v>2902</v>
      </c>
      <c r="B2902">
        <v>43275340</v>
      </c>
      <c r="C2902" s="3">
        <v>2</v>
      </c>
      <c r="D2902" s="5" t="str">
        <f t="shared" si="99"/>
        <v>02</v>
      </c>
      <c r="E2902" t="str">
        <f>VLOOKUP(B2902,'HOGARES-BASELINE'!$B:$I,8,FALSE)</f>
        <v>01010844</v>
      </c>
      <c r="F2902" s="6" t="str">
        <f t="shared" si="100"/>
        <v>0101084402</v>
      </c>
    </row>
    <row r="2903" spans="1:6" x14ac:dyDescent="0.3">
      <c r="A2903" s="6" t="s">
        <v>2903</v>
      </c>
      <c r="B2903">
        <v>43275340</v>
      </c>
      <c r="C2903" s="3">
        <v>1</v>
      </c>
      <c r="D2903" s="5" t="str">
        <f t="shared" si="99"/>
        <v>01</v>
      </c>
      <c r="E2903" t="str">
        <f>VLOOKUP(B2903,'HOGARES-BASELINE'!$B:$I,8,FALSE)</f>
        <v>01010844</v>
      </c>
      <c r="F2903" s="6" t="str">
        <f t="shared" si="100"/>
        <v>0101084401</v>
      </c>
    </row>
    <row r="2904" spans="1:6" x14ac:dyDescent="0.3">
      <c r="A2904" s="6" t="s">
        <v>2904</v>
      </c>
      <c r="B2904">
        <v>43275340</v>
      </c>
      <c r="C2904" s="3">
        <v>3</v>
      </c>
      <c r="D2904" s="5" t="str">
        <f t="shared" si="99"/>
        <v>03</v>
      </c>
      <c r="E2904" t="str">
        <f>VLOOKUP(B2904,'HOGARES-BASELINE'!$B:$I,8,FALSE)</f>
        <v>01010844</v>
      </c>
      <c r="F2904" s="6" t="str">
        <f t="shared" si="100"/>
        <v>0101084403</v>
      </c>
    </row>
    <row r="2905" spans="1:6" x14ac:dyDescent="0.3">
      <c r="A2905" s="6" t="s">
        <v>2905</v>
      </c>
      <c r="B2905">
        <v>43279706</v>
      </c>
      <c r="C2905" s="3">
        <v>1</v>
      </c>
      <c r="D2905" s="5" t="str">
        <f t="shared" si="99"/>
        <v>01</v>
      </c>
      <c r="E2905" t="str">
        <f>VLOOKUP(B2905,'HOGARES-BASELINE'!$B:$I,8,FALSE)</f>
        <v>01010845</v>
      </c>
      <c r="F2905" s="6" t="str">
        <f t="shared" si="100"/>
        <v>0101084501</v>
      </c>
    </row>
    <row r="2906" spans="1:6" x14ac:dyDescent="0.3">
      <c r="A2906" s="6" t="s">
        <v>2906</v>
      </c>
      <c r="B2906">
        <v>43279706</v>
      </c>
      <c r="C2906" s="3">
        <v>3</v>
      </c>
      <c r="D2906" s="5" t="str">
        <f t="shared" si="99"/>
        <v>03</v>
      </c>
      <c r="E2906" t="str">
        <f>VLOOKUP(B2906,'HOGARES-BASELINE'!$B:$I,8,FALSE)</f>
        <v>01010845</v>
      </c>
      <c r="F2906" s="6" t="str">
        <f t="shared" si="100"/>
        <v>0101084503</v>
      </c>
    </row>
    <row r="2907" spans="1:6" x14ac:dyDescent="0.3">
      <c r="A2907" s="6" t="s">
        <v>2907</v>
      </c>
      <c r="B2907">
        <v>43279706</v>
      </c>
      <c r="C2907" s="3">
        <v>2</v>
      </c>
      <c r="D2907" s="5" t="str">
        <f t="shared" si="99"/>
        <v>02</v>
      </c>
      <c r="E2907" t="str">
        <f>VLOOKUP(B2907,'HOGARES-BASELINE'!$B:$I,8,FALSE)</f>
        <v>01010845</v>
      </c>
      <c r="F2907" s="6" t="str">
        <f t="shared" si="100"/>
        <v>0101084502</v>
      </c>
    </row>
    <row r="2908" spans="1:6" x14ac:dyDescent="0.3">
      <c r="A2908" s="6" t="s">
        <v>2908</v>
      </c>
      <c r="B2908">
        <v>43279706</v>
      </c>
      <c r="C2908" s="3">
        <v>4</v>
      </c>
      <c r="D2908" s="5" t="str">
        <f t="shared" si="99"/>
        <v>04</v>
      </c>
      <c r="E2908" t="str">
        <f>VLOOKUP(B2908,'HOGARES-BASELINE'!$B:$I,8,FALSE)</f>
        <v>01010845</v>
      </c>
      <c r="F2908" s="6" t="str">
        <f t="shared" si="100"/>
        <v>0101084504</v>
      </c>
    </row>
    <row r="2909" spans="1:6" x14ac:dyDescent="0.3">
      <c r="A2909" s="6" t="s">
        <v>2909</v>
      </c>
      <c r="B2909">
        <v>43285019</v>
      </c>
      <c r="C2909" s="3">
        <v>1</v>
      </c>
      <c r="D2909" s="5" t="str">
        <f t="shared" si="99"/>
        <v>01</v>
      </c>
      <c r="E2909" t="str">
        <f>VLOOKUP(B2909,'HOGARES-BASELINE'!$B:$I,8,FALSE)</f>
        <v>00020846</v>
      </c>
      <c r="F2909" s="6" t="str">
        <f t="shared" si="100"/>
        <v>0002084601</v>
      </c>
    </row>
    <row r="2910" spans="1:6" x14ac:dyDescent="0.3">
      <c r="A2910" s="6" t="s">
        <v>2910</v>
      </c>
      <c r="B2910">
        <v>43286202</v>
      </c>
      <c r="C2910" s="3">
        <v>1</v>
      </c>
      <c r="D2910" s="5" t="str">
        <f t="shared" si="99"/>
        <v>01</v>
      </c>
      <c r="E2910" t="str">
        <f>VLOOKUP(B2910,'HOGARES-BASELINE'!$B:$I,8,FALSE)</f>
        <v>01010847</v>
      </c>
      <c r="F2910" s="6" t="str">
        <f t="shared" si="100"/>
        <v>0101084701</v>
      </c>
    </row>
    <row r="2911" spans="1:6" x14ac:dyDescent="0.3">
      <c r="A2911" s="6" t="s">
        <v>2911</v>
      </c>
      <c r="B2911">
        <v>43286202</v>
      </c>
      <c r="C2911" s="3">
        <v>2</v>
      </c>
      <c r="D2911" s="5" t="str">
        <f t="shared" si="99"/>
        <v>02</v>
      </c>
      <c r="E2911" t="str">
        <f>VLOOKUP(B2911,'HOGARES-BASELINE'!$B:$I,8,FALSE)</f>
        <v>01010847</v>
      </c>
      <c r="F2911" s="6" t="str">
        <f t="shared" si="100"/>
        <v>0101084702</v>
      </c>
    </row>
    <row r="2912" spans="1:6" x14ac:dyDescent="0.3">
      <c r="A2912" s="6" t="s">
        <v>2912</v>
      </c>
      <c r="B2912">
        <v>43286202</v>
      </c>
      <c r="C2912" s="3">
        <v>3</v>
      </c>
      <c r="D2912" s="5" t="str">
        <f t="shared" si="99"/>
        <v>03</v>
      </c>
      <c r="E2912" t="str">
        <f>VLOOKUP(B2912,'HOGARES-BASELINE'!$B:$I,8,FALSE)</f>
        <v>01010847</v>
      </c>
      <c r="F2912" s="6" t="str">
        <f t="shared" si="100"/>
        <v>0101084703</v>
      </c>
    </row>
    <row r="2913" spans="1:6" x14ac:dyDescent="0.3">
      <c r="A2913" s="6" t="s">
        <v>2913</v>
      </c>
      <c r="B2913">
        <v>43347982</v>
      </c>
      <c r="C2913" s="3">
        <v>3</v>
      </c>
      <c r="D2913" s="5" t="str">
        <f t="shared" si="99"/>
        <v>03</v>
      </c>
      <c r="E2913" t="str">
        <f>VLOOKUP(B2913,'HOGARES-BASELINE'!$B:$I,8,FALSE)</f>
        <v>00010848</v>
      </c>
      <c r="F2913" s="6" t="str">
        <f t="shared" si="100"/>
        <v>0001084803</v>
      </c>
    </row>
    <row r="2914" spans="1:6" x14ac:dyDescent="0.3">
      <c r="A2914" s="6" t="s">
        <v>2914</v>
      </c>
      <c r="B2914">
        <v>43347982</v>
      </c>
      <c r="C2914" s="3">
        <v>2</v>
      </c>
      <c r="D2914" s="5" t="str">
        <f t="shared" si="99"/>
        <v>02</v>
      </c>
      <c r="E2914" t="str">
        <f>VLOOKUP(B2914,'HOGARES-BASELINE'!$B:$I,8,FALSE)</f>
        <v>00010848</v>
      </c>
      <c r="F2914" s="6" t="str">
        <f t="shared" si="100"/>
        <v>0001084802</v>
      </c>
    </row>
    <row r="2915" spans="1:6" x14ac:dyDescent="0.3">
      <c r="A2915" s="6" t="s">
        <v>2915</v>
      </c>
      <c r="B2915">
        <v>43347982</v>
      </c>
      <c r="C2915" s="3">
        <v>1</v>
      </c>
      <c r="D2915" s="5" t="str">
        <f t="shared" si="99"/>
        <v>01</v>
      </c>
      <c r="E2915" t="str">
        <f>VLOOKUP(B2915,'HOGARES-BASELINE'!$B:$I,8,FALSE)</f>
        <v>00010848</v>
      </c>
      <c r="F2915" s="6" t="str">
        <f t="shared" si="100"/>
        <v>0001084801</v>
      </c>
    </row>
    <row r="2916" spans="1:6" x14ac:dyDescent="0.3">
      <c r="A2916" s="6" t="s">
        <v>2916</v>
      </c>
      <c r="B2916">
        <v>43347982</v>
      </c>
      <c r="C2916" s="3">
        <v>4</v>
      </c>
      <c r="D2916" s="5" t="str">
        <f t="shared" si="99"/>
        <v>04</v>
      </c>
      <c r="E2916" t="str">
        <f>VLOOKUP(B2916,'HOGARES-BASELINE'!$B:$I,8,FALSE)</f>
        <v>00010848</v>
      </c>
      <c r="F2916" s="6" t="str">
        <f t="shared" si="100"/>
        <v>0001084804</v>
      </c>
    </row>
    <row r="2917" spans="1:6" x14ac:dyDescent="0.3">
      <c r="A2917" s="6" t="s">
        <v>2917</v>
      </c>
      <c r="B2917">
        <v>4335238</v>
      </c>
      <c r="C2917" s="3">
        <v>2</v>
      </c>
      <c r="D2917" s="5" t="str">
        <f t="shared" si="99"/>
        <v>02</v>
      </c>
      <c r="E2917" t="str">
        <f>VLOOKUP(B2917,'HOGARES-BASELINE'!$B:$I,8,FALSE)</f>
        <v>01020849</v>
      </c>
      <c r="F2917" s="6" t="str">
        <f t="shared" si="100"/>
        <v>0102084902</v>
      </c>
    </row>
    <row r="2918" spans="1:6" x14ac:dyDescent="0.3">
      <c r="A2918" s="6" t="s">
        <v>2918</v>
      </c>
      <c r="B2918">
        <v>4335238</v>
      </c>
      <c r="C2918" s="3">
        <v>1</v>
      </c>
      <c r="D2918" s="5" t="str">
        <f t="shared" si="99"/>
        <v>01</v>
      </c>
      <c r="E2918" t="str">
        <f>VLOOKUP(B2918,'HOGARES-BASELINE'!$B:$I,8,FALSE)</f>
        <v>01020849</v>
      </c>
      <c r="F2918" s="6" t="str">
        <f t="shared" si="100"/>
        <v>0102084901</v>
      </c>
    </row>
    <row r="2919" spans="1:6" x14ac:dyDescent="0.3">
      <c r="A2919" s="6" t="s">
        <v>2919</v>
      </c>
      <c r="B2919">
        <v>43380042</v>
      </c>
      <c r="C2919" s="3">
        <v>1</v>
      </c>
      <c r="D2919" s="5" t="str">
        <f t="shared" si="99"/>
        <v>01</v>
      </c>
      <c r="E2919" t="str">
        <f>VLOOKUP(B2919,'HOGARES-BASELINE'!$B:$I,8,FALSE)</f>
        <v>01010850</v>
      </c>
      <c r="F2919" s="6" t="str">
        <f t="shared" si="100"/>
        <v>0101085001</v>
      </c>
    </row>
    <row r="2920" spans="1:6" x14ac:dyDescent="0.3">
      <c r="A2920" s="6" t="s">
        <v>2920</v>
      </c>
      <c r="B2920">
        <v>43380718</v>
      </c>
      <c r="C2920" s="3">
        <v>1</v>
      </c>
      <c r="D2920" s="5" t="str">
        <f t="shared" si="99"/>
        <v>01</v>
      </c>
      <c r="E2920" t="str">
        <f>VLOOKUP(B2920,'HOGARES-BASELINE'!$B:$I,8,FALSE)</f>
        <v>01010851</v>
      </c>
      <c r="F2920" s="6" t="str">
        <f t="shared" si="100"/>
        <v>0101085101</v>
      </c>
    </row>
    <row r="2921" spans="1:6" x14ac:dyDescent="0.3">
      <c r="A2921" s="6" t="s">
        <v>2921</v>
      </c>
      <c r="B2921">
        <v>43381458</v>
      </c>
      <c r="C2921" s="3">
        <v>1</v>
      </c>
      <c r="D2921" s="5" t="str">
        <f t="shared" si="99"/>
        <v>01</v>
      </c>
      <c r="E2921" t="str">
        <f>VLOOKUP(B2921,'HOGARES-BASELINE'!$B:$I,8,FALSE)</f>
        <v>01010852</v>
      </c>
      <c r="F2921" s="6" t="str">
        <f t="shared" si="100"/>
        <v>0101085201</v>
      </c>
    </row>
    <row r="2922" spans="1:6" x14ac:dyDescent="0.3">
      <c r="A2922" s="6" t="s">
        <v>2922</v>
      </c>
      <c r="B2922">
        <v>43381458</v>
      </c>
      <c r="C2922" s="3">
        <v>2</v>
      </c>
      <c r="D2922" s="5" t="str">
        <f t="shared" si="99"/>
        <v>02</v>
      </c>
      <c r="E2922" t="str">
        <f>VLOOKUP(B2922,'HOGARES-BASELINE'!$B:$I,8,FALSE)</f>
        <v>01010852</v>
      </c>
      <c r="F2922" s="6" t="str">
        <f t="shared" si="100"/>
        <v>0101085202</v>
      </c>
    </row>
    <row r="2923" spans="1:6" x14ac:dyDescent="0.3">
      <c r="A2923" s="6" t="s">
        <v>2923</v>
      </c>
      <c r="B2923">
        <v>43381830</v>
      </c>
      <c r="C2923" s="3">
        <v>2</v>
      </c>
      <c r="D2923" s="5" t="str">
        <f t="shared" si="99"/>
        <v>02</v>
      </c>
      <c r="E2923" t="str">
        <f>VLOOKUP(B2923,'HOGARES-BASELINE'!$B:$I,8,FALSE)</f>
        <v>01010853</v>
      </c>
      <c r="F2923" s="6" t="str">
        <f t="shared" si="100"/>
        <v>0101085302</v>
      </c>
    </row>
    <row r="2924" spans="1:6" x14ac:dyDescent="0.3">
      <c r="A2924" s="6" t="s">
        <v>2924</v>
      </c>
      <c r="B2924">
        <v>43381830</v>
      </c>
      <c r="C2924" s="3">
        <v>1</v>
      </c>
      <c r="D2924" s="5" t="str">
        <f t="shared" ref="D2924:D2987" si="101">_xlfn.CONCAT(0,C2924)</f>
        <v>01</v>
      </c>
      <c r="E2924" t="str">
        <f>VLOOKUP(B2924,'HOGARES-BASELINE'!$B:$I,8,FALSE)</f>
        <v>01010853</v>
      </c>
      <c r="F2924" s="6" t="str">
        <f t="shared" si="100"/>
        <v>0101085301</v>
      </c>
    </row>
    <row r="2925" spans="1:6" x14ac:dyDescent="0.3">
      <c r="A2925" s="6" t="s">
        <v>2925</v>
      </c>
      <c r="B2925">
        <v>43382433</v>
      </c>
      <c r="C2925" s="3">
        <v>3</v>
      </c>
      <c r="D2925" s="5" t="str">
        <f t="shared" si="101"/>
        <v>03</v>
      </c>
      <c r="E2925" t="str">
        <f>VLOOKUP(B2925,'HOGARES-BASELINE'!$B:$I,8,FALSE)</f>
        <v>01010854</v>
      </c>
      <c r="F2925" s="6" t="str">
        <f t="shared" si="100"/>
        <v>0101085403</v>
      </c>
    </row>
    <row r="2926" spans="1:6" x14ac:dyDescent="0.3">
      <c r="A2926" s="6" t="s">
        <v>2926</v>
      </c>
      <c r="B2926">
        <v>43382433</v>
      </c>
      <c r="C2926" s="3">
        <v>2</v>
      </c>
      <c r="D2926" s="5" t="str">
        <f t="shared" si="101"/>
        <v>02</v>
      </c>
      <c r="E2926" t="str">
        <f>VLOOKUP(B2926,'HOGARES-BASELINE'!$B:$I,8,FALSE)</f>
        <v>01010854</v>
      </c>
      <c r="F2926" s="6" t="str">
        <f t="shared" si="100"/>
        <v>0101085402</v>
      </c>
    </row>
    <row r="2927" spans="1:6" x14ac:dyDescent="0.3">
      <c r="A2927" s="6" t="s">
        <v>2927</v>
      </c>
      <c r="B2927">
        <v>43382433</v>
      </c>
      <c r="C2927" s="3">
        <v>1</v>
      </c>
      <c r="D2927" s="5" t="str">
        <f t="shared" si="101"/>
        <v>01</v>
      </c>
      <c r="E2927" t="str">
        <f>VLOOKUP(B2927,'HOGARES-BASELINE'!$B:$I,8,FALSE)</f>
        <v>01010854</v>
      </c>
      <c r="F2927" s="6" t="str">
        <f t="shared" si="100"/>
        <v>0101085401</v>
      </c>
    </row>
    <row r="2928" spans="1:6" x14ac:dyDescent="0.3">
      <c r="A2928" s="6" t="s">
        <v>2928</v>
      </c>
      <c r="B2928">
        <v>43436157</v>
      </c>
      <c r="C2928" s="3">
        <v>1</v>
      </c>
      <c r="D2928" s="5" t="str">
        <f t="shared" si="101"/>
        <v>01</v>
      </c>
      <c r="E2928" t="str">
        <f>VLOOKUP(B2928,'HOGARES-BASELINE'!$B:$I,8,FALSE)</f>
        <v>00010855</v>
      </c>
      <c r="F2928" s="6" t="str">
        <f t="shared" si="100"/>
        <v>0001085501</v>
      </c>
    </row>
    <row r="2929" spans="1:6" x14ac:dyDescent="0.3">
      <c r="A2929" s="6" t="s">
        <v>2929</v>
      </c>
      <c r="B2929">
        <v>43436157</v>
      </c>
      <c r="C2929" s="3">
        <v>2</v>
      </c>
      <c r="D2929" s="5" t="str">
        <f t="shared" si="101"/>
        <v>02</v>
      </c>
      <c r="E2929" t="str">
        <f>VLOOKUP(B2929,'HOGARES-BASELINE'!$B:$I,8,FALSE)</f>
        <v>00010855</v>
      </c>
      <c r="F2929" s="6" t="str">
        <f t="shared" si="100"/>
        <v>0001085502</v>
      </c>
    </row>
    <row r="2930" spans="1:6" x14ac:dyDescent="0.3">
      <c r="A2930" s="6" t="s">
        <v>2930</v>
      </c>
      <c r="B2930">
        <v>43436157</v>
      </c>
      <c r="C2930" s="3">
        <v>3</v>
      </c>
      <c r="D2930" s="5" t="str">
        <f t="shared" si="101"/>
        <v>03</v>
      </c>
      <c r="E2930" t="str">
        <f>VLOOKUP(B2930,'HOGARES-BASELINE'!$B:$I,8,FALSE)</f>
        <v>00010855</v>
      </c>
      <c r="F2930" s="6" t="str">
        <f t="shared" si="100"/>
        <v>0001085503</v>
      </c>
    </row>
    <row r="2931" spans="1:6" x14ac:dyDescent="0.3">
      <c r="A2931" s="6" t="s">
        <v>2931</v>
      </c>
      <c r="B2931">
        <v>43441449</v>
      </c>
      <c r="C2931" s="3">
        <v>3</v>
      </c>
      <c r="D2931" s="5" t="str">
        <f t="shared" si="101"/>
        <v>03</v>
      </c>
      <c r="E2931" t="str">
        <f>VLOOKUP(B2931,'HOGARES-BASELINE'!$B:$I,8,FALSE)</f>
        <v>01010856</v>
      </c>
      <c r="F2931" s="6" t="str">
        <f t="shared" si="100"/>
        <v>0101085603</v>
      </c>
    </row>
    <row r="2932" spans="1:6" x14ac:dyDescent="0.3">
      <c r="A2932" s="6" t="s">
        <v>2932</v>
      </c>
      <c r="B2932">
        <v>43441449</v>
      </c>
      <c r="C2932" s="3">
        <v>1</v>
      </c>
      <c r="D2932" s="5" t="str">
        <f t="shared" si="101"/>
        <v>01</v>
      </c>
      <c r="E2932" t="str">
        <f>VLOOKUP(B2932,'HOGARES-BASELINE'!$B:$I,8,FALSE)</f>
        <v>01010856</v>
      </c>
      <c r="F2932" s="6" t="str">
        <f t="shared" si="100"/>
        <v>0101085601</v>
      </c>
    </row>
    <row r="2933" spans="1:6" x14ac:dyDescent="0.3">
      <c r="A2933" s="6" t="s">
        <v>2933</v>
      </c>
      <c r="B2933">
        <v>43441449</v>
      </c>
      <c r="C2933" s="3">
        <v>2</v>
      </c>
      <c r="D2933" s="5" t="str">
        <f t="shared" si="101"/>
        <v>02</v>
      </c>
      <c r="E2933" t="str">
        <f>VLOOKUP(B2933,'HOGARES-BASELINE'!$B:$I,8,FALSE)</f>
        <v>01010856</v>
      </c>
      <c r="F2933" s="6" t="str">
        <f t="shared" si="100"/>
        <v>0101085602</v>
      </c>
    </row>
    <row r="2934" spans="1:6" x14ac:dyDescent="0.3">
      <c r="A2934" s="6" t="s">
        <v>2934</v>
      </c>
      <c r="B2934">
        <v>43447606</v>
      </c>
      <c r="C2934" s="3">
        <v>1</v>
      </c>
      <c r="D2934" s="5" t="str">
        <f t="shared" si="101"/>
        <v>01</v>
      </c>
      <c r="E2934" t="str">
        <f>VLOOKUP(B2934,'HOGARES-BASELINE'!$B:$I,8,FALSE)</f>
        <v>00010857</v>
      </c>
      <c r="F2934" s="6" t="str">
        <f t="shared" si="100"/>
        <v>0001085701</v>
      </c>
    </row>
    <row r="2935" spans="1:6" x14ac:dyDescent="0.3">
      <c r="A2935" s="6" t="s">
        <v>2935</v>
      </c>
      <c r="B2935">
        <v>43447606</v>
      </c>
      <c r="C2935" s="3">
        <v>2</v>
      </c>
      <c r="D2935" s="5" t="str">
        <f t="shared" si="101"/>
        <v>02</v>
      </c>
      <c r="E2935" t="str">
        <f>VLOOKUP(B2935,'HOGARES-BASELINE'!$B:$I,8,FALSE)</f>
        <v>00010857</v>
      </c>
      <c r="F2935" s="6" t="str">
        <f t="shared" si="100"/>
        <v>0001085702</v>
      </c>
    </row>
    <row r="2936" spans="1:6" x14ac:dyDescent="0.3">
      <c r="A2936" s="6" t="s">
        <v>2936</v>
      </c>
      <c r="B2936">
        <v>43455918</v>
      </c>
      <c r="C2936" s="3">
        <v>3</v>
      </c>
      <c r="D2936" s="5" t="str">
        <f t="shared" si="101"/>
        <v>03</v>
      </c>
      <c r="E2936" t="str">
        <f>VLOOKUP(B2936,'HOGARES-BASELINE'!$B:$I,8,FALSE)</f>
        <v>00010858</v>
      </c>
      <c r="F2936" s="6" t="str">
        <f t="shared" si="100"/>
        <v>0001085803</v>
      </c>
    </row>
    <row r="2937" spans="1:6" x14ac:dyDescent="0.3">
      <c r="A2937" s="6" t="s">
        <v>2937</v>
      </c>
      <c r="B2937">
        <v>43455918</v>
      </c>
      <c r="C2937" s="3">
        <v>2</v>
      </c>
      <c r="D2937" s="5" t="str">
        <f t="shared" si="101"/>
        <v>02</v>
      </c>
      <c r="E2937" t="str">
        <f>VLOOKUP(B2937,'HOGARES-BASELINE'!$B:$I,8,FALSE)</f>
        <v>00010858</v>
      </c>
      <c r="F2937" s="6" t="str">
        <f t="shared" si="100"/>
        <v>0001085802</v>
      </c>
    </row>
    <row r="2938" spans="1:6" x14ac:dyDescent="0.3">
      <c r="A2938" s="6" t="s">
        <v>2938</v>
      </c>
      <c r="B2938">
        <v>43455918</v>
      </c>
      <c r="C2938" s="3">
        <v>4</v>
      </c>
      <c r="D2938" s="5" t="str">
        <f t="shared" si="101"/>
        <v>04</v>
      </c>
      <c r="E2938" t="str">
        <f>VLOOKUP(B2938,'HOGARES-BASELINE'!$B:$I,8,FALSE)</f>
        <v>00010858</v>
      </c>
      <c r="F2938" s="6" t="str">
        <f t="shared" si="100"/>
        <v>0001085804</v>
      </c>
    </row>
    <row r="2939" spans="1:6" x14ac:dyDescent="0.3">
      <c r="A2939" s="6" t="s">
        <v>2939</v>
      </c>
      <c r="B2939">
        <v>43455918</v>
      </c>
      <c r="C2939" s="3">
        <v>1</v>
      </c>
      <c r="D2939" s="5" t="str">
        <f t="shared" si="101"/>
        <v>01</v>
      </c>
      <c r="E2939" t="str">
        <f>VLOOKUP(B2939,'HOGARES-BASELINE'!$B:$I,8,FALSE)</f>
        <v>00010858</v>
      </c>
      <c r="F2939" s="6" t="str">
        <f t="shared" si="100"/>
        <v>0001085801</v>
      </c>
    </row>
    <row r="2940" spans="1:6" x14ac:dyDescent="0.3">
      <c r="A2940" s="6" t="s">
        <v>2940</v>
      </c>
      <c r="B2940">
        <v>43485410</v>
      </c>
      <c r="C2940" s="3">
        <v>2</v>
      </c>
      <c r="D2940" s="5" t="str">
        <f t="shared" si="101"/>
        <v>02</v>
      </c>
      <c r="E2940" t="str">
        <f>VLOOKUP(B2940,'HOGARES-BASELINE'!$B:$I,8,FALSE)</f>
        <v>01010859</v>
      </c>
      <c r="F2940" s="6" t="str">
        <f t="shared" si="100"/>
        <v>0101085902</v>
      </c>
    </row>
    <row r="2941" spans="1:6" x14ac:dyDescent="0.3">
      <c r="A2941" s="6" t="s">
        <v>2941</v>
      </c>
      <c r="B2941">
        <v>43485410</v>
      </c>
      <c r="C2941" s="3">
        <v>3</v>
      </c>
      <c r="D2941" s="5" t="str">
        <f t="shared" si="101"/>
        <v>03</v>
      </c>
      <c r="E2941" t="str">
        <f>VLOOKUP(B2941,'HOGARES-BASELINE'!$B:$I,8,FALSE)</f>
        <v>01010859</v>
      </c>
      <c r="F2941" s="6" t="str">
        <f t="shared" si="100"/>
        <v>0101085903</v>
      </c>
    </row>
    <row r="2942" spans="1:6" x14ac:dyDescent="0.3">
      <c r="A2942" s="6" t="s">
        <v>2942</v>
      </c>
      <c r="B2942">
        <v>43485410</v>
      </c>
      <c r="C2942" s="3">
        <v>1</v>
      </c>
      <c r="D2942" s="5" t="str">
        <f t="shared" si="101"/>
        <v>01</v>
      </c>
      <c r="E2942" t="str">
        <f>VLOOKUP(B2942,'HOGARES-BASELINE'!$B:$I,8,FALSE)</f>
        <v>01010859</v>
      </c>
      <c r="F2942" s="6" t="str">
        <f t="shared" si="100"/>
        <v>0101085901</v>
      </c>
    </row>
    <row r="2943" spans="1:6" x14ac:dyDescent="0.3">
      <c r="A2943" s="6" t="s">
        <v>2943</v>
      </c>
      <c r="B2943">
        <v>43489779</v>
      </c>
      <c r="C2943" s="3">
        <v>1</v>
      </c>
      <c r="D2943" s="5" t="str">
        <f t="shared" si="101"/>
        <v>01</v>
      </c>
      <c r="E2943" t="str">
        <f>VLOOKUP(B2943,'HOGARES-BASELINE'!$B:$I,8,FALSE)</f>
        <v>01010860</v>
      </c>
      <c r="F2943" s="6" t="str">
        <f t="shared" si="100"/>
        <v>0101086001</v>
      </c>
    </row>
    <row r="2944" spans="1:6" x14ac:dyDescent="0.3">
      <c r="A2944" s="6" t="s">
        <v>2944</v>
      </c>
      <c r="B2944">
        <v>43489779</v>
      </c>
      <c r="C2944" s="3">
        <v>3</v>
      </c>
      <c r="D2944" s="5" t="str">
        <f t="shared" si="101"/>
        <v>03</v>
      </c>
      <c r="E2944" t="str">
        <f>VLOOKUP(B2944,'HOGARES-BASELINE'!$B:$I,8,FALSE)</f>
        <v>01010860</v>
      </c>
      <c r="F2944" s="6" t="str">
        <f t="shared" si="100"/>
        <v>0101086003</v>
      </c>
    </row>
    <row r="2945" spans="1:6" x14ac:dyDescent="0.3">
      <c r="A2945" s="6" t="s">
        <v>2945</v>
      </c>
      <c r="B2945">
        <v>43489779</v>
      </c>
      <c r="C2945" s="3">
        <v>2</v>
      </c>
      <c r="D2945" s="5" t="str">
        <f t="shared" si="101"/>
        <v>02</v>
      </c>
      <c r="E2945" t="str">
        <f>VLOOKUP(B2945,'HOGARES-BASELINE'!$B:$I,8,FALSE)</f>
        <v>01010860</v>
      </c>
      <c r="F2945" s="6" t="str">
        <f t="shared" si="100"/>
        <v>0101086002</v>
      </c>
    </row>
    <row r="2946" spans="1:6" x14ac:dyDescent="0.3">
      <c r="A2946" s="6" t="s">
        <v>2946</v>
      </c>
      <c r="B2946">
        <v>43489779</v>
      </c>
      <c r="C2946" s="3">
        <v>5</v>
      </c>
      <c r="D2946" s="5" t="str">
        <f t="shared" si="101"/>
        <v>05</v>
      </c>
      <c r="E2946" t="str">
        <f>VLOOKUP(B2946,'HOGARES-BASELINE'!$B:$I,8,FALSE)</f>
        <v>01010860</v>
      </c>
      <c r="F2946" s="6" t="str">
        <f t="shared" si="100"/>
        <v>0101086005</v>
      </c>
    </row>
    <row r="2947" spans="1:6" x14ac:dyDescent="0.3">
      <c r="A2947" s="6" t="s">
        <v>2947</v>
      </c>
      <c r="B2947">
        <v>43489779</v>
      </c>
      <c r="C2947" s="3">
        <v>4</v>
      </c>
      <c r="D2947" s="5" t="str">
        <f t="shared" si="101"/>
        <v>04</v>
      </c>
      <c r="E2947" t="str">
        <f>VLOOKUP(B2947,'HOGARES-BASELINE'!$B:$I,8,FALSE)</f>
        <v>01010860</v>
      </c>
      <c r="F2947" s="6" t="str">
        <f t="shared" ref="F2947:F3010" si="102">_xlfn.CONCAT(E2947,D2947)</f>
        <v>0101086004</v>
      </c>
    </row>
    <row r="2948" spans="1:6" x14ac:dyDescent="0.3">
      <c r="A2948" s="6" t="s">
        <v>2948</v>
      </c>
      <c r="B2948">
        <v>43500072</v>
      </c>
      <c r="C2948" s="3">
        <v>1</v>
      </c>
      <c r="D2948" s="5" t="str">
        <f t="shared" si="101"/>
        <v>01</v>
      </c>
      <c r="E2948" t="str">
        <f>VLOOKUP(B2948,'HOGARES-BASELINE'!$B:$I,8,FALSE)</f>
        <v>00010861</v>
      </c>
      <c r="F2948" s="6" t="str">
        <f t="shared" si="102"/>
        <v>0001086101</v>
      </c>
    </row>
    <row r="2949" spans="1:6" x14ac:dyDescent="0.3">
      <c r="A2949" s="6" t="s">
        <v>2949</v>
      </c>
      <c r="B2949">
        <v>43510710</v>
      </c>
      <c r="C2949" s="3">
        <v>3</v>
      </c>
      <c r="D2949" s="5" t="str">
        <f t="shared" si="101"/>
        <v>03</v>
      </c>
      <c r="E2949" t="str">
        <f>VLOOKUP(B2949,'HOGARES-BASELINE'!$B:$I,8,FALSE)</f>
        <v>00010862</v>
      </c>
      <c r="F2949" s="6" t="str">
        <f t="shared" si="102"/>
        <v>0001086203</v>
      </c>
    </row>
    <row r="2950" spans="1:6" x14ac:dyDescent="0.3">
      <c r="A2950" s="6" t="s">
        <v>2950</v>
      </c>
      <c r="B2950">
        <v>43510710</v>
      </c>
      <c r="C2950" s="3">
        <v>2</v>
      </c>
      <c r="D2950" s="5" t="str">
        <f t="shared" si="101"/>
        <v>02</v>
      </c>
      <c r="E2950" t="str">
        <f>VLOOKUP(B2950,'HOGARES-BASELINE'!$B:$I,8,FALSE)</f>
        <v>00010862</v>
      </c>
      <c r="F2950" s="6" t="str">
        <f t="shared" si="102"/>
        <v>0001086202</v>
      </c>
    </row>
    <row r="2951" spans="1:6" x14ac:dyDescent="0.3">
      <c r="A2951" s="6" t="s">
        <v>2951</v>
      </c>
      <c r="B2951">
        <v>43510710</v>
      </c>
      <c r="C2951" s="3">
        <v>1</v>
      </c>
      <c r="D2951" s="5" t="str">
        <f t="shared" si="101"/>
        <v>01</v>
      </c>
      <c r="E2951" t="str">
        <f>VLOOKUP(B2951,'HOGARES-BASELINE'!$B:$I,8,FALSE)</f>
        <v>00010862</v>
      </c>
      <c r="F2951" s="6" t="str">
        <f t="shared" si="102"/>
        <v>0001086201</v>
      </c>
    </row>
    <row r="2952" spans="1:6" x14ac:dyDescent="0.3">
      <c r="A2952" s="6" t="s">
        <v>2952</v>
      </c>
      <c r="B2952">
        <v>43516112</v>
      </c>
      <c r="C2952" s="3">
        <v>2</v>
      </c>
      <c r="D2952" s="5" t="str">
        <f t="shared" si="101"/>
        <v>02</v>
      </c>
      <c r="E2952" t="str">
        <f>VLOOKUP(B2952,'HOGARES-BASELINE'!$B:$I,8,FALSE)</f>
        <v>00010863</v>
      </c>
      <c r="F2952" s="6" t="str">
        <f t="shared" si="102"/>
        <v>0001086302</v>
      </c>
    </row>
    <row r="2953" spans="1:6" x14ac:dyDescent="0.3">
      <c r="A2953" s="6" t="s">
        <v>2953</v>
      </c>
      <c r="B2953">
        <v>43516112</v>
      </c>
      <c r="C2953" s="3">
        <v>5</v>
      </c>
      <c r="D2953" s="5" t="str">
        <f t="shared" si="101"/>
        <v>05</v>
      </c>
      <c r="E2953" t="str">
        <f>VLOOKUP(B2953,'HOGARES-BASELINE'!$B:$I,8,FALSE)</f>
        <v>00010863</v>
      </c>
      <c r="F2953" s="6" t="str">
        <f t="shared" si="102"/>
        <v>0001086305</v>
      </c>
    </row>
    <row r="2954" spans="1:6" x14ac:dyDescent="0.3">
      <c r="A2954" s="6" t="s">
        <v>2954</v>
      </c>
      <c r="B2954">
        <v>43516112</v>
      </c>
      <c r="C2954" s="3">
        <v>4</v>
      </c>
      <c r="D2954" s="5" t="str">
        <f t="shared" si="101"/>
        <v>04</v>
      </c>
      <c r="E2954" t="str">
        <f>VLOOKUP(B2954,'HOGARES-BASELINE'!$B:$I,8,FALSE)</f>
        <v>00010863</v>
      </c>
      <c r="F2954" s="6" t="str">
        <f t="shared" si="102"/>
        <v>0001086304</v>
      </c>
    </row>
    <row r="2955" spans="1:6" x14ac:dyDescent="0.3">
      <c r="A2955" s="6" t="s">
        <v>2955</v>
      </c>
      <c r="B2955">
        <v>43516112</v>
      </c>
      <c r="C2955" s="3">
        <v>1</v>
      </c>
      <c r="D2955" s="5" t="str">
        <f t="shared" si="101"/>
        <v>01</v>
      </c>
      <c r="E2955" t="str">
        <f>VLOOKUP(B2955,'HOGARES-BASELINE'!$B:$I,8,FALSE)</f>
        <v>00010863</v>
      </c>
      <c r="F2955" s="6" t="str">
        <f t="shared" si="102"/>
        <v>0001086301</v>
      </c>
    </row>
    <row r="2956" spans="1:6" x14ac:dyDescent="0.3">
      <c r="A2956" s="6" t="s">
        <v>2956</v>
      </c>
      <c r="B2956">
        <v>43516112</v>
      </c>
      <c r="C2956" s="3">
        <v>3</v>
      </c>
      <c r="D2956" s="5" t="str">
        <f t="shared" si="101"/>
        <v>03</v>
      </c>
      <c r="E2956" t="str">
        <f>VLOOKUP(B2956,'HOGARES-BASELINE'!$B:$I,8,FALSE)</f>
        <v>00010863</v>
      </c>
      <c r="F2956" s="6" t="str">
        <f t="shared" si="102"/>
        <v>0001086303</v>
      </c>
    </row>
    <row r="2957" spans="1:6" x14ac:dyDescent="0.3">
      <c r="A2957" s="6" t="s">
        <v>2957</v>
      </c>
      <c r="B2957">
        <v>43524391</v>
      </c>
      <c r="C2957" s="3">
        <v>1</v>
      </c>
      <c r="D2957" s="5" t="str">
        <f t="shared" si="101"/>
        <v>01</v>
      </c>
      <c r="E2957" t="str">
        <f>VLOOKUP(B2957,'HOGARES-BASELINE'!$B:$I,8,FALSE)</f>
        <v>00010864</v>
      </c>
      <c r="F2957" s="6" t="str">
        <f t="shared" si="102"/>
        <v>0001086401</v>
      </c>
    </row>
    <row r="2958" spans="1:6" x14ac:dyDescent="0.3">
      <c r="A2958" s="6" t="s">
        <v>2958</v>
      </c>
      <c r="B2958">
        <v>43524391</v>
      </c>
      <c r="C2958" s="3">
        <v>2</v>
      </c>
      <c r="D2958" s="5" t="str">
        <f t="shared" si="101"/>
        <v>02</v>
      </c>
      <c r="E2958" t="str">
        <f>VLOOKUP(B2958,'HOGARES-BASELINE'!$B:$I,8,FALSE)</f>
        <v>00010864</v>
      </c>
      <c r="F2958" s="6" t="str">
        <f t="shared" si="102"/>
        <v>0001086402</v>
      </c>
    </row>
    <row r="2959" spans="1:6" x14ac:dyDescent="0.3">
      <c r="A2959" s="6" t="s">
        <v>2959</v>
      </c>
      <c r="B2959">
        <v>43533488</v>
      </c>
      <c r="C2959" s="3">
        <v>6</v>
      </c>
      <c r="D2959" s="5" t="str">
        <f t="shared" si="101"/>
        <v>06</v>
      </c>
      <c r="E2959" t="str">
        <f>VLOOKUP(B2959,'HOGARES-BASELINE'!$B:$I,8,FALSE)</f>
        <v>01010865</v>
      </c>
      <c r="F2959" s="6" t="str">
        <f t="shared" si="102"/>
        <v>0101086506</v>
      </c>
    </row>
    <row r="2960" spans="1:6" x14ac:dyDescent="0.3">
      <c r="A2960" s="6" t="s">
        <v>2960</v>
      </c>
      <c r="B2960">
        <v>43533488</v>
      </c>
      <c r="C2960" s="3">
        <v>3</v>
      </c>
      <c r="D2960" s="5" t="str">
        <f t="shared" si="101"/>
        <v>03</v>
      </c>
      <c r="E2960" t="str">
        <f>VLOOKUP(B2960,'HOGARES-BASELINE'!$B:$I,8,FALSE)</f>
        <v>01010865</v>
      </c>
      <c r="F2960" s="6" t="str">
        <f t="shared" si="102"/>
        <v>0101086503</v>
      </c>
    </row>
    <row r="2961" spans="1:6" x14ac:dyDescent="0.3">
      <c r="A2961" s="6" t="s">
        <v>2961</v>
      </c>
      <c r="B2961">
        <v>43533488</v>
      </c>
      <c r="C2961" s="3">
        <v>4</v>
      </c>
      <c r="D2961" s="5" t="str">
        <f t="shared" si="101"/>
        <v>04</v>
      </c>
      <c r="E2961" t="str">
        <f>VLOOKUP(B2961,'HOGARES-BASELINE'!$B:$I,8,FALSE)</f>
        <v>01010865</v>
      </c>
      <c r="F2961" s="6" t="str">
        <f t="shared" si="102"/>
        <v>0101086504</v>
      </c>
    </row>
    <row r="2962" spans="1:6" x14ac:dyDescent="0.3">
      <c r="A2962" s="6" t="s">
        <v>2962</v>
      </c>
      <c r="B2962">
        <v>43533488</v>
      </c>
      <c r="C2962" s="3">
        <v>1</v>
      </c>
      <c r="D2962" s="5" t="str">
        <f t="shared" si="101"/>
        <v>01</v>
      </c>
      <c r="E2962" t="str">
        <f>VLOOKUP(B2962,'HOGARES-BASELINE'!$B:$I,8,FALSE)</f>
        <v>01010865</v>
      </c>
      <c r="F2962" s="6" t="str">
        <f t="shared" si="102"/>
        <v>0101086501</v>
      </c>
    </row>
    <row r="2963" spans="1:6" x14ac:dyDescent="0.3">
      <c r="A2963" s="6" t="s">
        <v>2963</v>
      </c>
      <c r="B2963">
        <v>43533488</v>
      </c>
      <c r="C2963" s="3">
        <v>5</v>
      </c>
      <c r="D2963" s="5" t="str">
        <f t="shared" si="101"/>
        <v>05</v>
      </c>
      <c r="E2963" t="str">
        <f>VLOOKUP(B2963,'HOGARES-BASELINE'!$B:$I,8,FALSE)</f>
        <v>01010865</v>
      </c>
      <c r="F2963" s="6" t="str">
        <f t="shared" si="102"/>
        <v>0101086505</v>
      </c>
    </row>
    <row r="2964" spans="1:6" x14ac:dyDescent="0.3">
      <c r="A2964" s="6" t="s">
        <v>2964</v>
      </c>
      <c r="B2964">
        <v>43533488</v>
      </c>
      <c r="C2964" s="3">
        <v>2</v>
      </c>
      <c r="D2964" s="5" t="str">
        <f t="shared" si="101"/>
        <v>02</v>
      </c>
      <c r="E2964" t="str">
        <f>VLOOKUP(B2964,'HOGARES-BASELINE'!$B:$I,8,FALSE)</f>
        <v>01010865</v>
      </c>
      <c r="F2964" s="6" t="str">
        <f t="shared" si="102"/>
        <v>0101086502</v>
      </c>
    </row>
    <row r="2965" spans="1:6" x14ac:dyDescent="0.3">
      <c r="A2965" s="6" t="s">
        <v>2965</v>
      </c>
      <c r="B2965">
        <v>43533978</v>
      </c>
      <c r="C2965" s="3">
        <v>1</v>
      </c>
      <c r="D2965" s="5" t="str">
        <f t="shared" si="101"/>
        <v>01</v>
      </c>
      <c r="E2965" t="str">
        <f>VLOOKUP(B2965,'HOGARES-BASELINE'!$B:$I,8,FALSE)</f>
        <v>00010866</v>
      </c>
      <c r="F2965" s="6" t="str">
        <f t="shared" si="102"/>
        <v>0001086601</v>
      </c>
    </row>
    <row r="2966" spans="1:6" x14ac:dyDescent="0.3">
      <c r="A2966" s="6" t="s">
        <v>2966</v>
      </c>
      <c r="B2966">
        <v>43534027</v>
      </c>
      <c r="C2966" s="3">
        <v>1</v>
      </c>
      <c r="D2966" s="5" t="str">
        <f t="shared" si="101"/>
        <v>01</v>
      </c>
      <c r="E2966" t="str">
        <f>VLOOKUP(B2966,'HOGARES-BASELINE'!$B:$I,8,FALSE)</f>
        <v>00010867</v>
      </c>
      <c r="F2966" s="6" t="str">
        <f t="shared" si="102"/>
        <v>0001086701</v>
      </c>
    </row>
    <row r="2967" spans="1:6" x14ac:dyDescent="0.3">
      <c r="A2967" s="6" t="s">
        <v>2967</v>
      </c>
      <c r="B2967">
        <v>43534342</v>
      </c>
      <c r="C2967" s="3">
        <v>3</v>
      </c>
      <c r="D2967" s="5" t="str">
        <f t="shared" si="101"/>
        <v>03</v>
      </c>
      <c r="E2967" t="str">
        <f>VLOOKUP(B2967,'HOGARES-BASELINE'!$B:$I,8,FALSE)</f>
        <v>00010868</v>
      </c>
      <c r="F2967" s="6" t="str">
        <f t="shared" si="102"/>
        <v>0001086803</v>
      </c>
    </row>
    <row r="2968" spans="1:6" x14ac:dyDescent="0.3">
      <c r="A2968" s="6" t="s">
        <v>2968</v>
      </c>
      <c r="B2968">
        <v>43534342</v>
      </c>
      <c r="C2968" s="3">
        <v>1</v>
      </c>
      <c r="D2968" s="5" t="str">
        <f t="shared" si="101"/>
        <v>01</v>
      </c>
      <c r="E2968" t="str">
        <f>VLOOKUP(B2968,'HOGARES-BASELINE'!$B:$I,8,FALSE)</f>
        <v>00010868</v>
      </c>
      <c r="F2968" s="6" t="str">
        <f t="shared" si="102"/>
        <v>0001086801</v>
      </c>
    </row>
    <row r="2969" spans="1:6" x14ac:dyDescent="0.3">
      <c r="A2969" s="6" t="s">
        <v>2969</v>
      </c>
      <c r="B2969">
        <v>43534342</v>
      </c>
      <c r="C2969" s="3">
        <v>4</v>
      </c>
      <c r="D2969" s="5" t="str">
        <f t="shared" si="101"/>
        <v>04</v>
      </c>
      <c r="E2969" t="str">
        <f>VLOOKUP(B2969,'HOGARES-BASELINE'!$B:$I,8,FALSE)</f>
        <v>00010868</v>
      </c>
      <c r="F2969" s="6" t="str">
        <f t="shared" si="102"/>
        <v>0001086804</v>
      </c>
    </row>
    <row r="2970" spans="1:6" x14ac:dyDescent="0.3">
      <c r="A2970" s="6" t="s">
        <v>2970</v>
      </c>
      <c r="B2970">
        <v>43534342</v>
      </c>
      <c r="C2970" s="3">
        <v>2</v>
      </c>
      <c r="D2970" s="5" t="str">
        <f t="shared" si="101"/>
        <v>02</v>
      </c>
      <c r="E2970" t="str">
        <f>VLOOKUP(B2970,'HOGARES-BASELINE'!$B:$I,8,FALSE)</f>
        <v>00010868</v>
      </c>
      <c r="F2970" s="6" t="str">
        <f t="shared" si="102"/>
        <v>0001086802</v>
      </c>
    </row>
    <row r="2971" spans="1:6" x14ac:dyDescent="0.3">
      <c r="A2971" s="6" t="s">
        <v>2971</v>
      </c>
      <c r="B2971">
        <v>43535348</v>
      </c>
      <c r="C2971" s="3">
        <v>1</v>
      </c>
      <c r="D2971" s="5" t="str">
        <f t="shared" si="101"/>
        <v>01</v>
      </c>
      <c r="E2971" t="str">
        <f>VLOOKUP(B2971,'HOGARES-BASELINE'!$B:$I,8,FALSE)</f>
        <v>01010869</v>
      </c>
      <c r="F2971" s="6" t="str">
        <f t="shared" si="102"/>
        <v>0101086901</v>
      </c>
    </row>
    <row r="2972" spans="1:6" x14ac:dyDescent="0.3">
      <c r="A2972" s="6" t="s">
        <v>2972</v>
      </c>
      <c r="B2972">
        <v>43535348</v>
      </c>
      <c r="C2972" s="3">
        <v>2</v>
      </c>
      <c r="D2972" s="5" t="str">
        <f t="shared" si="101"/>
        <v>02</v>
      </c>
      <c r="E2972" t="str">
        <f>VLOOKUP(B2972,'HOGARES-BASELINE'!$B:$I,8,FALSE)</f>
        <v>01010869</v>
      </c>
      <c r="F2972" s="6" t="str">
        <f t="shared" si="102"/>
        <v>0101086902</v>
      </c>
    </row>
    <row r="2973" spans="1:6" x14ac:dyDescent="0.3">
      <c r="A2973" s="6" t="s">
        <v>2973</v>
      </c>
      <c r="B2973">
        <v>43536319</v>
      </c>
      <c r="C2973" s="3">
        <v>2</v>
      </c>
      <c r="D2973" s="5" t="str">
        <f t="shared" si="101"/>
        <v>02</v>
      </c>
      <c r="E2973" t="str">
        <f>VLOOKUP(B2973,'HOGARES-BASELINE'!$B:$I,8,FALSE)</f>
        <v>00010870</v>
      </c>
      <c r="F2973" s="6" t="str">
        <f t="shared" si="102"/>
        <v>0001087002</v>
      </c>
    </row>
    <row r="2974" spans="1:6" x14ac:dyDescent="0.3">
      <c r="A2974" s="6" t="s">
        <v>2974</v>
      </c>
      <c r="B2974">
        <v>43536319</v>
      </c>
      <c r="C2974" s="3">
        <v>1</v>
      </c>
      <c r="D2974" s="5" t="str">
        <f t="shared" si="101"/>
        <v>01</v>
      </c>
      <c r="E2974" t="str">
        <f>VLOOKUP(B2974,'HOGARES-BASELINE'!$B:$I,8,FALSE)</f>
        <v>00010870</v>
      </c>
      <c r="F2974" s="6" t="str">
        <f t="shared" si="102"/>
        <v>0001087001</v>
      </c>
    </row>
    <row r="2975" spans="1:6" x14ac:dyDescent="0.3">
      <c r="A2975" s="6" t="s">
        <v>2975</v>
      </c>
      <c r="B2975">
        <v>43536319</v>
      </c>
      <c r="C2975" s="3">
        <v>3</v>
      </c>
      <c r="D2975" s="5" t="str">
        <f t="shared" si="101"/>
        <v>03</v>
      </c>
      <c r="E2975" t="str">
        <f>VLOOKUP(B2975,'HOGARES-BASELINE'!$B:$I,8,FALSE)</f>
        <v>00010870</v>
      </c>
      <c r="F2975" s="6" t="str">
        <f t="shared" si="102"/>
        <v>0001087003</v>
      </c>
    </row>
    <row r="2976" spans="1:6" x14ac:dyDescent="0.3">
      <c r="A2976" s="6" t="s">
        <v>2976</v>
      </c>
      <c r="B2976">
        <v>43536648</v>
      </c>
      <c r="C2976" s="3">
        <v>2</v>
      </c>
      <c r="D2976" s="5" t="str">
        <f t="shared" si="101"/>
        <v>02</v>
      </c>
      <c r="E2976" t="str">
        <f>VLOOKUP(B2976,'HOGARES-BASELINE'!$B:$I,8,FALSE)</f>
        <v>00010871</v>
      </c>
      <c r="F2976" s="6" t="str">
        <f t="shared" si="102"/>
        <v>0001087102</v>
      </c>
    </row>
    <row r="2977" spans="1:6" x14ac:dyDescent="0.3">
      <c r="A2977" s="6" t="s">
        <v>2977</v>
      </c>
      <c r="B2977">
        <v>43536648</v>
      </c>
      <c r="C2977" s="3">
        <v>1</v>
      </c>
      <c r="D2977" s="5" t="str">
        <f t="shared" si="101"/>
        <v>01</v>
      </c>
      <c r="E2977" t="str">
        <f>VLOOKUP(B2977,'HOGARES-BASELINE'!$B:$I,8,FALSE)</f>
        <v>00010871</v>
      </c>
      <c r="F2977" s="6" t="str">
        <f t="shared" si="102"/>
        <v>0001087101</v>
      </c>
    </row>
    <row r="2978" spans="1:6" x14ac:dyDescent="0.3">
      <c r="A2978" s="6" t="s">
        <v>2978</v>
      </c>
      <c r="B2978">
        <v>43536648</v>
      </c>
      <c r="C2978" s="3">
        <v>3</v>
      </c>
      <c r="D2978" s="5" t="str">
        <f t="shared" si="101"/>
        <v>03</v>
      </c>
      <c r="E2978" t="str">
        <f>VLOOKUP(B2978,'HOGARES-BASELINE'!$B:$I,8,FALSE)</f>
        <v>00010871</v>
      </c>
      <c r="F2978" s="6" t="str">
        <f t="shared" si="102"/>
        <v>0001087103</v>
      </c>
    </row>
    <row r="2979" spans="1:6" x14ac:dyDescent="0.3">
      <c r="A2979" s="6" t="s">
        <v>2979</v>
      </c>
      <c r="B2979">
        <v>43536648</v>
      </c>
      <c r="C2979" s="3">
        <v>4</v>
      </c>
      <c r="D2979" s="5" t="str">
        <f t="shared" si="101"/>
        <v>04</v>
      </c>
      <c r="E2979" t="str">
        <f>VLOOKUP(B2979,'HOGARES-BASELINE'!$B:$I,8,FALSE)</f>
        <v>00010871</v>
      </c>
      <c r="F2979" s="6" t="str">
        <f t="shared" si="102"/>
        <v>0001087104</v>
      </c>
    </row>
    <row r="2980" spans="1:6" x14ac:dyDescent="0.3">
      <c r="A2980" s="6" t="s">
        <v>2980</v>
      </c>
      <c r="B2980">
        <v>43542284</v>
      </c>
      <c r="C2980" s="3">
        <v>1</v>
      </c>
      <c r="D2980" s="5" t="str">
        <f t="shared" si="101"/>
        <v>01</v>
      </c>
      <c r="E2980" t="str">
        <f>VLOOKUP(B2980,'HOGARES-BASELINE'!$B:$I,8,FALSE)</f>
        <v>01010872</v>
      </c>
      <c r="F2980" s="6" t="str">
        <f t="shared" si="102"/>
        <v>0101087201</v>
      </c>
    </row>
    <row r="2981" spans="1:6" x14ac:dyDescent="0.3">
      <c r="A2981" s="6" t="s">
        <v>2981</v>
      </c>
      <c r="B2981">
        <v>43542284</v>
      </c>
      <c r="C2981" s="3">
        <v>3</v>
      </c>
      <c r="D2981" s="5" t="str">
        <f t="shared" si="101"/>
        <v>03</v>
      </c>
      <c r="E2981" t="str">
        <f>VLOOKUP(B2981,'HOGARES-BASELINE'!$B:$I,8,FALSE)</f>
        <v>01010872</v>
      </c>
      <c r="F2981" s="6" t="str">
        <f t="shared" si="102"/>
        <v>0101087203</v>
      </c>
    </row>
    <row r="2982" spans="1:6" x14ac:dyDescent="0.3">
      <c r="A2982" s="6" t="s">
        <v>2982</v>
      </c>
      <c r="B2982">
        <v>43542284</v>
      </c>
      <c r="C2982" s="3">
        <v>2</v>
      </c>
      <c r="D2982" s="5" t="str">
        <f t="shared" si="101"/>
        <v>02</v>
      </c>
      <c r="E2982" t="str">
        <f>VLOOKUP(B2982,'HOGARES-BASELINE'!$B:$I,8,FALSE)</f>
        <v>01010872</v>
      </c>
      <c r="F2982" s="6" t="str">
        <f t="shared" si="102"/>
        <v>0101087202</v>
      </c>
    </row>
    <row r="2983" spans="1:6" x14ac:dyDescent="0.3">
      <c r="A2983" s="6" t="s">
        <v>2983</v>
      </c>
      <c r="B2983">
        <v>43542284</v>
      </c>
      <c r="C2983" s="3">
        <v>4</v>
      </c>
      <c r="D2983" s="5" t="str">
        <f t="shared" si="101"/>
        <v>04</v>
      </c>
      <c r="E2983" t="str">
        <f>VLOOKUP(B2983,'HOGARES-BASELINE'!$B:$I,8,FALSE)</f>
        <v>01010872</v>
      </c>
      <c r="F2983" s="6" t="str">
        <f t="shared" si="102"/>
        <v>0101087204</v>
      </c>
    </row>
    <row r="2984" spans="1:6" x14ac:dyDescent="0.3">
      <c r="A2984" s="6" t="s">
        <v>2984</v>
      </c>
      <c r="B2984">
        <v>43558865</v>
      </c>
      <c r="C2984" s="3">
        <v>1</v>
      </c>
      <c r="D2984" s="5" t="str">
        <f t="shared" si="101"/>
        <v>01</v>
      </c>
      <c r="E2984" t="str">
        <f>VLOOKUP(B2984,'HOGARES-BASELINE'!$B:$I,8,FALSE)</f>
        <v>00010873</v>
      </c>
      <c r="F2984" s="6" t="str">
        <f t="shared" si="102"/>
        <v>0001087301</v>
      </c>
    </row>
    <row r="2985" spans="1:6" x14ac:dyDescent="0.3">
      <c r="A2985" s="6" t="s">
        <v>2985</v>
      </c>
      <c r="B2985">
        <v>43558865</v>
      </c>
      <c r="C2985" s="3">
        <v>2</v>
      </c>
      <c r="D2985" s="5" t="str">
        <f t="shared" si="101"/>
        <v>02</v>
      </c>
      <c r="E2985" t="str">
        <f>VLOOKUP(B2985,'HOGARES-BASELINE'!$B:$I,8,FALSE)</f>
        <v>00010873</v>
      </c>
      <c r="F2985" s="6" t="str">
        <f t="shared" si="102"/>
        <v>0001087302</v>
      </c>
    </row>
    <row r="2986" spans="1:6" x14ac:dyDescent="0.3">
      <c r="A2986" s="6" t="s">
        <v>2986</v>
      </c>
      <c r="B2986">
        <v>43558878</v>
      </c>
      <c r="C2986" s="3">
        <v>3</v>
      </c>
      <c r="D2986" s="5" t="str">
        <f t="shared" si="101"/>
        <v>03</v>
      </c>
      <c r="E2986" t="str">
        <f>VLOOKUP(B2986,'HOGARES-BASELINE'!$B:$I,8,FALSE)</f>
        <v>00010874</v>
      </c>
      <c r="F2986" s="6" t="str">
        <f t="shared" si="102"/>
        <v>0001087403</v>
      </c>
    </row>
    <row r="2987" spans="1:6" x14ac:dyDescent="0.3">
      <c r="A2987" s="6" t="s">
        <v>2987</v>
      </c>
      <c r="B2987">
        <v>43558878</v>
      </c>
      <c r="C2987" s="3">
        <v>5</v>
      </c>
      <c r="D2987" s="5" t="str">
        <f t="shared" si="101"/>
        <v>05</v>
      </c>
      <c r="E2987" t="str">
        <f>VLOOKUP(B2987,'HOGARES-BASELINE'!$B:$I,8,FALSE)</f>
        <v>00010874</v>
      </c>
      <c r="F2987" s="6" t="str">
        <f t="shared" si="102"/>
        <v>0001087405</v>
      </c>
    </row>
    <row r="2988" spans="1:6" x14ac:dyDescent="0.3">
      <c r="A2988" s="6" t="s">
        <v>2988</v>
      </c>
      <c r="B2988">
        <v>43558878</v>
      </c>
      <c r="C2988" s="3">
        <v>2</v>
      </c>
      <c r="D2988" s="5" t="str">
        <f t="shared" ref="D2988:D3011" si="103">_xlfn.CONCAT(0,C2988)</f>
        <v>02</v>
      </c>
      <c r="E2988" t="str">
        <f>VLOOKUP(B2988,'HOGARES-BASELINE'!$B:$I,8,FALSE)</f>
        <v>00010874</v>
      </c>
      <c r="F2988" s="6" t="str">
        <f t="shared" si="102"/>
        <v>0001087402</v>
      </c>
    </row>
    <row r="2989" spans="1:6" x14ac:dyDescent="0.3">
      <c r="A2989" s="6" t="s">
        <v>2989</v>
      </c>
      <c r="B2989">
        <v>43558878</v>
      </c>
      <c r="C2989" s="3">
        <v>6</v>
      </c>
      <c r="D2989" s="5" t="str">
        <f t="shared" si="103"/>
        <v>06</v>
      </c>
      <c r="E2989" t="str">
        <f>VLOOKUP(B2989,'HOGARES-BASELINE'!$B:$I,8,FALSE)</f>
        <v>00010874</v>
      </c>
      <c r="F2989" s="6" t="str">
        <f t="shared" si="102"/>
        <v>0001087406</v>
      </c>
    </row>
    <row r="2990" spans="1:6" x14ac:dyDescent="0.3">
      <c r="A2990" s="6" t="s">
        <v>2990</v>
      </c>
      <c r="B2990">
        <v>43558878</v>
      </c>
      <c r="C2990" s="3">
        <v>4</v>
      </c>
      <c r="D2990" s="5" t="str">
        <f t="shared" si="103"/>
        <v>04</v>
      </c>
      <c r="E2990" t="str">
        <f>VLOOKUP(B2990,'HOGARES-BASELINE'!$B:$I,8,FALSE)</f>
        <v>00010874</v>
      </c>
      <c r="F2990" s="6" t="str">
        <f t="shared" si="102"/>
        <v>0001087404</v>
      </c>
    </row>
    <row r="2991" spans="1:6" x14ac:dyDescent="0.3">
      <c r="A2991" s="6" t="s">
        <v>2991</v>
      </c>
      <c r="B2991">
        <v>43558878</v>
      </c>
      <c r="C2991" s="3">
        <v>7</v>
      </c>
      <c r="D2991" s="5" t="str">
        <f t="shared" si="103"/>
        <v>07</v>
      </c>
      <c r="E2991" t="str">
        <f>VLOOKUP(B2991,'HOGARES-BASELINE'!$B:$I,8,FALSE)</f>
        <v>00010874</v>
      </c>
      <c r="F2991" s="6" t="str">
        <f t="shared" si="102"/>
        <v>0001087407</v>
      </c>
    </row>
    <row r="2992" spans="1:6" x14ac:dyDescent="0.3">
      <c r="A2992" s="6" t="s">
        <v>2992</v>
      </c>
      <c r="B2992">
        <v>43558878</v>
      </c>
      <c r="C2992" s="3">
        <v>1</v>
      </c>
      <c r="D2992" s="5" t="str">
        <f t="shared" si="103"/>
        <v>01</v>
      </c>
      <c r="E2992" t="str">
        <f>VLOOKUP(B2992,'HOGARES-BASELINE'!$B:$I,8,FALSE)</f>
        <v>00010874</v>
      </c>
      <c r="F2992" s="6" t="str">
        <f t="shared" si="102"/>
        <v>0001087401</v>
      </c>
    </row>
    <row r="2993" spans="1:6" x14ac:dyDescent="0.3">
      <c r="A2993" s="6" t="s">
        <v>2993</v>
      </c>
      <c r="B2993">
        <v>43558878</v>
      </c>
      <c r="C2993" s="3">
        <v>8</v>
      </c>
      <c r="D2993" s="5" t="str">
        <f t="shared" si="103"/>
        <v>08</v>
      </c>
      <c r="E2993" t="str">
        <f>VLOOKUP(B2993,'HOGARES-BASELINE'!$B:$I,8,FALSE)</f>
        <v>00010874</v>
      </c>
      <c r="F2993" s="6" t="str">
        <f t="shared" si="102"/>
        <v>0001087408</v>
      </c>
    </row>
    <row r="2994" spans="1:6" x14ac:dyDescent="0.3">
      <c r="A2994" s="6" t="s">
        <v>2994</v>
      </c>
      <c r="B2994">
        <v>43563684</v>
      </c>
      <c r="C2994" s="3">
        <v>1</v>
      </c>
      <c r="D2994" s="5" t="str">
        <f t="shared" si="103"/>
        <v>01</v>
      </c>
      <c r="E2994" t="str">
        <f>VLOOKUP(B2994,'HOGARES-BASELINE'!$B:$I,8,FALSE)</f>
        <v>00010875</v>
      </c>
      <c r="F2994" s="6" t="str">
        <f t="shared" si="102"/>
        <v>0001087501</v>
      </c>
    </row>
    <row r="2995" spans="1:6" x14ac:dyDescent="0.3">
      <c r="A2995" s="6" t="s">
        <v>2995</v>
      </c>
      <c r="B2995">
        <v>43563684</v>
      </c>
      <c r="C2995" s="3">
        <v>2</v>
      </c>
      <c r="D2995" s="5" t="str">
        <f t="shared" si="103"/>
        <v>02</v>
      </c>
      <c r="E2995" t="str">
        <f>VLOOKUP(B2995,'HOGARES-BASELINE'!$B:$I,8,FALSE)</f>
        <v>00010875</v>
      </c>
      <c r="F2995" s="6" t="str">
        <f t="shared" si="102"/>
        <v>0001087502</v>
      </c>
    </row>
    <row r="2996" spans="1:6" x14ac:dyDescent="0.3">
      <c r="A2996" s="6" t="s">
        <v>2996</v>
      </c>
      <c r="B2996">
        <v>43565062</v>
      </c>
      <c r="C2996" s="3">
        <v>3</v>
      </c>
      <c r="D2996" s="5" t="str">
        <f t="shared" si="103"/>
        <v>03</v>
      </c>
      <c r="E2996" t="str">
        <f>VLOOKUP(B2996,'HOGARES-BASELINE'!$B:$I,8,FALSE)</f>
        <v>00010876</v>
      </c>
      <c r="F2996" s="6" t="str">
        <f t="shared" si="102"/>
        <v>0001087603</v>
      </c>
    </row>
    <row r="2997" spans="1:6" x14ac:dyDescent="0.3">
      <c r="A2997" s="6" t="s">
        <v>2997</v>
      </c>
      <c r="B2997">
        <v>43565062</v>
      </c>
      <c r="C2997" s="3">
        <v>4</v>
      </c>
      <c r="D2997" s="5" t="str">
        <f t="shared" si="103"/>
        <v>04</v>
      </c>
      <c r="E2997" t="str">
        <f>VLOOKUP(B2997,'HOGARES-BASELINE'!$B:$I,8,FALSE)</f>
        <v>00010876</v>
      </c>
      <c r="F2997" s="6" t="str">
        <f t="shared" si="102"/>
        <v>0001087604</v>
      </c>
    </row>
    <row r="2998" spans="1:6" x14ac:dyDescent="0.3">
      <c r="A2998" s="6" t="s">
        <v>2998</v>
      </c>
      <c r="B2998">
        <v>43565062</v>
      </c>
      <c r="C2998" s="3">
        <v>1</v>
      </c>
      <c r="D2998" s="5" t="str">
        <f t="shared" si="103"/>
        <v>01</v>
      </c>
      <c r="E2998" t="str">
        <f>VLOOKUP(B2998,'HOGARES-BASELINE'!$B:$I,8,FALSE)</f>
        <v>00010876</v>
      </c>
      <c r="F2998" s="6" t="str">
        <f t="shared" si="102"/>
        <v>0001087601</v>
      </c>
    </row>
    <row r="2999" spans="1:6" x14ac:dyDescent="0.3">
      <c r="A2999" s="6" t="s">
        <v>2999</v>
      </c>
      <c r="B2999">
        <v>43565062</v>
      </c>
      <c r="C2999" s="3">
        <v>2</v>
      </c>
      <c r="D2999" s="5" t="str">
        <f t="shared" si="103"/>
        <v>02</v>
      </c>
      <c r="E2999" t="str">
        <f>VLOOKUP(B2999,'HOGARES-BASELINE'!$B:$I,8,FALSE)</f>
        <v>00010876</v>
      </c>
      <c r="F2999" s="6" t="str">
        <f t="shared" si="102"/>
        <v>0001087602</v>
      </c>
    </row>
    <row r="3000" spans="1:6" x14ac:dyDescent="0.3">
      <c r="A3000" s="6" t="s">
        <v>3000</v>
      </c>
      <c r="B3000">
        <v>43565594</v>
      </c>
      <c r="C3000" s="3">
        <v>1</v>
      </c>
      <c r="D3000" s="5" t="str">
        <f t="shared" si="103"/>
        <v>01</v>
      </c>
      <c r="E3000" t="str">
        <f>VLOOKUP(B3000,'HOGARES-BASELINE'!$B:$I,8,FALSE)</f>
        <v>00010877</v>
      </c>
      <c r="F3000" s="6" t="str">
        <f t="shared" si="102"/>
        <v>0001087701</v>
      </c>
    </row>
    <row r="3001" spans="1:6" x14ac:dyDescent="0.3">
      <c r="A3001" s="6" t="s">
        <v>3001</v>
      </c>
      <c r="B3001">
        <v>43566435</v>
      </c>
      <c r="C3001" s="3">
        <v>4</v>
      </c>
      <c r="D3001" s="5" t="str">
        <f t="shared" si="103"/>
        <v>04</v>
      </c>
      <c r="E3001" t="str">
        <f>VLOOKUP(B3001,'HOGARES-BASELINE'!$B:$I,8,FALSE)</f>
        <v>01010878</v>
      </c>
      <c r="F3001" s="6" t="str">
        <f t="shared" si="102"/>
        <v>0101087804</v>
      </c>
    </row>
    <row r="3002" spans="1:6" x14ac:dyDescent="0.3">
      <c r="A3002" s="6" t="s">
        <v>3002</v>
      </c>
      <c r="B3002">
        <v>43566435</v>
      </c>
      <c r="C3002" s="3">
        <v>1</v>
      </c>
      <c r="D3002" s="5" t="str">
        <f t="shared" si="103"/>
        <v>01</v>
      </c>
      <c r="E3002" t="str">
        <f>VLOOKUP(B3002,'HOGARES-BASELINE'!$B:$I,8,FALSE)</f>
        <v>01010878</v>
      </c>
      <c r="F3002" s="6" t="str">
        <f t="shared" si="102"/>
        <v>0101087801</v>
      </c>
    </row>
    <row r="3003" spans="1:6" x14ac:dyDescent="0.3">
      <c r="A3003" s="6" t="s">
        <v>3003</v>
      </c>
      <c r="B3003">
        <v>43566435</v>
      </c>
      <c r="C3003" s="3">
        <v>3</v>
      </c>
      <c r="D3003" s="5" t="str">
        <f t="shared" si="103"/>
        <v>03</v>
      </c>
      <c r="E3003" t="str">
        <f>VLOOKUP(B3003,'HOGARES-BASELINE'!$B:$I,8,FALSE)</f>
        <v>01010878</v>
      </c>
      <c r="F3003" s="6" t="str">
        <f t="shared" si="102"/>
        <v>0101087803</v>
      </c>
    </row>
    <row r="3004" spans="1:6" x14ac:dyDescent="0.3">
      <c r="A3004" s="6" t="s">
        <v>3004</v>
      </c>
      <c r="B3004">
        <v>43566435</v>
      </c>
      <c r="C3004" s="3">
        <v>2</v>
      </c>
      <c r="D3004" s="5" t="str">
        <f t="shared" si="103"/>
        <v>02</v>
      </c>
      <c r="E3004" t="str">
        <f>VLOOKUP(B3004,'HOGARES-BASELINE'!$B:$I,8,FALSE)</f>
        <v>01010878</v>
      </c>
      <c r="F3004" s="6" t="str">
        <f t="shared" si="102"/>
        <v>0101087802</v>
      </c>
    </row>
    <row r="3005" spans="1:6" x14ac:dyDescent="0.3">
      <c r="A3005" s="6" t="s">
        <v>3005</v>
      </c>
      <c r="B3005">
        <v>43567075</v>
      </c>
      <c r="C3005" s="3">
        <v>5</v>
      </c>
      <c r="D3005" s="5" t="str">
        <f t="shared" si="103"/>
        <v>05</v>
      </c>
      <c r="E3005" t="str">
        <f>VLOOKUP(B3005,'HOGARES-BASELINE'!$B:$I,8,FALSE)</f>
        <v>01010879</v>
      </c>
      <c r="F3005" s="6" t="str">
        <f t="shared" si="102"/>
        <v>0101087905</v>
      </c>
    </row>
    <row r="3006" spans="1:6" x14ac:dyDescent="0.3">
      <c r="A3006" s="6" t="s">
        <v>3006</v>
      </c>
      <c r="B3006">
        <v>43567075</v>
      </c>
      <c r="C3006" s="3">
        <v>3</v>
      </c>
      <c r="D3006" s="5" t="str">
        <f t="shared" si="103"/>
        <v>03</v>
      </c>
      <c r="E3006" t="str">
        <f>VLOOKUP(B3006,'HOGARES-BASELINE'!$B:$I,8,FALSE)</f>
        <v>01010879</v>
      </c>
      <c r="F3006" s="6" t="str">
        <f t="shared" si="102"/>
        <v>0101087903</v>
      </c>
    </row>
    <row r="3007" spans="1:6" x14ac:dyDescent="0.3">
      <c r="A3007" s="6" t="s">
        <v>3007</v>
      </c>
      <c r="B3007">
        <v>43567075</v>
      </c>
      <c r="C3007" s="3">
        <v>1</v>
      </c>
      <c r="D3007" s="5" t="str">
        <f t="shared" si="103"/>
        <v>01</v>
      </c>
      <c r="E3007" t="str">
        <f>VLOOKUP(B3007,'HOGARES-BASELINE'!$B:$I,8,FALSE)</f>
        <v>01010879</v>
      </c>
      <c r="F3007" s="6" t="str">
        <f t="shared" si="102"/>
        <v>0101087901</v>
      </c>
    </row>
    <row r="3008" spans="1:6" x14ac:dyDescent="0.3">
      <c r="A3008" s="6" t="s">
        <v>3008</v>
      </c>
      <c r="B3008">
        <v>43567075</v>
      </c>
      <c r="C3008" s="3">
        <v>4</v>
      </c>
      <c r="D3008" s="5" t="str">
        <f t="shared" si="103"/>
        <v>04</v>
      </c>
      <c r="E3008" t="str">
        <f>VLOOKUP(B3008,'HOGARES-BASELINE'!$B:$I,8,FALSE)</f>
        <v>01010879</v>
      </c>
      <c r="F3008" s="6" t="str">
        <f t="shared" si="102"/>
        <v>0101087904</v>
      </c>
    </row>
    <row r="3009" spans="1:6" x14ac:dyDescent="0.3">
      <c r="A3009" s="6" t="s">
        <v>3009</v>
      </c>
      <c r="B3009">
        <v>43567075</v>
      </c>
      <c r="C3009" s="3">
        <v>2</v>
      </c>
      <c r="D3009" s="5" t="str">
        <f t="shared" si="103"/>
        <v>02</v>
      </c>
      <c r="E3009" t="str">
        <f>VLOOKUP(B3009,'HOGARES-BASELINE'!$B:$I,8,FALSE)</f>
        <v>01010879</v>
      </c>
      <c r="F3009" s="6" t="str">
        <f t="shared" si="102"/>
        <v>0101087902</v>
      </c>
    </row>
    <row r="3010" spans="1:6" x14ac:dyDescent="0.3">
      <c r="A3010" s="6" t="s">
        <v>3010</v>
      </c>
      <c r="B3010">
        <v>43570005</v>
      </c>
      <c r="C3010" s="3">
        <v>5</v>
      </c>
      <c r="D3010" s="5" t="str">
        <f t="shared" si="103"/>
        <v>05</v>
      </c>
      <c r="E3010" t="str">
        <f>VLOOKUP(B3010,'HOGARES-BASELINE'!$B:$I,8,FALSE)</f>
        <v>01010880</v>
      </c>
      <c r="F3010" s="6" t="str">
        <f t="shared" si="102"/>
        <v>0101088005</v>
      </c>
    </row>
    <row r="3011" spans="1:6" x14ac:dyDescent="0.3">
      <c r="A3011" s="6" t="s">
        <v>3011</v>
      </c>
      <c r="B3011">
        <v>43570005</v>
      </c>
      <c r="C3011" s="3">
        <v>2</v>
      </c>
      <c r="D3011" s="5" t="str">
        <f t="shared" si="103"/>
        <v>02</v>
      </c>
      <c r="E3011" t="str">
        <f>VLOOKUP(B3011,'HOGARES-BASELINE'!$B:$I,8,FALSE)</f>
        <v>01010880</v>
      </c>
      <c r="F3011" s="6" t="str">
        <f t="shared" ref="F3011:F3074" si="104">_xlfn.CONCAT(E3011,D3011)</f>
        <v>0101088002</v>
      </c>
    </row>
    <row r="3012" spans="1:6" x14ac:dyDescent="0.3">
      <c r="A3012" s="6" t="s">
        <v>3012</v>
      </c>
      <c r="B3012">
        <v>43570005</v>
      </c>
      <c r="C3012" s="3">
        <v>10</v>
      </c>
      <c r="D3012" s="2">
        <f>C3012</f>
        <v>10</v>
      </c>
      <c r="E3012" t="str">
        <f>VLOOKUP(B3012,'HOGARES-BASELINE'!$B:$I,8,FALSE)</f>
        <v>01010880</v>
      </c>
      <c r="F3012" s="6" t="str">
        <f t="shared" si="104"/>
        <v>0101088010</v>
      </c>
    </row>
    <row r="3013" spans="1:6" x14ac:dyDescent="0.3">
      <c r="A3013" s="6" t="s">
        <v>3013</v>
      </c>
      <c r="B3013">
        <v>43570005</v>
      </c>
      <c r="C3013" s="3">
        <v>3</v>
      </c>
      <c r="D3013" s="5" t="str">
        <f>_xlfn.CONCAT(0,C3013)</f>
        <v>03</v>
      </c>
      <c r="E3013" t="str">
        <f>VLOOKUP(B3013,'HOGARES-BASELINE'!$B:$I,8,FALSE)</f>
        <v>01010880</v>
      </c>
      <c r="F3013" s="6" t="str">
        <f t="shared" si="104"/>
        <v>0101088003</v>
      </c>
    </row>
    <row r="3014" spans="1:6" x14ac:dyDescent="0.3">
      <c r="A3014" s="6" t="s">
        <v>3014</v>
      </c>
      <c r="B3014">
        <v>43570005</v>
      </c>
      <c r="C3014" s="3">
        <v>11</v>
      </c>
      <c r="D3014" s="2">
        <f>C3014</f>
        <v>11</v>
      </c>
      <c r="E3014" t="str">
        <f>VLOOKUP(B3014,'HOGARES-BASELINE'!$B:$I,8,FALSE)</f>
        <v>01010880</v>
      </c>
      <c r="F3014" s="6" t="str">
        <f t="shared" si="104"/>
        <v>0101088011</v>
      </c>
    </row>
    <row r="3015" spans="1:6" x14ac:dyDescent="0.3">
      <c r="A3015" s="6" t="s">
        <v>3015</v>
      </c>
      <c r="B3015">
        <v>43570005</v>
      </c>
      <c r="C3015" s="3">
        <v>8</v>
      </c>
      <c r="D3015" s="5" t="str">
        <f t="shared" ref="D3015:D3078" si="105">_xlfn.CONCAT(0,C3015)</f>
        <v>08</v>
      </c>
      <c r="E3015" t="str">
        <f>VLOOKUP(B3015,'HOGARES-BASELINE'!$B:$I,8,FALSE)</f>
        <v>01010880</v>
      </c>
      <c r="F3015" s="6" t="str">
        <f t="shared" si="104"/>
        <v>0101088008</v>
      </c>
    </row>
    <row r="3016" spans="1:6" x14ac:dyDescent="0.3">
      <c r="A3016" s="6" t="s">
        <v>3016</v>
      </c>
      <c r="B3016">
        <v>43570005</v>
      </c>
      <c r="C3016" s="3">
        <v>1</v>
      </c>
      <c r="D3016" s="5" t="str">
        <f t="shared" si="105"/>
        <v>01</v>
      </c>
      <c r="E3016" t="str">
        <f>VLOOKUP(B3016,'HOGARES-BASELINE'!$B:$I,8,FALSE)</f>
        <v>01010880</v>
      </c>
      <c r="F3016" s="6" t="str">
        <f t="shared" si="104"/>
        <v>0101088001</v>
      </c>
    </row>
    <row r="3017" spans="1:6" x14ac:dyDescent="0.3">
      <c r="A3017" s="6" t="s">
        <v>3017</v>
      </c>
      <c r="B3017">
        <v>43570005</v>
      </c>
      <c r="C3017" s="3">
        <v>4</v>
      </c>
      <c r="D3017" s="5" t="str">
        <f t="shared" si="105"/>
        <v>04</v>
      </c>
      <c r="E3017" t="str">
        <f>VLOOKUP(B3017,'HOGARES-BASELINE'!$B:$I,8,FALSE)</f>
        <v>01010880</v>
      </c>
      <c r="F3017" s="6" t="str">
        <f t="shared" si="104"/>
        <v>0101088004</v>
      </c>
    </row>
    <row r="3018" spans="1:6" x14ac:dyDescent="0.3">
      <c r="A3018" s="6" t="s">
        <v>3018</v>
      </c>
      <c r="B3018">
        <v>43570005</v>
      </c>
      <c r="C3018" s="3">
        <v>9</v>
      </c>
      <c r="D3018" s="5" t="str">
        <f t="shared" si="105"/>
        <v>09</v>
      </c>
      <c r="E3018" t="str">
        <f>VLOOKUP(B3018,'HOGARES-BASELINE'!$B:$I,8,FALSE)</f>
        <v>01010880</v>
      </c>
      <c r="F3018" s="6" t="str">
        <f t="shared" si="104"/>
        <v>0101088009</v>
      </c>
    </row>
    <row r="3019" spans="1:6" x14ac:dyDescent="0.3">
      <c r="A3019" s="6" t="s">
        <v>3019</v>
      </c>
      <c r="B3019">
        <v>43570005</v>
      </c>
      <c r="C3019" s="3">
        <v>6</v>
      </c>
      <c r="D3019" s="5" t="str">
        <f t="shared" si="105"/>
        <v>06</v>
      </c>
      <c r="E3019" t="str">
        <f>VLOOKUP(B3019,'HOGARES-BASELINE'!$B:$I,8,FALSE)</f>
        <v>01010880</v>
      </c>
      <c r="F3019" s="6" t="str">
        <f t="shared" si="104"/>
        <v>0101088006</v>
      </c>
    </row>
    <row r="3020" spans="1:6" x14ac:dyDescent="0.3">
      <c r="A3020" s="6" t="s">
        <v>3020</v>
      </c>
      <c r="B3020">
        <v>43570005</v>
      </c>
      <c r="C3020" s="3">
        <v>7</v>
      </c>
      <c r="D3020" s="5" t="str">
        <f t="shared" si="105"/>
        <v>07</v>
      </c>
      <c r="E3020" t="str">
        <f>VLOOKUP(B3020,'HOGARES-BASELINE'!$B:$I,8,FALSE)</f>
        <v>01010880</v>
      </c>
      <c r="F3020" s="6" t="str">
        <f t="shared" si="104"/>
        <v>0101088007</v>
      </c>
    </row>
    <row r="3021" spans="1:6" x14ac:dyDescent="0.3">
      <c r="A3021" s="6" t="s">
        <v>3021</v>
      </c>
      <c r="B3021">
        <v>43582831</v>
      </c>
      <c r="C3021" s="3">
        <v>5</v>
      </c>
      <c r="D3021" s="5" t="str">
        <f t="shared" si="105"/>
        <v>05</v>
      </c>
      <c r="E3021" t="str">
        <f>VLOOKUP(B3021,'HOGARES-BASELINE'!$B:$I,8,FALSE)</f>
        <v>01010881</v>
      </c>
      <c r="F3021" s="6" t="str">
        <f t="shared" si="104"/>
        <v>0101088105</v>
      </c>
    </row>
    <row r="3022" spans="1:6" x14ac:dyDescent="0.3">
      <c r="A3022" s="6" t="s">
        <v>3022</v>
      </c>
      <c r="B3022">
        <v>43582831</v>
      </c>
      <c r="C3022" s="3">
        <v>2</v>
      </c>
      <c r="D3022" s="5" t="str">
        <f t="shared" si="105"/>
        <v>02</v>
      </c>
      <c r="E3022" t="str">
        <f>VLOOKUP(B3022,'HOGARES-BASELINE'!$B:$I,8,FALSE)</f>
        <v>01010881</v>
      </c>
      <c r="F3022" s="6" t="str">
        <f t="shared" si="104"/>
        <v>0101088102</v>
      </c>
    </row>
    <row r="3023" spans="1:6" x14ac:dyDescent="0.3">
      <c r="A3023" s="6" t="s">
        <v>3023</v>
      </c>
      <c r="B3023">
        <v>43582831</v>
      </c>
      <c r="C3023" s="3">
        <v>1</v>
      </c>
      <c r="D3023" s="5" t="str">
        <f t="shared" si="105"/>
        <v>01</v>
      </c>
      <c r="E3023" t="str">
        <f>VLOOKUP(B3023,'HOGARES-BASELINE'!$B:$I,8,FALSE)</f>
        <v>01010881</v>
      </c>
      <c r="F3023" s="6" t="str">
        <f t="shared" si="104"/>
        <v>0101088101</v>
      </c>
    </row>
    <row r="3024" spans="1:6" x14ac:dyDescent="0.3">
      <c r="A3024" s="6" t="s">
        <v>3024</v>
      </c>
      <c r="B3024">
        <v>43582831</v>
      </c>
      <c r="C3024" s="3">
        <v>4</v>
      </c>
      <c r="D3024" s="5" t="str">
        <f t="shared" si="105"/>
        <v>04</v>
      </c>
      <c r="E3024" t="str">
        <f>VLOOKUP(B3024,'HOGARES-BASELINE'!$B:$I,8,FALSE)</f>
        <v>01010881</v>
      </c>
      <c r="F3024" s="6" t="str">
        <f t="shared" si="104"/>
        <v>0101088104</v>
      </c>
    </row>
    <row r="3025" spans="1:6" x14ac:dyDescent="0.3">
      <c r="A3025" s="6" t="s">
        <v>3025</v>
      </c>
      <c r="B3025">
        <v>43582831</v>
      </c>
      <c r="C3025" s="3">
        <v>3</v>
      </c>
      <c r="D3025" s="5" t="str">
        <f t="shared" si="105"/>
        <v>03</v>
      </c>
      <c r="E3025" t="str">
        <f>VLOOKUP(B3025,'HOGARES-BASELINE'!$B:$I,8,FALSE)</f>
        <v>01010881</v>
      </c>
      <c r="F3025" s="6" t="str">
        <f t="shared" si="104"/>
        <v>0101088103</v>
      </c>
    </row>
    <row r="3026" spans="1:6" x14ac:dyDescent="0.3">
      <c r="A3026" s="6" t="s">
        <v>3026</v>
      </c>
      <c r="B3026">
        <v>43589509</v>
      </c>
      <c r="C3026" s="3">
        <v>4</v>
      </c>
      <c r="D3026" s="5" t="str">
        <f t="shared" si="105"/>
        <v>04</v>
      </c>
      <c r="E3026" t="str">
        <f>VLOOKUP(B3026,'HOGARES-BASELINE'!$B:$I,8,FALSE)</f>
        <v>00010882</v>
      </c>
      <c r="F3026" s="6" t="str">
        <f t="shared" si="104"/>
        <v>0001088204</v>
      </c>
    </row>
    <row r="3027" spans="1:6" x14ac:dyDescent="0.3">
      <c r="A3027" s="6" t="s">
        <v>3027</v>
      </c>
      <c r="B3027">
        <v>43589509</v>
      </c>
      <c r="C3027" s="3">
        <v>2</v>
      </c>
      <c r="D3027" s="5" t="str">
        <f t="shared" si="105"/>
        <v>02</v>
      </c>
      <c r="E3027" t="str">
        <f>VLOOKUP(B3027,'HOGARES-BASELINE'!$B:$I,8,FALSE)</f>
        <v>00010882</v>
      </c>
      <c r="F3027" s="6" t="str">
        <f t="shared" si="104"/>
        <v>0001088202</v>
      </c>
    </row>
    <row r="3028" spans="1:6" x14ac:dyDescent="0.3">
      <c r="A3028" s="6" t="s">
        <v>3028</v>
      </c>
      <c r="B3028">
        <v>43589509</v>
      </c>
      <c r="C3028" s="3">
        <v>6</v>
      </c>
      <c r="D3028" s="5" t="str">
        <f t="shared" si="105"/>
        <v>06</v>
      </c>
      <c r="E3028" t="str">
        <f>VLOOKUP(B3028,'HOGARES-BASELINE'!$B:$I,8,FALSE)</f>
        <v>00010882</v>
      </c>
      <c r="F3028" s="6" t="str">
        <f t="shared" si="104"/>
        <v>0001088206</v>
      </c>
    </row>
    <row r="3029" spans="1:6" x14ac:dyDescent="0.3">
      <c r="A3029" s="6" t="s">
        <v>3029</v>
      </c>
      <c r="B3029">
        <v>43589509</v>
      </c>
      <c r="C3029" s="3">
        <v>5</v>
      </c>
      <c r="D3029" s="5" t="str">
        <f t="shared" si="105"/>
        <v>05</v>
      </c>
      <c r="E3029" t="str">
        <f>VLOOKUP(B3029,'HOGARES-BASELINE'!$B:$I,8,FALSE)</f>
        <v>00010882</v>
      </c>
      <c r="F3029" s="6" t="str">
        <f t="shared" si="104"/>
        <v>0001088205</v>
      </c>
    </row>
    <row r="3030" spans="1:6" x14ac:dyDescent="0.3">
      <c r="A3030" s="6" t="s">
        <v>3030</v>
      </c>
      <c r="B3030">
        <v>43589509</v>
      </c>
      <c r="C3030" s="3">
        <v>1</v>
      </c>
      <c r="D3030" s="5" t="str">
        <f t="shared" si="105"/>
        <v>01</v>
      </c>
      <c r="E3030" t="str">
        <f>VLOOKUP(B3030,'HOGARES-BASELINE'!$B:$I,8,FALSE)</f>
        <v>00010882</v>
      </c>
      <c r="F3030" s="6" t="str">
        <f t="shared" si="104"/>
        <v>0001088201</v>
      </c>
    </row>
    <row r="3031" spans="1:6" x14ac:dyDescent="0.3">
      <c r="A3031" s="6" t="s">
        <v>3031</v>
      </c>
      <c r="B3031">
        <v>43589509</v>
      </c>
      <c r="C3031" s="3">
        <v>3</v>
      </c>
      <c r="D3031" s="5" t="str">
        <f t="shared" si="105"/>
        <v>03</v>
      </c>
      <c r="E3031" t="str">
        <f>VLOOKUP(B3031,'HOGARES-BASELINE'!$B:$I,8,FALSE)</f>
        <v>00010882</v>
      </c>
      <c r="F3031" s="6" t="str">
        <f t="shared" si="104"/>
        <v>0001088203</v>
      </c>
    </row>
    <row r="3032" spans="1:6" x14ac:dyDescent="0.3">
      <c r="A3032" s="6" t="s">
        <v>3032</v>
      </c>
      <c r="B3032">
        <v>43590647</v>
      </c>
      <c r="C3032" s="3">
        <v>2</v>
      </c>
      <c r="D3032" s="5" t="str">
        <f t="shared" si="105"/>
        <v>02</v>
      </c>
      <c r="E3032" t="str">
        <f>VLOOKUP(B3032,'HOGARES-BASELINE'!$B:$I,8,FALSE)</f>
        <v>00010883</v>
      </c>
      <c r="F3032" s="6" t="str">
        <f t="shared" si="104"/>
        <v>0001088302</v>
      </c>
    </row>
    <row r="3033" spans="1:6" x14ac:dyDescent="0.3">
      <c r="A3033" s="6" t="s">
        <v>3033</v>
      </c>
      <c r="B3033">
        <v>43590647</v>
      </c>
      <c r="C3033" s="3">
        <v>3</v>
      </c>
      <c r="D3033" s="5" t="str">
        <f t="shared" si="105"/>
        <v>03</v>
      </c>
      <c r="E3033" t="str">
        <f>VLOOKUP(B3033,'HOGARES-BASELINE'!$B:$I,8,FALSE)</f>
        <v>00010883</v>
      </c>
      <c r="F3033" s="6" t="str">
        <f t="shared" si="104"/>
        <v>0001088303</v>
      </c>
    </row>
    <row r="3034" spans="1:6" x14ac:dyDescent="0.3">
      <c r="A3034" s="6" t="s">
        <v>3034</v>
      </c>
      <c r="B3034">
        <v>43590647</v>
      </c>
      <c r="C3034" s="3">
        <v>1</v>
      </c>
      <c r="D3034" s="5" t="str">
        <f t="shared" si="105"/>
        <v>01</v>
      </c>
      <c r="E3034" t="str">
        <f>VLOOKUP(B3034,'HOGARES-BASELINE'!$B:$I,8,FALSE)</f>
        <v>00010883</v>
      </c>
      <c r="F3034" s="6" t="str">
        <f t="shared" si="104"/>
        <v>0001088301</v>
      </c>
    </row>
    <row r="3035" spans="1:6" x14ac:dyDescent="0.3">
      <c r="A3035" s="6" t="s">
        <v>3035</v>
      </c>
      <c r="B3035">
        <v>43590647</v>
      </c>
      <c r="C3035" s="3">
        <v>4</v>
      </c>
      <c r="D3035" s="5" t="str">
        <f t="shared" si="105"/>
        <v>04</v>
      </c>
      <c r="E3035" t="str">
        <f>VLOOKUP(B3035,'HOGARES-BASELINE'!$B:$I,8,FALSE)</f>
        <v>00010883</v>
      </c>
      <c r="F3035" s="6" t="str">
        <f t="shared" si="104"/>
        <v>0001088304</v>
      </c>
    </row>
    <row r="3036" spans="1:6" x14ac:dyDescent="0.3">
      <c r="A3036" s="6" t="s">
        <v>3036</v>
      </c>
      <c r="B3036">
        <v>43594778</v>
      </c>
      <c r="C3036" s="3">
        <v>2</v>
      </c>
      <c r="D3036" s="5" t="str">
        <f t="shared" si="105"/>
        <v>02</v>
      </c>
      <c r="E3036" t="str">
        <f>VLOOKUP(B3036,'HOGARES-BASELINE'!$B:$I,8,FALSE)</f>
        <v>01010884</v>
      </c>
      <c r="F3036" s="6" t="str">
        <f t="shared" si="104"/>
        <v>0101088402</v>
      </c>
    </row>
    <row r="3037" spans="1:6" x14ac:dyDescent="0.3">
      <c r="A3037" s="6" t="s">
        <v>3037</v>
      </c>
      <c r="B3037">
        <v>43594778</v>
      </c>
      <c r="C3037" s="3">
        <v>1</v>
      </c>
      <c r="D3037" s="5" t="str">
        <f t="shared" si="105"/>
        <v>01</v>
      </c>
      <c r="E3037" t="str">
        <f>VLOOKUP(B3037,'HOGARES-BASELINE'!$B:$I,8,FALSE)</f>
        <v>01010884</v>
      </c>
      <c r="F3037" s="6" t="str">
        <f t="shared" si="104"/>
        <v>0101088401</v>
      </c>
    </row>
    <row r="3038" spans="1:6" x14ac:dyDescent="0.3">
      <c r="A3038" s="6" t="s">
        <v>3038</v>
      </c>
      <c r="B3038">
        <v>43595028</v>
      </c>
      <c r="C3038" s="3">
        <v>3</v>
      </c>
      <c r="D3038" s="5" t="str">
        <f t="shared" si="105"/>
        <v>03</v>
      </c>
      <c r="E3038" t="str">
        <f>VLOOKUP(B3038,'HOGARES-BASELINE'!$B:$I,8,FALSE)</f>
        <v>00010885</v>
      </c>
      <c r="F3038" s="6" t="str">
        <f t="shared" si="104"/>
        <v>0001088503</v>
      </c>
    </row>
    <row r="3039" spans="1:6" x14ac:dyDescent="0.3">
      <c r="A3039" s="6" t="s">
        <v>3039</v>
      </c>
      <c r="B3039">
        <v>43595028</v>
      </c>
      <c r="C3039" s="3">
        <v>1</v>
      </c>
      <c r="D3039" s="5" t="str">
        <f t="shared" si="105"/>
        <v>01</v>
      </c>
      <c r="E3039" t="str">
        <f>VLOOKUP(B3039,'HOGARES-BASELINE'!$B:$I,8,FALSE)</f>
        <v>00010885</v>
      </c>
      <c r="F3039" s="6" t="str">
        <f t="shared" si="104"/>
        <v>0001088501</v>
      </c>
    </row>
    <row r="3040" spans="1:6" x14ac:dyDescent="0.3">
      <c r="A3040" s="6" t="s">
        <v>3040</v>
      </c>
      <c r="B3040">
        <v>43595028</v>
      </c>
      <c r="C3040" s="3">
        <v>2</v>
      </c>
      <c r="D3040" s="5" t="str">
        <f t="shared" si="105"/>
        <v>02</v>
      </c>
      <c r="E3040" t="str">
        <f>VLOOKUP(B3040,'HOGARES-BASELINE'!$B:$I,8,FALSE)</f>
        <v>00010885</v>
      </c>
      <c r="F3040" s="6" t="str">
        <f t="shared" si="104"/>
        <v>0001088502</v>
      </c>
    </row>
    <row r="3041" spans="1:6" x14ac:dyDescent="0.3">
      <c r="A3041" s="6" t="s">
        <v>3041</v>
      </c>
      <c r="B3041">
        <v>43595028</v>
      </c>
      <c r="C3041" s="3">
        <v>4</v>
      </c>
      <c r="D3041" s="5" t="str">
        <f t="shared" si="105"/>
        <v>04</v>
      </c>
      <c r="E3041" t="str">
        <f>VLOOKUP(B3041,'HOGARES-BASELINE'!$B:$I,8,FALSE)</f>
        <v>00010885</v>
      </c>
      <c r="F3041" s="6" t="str">
        <f t="shared" si="104"/>
        <v>0001088504</v>
      </c>
    </row>
    <row r="3042" spans="1:6" x14ac:dyDescent="0.3">
      <c r="A3042" s="6" t="s">
        <v>3042</v>
      </c>
      <c r="B3042">
        <v>43597042</v>
      </c>
      <c r="C3042" s="3">
        <v>1</v>
      </c>
      <c r="D3042" s="5" t="str">
        <f t="shared" si="105"/>
        <v>01</v>
      </c>
      <c r="E3042" t="str">
        <f>VLOOKUP(B3042,'HOGARES-BASELINE'!$B:$I,8,FALSE)</f>
        <v>01010886</v>
      </c>
      <c r="F3042" s="6" t="str">
        <f t="shared" si="104"/>
        <v>0101088601</v>
      </c>
    </row>
    <row r="3043" spans="1:6" x14ac:dyDescent="0.3">
      <c r="A3043" s="6" t="s">
        <v>3043</v>
      </c>
      <c r="B3043">
        <v>43597042</v>
      </c>
      <c r="C3043" s="3">
        <v>5</v>
      </c>
      <c r="D3043" s="5" t="str">
        <f t="shared" si="105"/>
        <v>05</v>
      </c>
      <c r="E3043" t="str">
        <f>VLOOKUP(B3043,'HOGARES-BASELINE'!$B:$I,8,FALSE)</f>
        <v>01010886</v>
      </c>
      <c r="F3043" s="6" t="str">
        <f t="shared" si="104"/>
        <v>0101088605</v>
      </c>
    </row>
    <row r="3044" spans="1:6" x14ac:dyDescent="0.3">
      <c r="A3044" s="6" t="s">
        <v>3044</v>
      </c>
      <c r="B3044">
        <v>43597042</v>
      </c>
      <c r="C3044" s="3">
        <v>2</v>
      </c>
      <c r="D3044" s="5" t="str">
        <f t="shared" si="105"/>
        <v>02</v>
      </c>
      <c r="E3044" t="str">
        <f>VLOOKUP(B3044,'HOGARES-BASELINE'!$B:$I,8,FALSE)</f>
        <v>01010886</v>
      </c>
      <c r="F3044" s="6" t="str">
        <f t="shared" si="104"/>
        <v>0101088602</v>
      </c>
    </row>
    <row r="3045" spans="1:6" x14ac:dyDescent="0.3">
      <c r="A3045" s="6" t="s">
        <v>3045</v>
      </c>
      <c r="B3045">
        <v>43597042</v>
      </c>
      <c r="C3045" s="3">
        <v>4</v>
      </c>
      <c r="D3045" s="5" t="str">
        <f t="shared" si="105"/>
        <v>04</v>
      </c>
      <c r="E3045" t="str">
        <f>VLOOKUP(B3045,'HOGARES-BASELINE'!$B:$I,8,FALSE)</f>
        <v>01010886</v>
      </c>
      <c r="F3045" s="6" t="str">
        <f t="shared" si="104"/>
        <v>0101088604</v>
      </c>
    </row>
    <row r="3046" spans="1:6" x14ac:dyDescent="0.3">
      <c r="A3046" s="6" t="s">
        <v>3046</v>
      </c>
      <c r="B3046">
        <v>43597042</v>
      </c>
      <c r="C3046" s="3">
        <v>3</v>
      </c>
      <c r="D3046" s="5" t="str">
        <f t="shared" si="105"/>
        <v>03</v>
      </c>
      <c r="E3046" t="str">
        <f>VLOOKUP(B3046,'HOGARES-BASELINE'!$B:$I,8,FALSE)</f>
        <v>01010886</v>
      </c>
      <c r="F3046" s="6" t="str">
        <f t="shared" si="104"/>
        <v>0101088603</v>
      </c>
    </row>
    <row r="3047" spans="1:6" x14ac:dyDescent="0.3">
      <c r="A3047" s="6" t="s">
        <v>3047</v>
      </c>
      <c r="B3047">
        <v>43598403</v>
      </c>
      <c r="C3047" s="3">
        <v>2</v>
      </c>
      <c r="D3047" s="5" t="str">
        <f t="shared" si="105"/>
        <v>02</v>
      </c>
      <c r="E3047" t="str">
        <f>VLOOKUP(B3047,'HOGARES-BASELINE'!$B:$I,8,FALSE)</f>
        <v>00010887</v>
      </c>
      <c r="F3047" s="6" t="str">
        <f t="shared" si="104"/>
        <v>0001088702</v>
      </c>
    </row>
    <row r="3048" spans="1:6" x14ac:dyDescent="0.3">
      <c r="A3048" s="6" t="s">
        <v>3048</v>
      </c>
      <c r="B3048">
        <v>43598403</v>
      </c>
      <c r="C3048" s="3">
        <v>3</v>
      </c>
      <c r="D3048" s="5" t="str">
        <f t="shared" si="105"/>
        <v>03</v>
      </c>
      <c r="E3048" t="str">
        <f>VLOOKUP(B3048,'HOGARES-BASELINE'!$B:$I,8,FALSE)</f>
        <v>00010887</v>
      </c>
      <c r="F3048" s="6" t="str">
        <f t="shared" si="104"/>
        <v>0001088703</v>
      </c>
    </row>
    <row r="3049" spans="1:6" x14ac:dyDescent="0.3">
      <c r="A3049" s="6" t="s">
        <v>3049</v>
      </c>
      <c r="B3049">
        <v>43598403</v>
      </c>
      <c r="C3049" s="3">
        <v>1</v>
      </c>
      <c r="D3049" s="5" t="str">
        <f t="shared" si="105"/>
        <v>01</v>
      </c>
      <c r="E3049" t="str">
        <f>VLOOKUP(B3049,'HOGARES-BASELINE'!$B:$I,8,FALSE)</f>
        <v>00010887</v>
      </c>
      <c r="F3049" s="6" t="str">
        <f t="shared" si="104"/>
        <v>0001088701</v>
      </c>
    </row>
    <row r="3050" spans="1:6" x14ac:dyDescent="0.3">
      <c r="A3050" s="6" t="s">
        <v>3050</v>
      </c>
      <c r="B3050">
        <v>43600211</v>
      </c>
      <c r="C3050" s="3">
        <v>4</v>
      </c>
      <c r="D3050" s="5" t="str">
        <f t="shared" si="105"/>
        <v>04</v>
      </c>
      <c r="E3050" t="str">
        <f>VLOOKUP(B3050,'HOGARES-BASELINE'!$B:$I,8,FALSE)</f>
        <v>01010888</v>
      </c>
      <c r="F3050" s="6" t="str">
        <f t="shared" si="104"/>
        <v>0101088804</v>
      </c>
    </row>
    <row r="3051" spans="1:6" x14ac:dyDescent="0.3">
      <c r="A3051" s="6" t="s">
        <v>3051</v>
      </c>
      <c r="B3051">
        <v>43600211</v>
      </c>
      <c r="C3051" s="3">
        <v>3</v>
      </c>
      <c r="D3051" s="5" t="str">
        <f t="shared" si="105"/>
        <v>03</v>
      </c>
      <c r="E3051" t="str">
        <f>VLOOKUP(B3051,'HOGARES-BASELINE'!$B:$I,8,FALSE)</f>
        <v>01010888</v>
      </c>
      <c r="F3051" s="6" t="str">
        <f t="shared" si="104"/>
        <v>0101088803</v>
      </c>
    </row>
    <row r="3052" spans="1:6" x14ac:dyDescent="0.3">
      <c r="A3052" s="6" t="s">
        <v>3052</v>
      </c>
      <c r="B3052">
        <v>43600211</v>
      </c>
      <c r="C3052" s="3">
        <v>2</v>
      </c>
      <c r="D3052" s="5" t="str">
        <f t="shared" si="105"/>
        <v>02</v>
      </c>
      <c r="E3052" t="str">
        <f>VLOOKUP(B3052,'HOGARES-BASELINE'!$B:$I,8,FALSE)</f>
        <v>01010888</v>
      </c>
      <c r="F3052" s="6" t="str">
        <f t="shared" si="104"/>
        <v>0101088802</v>
      </c>
    </row>
    <row r="3053" spans="1:6" x14ac:dyDescent="0.3">
      <c r="A3053" s="6" t="s">
        <v>3053</v>
      </c>
      <c r="B3053">
        <v>43600211</v>
      </c>
      <c r="C3053" s="3">
        <v>1</v>
      </c>
      <c r="D3053" s="5" t="str">
        <f t="shared" si="105"/>
        <v>01</v>
      </c>
      <c r="E3053" t="str">
        <f>VLOOKUP(B3053,'HOGARES-BASELINE'!$B:$I,8,FALSE)</f>
        <v>01010888</v>
      </c>
      <c r="F3053" s="6" t="str">
        <f t="shared" si="104"/>
        <v>0101088801</v>
      </c>
    </row>
    <row r="3054" spans="1:6" x14ac:dyDescent="0.3">
      <c r="A3054" s="6" t="s">
        <v>3054</v>
      </c>
      <c r="B3054">
        <v>43600567</v>
      </c>
      <c r="C3054" s="3">
        <v>4</v>
      </c>
      <c r="D3054" s="5" t="str">
        <f t="shared" si="105"/>
        <v>04</v>
      </c>
      <c r="E3054" t="str">
        <f>VLOOKUP(B3054,'HOGARES-BASELINE'!$B:$I,8,FALSE)</f>
        <v>01010889</v>
      </c>
      <c r="F3054" s="6" t="str">
        <f t="shared" si="104"/>
        <v>0101088904</v>
      </c>
    </row>
    <row r="3055" spans="1:6" x14ac:dyDescent="0.3">
      <c r="A3055" s="6" t="s">
        <v>3055</v>
      </c>
      <c r="B3055">
        <v>43600567</v>
      </c>
      <c r="C3055" s="3">
        <v>2</v>
      </c>
      <c r="D3055" s="5" t="str">
        <f t="shared" si="105"/>
        <v>02</v>
      </c>
      <c r="E3055" t="str">
        <f>VLOOKUP(B3055,'HOGARES-BASELINE'!$B:$I,8,FALSE)</f>
        <v>01010889</v>
      </c>
      <c r="F3055" s="6" t="str">
        <f t="shared" si="104"/>
        <v>0101088902</v>
      </c>
    </row>
    <row r="3056" spans="1:6" x14ac:dyDescent="0.3">
      <c r="A3056" s="6" t="s">
        <v>3056</v>
      </c>
      <c r="B3056">
        <v>43600567</v>
      </c>
      <c r="C3056" s="3">
        <v>3</v>
      </c>
      <c r="D3056" s="5" t="str">
        <f t="shared" si="105"/>
        <v>03</v>
      </c>
      <c r="E3056" t="str">
        <f>VLOOKUP(B3056,'HOGARES-BASELINE'!$B:$I,8,FALSE)</f>
        <v>01010889</v>
      </c>
      <c r="F3056" s="6" t="str">
        <f t="shared" si="104"/>
        <v>0101088903</v>
      </c>
    </row>
    <row r="3057" spans="1:6" x14ac:dyDescent="0.3">
      <c r="A3057" s="6" t="s">
        <v>3057</v>
      </c>
      <c r="B3057">
        <v>43600567</v>
      </c>
      <c r="C3057" s="3">
        <v>1</v>
      </c>
      <c r="D3057" s="5" t="str">
        <f t="shared" si="105"/>
        <v>01</v>
      </c>
      <c r="E3057" t="str">
        <f>VLOOKUP(B3057,'HOGARES-BASELINE'!$B:$I,8,FALSE)</f>
        <v>01010889</v>
      </c>
      <c r="F3057" s="6" t="str">
        <f t="shared" si="104"/>
        <v>0101088901</v>
      </c>
    </row>
    <row r="3058" spans="1:6" x14ac:dyDescent="0.3">
      <c r="A3058" s="6" t="s">
        <v>3058</v>
      </c>
      <c r="B3058">
        <v>43605902</v>
      </c>
      <c r="C3058" s="3">
        <v>1</v>
      </c>
      <c r="D3058" s="5" t="str">
        <f t="shared" si="105"/>
        <v>01</v>
      </c>
      <c r="E3058" t="str">
        <f>VLOOKUP(B3058,'HOGARES-BASELINE'!$B:$I,8,FALSE)</f>
        <v>01010890</v>
      </c>
      <c r="F3058" s="6" t="str">
        <f t="shared" si="104"/>
        <v>0101089001</v>
      </c>
    </row>
    <row r="3059" spans="1:6" x14ac:dyDescent="0.3">
      <c r="A3059" s="6" t="s">
        <v>3059</v>
      </c>
      <c r="B3059">
        <v>43605902</v>
      </c>
      <c r="C3059" s="3">
        <v>2</v>
      </c>
      <c r="D3059" s="5" t="str">
        <f t="shared" si="105"/>
        <v>02</v>
      </c>
      <c r="E3059" t="str">
        <f>VLOOKUP(B3059,'HOGARES-BASELINE'!$B:$I,8,FALSE)</f>
        <v>01010890</v>
      </c>
      <c r="F3059" s="6" t="str">
        <f t="shared" si="104"/>
        <v>0101089002</v>
      </c>
    </row>
    <row r="3060" spans="1:6" x14ac:dyDescent="0.3">
      <c r="A3060" s="6" t="s">
        <v>3060</v>
      </c>
      <c r="B3060">
        <v>43605902</v>
      </c>
      <c r="C3060" s="3">
        <v>3</v>
      </c>
      <c r="D3060" s="5" t="str">
        <f t="shared" si="105"/>
        <v>03</v>
      </c>
      <c r="E3060" t="str">
        <f>VLOOKUP(B3060,'HOGARES-BASELINE'!$B:$I,8,FALSE)</f>
        <v>01010890</v>
      </c>
      <c r="F3060" s="6" t="str">
        <f t="shared" si="104"/>
        <v>0101089003</v>
      </c>
    </row>
    <row r="3061" spans="1:6" x14ac:dyDescent="0.3">
      <c r="A3061" s="6" t="s">
        <v>3061</v>
      </c>
      <c r="B3061">
        <v>43607068</v>
      </c>
      <c r="C3061" s="3">
        <v>1</v>
      </c>
      <c r="D3061" s="5" t="str">
        <f t="shared" si="105"/>
        <v>01</v>
      </c>
      <c r="E3061" t="str">
        <f>VLOOKUP(B3061,'HOGARES-BASELINE'!$B:$I,8,FALSE)</f>
        <v>01010891</v>
      </c>
      <c r="F3061" s="6" t="str">
        <f t="shared" si="104"/>
        <v>0101089101</v>
      </c>
    </row>
    <row r="3062" spans="1:6" x14ac:dyDescent="0.3">
      <c r="A3062" s="6" t="s">
        <v>3062</v>
      </c>
      <c r="B3062">
        <v>43610680</v>
      </c>
      <c r="C3062" s="3">
        <v>1</v>
      </c>
      <c r="D3062" s="5" t="str">
        <f t="shared" si="105"/>
        <v>01</v>
      </c>
      <c r="E3062" t="str">
        <f>VLOOKUP(B3062,'HOGARES-BASELINE'!$B:$I,8,FALSE)</f>
        <v>00010892</v>
      </c>
      <c r="F3062" s="6" t="str">
        <f t="shared" si="104"/>
        <v>0001089201</v>
      </c>
    </row>
    <row r="3063" spans="1:6" x14ac:dyDescent="0.3">
      <c r="A3063" s="6" t="s">
        <v>3063</v>
      </c>
      <c r="B3063">
        <v>43610680</v>
      </c>
      <c r="C3063" s="3">
        <v>3</v>
      </c>
      <c r="D3063" s="5" t="str">
        <f t="shared" si="105"/>
        <v>03</v>
      </c>
      <c r="E3063" t="str">
        <f>VLOOKUP(B3063,'HOGARES-BASELINE'!$B:$I,8,FALSE)</f>
        <v>00010892</v>
      </c>
      <c r="F3063" s="6" t="str">
        <f t="shared" si="104"/>
        <v>0001089203</v>
      </c>
    </row>
    <row r="3064" spans="1:6" x14ac:dyDescent="0.3">
      <c r="A3064" s="6" t="s">
        <v>3064</v>
      </c>
      <c r="B3064">
        <v>43610680</v>
      </c>
      <c r="C3064" s="3">
        <v>2</v>
      </c>
      <c r="D3064" s="5" t="str">
        <f t="shared" si="105"/>
        <v>02</v>
      </c>
      <c r="E3064" t="str">
        <f>VLOOKUP(B3064,'HOGARES-BASELINE'!$B:$I,8,FALSE)</f>
        <v>00010892</v>
      </c>
      <c r="F3064" s="6" t="str">
        <f t="shared" si="104"/>
        <v>0001089202</v>
      </c>
    </row>
    <row r="3065" spans="1:6" x14ac:dyDescent="0.3">
      <c r="A3065" s="6" t="s">
        <v>3065</v>
      </c>
      <c r="B3065">
        <v>43611767</v>
      </c>
      <c r="C3065" s="3">
        <v>1</v>
      </c>
      <c r="D3065" s="5" t="str">
        <f t="shared" si="105"/>
        <v>01</v>
      </c>
      <c r="E3065" t="str">
        <f>VLOOKUP(B3065,'HOGARES-BASELINE'!$B:$I,8,FALSE)</f>
        <v>01010893</v>
      </c>
      <c r="F3065" s="6" t="str">
        <f t="shared" si="104"/>
        <v>0101089301</v>
      </c>
    </row>
    <row r="3066" spans="1:6" x14ac:dyDescent="0.3">
      <c r="A3066" s="6" t="s">
        <v>3066</v>
      </c>
      <c r="B3066">
        <v>43611767</v>
      </c>
      <c r="C3066" s="3">
        <v>3</v>
      </c>
      <c r="D3066" s="5" t="str">
        <f t="shared" si="105"/>
        <v>03</v>
      </c>
      <c r="E3066" t="str">
        <f>VLOOKUP(B3066,'HOGARES-BASELINE'!$B:$I,8,FALSE)</f>
        <v>01010893</v>
      </c>
      <c r="F3066" s="6" t="str">
        <f t="shared" si="104"/>
        <v>0101089303</v>
      </c>
    </row>
    <row r="3067" spans="1:6" x14ac:dyDescent="0.3">
      <c r="A3067" s="6" t="s">
        <v>3067</v>
      </c>
      <c r="B3067">
        <v>43611767</v>
      </c>
      <c r="C3067" s="3">
        <v>2</v>
      </c>
      <c r="D3067" s="5" t="str">
        <f t="shared" si="105"/>
        <v>02</v>
      </c>
      <c r="E3067" t="str">
        <f>VLOOKUP(B3067,'HOGARES-BASELINE'!$B:$I,8,FALSE)</f>
        <v>01010893</v>
      </c>
      <c r="F3067" s="6" t="str">
        <f t="shared" si="104"/>
        <v>0101089302</v>
      </c>
    </row>
    <row r="3068" spans="1:6" x14ac:dyDescent="0.3">
      <c r="A3068" s="6" t="s">
        <v>3068</v>
      </c>
      <c r="B3068">
        <v>43613777</v>
      </c>
      <c r="C3068" s="3">
        <v>2</v>
      </c>
      <c r="D3068" s="5" t="str">
        <f t="shared" si="105"/>
        <v>02</v>
      </c>
      <c r="E3068" t="str">
        <f>VLOOKUP(B3068,'HOGARES-BASELINE'!$B:$I,8,FALSE)</f>
        <v>01010894</v>
      </c>
      <c r="F3068" s="6" t="str">
        <f t="shared" si="104"/>
        <v>0101089402</v>
      </c>
    </row>
    <row r="3069" spans="1:6" x14ac:dyDescent="0.3">
      <c r="A3069" s="6" t="s">
        <v>3069</v>
      </c>
      <c r="B3069">
        <v>43613777</v>
      </c>
      <c r="C3069" s="3">
        <v>1</v>
      </c>
      <c r="D3069" s="5" t="str">
        <f t="shared" si="105"/>
        <v>01</v>
      </c>
      <c r="E3069" t="str">
        <f>VLOOKUP(B3069,'HOGARES-BASELINE'!$B:$I,8,FALSE)</f>
        <v>01010894</v>
      </c>
      <c r="F3069" s="6" t="str">
        <f t="shared" si="104"/>
        <v>0101089401</v>
      </c>
    </row>
    <row r="3070" spans="1:6" x14ac:dyDescent="0.3">
      <c r="A3070" s="6" t="s">
        <v>3070</v>
      </c>
      <c r="B3070">
        <v>43613777</v>
      </c>
      <c r="C3070" s="3">
        <v>6</v>
      </c>
      <c r="D3070" s="5" t="str">
        <f t="shared" si="105"/>
        <v>06</v>
      </c>
      <c r="E3070" t="str">
        <f>VLOOKUP(B3070,'HOGARES-BASELINE'!$B:$I,8,FALSE)</f>
        <v>01010894</v>
      </c>
      <c r="F3070" s="6" t="str">
        <f t="shared" si="104"/>
        <v>0101089406</v>
      </c>
    </row>
    <row r="3071" spans="1:6" x14ac:dyDescent="0.3">
      <c r="A3071" s="6" t="s">
        <v>3071</v>
      </c>
      <c r="B3071">
        <v>43613777</v>
      </c>
      <c r="C3071" s="3">
        <v>3</v>
      </c>
      <c r="D3071" s="5" t="str">
        <f t="shared" si="105"/>
        <v>03</v>
      </c>
      <c r="E3071" t="str">
        <f>VLOOKUP(B3071,'HOGARES-BASELINE'!$B:$I,8,FALSE)</f>
        <v>01010894</v>
      </c>
      <c r="F3071" s="6" t="str">
        <f t="shared" si="104"/>
        <v>0101089403</v>
      </c>
    </row>
    <row r="3072" spans="1:6" x14ac:dyDescent="0.3">
      <c r="A3072" s="6" t="s">
        <v>3072</v>
      </c>
      <c r="B3072">
        <v>43613777</v>
      </c>
      <c r="C3072" s="3">
        <v>4</v>
      </c>
      <c r="D3072" s="5" t="str">
        <f t="shared" si="105"/>
        <v>04</v>
      </c>
      <c r="E3072" t="str">
        <f>VLOOKUP(B3072,'HOGARES-BASELINE'!$B:$I,8,FALSE)</f>
        <v>01010894</v>
      </c>
      <c r="F3072" s="6" t="str">
        <f t="shared" si="104"/>
        <v>0101089404</v>
      </c>
    </row>
    <row r="3073" spans="1:6" x14ac:dyDescent="0.3">
      <c r="A3073" s="6" t="s">
        <v>3073</v>
      </c>
      <c r="B3073">
        <v>43613777</v>
      </c>
      <c r="C3073" s="3">
        <v>5</v>
      </c>
      <c r="D3073" s="5" t="str">
        <f t="shared" si="105"/>
        <v>05</v>
      </c>
      <c r="E3073" t="str">
        <f>VLOOKUP(B3073,'HOGARES-BASELINE'!$B:$I,8,FALSE)</f>
        <v>01010894</v>
      </c>
      <c r="F3073" s="6" t="str">
        <f t="shared" si="104"/>
        <v>0101089405</v>
      </c>
    </row>
    <row r="3074" spans="1:6" x14ac:dyDescent="0.3">
      <c r="A3074" s="6" t="s">
        <v>3074</v>
      </c>
      <c r="B3074">
        <v>43615569</v>
      </c>
      <c r="C3074" s="3">
        <v>2</v>
      </c>
      <c r="D3074" s="5" t="str">
        <f t="shared" si="105"/>
        <v>02</v>
      </c>
      <c r="E3074" t="str">
        <f>VLOOKUP(B3074,'HOGARES-BASELINE'!$B:$I,8,FALSE)</f>
        <v>01010895</v>
      </c>
      <c r="F3074" s="6" t="str">
        <f t="shared" si="104"/>
        <v>0101089502</v>
      </c>
    </row>
    <row r="3075" spans="1:6" x14ac:dyDescent="0.3">
      <c r="A3075" s="6" t="s">
        <v>3075</v>
      </c>
      <c r="B3075">
        <v>43615569</v>
      </c>
      <c r="C3075" s="3">
        <v>3</v>
      </c>
      <c r="D3075" s="5" t="str">
        <f t="shared" si="105"/>
        <v>03</v>
      </c>
      <c r="E3075" t="str">
        <f>VLOOKUP(B3075,'HOGARES-BASELINE'!$B:$I,8,FALSE)</f>
        <v>01010895</v>
      </c>
      <c r="F3075" s="6" t="str">
        <f t="shared" ref="F3075:F3138" si="106">_xlfn.CONCAT(E3075,D3075)</f>
        <v>0101089503</v>
      </c>
    </row>
    <row r="3076" spans="1:6" x14ac:dyDescent="0.3">
      <c r="A3076" s="6" t="s">
        <v>3076</v>
      </c>
      <c r="B3076">
        <v>43615569</v>
      </c>
      <c r="C3076" s="3">
        <v>4</v>
      </c>
      <c r="D3076" s="5" t="str">
        <f t="shared" si="105"/>
        <v>04</v>
      </c>
      <c r="E3076" t="str">
        <f>VLOOKUP(B3076,'HOGARES-BASELINE'!$B:$I,8,FALSE)</f>
        <v>01010895</v>
      </c>
      <c r="F3076" s="6" t="str">
        <f t="shared" si="106"/>
        <v>0101089504</v>
      </c>
    </row>
    <row r="3077" spans="1:6" x14ac:dyDescent="0.3">
      <c r="A3077" s="6" t="s">
        <v>3077</v>
      </c>
      <c r="B3077">
        <v>43615569</v>
      </c>
      <c r="C3077" s="3">
        <v>1</v>
      </c>
      <c r="D3077" s="5" t="str">
        <f t="shared" si="105"/>
        <v>01</v>
      </c>
      <c r="E3077" t="str">
        <f>VLOOKUP(B3077,'HOGARES-BASELINE'!$B:$I,8,FALSE)</f>
        <v>01010895</v>
      </c>
      <c r="F3077" s="6" t="str">
        <f t="shared" si="106"/>
        <v>0101089501</v>
      </c>
    </row>
    <row r="3078" spans="1:6" x14ac:dyDescent="0.3">
      <c r="A3078" s="6" t="s">
        <v>3078</v>
      </c>
      <c r="B3078">
        <v>43632097</v>
      </c>
      <c r="C3078" s="3">
        <v>2</v>
      </c>
      <c r="D3078" s="5" t="str">
        <f t="shared" si="105"/>
        <v>02</v>
      </c>
      <c r="E3078" t="str">
        <f>VLOOKUP(B3078,'HOGARES-BASELINE'!$B:$I,8,FALSE)</f>
        <v>00010896</v>
      </c>
      <c r="F3078" s="6" t="str">
        <f t="shared" si="106"/>
        <v>0001089602</v>
      </c>
    </row>
    <row r="3079" spans="1:6" x14ac:dyDescent="0.3">
      <c r="A3079" s="6" t="s">
        <v>3079</v>
      </c>
      <c r="B3079">
        <v>43632097</v>
      </c>
      <c r="C3079" s="3">
        <v>1</v>
      </c>
      <c r="D3079" s="5" t="str">
        <f t="shared" ref="D3079:D3142" si="107">_xlfn.CONCAT(0,C3079)</f>
        <v>01</v>
      </c>
      <c r="E3079" t="str">
        <f>VLOOKUP(B3079,'HOGARES-BASELINE'!$B:$I,8,FALSE)</f>
        <v>00010896</v>
      </c>
      <c r="F3079" s="6" t="str">
        <f t="shared" si="106"/>
        <v>0001089601</v>
      </c>
    </row>
    <row r="3080" spans="1:6" x14ac:dyDescent="0.3">
      <c r="A3080" s="6" t="s">
        <v>3080</v>
      </c>
      <c r="B3080">
        <v>43634284</v>
      </c>
      <c r="C3080" s="3">
        <v>1</v>
      </c>
      <c r="D3080" s="5" t="str">
        <f t="shared" si="107"/>
        <v>01</v>
      </c>
      <c r="E3080" t="str">
        <f>VLOOKUP(B3080,'HOGARES-BASELINE'!$B:$I,8,FALSE)</f>
        <v>01010897</v>
      </c>
      <c r="F3080" s="6" t="str">
        <f t="shared" si="106"/>
        <v>0101089701</v>
      </c>
    </row>
    <row r="3081" spans="1:6" x14ac:dyDescent="0.3">
      <c r="A3081" s="6" t="s">
        <v>3081</v>
      </c>
      <c r="B3081">
        <v>43634284</v>
      </c>
      <c r="C3081" s="3">
        <v>2</v>
      </c>
      <c r="D3081" s="5" t="str">
        <f t="shared" si="107"/>
        <v>02</v>
      </c>
      <c r="E3081" t="str">
        <f>VLOOKUP(B3081,'HOGARES-BASELINE'!$B:$I,8,FALSE)</f>
        <v>01010897</v>
      </c>
      <c r="F3081" s="6" t="str">
        <f t="shared" si="106"/>
        <v>0101089702</v>
      </c>
    </row>
    <row r="3082" spans="1:6" x14ac:dyDescent="0.3">
      <c r="A3082" s="6" t="s">
        <v>3082</v>
      </c>
      <c r="B3082">
        <v>43635359</v>
      </c>
      <c r="C3082" s="3">
        <v>4</v>
      </c>
      <c r="D3082" s="5" t="str">
        <f t="shared" si="107"/>
        <v>04</v>
      </c>
      <c r="E3082" t="str">
        <f>VLOOKUP(B3082,'HOGARES-BASELINE'!$B:$I,8,FALSE)</f>
        <v>00010898</v>
      </c>
      <c r="F3082" s="6" t="str">
        <f t="shared" si="106"/>
        <v>0001089804</v>
      </c>
    </row>
    <row r="3083" spans="1:6" x14ac:dyDescent="0.3">
      <c r="A3083" s="6" t="s">
        <v>3083</v>
      </c>
      <c r="B3083">
        <v>43635359</v>
      </c>
      <c r="C3083" s="3">
        <v>6</v>
      </c>
      <c r="D3083" s="5" t="str">
        <f t="shared" si="107"/>
        <v>06</v>
      </c>
      <c r="E3083" t="str">
        <f>VLOOKUP(B3083,'HOGARES-BASELINE'!$B:$I,8,FALSE)</f>
        <v>00010898</v>
      </c>
      <c r="F3083" s="6" t="str">
        <f t="shared" si="106"/>
        <v>0001089806</v>
      </c>
    </row>
    <row r="3084" spans="1:6" x14ac:dyDescent="0.3">
      <c r="A3084" s="6" t="s">
        <v>3084</v>
      </c>
      <c r="B3084">
        <v>43635359</v>
      </c>
      <c r="C3084" s="3">
        <v>2</v>
      </c>
      <c r="D3084" s="5" t="str">
        <f t="shared" si="107"/>
        <v>02</v>
      </c>
      <c r="E3084" t="str">
        <f>VLOOKUP(B3084,'HOGARES-BASELINE'!$B:$I,8,FALSE)</f>
        <v>00010898</v>
      </c>
      <c r="F3084" s="6" t="str">
        <f t="shared" si="106"/>
        <v>0001089802</v>
      </c>
    </row>
    <row r="3085" spans="1:6" x14ac:dyDescent="0.3">
      <c r="A3085" s="6" t="s">
        <v>3085</v>
      </c>
      <c r="B3085">
        <v>43635359</v>
      </c>
      <c r="C3085" s="3">
        <v>7</v>
      </c>
      <c r="D3085" s="5" t="str">
        <f t="shared" si="107"/>
        <v>07</v>
      </c>
      <c r="E3085" t="str">
        <f>VLOOKUP(B3085,'HOGARES-BASELINE'!$B:$I,8,FALSE)</f>
        <v>00010898</v>
      </c>
      <c r="F3085" s="6" t="str">
        <f t="shared" si="106"/>
        <v>0001089807</v>
      </c>
    </row>
    <row r="3086" spans="1:6" x14ac:dyDescent="0.3">
      <c r="A3086" s="6" t="s">
        <v>3086</v>
      </c>
      <c r="B3086">
        <v>43635359</v>
      </c>
      <c r="C3086" s="3">
        <v>3</v>
      </c>
      <c r="D3086" s="5" t="str">
        <f t="shared" si="107"/>
        <v>03</v>
      </c>
      <c r="E3086" t="str">
        <f>VLOOKUP(B3086,'HOGARES-BASELINE'!$B:$I,8,FALSE)</f>
        <v>00010898</v>
      </c>
      <c r="F3086" s="6" t="str">
        <f t="shared" si="106"/>
        <v>0001089803</v>
      </c>
    </row>
    <row r="3087" spans="1:6" x14ac:dyDescent="0.3">
      <c r="A3087" s="6" t="s">
        <v>3087</v>
      </c>
      <c r="B3087">
        <v>43635359</v>
      </c>
      <c r="C3087" s="3">
        <v>5</v>
      </c>
      <c r="D3087" s="5" t="str">
        <f t="shared" si="107"/>
        <v>05</v>
      </c>
      <c r="E3087" t="str">
        <f>VLOOKUP(B3087,'HOGARES-BASELINE'!$B:$I,8,FALSE)</f>
        <v>00010898</v>
      </c>
      <c r="F3087" s="6" t="str">
        <f t="shared" si="106"/>
        <v>0001089805</v>
      </c>
    </row>
    <row r="3088" spans="1:6" x14ac:dyDescent="0.3">
      <c r="A3088" s="6" t="s">
        <v>3088</v>
      </c>
      <c r="B3088">
        <v>43635359</v>
      </c>
      <c r="C3088" s="3">
        <v>1</v>
      </c>
      <c r="D3088" s="5" t="str">
        <f t="shared" si="107"/>
        <v>01</v>
      </c>
      <c r="E3088" t="str">
        <f>VLOOKUP(B3088,'HOGARES-BASELINE'!$B:$I,8,FALSE)</f>
        <v>00010898</v>
      </c>
      <c r="F3088" s="6" t="str">
        <f t="shared" si="106"/>
        <v>0001089801</v>
      </c>
    </row>
    <row r="3089" spans="1:6" x14ac:dyDescent="0.3">
      <c r="A3089" s="6" t="s">
        <v>3089</v>
      </c>
      <c r="B3089">
        <v>43639779</v>
      </c>
      <c r="C3089" s="3">
        <v>2</v>
      </c>
      <c r="D3089" s="5" t="str">
        <f t="shared" si="107"/>
        <v>02</v>
      </c>
      <c r="E3089" t="str">
        <f>VLOOKUP(B3089,'HOGARES-BASELINE'!$B:$I,8,FALSE)</f>
        <v>01010899</v>
      </c>
      <c r="F3089" s="6" t="str">
        <f t="shared" si="106"/>
        <v>0101089902</v>
      </c>
    </row>
    <row r="3090" spans="1:6" x14ac:dyDescent="0.3">
      <c r="A3090" s="6" t="s">
        <v>3090</v>
      </c>
      <c r="B3090">
        <v>43639779</v>
      </c>
      <c r="C3090" s="3">
        <v>1</v>
      </c>
      <c r="D3090" s="5" t="str">
        <f t="shared" si="107"/>
        <v>01</v>
      </c>
      <c r="E3090" t="str">
        <f>VLOOKUP(B3090,'HOGARES-BASELINE'!$B:$I,8,FALSE)</f>
        <v>01010899</v>
      </c>
      <c r="F3090" s="6" t="str">
        <f t="shared" si="106"/>
        <v>0101089901</v>
      </c>
    </row>
    <row r="3091" spans="1:6" x14ac:dyDescent="0.3">
      <c r="A3091" s="6" t="s">
        <v>3091</v>
      </c>
      <c r="B3091">
        <v>43640603</v>
      </c>
      <c r="C3091" s="3">
        <v>4</v>
      </c>
      <c r="D3091" s="5" t="str">
        <f t="shared" si="107"/>
        <v>04</v>
      </c>
      <c r="E3091" t="str">
        <f>VLOOKUP(B3091,'HOGARES-BASELINE'!$B:$I,8,FALSE)</f>
        <v>01010900</v>
      </c>
      <c r="F3091" s="6" t="str">
        <f t="shared" si="106"/>
        <v>0101090004</v>
      </c>
    </row>
    <row r="3092" spans="1:6" x14ac:dyDescent="0.3">
      <c r="A3092" s="6" t="s">
        <v>3092</v>
      </c>
      <c r="B3092">
        <v>43640603</v>
      </c>
      <c r="C3092" s="3">
        <v>6</v>
      </c>
      <c r="D3092" s="5" t="str">
        <f t="shared" si="107"/>
        <v>06</v>
      </c>
      <c r="E3092" t="str">
        <f>VLOOKUP(B3092,'HOGARES-BASELINE'!$B:$I,8,FALSE)</f>
        <v>01010900</v>
      </c>
      <c r="F3092" s="6" t="str">
        <f t="shared" si="106"/>
        <v>0101090006</v>
      </c>
    </row>
    <row r="3093" spans="1:6" x14ac:dyDescent="0.3">
      <c r="A3093" s="6" t="s">
        <v>3093</v>
      </c>
      <c r="B3093">
        <v>43640603</v>
      </c>
      <c r="C3093" s="3">
        <v>3</v>
      </c>
      <c r="D3093" s="5" t="str">
        <f t="shared" si="107"/>
        <v>03</v>
      </c>
      <c r="E3093" t="str">
        <f>VLOOKUP(B3093,'HOGARES-BASELINE'!$B:$I,8,FALSE)</f>
        <v>01010900</v>
      </c>
      <c r="F3093" s="6" t="str">
        <f t="shared" si="106"/>
        <v>0101090003</v>
      </c>
    </row>
    <row r="3094" spans="1:6" x14ac:dyDescent="0.3">
      <c r="A3094" s="6" t="s">
        <v>3094</v>
      </c>
      <c r="B3094">
        <v>43640603</v>
      </c>
      <c r="C3094" s="3">
        <v>1</v>
      </c>
      <c r="D3094" s="5" t="str">
        <f t="shared" si="107"/>
        <v>01</v>
      </c>
      <c r="E3094" t="str">
        <f>VLOOKUP(B3094,'HOGARES-BASELINE'!$B:$I,8,FALSE)</f>
        <v>01010900</v>
      </c>
      <c r="F3094" s="6" t="str">
        <f t="shared" si="106"/>
        <v>0101090001</v>
      </c>
    </row>
    <row r="3095" spans="1:6" x14ac:dyDescent="0.3">
      <c r="A3095" s="6" t="s">
        <v>3095</v>
      </c>
      <c r="B3095">
        <v>43640603</v>
      </c>
      <c r="C3095" s="3">
        <v>5</v>
      </c>
      <c r="D3095" s="5" t="str">
        <f t="shared" si="107"/>
        <v>05</v>
      </c>
      <c r="E3095" t="str">
        <f>VLOOKUP(B3095,'HOGARES-BASELINE'!$B:$I,8,FALSE)</f>
        <v>01010900</v>
      </c>
      <c r="F3095" s="6" t="str">
        <f t="shared" si="106"/>
        <v>0101090005</v>
      </c>
    </row>
    <row r="3096" spans="1:6" x14ac:dyDescent="0.3">
      <c r="A3096" s="6" t="s">
        <v>3096</v>
      </c>
      <c r="B3096">
        <v>43640603</v>
      </c>
      <c r="C3096" s="3">
        <v>2</v>
      </c>
      <c r="D3096" s="5" t="str">
        <f t="shared" si="107"/>
        <v>02</v>
      </c>
      <c r="E3096" t="str">
        <f>VLOOKUP(B3096,'HOGARES-BASELINE'!$B:$I,8,FALSE)</f>
        <v>01010900</v>
      </c>
      <c r="F3096" s="6" t="str">
        <f t="shared" si="106"/>
        <v>0101090002</v>
      </c>
    </row>
    <row r="3097" spans="1:6" x14ac:dyDescent="0.3">
      <c r="A3097" s="6" t="s">
        <v>3097</v>
      </c>
      <c r="B3097">
        <v>43643362</v>
      </c>
      <c r="C3097" s="3">
        <v>1</v>
      </c>
      <c r="D3097" s="5" t="str">
        <f t="shared" si="107"/>
        <v>01</v>
      </c>
      <c r="E3097" t="str">
        <f>VLOOKUP(B3097,'HOGARES-BASELINE'!$B:$I,8,FALSE)</f>
        <v>00010901</v>
      </c>
      <c r="F3097" s="6" t="str">
        <f t="shared" si="106"/>
        <v>0001090101</v>
      </c>
    </row>
    <row r="3098" spans="1:6" x14ac:dyDescent="0.3">
      <c r="A3098" s="6" t="s">
        <v>3098</v>
      </c>
      <c r="B3098">
        <v>43643362</v>
      </c>
      <c r="C3098" s="3">
        <v>3</v>
      </c>
      <c r="D3098" s="5" t="str">
        <f t="shared" si="107"/>
        <v>03</v>
      </c>
      <c r="E3098" t="str">
        <f>VLOOKUP(B3098,'HOGARES-BASELINE'!$B:$I,8,FALSE)</f>
        <v>00010901</v>
      </c>
      <c r="F3098" s="6" t="str">
        <f t="shared" si="106"/>
        <v>0001090103</v>
      </c>
    </row>
    <row r="3099" spans="1:6" x14ac:dyDescent="0.3">
      <c r="A3099" s="6" t="s">
        <v>3099</v>
      </c>
      <c r="B3099">
        <v>43643362</v>
      </c>
      <c r="C3099" s="3">
        <v>4</v>
      </c>
      <c r="D3099" s="5" t="str">
        <f t="shared" si="107"/>
        <v>04</v>
      </c>
      <c r="E3099" t="str">
        <f>VLOOKUP(B3099,'HOGARES-BASELINE'!$B:$I,8,FALSE)</f>
        <v>00010901</v>
      </c>
      <c r="F3099" s="6" t="str">
        <f t="shared" si="106"/>
        <v>0001090104</v>
      </c>
    </row>
    <row r="3100" spans="1:6" x14ac:dyDescent="0.3">
      <c r="A3100" s="6" t="s">
        <v>3100</v>
      </c>
      <c r="B3100">
        <v>43643362</v>
      </c>
      <c r="C3100" s="3">
        <v>2</v>
      </c>
      <c r="D3100" s="5" t="str">
        <f t="shared" si="107"/>
        <v>02</v>
      </c>
      <c r="E3100" t="str">
        <f>VLOOKUP(B3100,'HOGARES-BASELINE'!$B:$I,8,FALSE)</f>
        <v>00010901</v>
      </c>
      <c r="F3100" s="6" t="str">
        <f t="shared" si="106"/>
        <v>0001090102</v>
      </c>
    </row>
    <row r="3101" spans="1:6" x14ac:dyDescent="0.3">
      <c r="A3101" s="6" t="s">
        <v>3101</v>
      </c>
      <c r="B3101">
        <v>43661822</v>
      </c>
      <c r="C3101" s="3">
        <v>2</v>
      </c>
      <c r="D3101" s="5" t="str">
        <f t="shared" si="107"/>
        <v>02</v>
      </c>
      <c r="E3101" t="str">
        <f>VLOOKUP(B3101,'HOGARES-BASELINE'!$B:$I,8,FALSE)</f>
        <v>00010902</v>
      </c>
      <c r="F3101" s="6" t="str">
        <f t="shared" si="106"/>
        <v>0001090202</v>
      </c>
    </row>
    <row r="3102" spans="1:6" x14ac:dyDescent="0.3">
      <c r="A3102" s="6" t="s">
        <v>3102</v>
      </c>
      <c r="B3102">
        <v>43661822</v>
      </c>
      <c r="C3102" s="3">
        <v>1</v>
      </c>
      <c r="D3102" s="5" t="str">
        <f t="shared" si="107"/>
        <v>01</v>
      </c>
      <c r="E3102" t="str">
        <f>VLOOKUP(B3102,'HOGARES-BASELINE'!$B:$I,8,FALSE)</f>
        <v>00010902</v>
      </c>
      <c r="F3102" s="6" t="str">
        <f t="shared" si="106"/>
        <v>0001090201</v>
      </c>
    </row>
    <row r="3103" spans="1:6" x14ac:dyDescent="0.3">
      <c r="A3103" s="6" t="s">
        <v>3103</v>
      </c>
      <c r="B3103">
        <v>43662572</v>
      </c>
      <c r="C3103" s="3">
        <v>1</v>
      </c>
      <c r="D3103" s="5" t="str">
        <f t="shared" si="107"/>
        <v>01</v>
      </c>
      <c r="E3103" t="str">
        <f>VLOOKUP(B3103,'HOGARES-BASELINE'!$B:$I,8,FALSE)</f>
        <v>00010903</v>
      </c>
      <c r="F3103" s="6" t="str">
        <f t="shared" si="106"/>
        <v>0001090301</v>
      </c>
    </row>
    <row r="3104" spans="1:6" x14ac:dyDescent="0.3">
      <c r="A3104" s="6" t="s">
        <v>3104</v>
      </c>
      <c r="B3104">
        <v>43662572</v>
      </c>
      <c r="C3104" s="3">
        <v>2</v>
      </c>
      <c r="D3104" s="5" t="str">
        <f t="shared" si="107"/>
        <v>02</v>
      </c>
      <c r="E3104" t="str">
        <f>VLOOKUP(B3104,'HOGARES-BASELINE'!$B:$I,8,FALSE)</f>
        <v>00010903</v>
      </c>
      <c r="F3104" s="6" t="str">
        <f t="shared" si="106"/>
        <v>0001090302</v>
      </c>
    </row>
    <row r="3105" spans="1:6" x14ac:dyDescent="0.3">
      <c r="A3105" s="6" t="s">
        <v>3105</v>
      </c>
      <c r="B3105">
        <v>43672851</v>
      </c>
      <c r="C3105" s="3">
        <v>1</v>
      </c>
      <c r="D3105" s="5" t="str">
        <f t="shared" si="107"/>
        <v>01</v>
      </c>
      <c r="E3105" t="str">
        <f>VLOOKUP(B3105,'HOGARES-BASELINE'!$B:$I,8,FALSE)</f>
        <v>00010904</v>
      </c>
      <c r="F3105" s="6" t="str">
        <f t="shared" si="106"/>
        <v>0001090401</v>
      </c>
    </row>
    <row r="3106" spans="1:6" x14ac:dyDescent="0.3">
      <c r="A3106" s="6" t="s">
        <v>3106</v>
      </c>
      <c r="B3106">
        <v>43681503</v>
      </c>
      <c r="C3106" s="3">
        <v>2</v>
      </c>
      <c r="D3106" s="5" t="str">
        <f t="shared" si="107"/>
        <v>02</v>
      </c>
      <c r="E3106" t="str">
        <f>VLOOKUP(B3106,'HOGARES-BASELINE'!$B:$I,8,FALSE)</f>
        <v>01010905</v>
      </c>
      <c r="F3106" s="6" t="str">
        <f t="shared" si="106"/>
        <v>0101090502</v>
      </c>
    </row>
    <row r="3107" spans="1:6" x14ac:dyDescent="0.3">
      <c r="A3107" s="6" t="s">
        <v>3107</v>
      </c>
      <c r="B3107">
        <v>43681503</v>
      </c>
      <c r="C3107" s="3">
        <v>1</v>
      </c>
      <c r="D3107" s="5" t="str">
        <f t="shared" si="107"/>
        <v>01</v>
      </c>
      <c r="E3107" t="str">
        <f>VLOOKUP(B3107,'HOGARES-BASELINE'!$B:$I,8,FALSE)</f>
        <v>01010905</v>
      </c>
      <c r="F3107" s="6" t="str">
        <f t="shared" si="106"/>
        <v>0101090501</v>
      </c>
    </row>
    <row r="3108" spans="1:6" x14ac:dyDescent="0.3">
      <c r="A3108" s="6" t="s">
        <v>3108</v>
      </c>
      <c r="B3108">
        <v>43681503</v>
      </c>
      <c r="C3108" s="3">
        <v>3</v>
      </c>
      <c r="D3108" s="5" t="str">
        <f t="shared" si="107"/>
        <v>03</v>
      </c>
      <c r="E3108" t="str">
        <f>VLOOKUP(B3108,'HOGARES-BASELINE'!$B:$I,8,FALSE)</f>
        <v>01010905</v>
      </c>
      <c r="F3108" s="6" t="str">
        <f t="shared" si="106"/>
        <v>0101090503</v>
      </c>
    </row>
    <row r="3109" spans="1:6" x14ac:dyDescent="0.3">
      <c r="A3109" s="6" t="s">
        <v>3109</v>
      </c>
      <c r="B3109">
        <v>43700046</v>
      </c>
      <c r="C3109" s="3">
        <v>2</v>
      </c>
      <c r="D3109" s="5" t="str">
        <f t="shared" si="107"/>
        <v>02</v>
      </c>
      <c r="E3109" t="str">
        <f>VLOOKUP(B3109,'HOGARES-BASELINE'!$B:$I,8,FALSE)</f>
        <v>00010906</v>
      </c>
      <c r="F3109" s="6" t="str">
        <f t="shared" si="106"/>
        <v>0001090602</v>
      </c>
    </row>
    <row r="3110" spans="1:6" x14ac:dyDescent="0.3">
      <c r="A3110" s="6" t="s">
        <v>3110</v>
      </c>
      <c r="B3110">
        <v>43700046</v>
      </c>
      <c r="C3110" s="3">
        <v>1</v>
      </c>
      <c r="D3110" s="5" t="str">
        <f t="shared" si="107"/>
        <v>01</v>
      </c>
      <c r="E3110" t="str">
        <f>VLOOKUP(B3110,'HOGARES-BASELINE'!$B:$I,8,FALSE)</f>
        <v>00010906</v>
      </c>
      <c r="F3110" s="6" t="str">
        <f t="shared" si="106"/>
        <v>0001090601</v>
      </c>
    </row>
    <row r="3111" spans="1:6" x14ac:dyDescent="0.3">
      <c r="A3111" s="6" t="s">
        <v>3111</v>
      </c>
      <c r="B3111">
        <v>43700046</v>
      </c>
      <c r="C3111" s="3">
        <v>3</v>
      </c>
      <c r="D3111" s="5" t="str">
        <f t="shared" si="107"/>
        <v>03</v>
      </c>
      <c r="E3111" t="str">
        <f>VLOOKUP(B3111,'HOGARES-BASELINE'!$B:$I,8,FALSE)</f>
        <v>00010906</v>
      </c>
      <c r="F3111" s="6" t="str">
        <f t="shared" si="106"/>
        <v>0001090603</v>
      </c>
    </row>
    <row r="3112" spans="1:6" x14ac:dyDescent="0.3">
      <c r="A3112" s="6" t="s">
        <v>3112</v>
      </c>
      <c r="B3112">
        <v>43700046</v>
      </c>
      <c r="C3112" s="3">
        <v>5</v>
      </c>
      <c r="D3112" s="5" t="str">
        <f t="shared" si="107"/>
        <v>05</v>
      </c>
      <c r="E3112" t="str">
        <f>VLOOKUP(B3112,'HOGARES-BASELINE'!$B:$I,8,FALSE)</f>
        <v>00010906</v>
      </c>
      <c r="F3112" s="6" t="str">
        <f t="shared" si="106"/>
        <v>0001090605</v>
      </c>
    </row>
    <row r="3113" spans="1:6" x14ac:dyDescent="0.3">
      <c r="A3113" s="6" t="s">
        <v>3113</v>
      </c>
      <c r="B3113">
        <v>43700046</v>
      </c>
      <c r="C3113" s="3">
        <v>4</v>
      </c>
      <c r="D3113" s="5" t="str">
        <f t="shared" si="107"/>
        <v>04</v>
      </c>
      <c r="E3113" t="str">
        <f>VLOOKUP(B3113,'HOGARES-BASELINE'!$B:$I,8,FALSE)</f>
        <v>00010906</v>
      </c>
      <c r="F3113" s="6" t="str">
        <f t="shared" si="106"/>
        <v>0001090604</v>
      </c>
    </row>
    <row r="3114" spans="1:6" x14ac:dyDescent="0.3">
      <c r="A3114" s="6" t="s">
        <v>3114</v>
      </c>
      <c r="B3114">
        <v>43733194</v>
      </c>
      <c r="C3114" s="3">
        <v>1</v>
      </c>
      <c r="D3114" s="5" t="str">
        <f t="shared" si="107"/>
        <v>01</v>
      </c>
      <c r="E3114" t="str">
        <f>VLOOKUP(B3114,'HOGARES-BASELINE'!$B:$I,8,FALSE)</f>
        <v>00010907</v>
      </c>
      <c r="F3114" s="6" t="str">
        <f t="shared" si="106"/>
        <v>0001090701</v>
      </c>
    </row>
    <row r="3115" spans="1:6" x14ac:dyDescent="0.3">
      <c r="A3115" s="6" t="s">
        <v>3115</v>
      </c>
      <c r="B3115">
        <v>43733194</v>
      </c>
      <c r="C3115" s="3">
        <v>4</v>
      </c>
      <c r="D3115" s="5" t="str">
        <f t="shared" si="107"/>
        <v>04</v>
      </c>
      <c r="E3115" t="str">
        <f>VLOOKUP(B3115,'HOGARES-BASELINE'!$B:$I,8,FALSE)</f>
        <v>00010907</v>
      </c>
      <c r="F3115" s="6" t="str">
        <f t="shared" si="106"/>
        <v>0001090704</v>
      </c>
    </row>
    <row r="3116" spans="1:6" x14ac:dyDescent="0.3">
      <c r="A3116" s="6" t="s">
        <v>3116</v>
      </c>
      <c r="B3116">
        <v>43733194</v>
      </c>
      <c r="C3116" s="3">
        <v>2</v>
      </c>
      <c r="D3116" s="5" t="str">
        <f t="shared" si="107"/>
        <v>02</v>
      </c>
      <c r="E3116" t="str">
        <f>VLOOKUP(B3116,'HOGARES-BASELINE'!$B:$I,8,FALSE)</f>
        <v>00010907</v>
      </c>
      <c r="F3116" s="6" t="str">
        <f t="shared" si="106"/>
        <v>0001090702</v>
      </c>
    </row>
    <row r="3117" spans="1:6" x14ac:dyDescent="0.3">
      <c r="A3117" s="6" t="s">
        <v>3117</v>
      </c>
      <c r="B3117">
        <v>43733194</v>
      </c>
      <c r="C3117" s="3">
        <v>3</v>
      </c>
      <c r="D3117" s="5" t="str">
        <f t="shared" si="107"/>
        <v>03</v>
      </c>
      <c r="E3117" t="str">
        <f>VLOOKUP(B3117,'HOGARES-BASELINE'!$B:$I,8,FALSE)</f>
        <v>00010907</v>
      </c>
      <c r="F3117" s="6" t="str">
        <f t="shared" si="106"/>
        <v>0001090703</v>
      </c>
    </row>
    <row r="3118" spans="1:6" x14ac:dyDescent="0.3">
      <c r="A3118" s="6" t="s">
        <v>3118</v>
      </c>
      <c r="B3118">
        <v>43750015</v>
      </c>
      <c r="C3118" s="3">
        <v>1</v>
      </c>
      <c r="D3118" s="5" t="str">
        <f t="shared" si="107"/>
        <v>01</v>
      </c>
      <c r="E3118" t="str">
        <f>VLOOKUP(B3118,'HOGARES-BASELINE'!$B:$I,8,FALSE)</f>
        <v>01010908</v>
      </c>
      <c r="F3118" s="6" t="str">
        <f t="shared" si="106"/>
        <v>0101090801</v>
      </c>
    </row>
    <row r="3119" spans="1:6" x14ac:dyDescent="0.3">
      <c r="A3119" s="6" t="s">
        <v>3119</v>
      </c>
      <c r="B3119">
        <v>43750015</v>
      </c>
      <c r="C3119" s="3">
        <v>3</v>
      </c>
      <c r="D3119" s="5" t="str">
        <f t="shared" si="107"/>
        <v>03</v>
      </c>
      <c r="E3119" t="str">
        <f>VLOOKUP(B3119,'HOGARES-BASELINE'!$B:$I,8,FALSE)</f>
        <v>01010908</v>
      </c>
      <c r="F3119" s="6" t="str">
        <f t="shared" si="106"/>
        <v>0101090803</v>
      </c>
    </row>
    <row r="3120" spans="1:6" x14ac:dyDescent="0.3">
      <c r="A3120" s="6" t="s">
        <v>3120</v>
      </c>
      <c r="B3120">
        <v>43750015</v>
      </c>
      <c r="C3120" s="3">
        <v>2</v>
      </c>
      <c r="D3120" s="5" t="str">
        <f t="shared" si="107"/>
        <v>02</v>
      </c>
      <c r="E3120" t="str">
        <f>VLOOKUP(B3120,'HOGARES-BASELINE'!$B:$I,8,FALSE)</f>
        <v>01010908</v>
      </c>
      <c r="F3120" s="6" t="str">
        <f t="shared" si="106"/>
        <v>0101090802</v>
      </c>
    </row>
    <row r="3121" spans="1:6" x14ac:dyDescent="0.3">
      <c r="A3121" s="6" t="s">
        <v>3121</v>
      </c>
      <c r="B3121">
        <v>43752818</v>
      </c>
      <c r="C3121" s="3">
        <v>4</v>
      </c>
      <c r="D3121" s="5" t="str">
        <f t="shared" si="107"/>
        <v>04</v>
      </c>
      <c r="E3121" t="str">
        <f>VLOOKUP(B3121,'HOGARES-BASELINE'!$B:$I,8,FALSE)</f>
        <v>01010909</v>
      </c>
      <c r="F3121" s="6" t="str">
        <f t="shared" si="106"/>
        <v>0101090904</v>
      </c>
    </row>
    <row r="3122" spans="1:6" x14ac:dyDescent="0.3">
      <c r="A3122" s="6" t="s">
        <v>3122</v>
      </c>
      <c r="B3122">
        <v>43752818</v>
      </c>
      <c r="C3122" s="3">
        <v>2</v>
      </c>
      <c r="D3122" s="5" t="str">
        <f t="shared" si="107"/>
        <v>02</v>
      </c>
      <c r="E3122" t="str">
        <f>VLOOKUP(B3122,'HOGARES-BASELINE'!$B:$I,8,FALSE)</f>
        <v>01010909</v>
      </c>
      <c r="F3122" s="6" t="str">
        <f t="shared" si="106"/>
        <v>0101090902</v>
      </c>
    </row>
    <row r="3123" spans="1:6" x14ac:dyDescent="0.3">
      <c r="A3123" s="6" t="s">
        <v>3123</v>
      </c>
      <c r="B3123">
        <v>43752818</v>
      </c>
      <c r="C3123" s="3">
        <v>3</v>
      </c>
      <c r="D3123" s="5" t="str">
        <f t="shared" si="107"/>
        <v>03</v>
      </c>
      <c r="E3123" t="str">
        <f>VLOOKUP(B3123,'HOGARES-BASELINE'!$B:$I,8,FALSE)</f>
        <v>01010909</v>
      </c>
      <c r="F3123" s="6" t="str">
        <f t="shared" si="106"/>
        <v>0101090903</v>
      </c>
    </row>
    <row r="3124" spans="1:6" x14ac:dyDescent="0.3">
      <c r="A3124" s="6" t="s">
        <v>3124</v>
      </c>
      <c r="B3124">
        <v>43752818</v>
      </c>
      <c r="C3124" s="3">
        <v>1</v>
      </c>
      <c r="D3124" s="5" t="str">
        <f t="shared" si="107"/>
        <v>01</v>
      </c>
      <c r="E3124" t="str">
        <f>VLOOKUP(B3124,'HOGARES-BASELINE'!$B:$I,8,FALSE)</f>
        <v>01010909</v>
      </c>
      <c r="F3124" s="6" t="str">
        <f t="shared" si="106"/>
        <v>0101090901</v>
      </c>
    </row>
    <row r="3125" spans="1:6" x14ac:dyDescent="0.3">
      <c r="A3125" s="6" t="s">
        <v>3125</v>
      </c>
      <c r="B3125">
        <v>43754194</v>
      </c>
      <c r="C3125" s="3">
        <v>4</v>
      </c>
      <c r="D3125" s="5" t="str">
        <f t="shared" si="107"/>
        <v>04</v>
      </c>
      <c r="E3125" t="str">
        <f>VLOOKUP(B3125,'HOGARES-BASELINE'!$B:$I,8,FALSE)</f>
        <v>00010910</v>
      </c>
      <c r="F3125" s="6" t="str">
        <f t="shared" si="106"/>
        <v>0001091004</v>
      </c>
    </row>
    <row r="3126" spans="1:6" x14ac:dyDescent="0.3">
      <c r="A3126" s="6" t="s">
        <v>3126</v>
      </c>
      <c r="B3126">
        <v>43754194</v>
      </c>
      <c r="C3126" s="3">
        <v>1</v>
      </c>
      <c r="D3126" s="5" t="str">
        <f t="shared" si="107"/>
        <v>01</v>
      </c>
      <c r="E3126" t="str">
        <f>VLOOKUP(B3126,'HOGARES-BASELINE'!$B:$I,8,FALSE)</f>
        <v>00010910</v>
      </c>
      <c r="F3126" s="6" t="str">
        <f t="shared" si="106"/>
        <v>0001091001</v>
      </c>
    </row>
    <row r="3127" spans="1:6" x14ac:dyDescent="0.3">
      <c r="A3127" s="6" t="s">
        <v>3127</v>
      </c>
      <c r="B3127">
        <v>43754194</v>
      </c>
      <c r="C3127" s="3">
        <v>2</v>
      </c>
      <c r="D3127" s="5" t="str">
        <f t="shared" si="107"/>
        <v>02</v>
      </c>
      <c r="E3127" t="str">
        <f>VLOOKUP(B3127,'HOGARES-BASELINE'!$B:$I,8,FALSE)</f>
        <v>00010910</v>
      </c>
      <c r="F3127" s="6" t="str">
        <f t="shared" si="106"/>
        <v>0001091002</v>
      </c>
    </row>
    <row r="3128" spans="1:6" x14ac:dyDescent="0.3">
      <c r="A3128" s="6" t="s">
        <v>3128</v>
      </c>
      <c r="B3128">
        <v>43754194</v>
      </c>
      <c r="C3128" s="3">
        <v>3</v>
      </c>
      <c r="D3128" s="5" t="str">
        <f t="shared" si="107"/>
        <v>03</v>
      </c>
      <c r="E3128" t="str">
        <f>VLOOKUP(B3128,'HOGARES-BASELINE'!$B:$I,8,FALSE)</f>
        <v>00010910</v>
      </c>
      <c r="F3128" s="6" t="str">
        <f t="shared" si="106"/>
        <v>0001091003</v>
      </c>
    </row>
    <row r="3129" spans="1:6" x14ac:dyDescent="0.3">
      <c r="A3129" s="6" t="s">
        <v>3129</v>
      </c>
      <c r="B3129">
        <v>43755833</v>
      </c>
      <c r="C3129" s="3">
        <v>3</v>
      </c>
      <c r="D3129" s="5" t="str">
        <f t="shared" si="107"/>
        <v>03</v>
      </c>
      <c r="E3129" t="str">
        <f>VLOOKUP(B3129,'HOGARES-BASELINE'!$B:$I,8,FALSE)</f>
        <v>01010911</v>
      </c>
      <c r="F3129" s="6" t="str">
        <f t="shared" si="106"/>
        <v>0101091103</v>
      </c>
    </row>
    <row r="3130" spans="1:6" x14ac:dyDescent="0.3">
      <c r="A3130" s="6" t="s">
        <v>3130</v>
      </c>
      <c r="B3130">
        <v>43755833</v>
      </c>
      <c r="C3130" s="3">
        <v>2</v>
      </c>
      <c r="D3130" s="5" t="str">
        <f t="shared" si="107"/>
        <v>02</v>
      </c>
      <c r="E3130" t="str">
        <f>VLOOKUP(B3130,'HOGARES-BASELINE'!$B:$I,8,FALSE)</f>
        <v>01010911</v>
      </c>
      <c r="F3130" s="6" t="str">
        <f t="shared" si="106"/>
        <v>0101091102</v>
      </c>
    </row>
    <row r="3131" spans="1:6" x14ac:dyDescent="0.3">
      <c r="A3131" s="6" t="s">
        <v>3131</v>
      </c>
      <c r="B3131">
        <v>43755833</v>
      </c>
      <c r="C3131" s="3">
        <v>1</v>
      </c>
      <c r="D3131" s="5" t="str">
        <f t="shared" si="107"/>
        <v>01</v>
      </c>
      <c r="E3131" t="str">
        <f>VLOOKUP(B3131,'HOGARES-BASELINE'!$B:$I,8,FALSE)</f>
        <v>01010911</v>
      </c>
      <c r="F3131" s="6" t="str">
        <f t="shared" si="106"/>
        <v>0101091101</v>
      </c>
    </row>
    <row r="3132" spans="1:6" x14ac:dyDescent="0.3">
      <c r="A3132" s="6" t="s">
        <v>3132</v>
      </c>
      <c r="B3132">
        <v>43810860</v>
      </c>
      <c r="C3132" s="3">
        <v>1</v>
      </c>
      <c r="D3132" s="5" t="str">
        <f t="shared" si="107"/>
        <v>01</v>
      </c>
      <c r="E3132" t="str">
        <f>VLOOKUP(B3132,'HOGARES-BASELINE'!$B:$I,8,FALSE)</f>
        <v>00010912</v>
      </c>
      <c r="F3132" s="6" t="str">
        <f t="shared" si="106"/>
        <v>0001091201</v>
      </c>
    </row>
    <row r="3133" spans="1:6" x14ac:dyDescent="0.3">
      <c r="A3133" s="6" t="s">
        <v>3133</v>
      </c>
      <c r="B3133">
        <v>43810860</v>
      </c>
      <c r="C3133" s="3">
        <v>3</v>
      </c>
      <c r="D3133" s="5" t="str">
        <f t="shared" si="107"/>
        <v>03</v>
      </c>
      <c r="E3133" t="str">
        <f>VLOOKUP(B3133,'HOGARES-BASELINE'!$B:$I,8,FALSE)</f>
        <v>00010912</v>
      </c>
      <c r="F3133" s="6" t="str">
        <f t="shared" si="106"/>
        <v>0001091203</v>
      </c>
    </row>
    <row r="3134" spans="1:6" x14ac:dyDescent="0.3">
      <c r="A3134" s="6" t="s">
        <v>3134</v>
      </c>
      <c r="B3134">
        <v>43810860</v>
      </c>
      <c r="C3134" s="3">
        <v>4</v>
      </c>
      <c r="D3134" s="5" t="str">
        <f t="shared" si="107"/>
        <v>04</v>
      </c>
      <c r="E3134" t="str">
        <f>VLOOKUP(B3134,'HOGARES-BASELINE'!$B:$I,8,FALSE)</f>
        <v>00010912</v>
      </c>
      <c r="F3134" s="6" t="str">
        <f t="shared" si="106"/>
        <v>0001091204</v>
      </c>
    </row>
    <row r="3135" spans="1:6" x14ac:dyDescent="0.3">
      <c r="A3135" s="6" t="s">
        <v>3135</v>
      </c>
      <c r="B3135">
        <v>43810860</v>
      </c>
      <c r="C3135" s="3">
        <v>2</v>
      </c>
      <c r="D3135" s="5" t="str">
        <f t="shared" si="107"/>
        <v>02</v>
      </c>
      <c r="E3135" t="str">
        <f>VLOOKUP(B3135,'HOGARES-BASELINE'!$B:$I,8,FALSE)</f>
        <v>00010912</v>
      </c>
      <c r="F3135" s="6" t="str">
        <f t="shared" si="106"/>
        <v>0001091202</v>
      </c>
    </row>
    <row r="3136" spans="1:6" x14ac:dyDescent="0.3">
      <c r="A3136" s="6" t="s">
        <v>3136</v>
      </c>
      <c r="B3136">
        <v>43826103</v>
      </c>
      <c r="C3136" s="3">
        <v>1</v>
      </c>
      <c r="D3136" s="5" t="str">
        <f t="shared" si="107"/>
        <v>01</v>
      </c>
      <c r="E3136" t="str">
        <f>VLOOKUP(B3136,'HOGARES-BASELINE'!$B:$I,8,FALSE)</f>
        <v>00010913</v>
      </c>
      <c r="F3136" s="6" t="str">
        <f t="shared" si="106"/>
        <v>0001091301</v>
      </c>
    </row>
    <row r="3137" spans="1:6" x14ac:dyDescent="0.3">
      <c r="A3137" s="6" t="s">
        <v>3137</v>
      </c>
      <c r="B3137">
        <v>43826103</v>
      </c>
      <c r="C3137" s="3">
        <v>3</v>
      </c>
      <c r="D3137" s="5" t="str">
        <f t="shared" si="107"/>
        <v>03</v>
      </c>
      <c r="E3137" t="str">
        <f>VLOOKUP(B3137,'HOGARES-BASELINE'!$B:$I,8,FALSE)</f>
        <v>00010913</v>
      </c>
      <c r="F3137" s="6" t="str">
        <f t="shared" si="106"/>
        <v>0001091303</v>
      </c>
    </row>
    <row r="3138" spans="1:6" x14ac:dyDescent="0.3">
      <c r="A3138" s="6" t="s">
        <v>3138</v>
      </c>
      <c r="B3138">
        <v>43826103</v>
      </c>
      <c r="C3138" s="3">
        <v>2</v>
      </c>
      <c r="D3138" s="5" t="str">
        <f t="shared" si="107"/>
        <v>02</v>
      </c>
      <c r="E3138" t="str">
        <f>VLOOKUP(B3138,'HOGARES-BASELINE'!$B:$I,8,FALSE)</f>
        <v>00010913</v>
      </c>
      <c r="F3138" s="6" t="str">
        <f t="shared" si="106"/>
        <v>0001091302</v>
      </c>
    </row>
    <row r="3139" spans="1:6" x14ac:dyDescent="0.3">
      <c r="A3139" s="6" t="s">
        <v>3139</v>
      </c>
      <c r="B3139">
        <v>43836211</v>
      </c>
      <c r="C3139" s="3">
        <v>2</v>
      </c>
      <c r="D3139" s="5" t="str">
        <f t="shared" si="107"/>
        <v>02</v>
      </c>
      <c r="E3139" t="str">
        <f>VLOOKUP(B3139,'HOGARES-BASELINE'!$B:$I,8,FALSE)</f>
        <v>00010914</v>
      </c>
      <c r="F3139" s="6" t="str">
        <f t="shared" ref="F3139:F3202" si="108">_xlfn.CONCAT(E3139,D3139)</f>
        <v>0001091402</v>
      </c>
    </row>
    <row r="3140" spans="1:6" x14ac:dyDescent="0.3">
      <c r="A3140" s="6" t="s">
        <v>3140</v>
      </c>
      <c r="B3140">
        <v>43836211</v>
      </c>
      <c r="C3140" s="3">
        <v>1</v>
      </c>
      <c r="D3140" s="5" t="str">
        <f t="shared" si="107"/>
        <v>01</v>
      </c>
      <c r="E3140" t="str">
        <f>VLOOKUP(B3140,'HOGARES-BASELINE'!$B:$I,8,FALSE)</f>
        <v>00010914</v>
      </c>
      <c r="F3140" s="6" t="str">
        <f t="shared" si="108"/>
        <v>0001091401</v>
      </c>
    </row>
    <row r="3141" spans="1:6" x14ac:dyDescent="0.3">
      <c r="A3141" s="6" t="s">
        <v>3141</v>
      </c>
      <c r="B3141">
        <v>43905793</v>
      </c>
      <c r="C3141" s="3">
        <v>1</v>
      </c>
      <c r="D3141" s="5" t="str">
        <f t="shared" si="107"/>
        <v>01</v>
      </c>
      <c r="E3141" t="str">
        <f>VLOOKUP(B3141,'HOGARES-BASELINE'!$B:$I,8,FALSE)</f>
        <v>01010915</v>
      </c>
      <c r="F3141" s="6" t="str">
        <f t="shared" si="108"/>
        <v>0101091501</v>
      </c>
    </row>
    <row r="3142" spans="1:6" x14ac:dyDescent="0.3">
      <c r="A3142" s="6" t="s">
        <v>3142</v>
      </c>
      <c r="B3142">
        <v>43905793</v>
      </c>
      <c r="C3142" s="3">
        <v>5</v>
      </c>
      <c r="D3142" s="5" t="str">
        <f t="shared" si="107"/>
        <v>05</v>
      </c>
      <c r="E3142" t="str">
        <f>VLOOKUP(B3142,'HOGARES-BASELINE'!$B:$I,8,FALSE)</f>
        <v>01010915</v>
      </c>
      <c r="F3142" s="6" t="str">
        <f t="shared" si="108"/>
        <v>0101091505</v>
      </c>
    </row>
    <row r="3143" spans="1:6" x14ac:dyDescent="0.3">
      <c r="A3143" s="6" t="s">
        <v>3143</v>
      </c>
      <c r="B3143">
        <v>43905793</v>
      </c>
      <c r="C3143" s="3">
        <v>2</v>
      </c>
      <c r="D3143" s="5" t="str">
        <f t="shared" ref="D3143:D3206" si="109">_xlfn.CONCAT(0,C3143)</f>
        <v>02</v>
      </c>
      <c r="E3143" t="str">
        <f>VLOOKUP(B3143,'HOGARES-BASELINE'!$B:$I,8,FALSE)</f>
        <v>01010915</v>
      </c>
      <c r="F3143" s="6" t="str">
        <f t="shared" si="108"/>
        <v>0101091502</v>
      </c>
    </row>
    <row r="3144" spans="1:6" x14ac:dyDescent="0.3">
      <c r="A3144" s="6" t="s">
        <v>3144</v>
      </c>
      <c r="B3144">
        <v>43905793</v>
      </c>
      <c r="C3144" s="3">
        <v>6</v>
      </c>
      <c r="D3144" s="5" t="str">
        <f t="shared" si="109"/>
        <v>06</v>
      </c>
      <c r="E3144" t="str">
        <f>VLOOKUP(B3144,'HOGARES-BASELINE'!$B:$I,8,FALSE)</f>
        <v>01010915</v>
      </c>
      <c r="F3144" s="6" t="str">
        <f t="shared" si="108"/>
        <v>0101091506</v>
      </c>
    </row>
    <row r="3145" spans="1:6" x14ac:dyDescent="0.3">
      <c r="A3145" s="6" t="s">
        <v>3145</v>
      </c>
      <c r="B3145">
        <v>43905793</v>
      </c>
      <c r="C3145" s="3">
        <v>4</v>
      </c>
      <c r="D3145" s="5" t="str">
        <f t="shared" si="109"/>
        <v>04</v>
      </c>
      <c r="E3145" t="str">
        <f>VLOOKUP(B3145,'HOGARES-BASELINE'!$B:$I,8,FALSE)</f>
        <v>01010915</v>
      </c>
      <c r="F3145" s="6" t="str">
        <f t="shared" si="108"/>
        <v>0101091504</v>
      </c>
    </row>
    <row r="3146" spans="1:6" x14ac:dyDescent="0.3">
      <c r="A3146" s="6" t="s">
        <v>3146</v>
      </c>
      <c r="B3146">
        <v>43905793</v>
      </c>
      <c r="C3146" s="3">
        <v>3</v>
      </c>
      <c r="D3146" s="5" t="str">
        <f t="shared" si="109"/>
        <v>03</v>
      </c>
      <c r="E3146" t="str">
        <f>VLOOKUP(B3146,'HOGARES-BASELINE'!$B:$I,8,FALSE)</f>
        <v>01010915</v>
      </c>
      <c r="F3146" s="6" t="str">
        <f t="shared" si="108"/>
        <v>0101091503</v>
      </c>
    </row>
    <row r="3147" spans="1:6" x14ac:dyDescent="0.3">
      <c r="A3147" s="6" t="s">
        <v>3147</v>
      </c>
      <c r="B3147">
        <v>43907166</v>
      </c>
      <c r="C3147" s="3">
        <v>1</v>
      </c>
      <c r="D3147" s="5" t="str">
        <f t="shared" si="109"/>
        <v>01</v>
      </c>
      <c r="E3147" t="str">
        <f>VLOOKUP(B3147,'HOGARES-BASELINE'!$B:$I,8,FALSE)</f>
        <v>00010916</v>
      </c>
      <c r="F3147" s="6" t="str">
        <f t="shared" si="108"/>
        <v>0001091601</v>
      </c>
    </row>
    <row r="3148" spans="1:6" x14ac:dyDescent="0.3">
      <c r="A3148" s="6" t="s">
        <v>3148</v>
      </c>
      <c r="B3148">
        <v>43907166</v>
      </c>
      <c r="C3148" s="3">
        <v>2</v>
      </c>
      <c r="D3148" s="5" t="str">
        <f t="shared" si="109"/>
        <v>02</v>
      </c>
      <c r="E3148" t="str">
        <f>VLOOKUP(B3148,'HOGARES-BASELINE'!$B:$I,8,FALSE)</f>
        <v>00010916</v>
      </c>
      <c r="F3148" s="6" t="str">
        <f t="shared" si="108"/>
        <v>0001091602</v>
      </c>
    </row>
    <row r="3149" spans="1:6" x14ac:dyDescent="0.3">
      <c r="A3149" s="6" t="s">
        <v>3149</v>
      </c>
      <c r="B3149">
        <v>43907166</v>
      </c>
      <c r="C3149" s="3">
        <v>3</v>
      </c>
      <c r="D3149" s="5" t="str">
        <f t="shared" si="109"/>
        <v>03</v>
      </c>
      <c r="E3149" t="str">
        <f>VLOOKUP(B3149,'HOGARES-BASELINE'!$B:$I,8,FALSE)</f>
        <v>00010916</v>
      </c>
      <c r="F3149" s="6" t="str">
        <f t="shared" si="108"/>
        <v>0001091603</v>
      </c>
    </row>
    <row r="3150" spans="1:6" x14ac:dyDescent="0.3">
      <c r="A3150" s="6" t="s">
        <v>3150</v>
      </c>
      <c r="B3150">
        <v>43907166</v>
      </c>
      <c r="C3150" s="3">
        <v>4</v>
      </c>
      <c r="D3150" s="5" t="str">
        <f t="shared" si="109"/>
        <v>04</v>
      </c>
      <c r="E3150" t="str">
        <f>VLOOKUP(B3150,'HOGARES-BASELINE'!$B:$I,8,FALSE)</f>
        <v>00010916</v>
      </c>
      <c r="F3150" s="6" t="str">
        <f t="shared" si="108"/>
        <v>0001091604</v>
      </c>
    </row>
    <row r="3151" spans="1:6" x14ac:dyDescent="0.3">
      <c r="A3151" s="6" t="s">
        <v>3151</v>
      </c>
      <c r="B3151">
        <v>43907166</v>
      </c>
      <c r="C3151" s="3">
        <v>5</v>
      </c>
      <c r="D3151" s="5" t="str">
        <f t="shared" si="109"/>
        <v>05</v>
      </c>
      <c r="E3151" t="str">
        <f>VLOOKUP(B3151,'HOGARES-BASELINE'!$B:$I,8,FALSE)</f>
        <v>00010916</v>
      </c>
      <c r="F3151" s="6" t="str">
        <f t="shared" si="108"/>
        <v>0001091605</v>
      </c>
    </row>
    <row r="3152" spans="1:6" x14ac:dyDescent="0.3">
      <c r="A3152" s="6" t="s">
        <v>3152</v>
      </c>
      <c r="B3152">
        <v>43912061</v>
      </c>
      <c r="C3152" s="3">
        <v>4</v>
      </c>
      <c r="D3152" s="5" t="str">
        <f t="shared" si="109"/>
        <v>04</v>
      </c>
      <c r="E3152" t="str">
        <f>VLOOKUP(B3152,'HOGARES-BASELINE'!$B:$I,8,FALSE)</f>
        <v>00010917</v>
      </c>
      <c r="F3152" s="6" t="str">
        <f t="shared" si="108"/>
        <v>0001091704</v>
      </c>
    </row>
    <row r="3153" spans="1:6" x14ac:dyDescent="0.3">
      <c r="A3153" s="6" t="s">
        <v>3153</v>
      </c>
      <c r="B3153">
        <v>43912061</v>
      </c>
      <c r="C3153" s="3">
        <v>3</v>
      </c>
      <c r="D3153" s="5" t="str">
        <f t="shared" si="109"/>
        <v>03</v>
      </c>
      <c r="E3153" t="str">
        <f>VLOOKUP(B3153,'HOGARES-BASELINE'!$B:$I,8,FALSE)</f>
        <v>00010917</v>
      </c>
      <c r="F3153" s="6" t="str">
        <f t="shared" si="108"/>
        <v>0001091703</v>
      </c>
    </row>
    <row r="3154" spans="1:6" x14ac:dyDescent="0.3">
      <c r="A3154" s="6" t="s">
        <v>3154</v>
      </c>
      <c r="B3154">
        <v>43912061</v>
      </c>
      <c r="C3154" s="3">
        <v>2</v>
      </c>
      <c r="D3154" s="5" t="str">
        <f t="shared" si="109"/>
        <v>02</v>
      </c>
      <c r="E3154" t="str">
        <f>VLOOKUP(B3154,'HOGARES-BASELINE'!$B:$I,8,FALSE)</f>
        <v>00010917</v>
      </c>
      <c r="F3154" s="6" t="str">
        <f t="shared" si="108"/>
        <v>0001091702</v>
      </c>
    </row>
    <row r="3155" spans="1:6" x14ac:dyDescent="0.3">
      <c r="A3155" s="6" t="s">
        <v>3155</v>
      </c>
      <c r="B3155">
        <v>43912061</v>
      </c>
      <c r="C3155" s="3">
        <v>1</v>
      </c>
      <c r="D3155" s="5" t="str">
        <f t="shared" si="109"/>
        <v>01</v>
      </c>
      <c r="E3155" t="str">
        <f>VLOOKUP(B3155,'HOGARES-BASELINE'!$B:$I,8,FALSE)</f>
        <v>00010917</v>
      </c>
      <c r="F3155" s="6" t="str">
        <f t="shared" si="108"/>
        <v>0001091701</v>
      </c>
    </row>
    <row r="3156" spans="1:6" x14ac:dyDescent="0.3">
      <c r="A3156" s="6" t="s">
        <v>3156</v>
      </c>
      <c r="B3156">
        <v>43913057</v>
      </c>
      <c r="C3156" s="3">
        <v>1</v>
      </c>
      <c r="D3156" s="5" t="str">
        <f t="shared" si="109"/>
        <v>01</v>
      </c>
      <c r="E3156" t="str">
        <f>VLOOKUP(B3156,'HOGARES-BASELINE'!$B:$I,8,FALSE)</f>
        <v>00010918</v>
      </c>
      <c r="F3156" s="6" t="str">
        <f t="shared" si="108"/>
        <v>0001091801</v>
      </c>
    </row>
    <row r="3157" spans="1:6" x14ac:dyDescent="0.3">
      <c r="A3157" s="6" t="s">
        <v>3157</v>
      </c>
      <c r="B3157">
        <v>43913057</v>
      </c>
      <c r="C3157" s="3">
        <v>2</v>
      </c>
      <c r="D3157" s="5" t="str">
        <f t="shared" si="109"/>
        <v>02</v>
      </c>
      <c r="E3157" t="str">
        <f>VLOOKUP(B3157,'HOGARES-BASELINE'!$B:$I,8,FALSE)</f>
        <v>00010918</v>
      </c>
      <c r="F3157" s="6" t="str">
        <f t="shared" si="108"/>
        <v>0001091802</v>
      </c>
    </row>
    <row r="3158" spans="1:6" x14ac:dyDescent="0.3">
      <c r="A3158" s="6" t="s">
        <v>3158</v>
      </c>
      <c r="B3158">
        <v>43913057</v>
      </c>
      <c r="C3158" s="3">
        <v>4</v>
      </c>
      <c r="D3158" s="5" t="str">
        <f t="shared" si="109"/>
        <v>04</v>
      </c>
      <c r="E3158" t="str">
        <f>VLOOKUP(B3158,'HOGARES-BASELINE'!$B:$I,8,FALSE)</f>
        <v>00010918</v>
      </c>
      <c r="F3158" s="6" t="str">
        <f t="shared" si="108"/>
        <v>0001091804</v>
      </c>
    </row>
    <row r="3159" spans="1:6" x14ac:dyDescent="0.3">
      <c r="A3159" s="6" t="s">
        <v>3159</v>
      </c>
      <c r="B3159">
        <v>43913057</v>
      </c>
      <c r="C3159" s="3">
        <v>5</v>
      </c>
      <c r="D3159" s="5" t="str">
        <f t="shared" si="109"/>
        <v>05</v>
      </c>
      <c r="E3159" t="str">
        <f>VLOOKUP(B3159,'HOGARES-BASELINE'!$B:$I,8,FALSE)</f>
        <v>00010918</v>
      </c>
      <c r="F3159" s="6" t="str">
        <f t="shared" si="108"/>
        <v>0001091805</v>
      </c>
    </row>
    <row r="3160" spans="1:6" x14ac:dyDescent="0.3">
      <c r="A3160" s="6" t="s">
        <v>3160</v>
      </c>
      <c r="B3160">
        <v>43913057</v>
      </c>
      <c r="C3160" s="3">
        <v>3</v>
      </c>
      <c r="D3160" s="5" t="str">
        <f t="shared" si="109"/>
        <v>03</v>
      </c>
      <c r="E3160" t="str">
        <f>VLOOKUP(B3160,'HOGARES-BASELINE'!$B:$I,8,FALSE)</f>
        <v>00010918</v>
      </c>
      <c r="F3160" s="6" t="str">
        <f t="shared" si="108"/>
        <v>0001091803</v>
      </c>
    </row>
    <row r="3161" spans="1:6" x14ac:dyDescent="0.3">
      <c r="A3161" s="6" t="s">
        <v>3161</v>
      </c>
      <c r="B3161">
        <v>43915081</v>
      </c>
      <c r="C3161" s="3">
        <v>3</v>
      </c>
      <c r="D3161" s="5" t="str">
        <f t="shared" si="109"/>
        <v>03</v>
      </c>
      <c r="E3161" t="str">
        <f>VLOOKUP(B3161,'HOGARES-BASELINE'!$B:$I,8,FALSE)</f>
        <v>00010919</v>
      </c>
      <c r="F3161" s="6" t="str">
        <f t="shared" si="108"/>
        <v>0001091903</v>
      </c>
    </row>
    <row r="3162" spans="1:6" x14ac:dyDescent="0.3">
      <c r="A3162" s="6" t="s">
        <v>3162</v>
      </c>
      <c r="B3162">
        <v>43915081</v>
      </c>
      <c r="C3162" s="3">
        <v>5</v>
      </c>
      <c r="D3162" s="5" t="str">
        <f t="shared" si="109"/>
        <v>05</v>
      </c>
      <c r="E3162" t="str">
        <f>VLOOKUP(B3162,'HOGARES-BASELINE'!$B:$I,8,FALSE)</f>
        <v>00010919</v>
      </c>
      <c r="F3162" s="6" t="str">
        <f t="shared" si="108"/>
        <v>0001091905</v>
      </c>
    </row>
    <row r="3163" spans="1:6" x14ac:dyDescent="0.3">
      <c r="A3163" s="6" t="s">
        <v>3163</v>
      </c>
      <c r="B3163">
        <v>43915081</v>
      </c>
      <c r="C3163" s="3">
        <v>1</v>
      </c>
      <c r="D3163" s="5" t="str">
        <f t="shared" si="109"/>
        <v>01</v>
      </c>
      <c r="E3163" t="str">
        <f>VLOOKUP(B3163,'HOGARES-BASELINE'!$B:$I,8,FALSE)</f>
        <v>00010919</v>
      </c>
      <c r="F3163" s="6" t="str">
        <f t="shared" si="108"/>
        <v>0001091901</v>
      </c>
    </row>
    <row r="3164" spans="1:6" x14ac:dyDescent="0.3">
      <c r="A3164" s="6" t="s">
        <v>3164</v>
      </c>
      <c r="B3164">
        <v>43915081</v>
      </c>
      <c r="C3164" s="3">
        <v>2</v>
      </c>
      <c r="D3164" s="5" t="str">
        <f t="shared" si="109"/>
        <v>02</v>
      </c>
      <c r="E3164" t="str">
        <f>VLOOKUP(B3164,'HOGARES-BASELINE'!$B:$I,8,FALSE)</f>
        <v>00010919</v>
      </c>
      <c r="F3164" s="6" t="str">
        <f t="shared" si="108"/>
        <v>0001091902</v>
      </c>
    </row>
    <row r="3165" spans="1:6" x14ac:dyDescent="0.3">
      <c r="A3165" s="6" t="s">
        <v>3165</v>
      </c>
      <c r="B3165">
        <v>43915081</v>
      </c>
      <c r="C3165" s="3">
        <v>4</v>
      </c>
      <c r="D3165" s="5" t="str">
        <f t="shared" si="109"/>
        <v>04</v>
      </c>
      <c r="E3165" t="str">
        <f>VLOOKUP(B3165,'HOGARES-BASELINE'!$B:$I,8,FALSE)</f>
        <v>00010919</v>
      </c>
      <c r="F3165" s="6" t="str">
        <f t="shared" si="108"/>
        <v>0001091904</v>
      </c>
    </row>
    <row r="3166" spans="1:6" x14ac:dyDescent="0.3">
      <c r="A3166" s="6" t="s">
        <v>3166</v>
      </c>
      <c r="B3166">
        <v>43922866</v>
      </c>
      <c r="C3166" s="3">
        <v>2</v>
      </c>
      <c r="D3166" s="5" t="str">
        <f t="shared" si="109"/>
        <v>02</v>
      </c>
      <c r="E3166" t="str">
        <f>VLOOKUP(B3166,'HOGARES-BASELINE'!$B:$I,8,FALSE)</f>
        <v>00010920</v>
      </c>
      <c r="F3166" s="6" t="str">
        <f t="shared" si="108"/>
        <v>0001092002</v>
      </c>
    </row>
    <row r="3167" spans="1:6" x14ac:dyDescent="0.3">
      <c r="A3167" s="6" t="s">
        <v>3167</v>
      </c>
      <c r="B3167">
        <v>43922866</v>
      </c>
      <c r="C3167" s="3">
        <v>4</v>
      </c>
      <c r="D3167" s="5" t="str">
        <f t="shared" si="109"/>
        <v>04</v>
      </c>
      <c r="E3167" t="str">
        <f>VLOOKUP(B3167,'HOGARES-BASELINE'!$B:$I,8,FALSE)</f>
        <v>00010920</v>
      </c>
      <c r="F3167" s="6" t="str">
        <f t="shared" si="108"/>
        <v>0001092004</v>
      </c>
    </row>
    <row r="3168" spans="1:6" x14ac:dyDescent="0.3">
      <c r="A3168" s="6" t="s">
        <v>3168</v>
      </c>
      <c r="B3168">
        <v>43922866</v>
      </c>
      <c r="C3168" s="3">
        <v>3</v>
      </c>
      <c r="D3168" s="5" t="str">
        <f t="shared" si="109"/>
        <v>03</v>
      </c>
      <c r="E3168" t="str">
        <f>VLOOKUP(B3168,'HOGARES-BASELINE'!$B:$I,8,FALSE)</f>
        <v>00010920</v>
      </c>
      <c r="F3168" s="6" t="str">
        <f t="shared" si="108"/>
        <v>0001092003</v>
      </c>
    </row>
    <row r="3169" spans="1:6" x14ac:dyDescent="0.3">
      <c r="A3169" s="6" t="s">
        <v>3169</v>
      </c>
      <c r="B3169">
        <v>43922866</v>
      </c>
      <c r="C3169" s="3">
        <v>1</v>
      </c>
      <c r="D3169" s="5" t="str">
        <f t="shared" si="109"/>
        <v>01</v>
      </c>
      <c r="E3169" t="str">
        <f>VLOOKUP(B3169,'HOGARES-BASELINE'!$B:$I,8,FALSE)</f>
        <v>00010920</v>
      </c>
      <c r="F3169" s="6" t="str">
        <f t="shared" si="108"/>
        <v>0001092001</v>
      </c>
    </row>
    <row r="3170" spans="1:6" x14ac:dyDescent="0.3">
      <c r="A3170" s="6" t="s">
        <v>3170</v>
      </c>
      <c r="B3170">
        <v>43924916</v>
      </c>
      <c r="C3170" s="3">
        <v>1</v>
      </c>
      <c r="D3170" s="5" t="str">
        <f t="shared" si="109"/>
        <v>01</v>
      </c>
      <c r="E3170" t="str">
        <f>VLOOKUP(B3170,'HOGARES-BASELINE'!$B:$I,8,FALSE)</f>
        <v>00010921</v>
      </c>
      <c r="F3170" s="6" t="str">
        <f t="shared" si="108"/>
        <v>0001092101</v>
      </c>
    </row>
    <row r="3171" spans="1:6" x14ac:dyDescent="0.3">
      <c r="A3171" s="6" t="s">
        <v>3171</v>
      </c>
      <c r="B3171">
        <v>43924916</v>
      </c>
      <c r="C3171" s="3">
        <v>2</v>
      </c>
      <c r="D3171" s="5" t="str">
        <f t="shared" si="109"/>
        <v>02</v>
      </c>
      <c r="E3171" t="str">
        <f>VLOOKUP(B3171,'HOGARES-BASELINE'!$B:$I,8,FALSE)</f>
        <v>00010921</v>
      </c>
      <c r="F3171" s="6" t="str">
        <f t="shared" si="108"/>
        <v>0001092102</v>
      </c>
    </row>
    <row r="3172" spans="1:6" x14ac:dyDescent="0.3">
      <c r="A3172" s="6" t="s">
        <v>3172</v>
      </c>
      <c r="B3172">
        <v>43924916</v>
      </c>
      <c r="C3172" s="3">
        <v>4</v>
      </c>
      <c r="D3172" s="5" t="str">
        <f t="shared" si="109"/>
        <v>04</v>
      </c>
      <c r="E3172" t="str">
        <f>VLOOKUP(B3172,'HOGARES-BASELINE'!$B:$I,8,FALSE)</f>
        <v>00010921</v>
      </c>
      <c r="F3172" s="6" t="str">
        <f t="shared" si="108"/>
        <v>0001092104</v>
      </c>
    </row>
    <row r="3173" spans="1:6" x14ac:dyDescent="0.3">
      <c r="A3173" s="6" t="s">
        <v>3173</v>
      </c>
      <c r="B3173">
        <v>43924916</v>
      </c>
      <c r="C3173" s="3">
        <v>3</v>
      </c>
      <c r="D3173" s="5" t="str">
        <f t="shared" si="109"/>
        <v>03</v>
      </c>
      <c r="E3173" t="str">
        <f>VLOOKUP(B3173,'HOGARES-BASELINE'!$B:$I,8,FALSE)</f>
        <v>00010921</v>
      </c>
      <c r="F3173" s="6" t="str">
        <f t="shared" si="108"/>
        <v>0001092103</v>
      </c>
    </row>
    <row r="3174" spans="1:6" x14ac:dyDescent="0.3">
      <c r="A3174" s="6" t="s">
        <v>3174</v>
      </c>
      <c r="B3174">
        <v>43973029</v>
      </c>
      <c r="C3174" s="3">
        <v>3</v>
      </c>
      <c r="D3174" s="5" t="str">
        <f t="shared" si="109"/>
        <v>03</v>
      </c>
      <c r="E3174" t="str">
        <f>VLOOKUP(B3174,'HOGARES-BASELINE'!$B:$I,8,FALSE)</f>
        <v>01010922</v>
      </c>
      <c r="F3174" s="6" t="str">
        <f t="shared" si="108"/>
        <v>0101092203</v>
      </c>
    </row>
    <row r="3175" spans="1:6" x14ac:dyDescent="0.3">
      <c r="A3175" s="6" t="s">
        <v>3175</v>
      </c>
      <c r="B3175">
        <v>43973029</v>
      </c>
      <c r="C3175" s="3">
        <v>7</v>
      </c>
      <c r="D3175" s="5" t="str">
        <f t="shared" si="109"/>
        <v>07</v>
      </c>
      <c r="E3175" t="str">
        <f>VLOOKUP(B3175,'HOGARES-BASELINE'!$B:$I,8,FALSE)</f>
        <v>01010922</v>
      </c>
      <c r="F3175" s="6" t="str">
        <f t="shared" si="108"/>
        <v>0101092207</v>
      </c>
    </row>
    <row r="3176" spans="1:6" x14ac:dyDescent="0.3">
      <c r="A3176" s="6" t="s">
        <v>3176</v>
      </c>
      <c r="B3176">
        <v>43973029</v>
      </c>
      <c r="C3176" s="3">
        <v>6</v>
      </c>
      <c r="D3176" s="5" t="str">
        <f t="shared" si="109"/>
        <v>06</v>
      </c>
      <c r="E3176" t="str">
        <f>VLOOKUP(B3176,'HOGARES-BASELINE'!$B:$I,8,FALSE)</f>
        <v>01010922</v>
      </c>
      <c r="F3176" s="6" t="str">
        <f t="shared" si="108"/>
        <v>0101092206</v>
      </c>
    </row>
    <row r="3177" spans="1:6" x14ac:dyDescent="0.3">
      <c r="A3177" s="6" t="s">
        <v>3177</v>
      </c>
      <c r="B3177">
        <v>43973029</v>
      </c>
      <c r="C3177" s="3">
        <v>5</v>
      </c>
      <c r="D3177" s="5" t="str">
        <f t="shared" si="109"/>
        <v>05</v>
      </c>
      <c r="E3177" t="str">
        <f>VLOOKUP(B3177,'HOGARES-BASELINE'!$B:$I,8,FALSE)</f>
        <v>01010922</v>
      </c>
      <c r="F3177" s="6" t="str">
        <f t="shared" si="108"/>
        <v>0101092205</v>
      </c>
    </row>
    <row r="3178" spans="1:6" x14ac:dyDescent="0.3">
      <c r="A3178" s="6" t="s">
        <v>3178</v>
      </c>
      <c r="B3178">
        <v>43973029</v>
      </c>
      <c r="C3178" s="3">
        <v>1</v>
      </c>
      <c r="D3178" s="5" t="str">
        <f t="shared" si="109"/>
        <v>01</v>
      </c>
      <c r="E3178" t="str">
        <f>VLOOKUP(B3178,'HOGARES-BASELINE'!$B:$I,8,FALSE)</f>
        <v>01010922</v>
      </c>
      <c r="F3178" s="6" t="str">
        <f t="shared" si="108"/>
        <v>0101092201</v>
      </c>
    </row>
    <row r="3179" spans="1:6" x14ac:dyDescent="0.3">
      <c r="A3179" s="6" t="s">
        <v>3179</v>
      </c>
      <c r="B3179">
        <v>43973029</v>
      </c>
      <c r="C3179" s="3">
        <v>4</v>
      </c>
      <c r="D3179" s="5" t="str">
        <f t="shared" si="109"/>
        <v>04</v>
      </c>
      <c r="E3179" t="str">
        <f>VLOOKUP(B3179,'HOGARES-BASELINE'!$B:$I,8,FALSE)</f>
        <v>01010922</v>
      </c>
      <c r="F3179" s="6" t="str">
        <f t="shared" si="108"/>
        <v>0101092204</v>
      </c>
    </row>
    <row r="3180" spans="1:6" x14ac:dyDescent="0.3">
      <c r="A3180" s="6" t="s">
        <v>3180</v>
      </c>
      <c r="B3180">
        <v>43973029</v>
      </c>
      <c r="C3180" s="3">
        <v>2</v>
      </c>
      <c r="D3180" s="5" t="str">
        <f t="shared" si="109"/>
        <v>02</v>
      </c>
      <c r="E3180" t="str">
        <f>VLOOKUP(B3180,'HOGARES-BASELINE'!$B:$I,8,FALSE)</f>
        <v>01010922</v>
      </c>
      <c r="F3180" s="6" t="str">
        <f t="shared" si="108"/>
        <v>0101092202</v>
      </c>
    </row>
    <row r="3181" spans="1:6" x14ac:dyDescent="0.3">
      <c r="A3181" s="6" t="s">
        <v>3181</v>
      </c>
      <c r="B3181">
        <v>43991863</v>
      </c>
      <c r="C3181" s="3">
        <v>4</v>
      </c>
      <c r="D3181" s="5" t="str">
        <f t="shared" si="109"/>
        <v>04</v>
      </c>
      <c r="E3181" t="str">
        <f>VLOOKUP(B3181,'HOGARES-BASELINE'!$B:$I,8,FALSE)</f>
        <v>00010923</v>
      </c>
      <c r="F3181" s="6" t="str">
        <f t="shared" si="108"/>
        <v>0001092304</v>
      </c>
    </row>
    <row r="3182" spans="1:6" x14ac:dyDescent="0.3">
      <c r="A3182" s="6" t="s">
        <v>3182</v>
      </c>
      <c r="B3182">
        <v>43991863</v>
      </c>
      <c r="C3182" s="3">
        <v>2</v>
      </c>
      <c r="D3182" s="5" t="str">
        <f t="shared" si="109"/>
        <v>02</v>
      </c>
      <c r="E3182" t="str">
        <f>VLOOKUP(B3182,'HOGARES-BASELINE'!$B:$I,8,FALSE)</f>
        <v>00010923</v>
      </c>
      <c r="F3182" s="6" t="str">
        <f t="shared" si="108"/>
        <v>0001092302</v>
      </c>
    </row>
    <row r="3183" spans="1:6" x14ac:dyDescent="0.3">
      <c r="A3183" s="6" t="s">
        <v>3183</v>
      </c>
      <c r="B3183">
        <v>43991863</v>
      </c>
      <c r="C3183" s="3">
        <v>3</v>
      </c>
      <c r="D3183" s="5" t="str">
        <f t="shared" si="109"/>
        <v>03</v>
      </c>
      <c r="E3183" t="str">
        <f>VLOOKUP(B3183,'HOGARES-BASELINE'!$B:$I,8,FALSE)</f>
        <v>00010923</v>
      </c>
      <c r="F3183" s="6" t="str">
        <f t="shared" si="108"/>
        <v>0001092303</v>
      </c>
    </row>
    <row r="3184" spans="1:6" x14ac:dyDescent="0.3">
      <c r="A3184" s="6" t="s">
        <v>3184</v>
      </c>
      <c r="B3184">
        <v>43991863</v>
      </c>
      <c r="C3184" s="3">
        <v>5</v>
      </c>
      <c r="D3184" s="5" t="str">
        <f t="shared" si="109"/>
        <v>05</v>
      </c>
      <c r="E3184" t="str">
        <f>VLOOKUP(B3184,'HOGARES-BASELINE'!$B:$I,8,FALSE)</f>
        <v>00010923</v>
      </c>
      <c r="F3184" s="6" t="str">
        <f t="shared" si="108"/>
        <v>0001092305</v>
      </c>
    </row>
    <row r="3185" spans="1:6" x14ac:dyDescent="0.3">
      <c r="A3185" s="6" t="s">
        <v>3185</v>
      </c>
      <c r="B3185">
        <v>43991863</v>
      </c>
      <c r="C3185" s="3">
        <v>1</v>
      </c>
      <c r="D3185" s="5" t="str">
        <f t="shared" si="109"/>
        <v>01</v>
      </c>
      <c r="E3185" t="str">
        <f>VLOOKUP(B3185,'HOGARES-BASELINE'!$B:$I,8,FALSE)</f>
        <v>00010923</v>
      </c>
      <c r="F3185" s="6" t="str">
        <f t="shared" si="108"/>
        <v>0001092301</v>
      </c>
    </row>
    <row r="3186" spans="1:6" x14ac:dyDescent="0.3">
      <c r="A3186" s="6" t="s">
        <v>3186</v>
      </c>
      <c r="B3186">
        <v>43997530</v>
      </c>
      <c r="C3186" s="3">
        <v>3</v>
      </c>
      <c r="D3186" s="5" t="str">
        <f t="shared" si="109"/>
        <v>03</v>
      </c>
      <c r="E3186" t="str">
        <f>VLOOKUP(B3186,'HOGARES-BASELINE'!$B:$I,8,FALSE)</f>
        <v>00010924</v>
      </c>
      <c r="F3186" s="6" t="str">
        <f t="shared" si="108"/>
        <v>0001092403</v>
      </c>
    </row>
    <row r="3187" spans="1:6" x14ac:dyDescent="0.3">
      <c r="A3187" s="6" t="s">
        <v>3187</v>
      </c>
      <c r="B3187">
        <v>43997530</v>
      </c>
      <c r="C3187" s="3">
        <v>1</v>
      </c>
      <c r="D3187" s="5" t="str">
        <f t="shared" si="109"/>
        <v>01</v>
      </c>
      <c r="E3187" t="str">
        <f>VLOOKUP(B3187,'HOGARES-BASELINE'!$B:$I,8,FALSE)</f>
        <v>00010924</v>
      </c>
      <c r="F3187" s="6" t="str">
        <f t="shared" si="108"/>
        <v>0001092401</v>
      </c>
    </row>
    <row r="3188" spans="1:6" x14ac:dyDescent="0.3">
      <c r="A3188" s="6" t="s">
        <v>3188</v>
      </c>
      <c r="B3188">
        <v>43997530</v>
      </c>
      <c r="C3188" s="3">
        <v>2</v>
      </c>
      <c r="D3188" s="5" t="str">
        <f t="shared" si="109"/>
        <v>02</v>
      </c>
      <c r="E3188" t="str">
        <f>VLOOKUP(B3188,'HOGARES-BASELINE'!$B:$I,8,FALSE)</f>
        <v>00010924</v>
      </c>
      <c r="F3188" s="6" t="str">
        <f t="shared" si="108"/>
        <v>0001092402</v>
      </c>
    </row>
    <row r="3189" spans="1:6" x14ac:dyDescent="0.3">
      <c r="A3189" s="6" t="s">
        <v>3189</v>
      </c>
      <c r="B3189">
        <v>43997530</v>
      </c>
      <c r="C3189" s="3">
        <v>6</v>
      </c>
      <c r="D3189" s="5" t="str">
        <f t="shared" si="109"/>
        <v>06</v>
      </c>
      <c r="E3189" t="str">
        <f>VLOOKUP(B3189,'HOGARES-BASELINE'!$B:$I,8,FALSE)</f>
        <v>00010924</v>
      </c>
      <c r="F3189" s="6" t="str">
        <f t="shared" si="108"/>
        <v>0001092406</v>
      </c>
    </row>
    <row r="3190" spans="1:6" x14ac:dyDescent="0.3">
      <c r="A3190" s="6" t="s">
        <v>3190</v>
      </c>
      <c r="B3190">
        <v>43997530</v>
      </c>
      <c r="C3190" s="3">
        <v>7</v>
      </c>
      <c r="D3190" s="5" t="str">
        <f t="shared" si="109"/>
        <v>07</v>
      </c>
      <c r="E3190" t="str">
        <f>VLOOKUP(B3190,'HOGARES-BASELINE'!$B:$I,8,FALSE)</f>
        <v>00010924</v>
      </c>
      <c r="F3190" s="6" t="str">
        <f t="shared" si="108"/>
        <v>0001092407</v>
      </c>
    </row>
    <row r="3191" spans="1:6" x14ac:dyDescent="0.3">
      <c r="A3191" s="6" t="s">
        <v>3191</v>
      </c>
      <c r="B3191">
        <v>43997530</v>
      </c>
      <c r="C3191" s="3">
        <v>4</v>
      </c>
      <c r="D3191" s="5" t="str">
        <f t="shared" si="109"/>
        <v>04</v>
      </c>
      <c r="E3191" t="str">
        <f>VLOOKUP(B3191,'HOGARES-BASELINE'!$B:$I,8,FALSE)</f>
        <v>00010924</v>
      </c>
      <c r="F3191" s="6" t="str">
        <f t="shared" si="108"/>
        <v>0001092404</v>
      </c>
    </row>
    <row r="3192" spans="1:6" x14ac:dyDescent="0.3">
      <c r="A3192" s="6" t="s">
        <v>3192</v>
      </c>
      <c r="B3192">
        <v>43997530</v>
      </c>
      <c r="C3192" s="3">
        <v>5</v>
      </c>
      <c r="D3192" s="5" t="str">
        <f t="shared" si="109"/>
        <v>05</v>
      </c>
      <c r="E3192" t="str">
        <f>VLOOKUP(B3192,'HOGARES-BASELINE'!$B:$I,8,FALSE)</f>
        <v>00010924</v>
      </c>
      <c r="F3192" s="6" t="str">
        <f t="shared" si="108"/>
        <v>0001092405</v>
      </c>
    </row>
    <row r="3193" spans="1:6" x14ac:dyDescent="0.3">
      <c r="A3193" s="6" t="s">
        <v>3193</v>
      </c>
      <c r="B3193">
        <v>44002874</v>
      </c>
      <c r="C3193" s="3">
        <v>3</v>
      </c>
      <c r="D3193" s="5" t="str">
        <f t="shared" si="109"/>
        <v>03</v>
      </c>
      <c r="E3193" t="str">
        <f>VLOOKUP(B3193,'HOGARES-BASELINE'!$B:$I,8,FALSE)</f>
        <v>00010925</v>
      </c>
      <c r="F3193" s="6" t="str">
        <f t="shared" si="108"/>
        <v>0001092503</v>
      </c>
    </row>
    <row r="3194" spans="1:6" x14ac:dyDescent="0.3">
      <c r="A3194" s="6" t="s">
        <v>3194</v>
      </c>
      <c r="B3194">
        <v>44002874</v>
      </c>
      <c r="C3194" s="3">
        <v>1</v>
      </c>
      <c r="D3194" s="5" t="str">
        <f t="shared" si="109"/>
        <v>01</v>
      </c>
      <c r="E3194" t="str">
        <f>VLOOKUP(B3194,'HOGARES-BASELINE'!$B:$I,8,FALSE)</f>
        <v>00010925</v>
      </c>
      <c r="F3194" s="6" t="str">
        <f t="shared" si="108"/>
        <v>0001092501</v>
      </c>
    </row>
    <row r="3195" spans="1:6" x14ac:dyDescent="0.3">
      <c r="A3195" s="6" t="s">
        <v>3195</v>
      </c>
      <c r="B3195">
        <v>44002874</v>
      </c>
      <c r="C3195" s="3">
        <v>2</v>
      </c>
      <c r="D3195" s="5" t="str">
        <f t="shared" si="109"/>
        <v>02</v>
      </c>
      <c r="E3195" t="str">
        <f>VLOOKUP(B3195,'HOGARES-BASELINE'!$B:$I,8,FALSE)</f>
        <v>00010925</v>
      </c>
      <c r="F3195" s="6" t="str">
        <f t="shared" si="108"/>
        <v>0001092502</v>
      </c>
    </row>
    <row r="3196" spans="1:6" x14ac:dyDescent="0.3">
      <c r="A3196" s="6" t="s">
        <v>3196</v>
      </c>
      <c r="B3196">
        <v>44003061</v>
      </c>
      <c r="C3196" s="3">
        <v>3</v>
      </c>
      <c r="D3196" s="5" t="str">
        <f t="shared" si="109"/>
        <v>03</v>
      </c>
      <c r="E3196" t="str">
        <f>VLOOKUP(B3196,'HOGARES-BASELINE'!$B:$I,8,FALSE)</f>
        <v>01010926</v>
      </c>
      <c r="F3196" s="6" t="str">
        <f t="shared" si="108"/>
        <v>0101092603</v>
      </c>
    </row>
    <row r="3197" spans="1:6" x14ac:dyDescent="0.3">
      <c r="A3197" s="6" t="s">
        <v>3197</v>
      </c>
      <c r="B3197">
        <v>44003061</v>
      </c>
      <c r="C3197" s="3">
        <v>2</v>
      </c>
      <c r="D3197" s="5" t="str">
        <f t="shared" si="109"/>
        <v>02</v>
      </c>
      <c r="E3197" t="str">
        <f>VLOOKUP(B3197,'HOGARES-BASELINE'!$B:$I,8,FALSE)</f>
        <v>01010926</v>
      </c>
      <c r="F3197" s="6" t="str">
        <f t="shared" si="108"/>
        <v>0101092602</v>
      </c>
    </row>
    <row r="3198" spans="1:6" x14ac:dyDescent="0.3">
      <c r="A3198" s="6" t="s">
        <v>3198</v>
      </c>
      <c r="B3198">
        <v>44003061</v>
      </c>
      <c r="C3198" s="3">
        <v>4</v>
      </c>
      <c r="D3198" s="5" t="str">
        <f t="shared" si="109"/>
        <v>04</v>
      </c>
      <c r="E3198" t="str">
        <f>VLOOKUP(B3198,'HOGARES-BASELINE'!$B:$I,8,FALSE)</f>
        <v>01010926</v>
      </c>
      <c r="F3198" s="6" t="str">
        <f t="shared" si="108"/>
        <v>0101092604</v>
      </c>
    </row>
    <row r="3199" spans="1:6" x14ac:dyDescent="0.3">
      <c r="A3199" s="6" t="s">
        <v>3199</v>
      </c>
      <c r="B3199">
        <v>44003061</v>
      </c>
      <c r="C3199" s="3">
        <v>1</v>
      </c>
      <c r="D3199" s="5" t="str">
        <f t="shared" si="109"/>
        <v>01</v>
      </c>
      <c r="E3199" t="str">
        <f>VLOOKUP(B3199,'HOGARES-BASELINE'!$B:$I,8,FALSE)</f>
        <v>01010926</v>
      </c>
      <c r="F3199" s="6" t="str">
        <f t="shared" si="108"/>
        <v>0101092601</v>
      </c>
    </row>
    <row r="3200" spans="1:6" x14ac:dyDescent="0.3">
      <c r="A3200" s="6" t="s">
        <v>3200</v>
      </c>
      <c r="B3200">
        <v>44008242</v>
      </c>
      <c r="C3200" s="3">
        <v>4</v>
      </c>
      <c r="D3200" s="5" t="str">
        <f t="shared" si="109"/>
        <v>04</v>
      </c>
      <c r="E3200" t="str">
        <f>VLOOKUP(B3200,'HOGARES-BASELINE'!$B:$I,8,FALSE)</f>
        <v>00010927</v>
      </c>
      <c r="F3200" s="6" t="str">
        <f t="shared" si="108"/>
        <v>0001092704</v>
      </c>
    </row>
    <row r="3201" spans="1:6" x14ac:dyDescent="0.3">
      <c r="A3201" s="6" t="s">
        <v>3201</v>
      </c>
      <c r="B3201">
        <v>44008242</v>
      </c>
      <c r="C3201" s="3">
        <v>2</v>
      </c>
      <c r="D3201" s="5" t="str">
        <f t="shared" si="109"/>
        <v>02</v>
      </c>
      <c r="E3201" t="str">
        <f>VLOOKUP(B3201,'HOGARES-BASELINE'!$B:$I,8,FALSE)</f>
        <v>00010927</v>
      </c>
      <c r="F3201" s="6" t="str">
        <f t="shared" si="108"/>
        <v>0001092702</v>
      </c>
    </row>
    <row r="3202" spans="1:6" x14ac:dyDescent="0.3">
      <c r="A3202" s="6" t="s">
        <v>3202</v>
      </c>
      <c r="B3202">
        <v>44008242</v>
      </c>
      <c r="C3202" s="3">
        <v>1</v>
      </c>
      <c r="D3202" s="5" t="str">
        <f t="shared" si="109"/>
        <v>01</v>
      </c>
      <c r="E3202" t="str">
        <f>VLOOKUP(B3202,'HOGARES-BASELINE'!$B:$I,8,FALSE)</f>
        <v>00010927</v>
      </c>
      <c r="F3202" s="6" t="str">
        <f t="shared" si="108"/>
        <v>0001092701</v>
      </c>
    </row>
    <row r="3203" spans="1:6" x14ac:dyDescent="0.3">
      <c r="A3203" s="6" t="s">
        <v>3203</v>
      </c>
      <c r="B3203">
        <v>44008242</v>
      </c>
      <c r="C3203" s="3">
        <v>3</v>
      </c>
      <c r="D3203" s="5" t="str">
        <f t="shared" si="109"/>
        <v>03</v>
      </c>
      <c r="E3203" t="str">
        <f>VLOOKUP(B3203,'HOGARES-BASELINE'!$B:$I,8,FALSE)</f>
        <v>00010927</v>
      </c>
      <c r="F3203" s="6" t="str">
        <f t="shared" ref="F3203:F3266" si="110">_xlfn.CONCAT(E3203,D3203)</f>
        <v>0001092703</v>
      </c>
    </row>
    <row r="3204" spans="1:6" x14ac:dyDescent="0.3">
      <c r="A3204" s="6" t="s">
        <v>3204</v>
      </c>
      <c r="B3204">
        <v>44150186</v>
      </c>
      <c r="C3204" s="3">
        <v>1</v>
      </c>
      <c r="D3204" s="5" t="str">
        <f t="shared" si="109"/>
        <v>01</v>
      </c>
      <c r="E3204" t="str">
        <f>VLOOKUP(B3204,'HOGARES-BASELINE'!$B:$I,8,FALSE)</f>
        <v>00030928</v>
      </c>
      <c r="F3204" s="6" t="str">
        <f t="shared" si="110"/>
        <v>0003092801</v>
      </c>
    </row>
    <row r="3205" spans="1:6" x14ac:dyDescent="0.3">
      <c r="A3205" s="6" t="s">
        <v>3205</v>
      </c>
      <c r="B3205">
        <v>44158176</v>
      </c>
      <c r="C3205" s="3">
        <v>2</v>
      </c>
      <c r="D3205" s="5" t="str">
        <f t="shared" si="109"/>
        <v>02</v>
      </c>
      <c r="E3205" t="str">
        <f>VLOOKUP(B3205,'HOGARES-BASELINE'!$B:$I,8,FALSE)</f>
        <v>00030929</v>
      </c>
      <c r="F3205" s="6" t="str">
        <f t="shared" si="110"/>
        <v>0003092902</v>
      </c>
    </row>
    <row r="3206" spans="1:6" x14ac:dyDescent="0.3">
      <c r="A3206" s="6" t="s">
        <v>3206</v>
      </c>
      <c r="B3206">
        <v>44158176</v>
      </c>
      <c r="C3206" s="3">
        <v>5</v>
      </c>
      <c r="D3206" s="5" t="str">
        <f t="shared" si="109"/>
        <v>05</v>
      </c>
      <c r="E3206" t="str">
        <f>VLOOKUP(B3206,'HOGARES-BASELINE'!$B:$I,8,FALSE)</f>
        <v>00030929</v>
      </c>
      <c r="F3206" s="6" t="str">
        <f t="shared" si="110"/>
        <v>0003092905</v>
      </c>
    </row>
    <row r="3207" spans="1:6" x14ac:dyDescent="0.3">
      <c r="A3207" s="6" t="s">
        <v>3207</v>
      </c>
      <c r="B3207">
        <v>44158176</v>
      </c>
      <c r="C3207" s="3">
        <v>4</v>
      </c>
      <c r="D3207" s="5" t="str">
        <f t="shared" ref="D3207:D3270" si="111">_xlfn.CONCAT(0,C3207)</f>
        <v>04</v>
      </c>
      <c r="E3207" t="str">
        <f>VLOOKUP(B3207,'HOGARES-BASELINE'!$B:$I,8,FALSE)</f>
        <v>00030929</v>
      </c>
      <c r="F3207" s="6" t="str">
        <f t="shared" si="110"/>
        <v>0003092904</v>
      </c>
    </row>
    <row r="3208" spans="1:6" x14ac:dyDescent="0.3">
      <c r="A3208" s="6" t="s">
        <v>3208</v>
      </c>
      <c r="B3208">
        <v>44158176</v>
      </c>
      <c r="C3208" s="3">
        <v>1</v>
      </c>
      <c r="D3208" s="5" t="str">
        <f t="shared" si="111"/>
        <v>01</v>
      </c>
      <c r="E3208" t="str">
        <f>VLOOKUP(B3208,'HOGARES-BASELINE'!$B:$I,8,FALSE)</f>
        <v>00030929</v>
      </c>
      <c r="F3208" s="6" t="str">
        <f t="shared" si="110"/>
        <v>0003092901</v>
      </c>
    </row>
    <row r="3209" spans="1:6" x14ac:dyDescent="0.3">
      <c r="A3209" s="6" t="s">
        <v>3209</v>
      </c>
      <c r="B3209">
        <v>44158176</v>
      </c>
      <c r="C3209" s="3">
        <v>3</v>
      </c>
      <c r="D3209" s="5" t="str">
        <f t="shared" si="111"/>
        <v>03</v>
      </c>
      <c r="E3209" t="str">
        <f>VLOOKUP(B3209,'HOGARES-BASELINE'!$B:$I,8,FALSE)</f>
        <v>00030929</v>
      </c>
      <c r="F3209" s="6" t="str">
        <f t="shared" si="110"/>
        <v>0003092903</v>
      </c>
    </row>
    <row r="3210" spans="1:6" x14ac:dyDescent="0.3">
      <c r="A3210" s="6" t="s">
        <v>3210</v>
      </c>
      <c r="B3210">
        <v>45465247</v>
      </c>
      <c r="C3210" s="3">
        <v>2</v>
      </c>
      <c r="D3210" s="5" t="str">
        <f t="shared" si="111"/>
        <v>02</v>
      </c>
      <c r="E3210" t="str">
        <f>VLOOKUP(B3210,'HOGARES-BASELINE'!$B:$I,8,FALSE)</f>
        <v>00030930</v>
      </c>
      <c r="F3210" s="6" t="str">
        <f t="shared" si="110"/>
        <v>0003093002</v>
      </c>
    </row>
    <row r="3211" spans="1:6" x14ac:dyDescent="0.3">
      <c r="A3211" s="6" t="s">
        <v>3211</v>
      </c>
      <c r="B3211">
        <v>45465247</v>
      </c>
      <c r="C3211" s="3">
        <v>3</v>
      </c>
      <c r="D3211" s="5" t="str">
        <f t="shared" si="111"/>
        <v>03</v>
      </c>
      <c r="E3211" t="str">
        <f>VLOOKUP(B3211,'HOGARES-BASELINE'!$B:$I,8,FALSE)</f>
        <v>00030930</v>
      </c>
      <c r="F3211" s="6" t="str">
        <f t="shared" si="110"/>
        <v>0003093003</v>
      </c>
    </row>
    <row r="3212" spans="1:6" x14ac:dyDescent="0.3">
      <c r="A3212" s="6" t="s">
        <v>3212</v>
      </c>
      <c r="B3212">
        <v>45465247</v>
      </c>
      <c r="C3212" s="3">
        <v>1</v>
      </c>
      <c r="D3212" s="5" t="str">
        <f t="shared" si="111"/>
        <v>01</v>
      </c>
      <c r="E3212" t="str">
        <f>VLOOKUP(B3212,'HOGARES-BASELINE'!$B:$I,8,FALSE)</f>
        <v>00030930</v>
      </c>
      <c r="F3212" s="6" t="str">
        <f t="shared" si="110"/>
        <v>0003093001</v>
      </c>
    </row>
    <row r="3213" spans="1:6" x14ac:dyDescent="0.3">
      <c r="A3213" s="6" t="s">
        <v>3213</v>
      </c>
      <c r="B3213">
        <v>45509337</v>
      </c>
      <c r="C3213" s="3">
        <v>5</v>
      </c>
      <c r="D3213" s="5" t="str">
        <f t="shared" si="111"/>
        <v>05</v>
      </c>
      <c r="E3213" t="str">
        <f>VLOOKUP(B3213,'HOGARES-BASELINE'!$B:$I,8,FALSE)</f>
        <v>00010931</v>
      </c>
      <c r="F3213" s="6" t="str">
        <f t="shared" si="110"/>
        <v>0001093105</v>
      </c>
    </row>
    <row r="3214" spans="1:6" x14ac:dyDescent="0.3">
      <c r="A3214" s="6" t="s">
        <v>3214</v>
      </c>
      <c r="B3214">
        <v>45509337</v>
      </c>
      <c r="C3214" s="3">
        <v>6</v>
      </c>
      <c r="D3214" s="5" t="str">
        <f t="shared" si="111"/>
        <v>06</v>
      </c>
      <c r="E3214" t="str">
        <f>VLOOKUP(B3214,'HOGARES-BASELINE'!$B:$I,8,FALSE)</f>
        <v>00010931</v>
      </c>
      <c r="F3214" s="6" t="str">
        <f t="shared" si="110"/>
        <v>0001093106</v>
      </c>
    </row>
    <row r="3215" spans="1:6" x14ac:dyDescent="0.3">
      <c r="A3215" s="6" t="s">
        <v>3215</v>
      </c>
      <c r="B3215">
        <v>45509337</v>
      </c>
      <c r="C3215" s="3">
        <v>2</v>
      </c>
      <c r="D3215" s="5" t="str">
        <f t="shared" si="111"/>
        <v>02</v>
      </c>
      <c r="E3215" t="str">
        <f>VLOOKUP(B3215,'HOGARES-BASELINE'!$B:$I,8,FALSE)</f>
        <v>00010931</v>
      </c>
      <c r="F3215" s="6" t="str">
        <f t="shared" si="110"/>
        <v>0001093102</v>
      </c>
    </row>
    <row r="3216" spans="1:6" x14ac:dyDescent="0.3">
      <c r="A3216" s="6" t="s">
        <v>3216</v>
      </c>
      <c r="B3216">
        <v>45509337</v>
      </c>
      <c r="C3216" s="3">
        <v>1</v>
      </c>
      <c r="D3216" s="5" t="str">
        <f t="shared" si="111"/>
        <v>01</v>
      </c>
      <c r="E3216" t="str">
        <f>VLOOKUP(B3216,'HOGARES-BASELINE'!$B:$I,8,FALSE)</f>
        <v>00010931</v>
      </c>
      <c r="F3216" s="6" t="str">
        <f t="shared" si="110"/>
        <v>0001093101</v>
      </c>
    </row>
    <row r="3217" spans="1:6" x14ac:dyDescent="0.3">
      <c r="A3217" s="6" t="s">
        <v>3217</v>
      </c>
      <c r="B3217">
        <v>45509337</v>
      </c>
      <c r="C3217" s="3">
        <v>3</v>
      </c>
      <c r="D3217" s="5" t="str">
        <f t="shared" si="111"/>
        <v>03</v>
      </c>
      <c r="E3217" t="str">
        <f>VLOOKUP(B3217,'HOGARES-BASELINE'!$B:$I,8,FALSE)</f>
        <v>00010931</v>
      </c>
      <c r="F3217" s="6" t="str">
        <f t="shared" si="110"/>
        <v>0001093103</v>
      </c>
    </row>
    <row r="3218" spans="1:6" x14ac:dyDescent="0.3">
      <c r="A3218" s="6" t="s">
        <v>3218</v>
      </c>
      <c r="B3218">
        <v>45509337</v>
      </c>
      <c r="C3218" s="3">
        <v>4</v>
      </c>
      <c r="D3218" s="5" t="str">
        <f t="shared" si="111"/>
        <v>04</v>
      </c>
      <c r="E3218" t="str">
        <f>VLOOKUP(B3218,'HOGARES-BASELINE'!$B:$I,8,FALSE)</f>
        <v>00010931</v>
      </c>
      <c r="F3218" s="6" t="str">
        <f t="shared" si="110"/>
        <v>0001093104</v>
      </c>
    </row>
    <row r="3219" spans="1:6" x14ac:dyDescent="0.3">
      <c r="A3219" s="6" t="s">
        <v>3219</v>
      </c>
      <c r="B3219">
        <v>45578869</v>
      </c>
      <c r="C3219" s="3">
        <v>3</v>
      </c>
      <c r="D3219" s="5" t="str">
        <f t="shared" si="111"/>
        <v>03</v>
      </c>
      <c r="E3219" t="str">
        <f>VLOOKUP(B3219,'HOGARES-BASELINE'!$B:$I,8,FALSE)</f>
        <v>01030932</v>
      </c>
      <c r="F3219" s="6" t="str">
        <f t="shared" si="110"/>
        <v>0103093203</v>
      </c>
    </row>
    <row r="3220" spans="1:6" x14ac:dyDescent="0.3">
      <c r="A3220" s="6" t="s">
        <v>3220</v>
      </c>
      <c r="B3220">
        <v>45578869</v>
      </c>
      <c r="C3220" s="3">
        <v>1</v>
      </c>
      <c r="D3220" s="5" t="str">
        <f t="shared" si="111"/>
        <v>01</v>
      </c>
      <c r="E3220" t="str">
        <f>VLOOKUP(B3220,'HOGARES-BASELINE'!$B:$I,8,FALSE)</f>
        <v>01030932</v>
      </c>
      <c r="F3220" s="6" t="str">
        <f t="shared" si="110"/>
        <v>0103093201</v>
      </c>
    </row>
    <row r="3221" spans="1:6" x14ac:dyDescent="0.3">
      <c r="A3221" s="6" t="s">
        <v>3221</v>
      </c>
      <c r="B3221">
        <v>45578869</v>
      </c>
      <c r="C3221" s="3">
        <v>2</v>
      </c>
      <c r="D3221" s="5" t="str">
        <f t="shared" si="111"/>
        <v>02</v>
      </c>
      <c r="E3221" t="str">
        <f>VLOOKUP(B3221,'HOGARES-BASELINE'!$B:$I,8,FALSE)</f>
        <v>01030932</v>
      </c>
      <c r="F3221" s="6" t="str">
        <f t="shared" si="110"/>
        <v>0103093202</v>
      </c>
    </row>
    <row r="3222" spans="1:6" x14ac:dyDescent="0.3">
      <c r="A3222" s="6" t="s">
        <v>3222</v>
      </c>
      <c r="B3222">
        <v>45584758</v>
      </c>
      <c r="C3222" s="3">
        <v>2</v>
      </c>
      <c r="D3222" s="5" t="str">
        <f t="shared" si="111"/>
        <v>02</v>
      </c>
      <c r="E3222" t="str">
        <f>VLOOKUP(B3222,'HOGARES-BASELINE'!$B:$I,8,FALSE)</f>
        <v>01030933</v>
      </c>
      <c r="F3222" s="6" t="str">
        <f t="shared" si="110"/>
        <v>0103093302</v>
      </c>
    </row>
    <row r="3223" spans="1:6" x14ac:dyDescent="0.3">
      <c r="A3223" s="6" t="s">
        <v>3223</v>
      </c>
      <c r="B3223">
        <v>45584758</v>
      </c>
      <c r="C3223" s="3">
        <v>1</v>
      </c>
      <c r="D3223" s="5" t="str">
        <f t="shared" si="111"/>
        <v>01</v>
      </c>
      <c r="E3223" t="str">
        <f>VLOOKUP(B3223,'HOGARES-BASELINE'!$B:$I,8,FALSE)</f>
        <v>01030933</v>
      </c>
      <c r="F3223" s="6" t="str">
        <f t="shared" si="110"/>
        <v>0103093301</v>
      </c>
    </row>
    <row r="3224" spans="1:6" x14ac:dyDescent="0.3">
      <c r="A3224" s="6" t="s">
        <v>3224</v>
      </c>
      <c r="B3224">
        <v>45584758</v>
      </c>
      <c r="C3224" s="3">
        <v>3</v>
      </c>
      <c r="D3224" s="5" t="str">
        <f t="shared" si="111"/>
        <v>03</v>
      </c>
      <c r="E3224" t="str">
        <f>VLOOKUP(B3224,'HOGARES-BASELINE'!$B:$I,8,FALSE)</f>
        <v>01030933</v>
      </c>
      <c r="F3224" s="6" t="str">
        <f t="shared" si="110"/>
        <v>0103093303</v>
      </c>
    </row>
    <row r="3225" spans="1:6" x14ac:dyDescent="0.3">
      <c r="A3225" s="6" t="s">
        <v>3225</v>
      </c>
      <c r="B3225">
        <v>45584758</v>
      </c>
      <c r="C3225" s="3">
        <v>4</v>
      </c>
      <c r="D3225" s="5" t="str">
        <f t="shared" si="111"/>
        <v>04</v>
      </c>
      <c r="E3225" t="str">
        <f>VLOOKUP(B3225,'HOGARES-BASELINE'!$B:$I,8,FALSE)</f>
        <v>01030933</v>
      </c>
      <c r="F3225" s="6" t="str">
        <f t="shared" si="110"/>
        <v>0103093304</v>
      </c>
    </row>
    <row r="3226" spans="1:6" x14ac:dyDescent="0.3">
      <c r="A3226" s="6" t="s">
        <v>3226</v>
      </c>
      <c r="B3226">
        <v>4698774</v>
      </c>
      <c r="C3226" s="3">
        <v>1</v>
      </c>
      <c r="D3226" s="5" t="str">
        <f t="shared" si="111"/>
        <v>01</v>
      </c>
      <c r="E3226" t="str">
        <f>VLOOKUP(B3226,'HOGARES-BASELINE'!$B:$I,8,FALSE)</f>
        <v>01020934</v>
      </c>
      <c r="F3226" s="6" t="str">
        <f t="shared" si="110"/>
        <v>0102093401</v>
      </c>
    </row>
    <row r="3227" spans="1:6" x14ac:dyDescent="0.3">
      <c r="A3227" s="6" t="s">
        <v>3227</v>
      </c>
      <c r="B3227">
        <v>4698774</v>
      </c>
      <c r="C3227" s="3">
        <v>2</v>
      </c>
      <c r="D3227" s="5" t="str">
        <f t="shared" si="111"/>
        <v>02</v>
      </c>
      <c r="E3227" t="str">
        <f>VLOOKUP(B3227,'HOGARES-BASELINE'!$B:$I,8,FALSE)</f>
        <v>01020934</v>
      </c>
      <c r="F3227" s="6" t="str">
        <f t="shared" si="110"/>
        <v>0102093402</v>
      </c>
    </row>
    <row r="3228" spans="1:6" x14ac:dyDescent="0.3">
      <c r="A3228" s="6" t="s">
        <v>3228</v>
      </c>
      <c r="B3228">
        <v>4698828</v>
      </c>
      <c r="C3228" s="3">
        <v>2</v>
      </c>
      <c r="D3228" s="5" t="str">
        <f t="shared" si="111"/>
        <v>02</v>
      </c>
      <c r="E3228" t="str">
        <f>VLOOKUP(B3228,'HOGARES-BASELINE'!$B:$I,8,FALSE)</f>
        <v>00020935</v>
      </c>
      <c r="F3228" s="6" t="str">
        <f t="shared" si="110"/>
        <v>0002093502</v>
      </c>
    </row>
    <row r="3229" spans="1:6" x14ac:dyDescent="0.3">
      <c r="A3229" s="6" t="s">
        <v>3229</v>
      </c>
      <c r="B3229">
        <v>4698828</v>
      </c>
      <c r="C3229" s="3">
        <v>1</v>
      </c>
      <c r="D3229" s="5" t="str">
        <f t="shared" si="111"/>
        <v>01</v>
      </c>
      <c r="E3229" t="str">
        <f>VLOOKUP(B3229,'HOGARES-BASELINE'!$B:$I,8,FALSE)</f>
        <v>00020935</v>
      </c>
      <c r="F3229" s="6" t="str">
        <f t="shared" si="110"/>
        <v>0002093501</v>
      </c>
    </row>
    <row r="3230" spans="1:6" x14ac:dyDescent="0.3">
      <c r="A3230" s="6" t="s">
        <v>3230</v>
      </c>
      <c r="B3230">
        <v>4721794</v>
      </c>
      <c r="C3230" s="3">
        <v>1</v>
      </c>
      <c r="D3230" s="5" t="str">
        <f t="shared" si="111"/>
        <v>01</v>
      </c>
      <c r="E3230" t="str">
        <f>VLOOKUP(B3230,'HOGARES-BASELINE'!$B:$I,8,FALSE)</f>
        <v>01020936</v>
      </c>
      <c r="F3230" s="6" t="str">
        <f t="shared" si="110"/>
        <v>0102093601</v>
      </c>
    </row>
    <row r="3231" spans="1:6" x14ac:dyDescent="0.3">
      <c r="A3231" s="6" t="s">
        <v>3231</v>
      </c>
      <c r="B3231">
        <v>4721794</v>
      </c>
      <c r="C3231" s="3">
        <v>2</v>
      </c>
      <c r="D3231" s="5" t="str">
        <f t="shared" si="111"/>
        <v>02</v>
      </c>
      <c r="E3231" t="str">
        <f>VLOOKUP(B3231,'HOGARES-BASELINE'!$B:$I,8,FALSE)</f>
        <v>01020936</v>
      </c>
      <c r="F3231" s="6" t="str">
        <f t="shared" si="110"/>
        <v>0102093602</v>
      </c>
    </row>
    <row r="3232" spans="1:6" x14ac:dyDescent="0.3">
      <c r="A3232" s="6" t="s">
        <v>3232</v>
      </c>
      <c r="B3232">
        <v>4755752</v>
      </c>
      <c r="C3232" s="3">
        <v>1</v>
      </c>
      <c r="D3232" s="5" t="str">
        <f t="shared" si="111"/>
        <v>01</v>
      </c>
      <c r="E3232" t="str">
        <f>VLOOKUP(B3232,'HOGARES-BASELINE'!$B:$I,8,FALSE)</f>
        <v>00020937</v>
      </c>
      <c r="F3232" s="6" t="str">
        <f t="shared" si="110"/>
        <v>0002093701</v>
      </c>
    </row>
    <row r="3233" spans="1:6" x14ac:dyDescent="0.3">
      <c r="A3233" s="6" t="s">
        <v>3233</v>
      </c>
      <c r="B3233">
        <v>4755752</v>
      </c>
      <c r="C3233" s="3">
        <v>2</v>
      </c>
      <c r="D3233" s="5" t="str">
        <f t="shared" si="111"/>
        <v>02</v>
      </c>
      <c r="E3233" t="str">
        <f>VLOOKUP(B3233,'HOGARES-BASELINE'!$B:$I,8,FALSE)</f>
        <v>00020937</v>
      </c>
      <c r="F3233" s="6" t="str">
        <f t="shared" si="110"/>
        <v>0002093702</v>
      </c>
    </row>
    <row r="3234" spans="1:6" x14ac:dyDescent="0.3">
      <c r="A3234" s="6" t="s">
        <v>3234</v>
      </c>
      <c r="B3234">
        <v>48571448</v>
      </c>
      <c r="C3234" s="3">
        <v>2</v>
      </c>
      <c r="D3234" s="5" t="str">
        <f t="shared" si="111"/>
        <v>02</v>
      </c>
      <c r="E3234" t="str">
        <f>VLOOKUP(B3234,'HOGARES-BASELINE'!$B:$I,8,FALSE)</f>
        <v>00020938</v>
      </c>
      <c r="F3234" s="6" t="str">
        <f t="shared" si="110"/>
        <v>0002093802</v>
      </c>
    </row>
    <row r="3235" spans="1:6" x14ac:dyDescent="0.3">
      <c r="A3235" s="6" t="s">
        <v>3235</v>
      </c>
      <c r="B3235">
        <v>48571448</v>
      </c>
      <c r="C3235" s="3">
        <v>1</v>
      </c>
      <c r="D3235" s="5" t="str">
        <f t="shared" si="111"/>
        <v>01</v>
      </c>
      <c r="E3235" t="str">
        <f>VLOOKUP(B3235,'HOGARES-BASELINE'!$B:$I,8,FALSE)</f>
        <v>00020938</v>
      </c>
      <c r="F3235" s="6" t="str">
        <f t="shared" si="110"/>
        <v>0002093801</v>
      </c>
    </row>
    <row r="3236" spans="1:6" x14ac:dyDescent="0.3">
      <c r="A3236" s="6" t="s">
        <v>3236</v>
      </c>
      <c r="B3236">
        <v>48612619</v>
      </c>
      <c r="C3236" s="3">
        <v>1</v>
      </c>
      <c r="D3236" s="5" t="str">
        <f t="shared" si="111"/>
        <v>01</v>
      </c>
      <c r="E3236" t="str">
        <f>VLOOKUP(B3236,'HOGARES-BASELINE'!$B:$I,8,FALSE)</f>
        <v>01020939</v>
      </c>
      <c r="F3236" s="6" t="str">
        <f t="shared" si="110"/>
        <v>0102093901</v>
      </c>
    </row>
    <row r="3237" spans="1:6" x14ac:dyDescent="0.3">
      <c r="A3237" s="6" t="s">
        <v>3237</v>
      </c>
      <c r="B3237">
        <v>48614162</v>
      </c>
      <c r="C3237" s="3">
        <v>1</v>
      </c>
      <c r="D3237" s="5" t="str">
        <f t="shared" si="111"/>
        <v>01</v>
      </c>
      <c r="E3237" t="str">
        <f>VLOOKUP(B3237,'HOGARES-BASELINE'!$B:$I,8,FALSE)</f>
        <v>01020940</v>
      </c>
      <c r="F3237" s="6" t="str">
        <f t="shared" si="110"/>
        <v>0102094001</v>
      </c>
    </row>
    <row r="3238" spans="1:6" x14ac:dyDescent="0.3">
      <c r="A3238" s="6" t="s">
        <v>3238</v>
      </c>
      <c r="B3238">
        <v>48614162</v>
      </c>
      <c r="C3238" s="3">
        <v>3</v>
      </c>
      <c r="D3238" s="5" t="str">
        <f t="shared" si="111"/>
        <v>03</v>
      </c>
      <c r="E3238" t="str">
        <f>VLOOKUP(B3238,'HOGARES-BASELINE'!$B:$I,8,FALSE)</f>
        <v>01020940</v>
      </c>
      <c r="F3238" s="6" t="str">
        <f t="shared" si="110"/>
        <v>0102094003</v>
      </c>
    </row>
    <row r="3239" spans="1:6" x14ac:dyDescent="0.3">
      <c r="A3239" s="6" t="s">
        <v>3239</v>
      </c>
      <c r="B3239">
        <v>48614162</v>
      </c>
      <c r="C3239" s="3">
        <v>4</v>
      </c>
      <c r="D3239" s="5" t="str">
        <f t="shared" si="111"/>
        <v>04</v>
      </c>
      <c r="E3239" t="str">
        <f>VLOOKUP(B3239,'HOGARES-BASELINE'!$B:$I,8,FALSE)</f>
        <v>01020940</v>
      </c>
      <c r="F3239" s="6" t="str">
        <f t="shared" si="110"/>
        <v>0102094004</v>
      </c>
    </row>
    <row r="3240" spans="1:6" x14ac:dyDescent="0.3">
      <c r="A3240" s="6" t="s">
        <v>3240</v>
      </c>
      <c r="B3240">
        <v>48614162</v>
      </c>
      <c r="C3240" s="3">
        <v>6</v>
      </c>
      <c r="D3240" s="5" t="str">
        <f t="shared" si="111"/>
        <v>06</v>
      </c>
      <c r="E3240" t="str">
        <f>VLOOKUP(B3240,'HOGARES-BASELINE'!$B:$I,8,FALSE)</f>
        <v>01020940</v>
      </c>
      <c r="F3240" s="6" t="str">
        <f t="shared" si="110"/>
        <v>0102094006</v>
      </c>
    </row>
    <row r="3241" spans="1:6" x14ac:dyDescent="0.3">
      <c r="A3241" s="6" t="s">
        <v>3241</v>
      </c>
      <c r="B3241">
        <v>48614162</v>
      </c>
      <c r="C3241" s="3">
        <v>5</v>
      </c>
      <c r="D3241" s="5" t="str">
        <f t="shared" si="111"/>
        <v>05</v>
      </c>
      <c r="E3241" t="str">
        <f>VLOOKUP(B3241,'HOGARES-BASELINE'!$B:$I,8,FALSE)</f>
        <v>01020940</v>
      </c>
      <c r="F3241" s="6" t="str">
        <f t="shared" si="110"/>
        <v>0102094005</v>
      </c>
    </row>
    <row r="3242" spans="1:6" x14ac:dyDescent="0.3">
      <c r="A3242" s="6" t="s">
        <v>3242</v>
      </c>
      <c r="B3242">
        <v>48614162</v>
      </c>
      <c r="C3242" s="3">
        <v>2</v>
      </c>
      <c r="D3242" s="5" t="str">
        <f t="shared" si="111"/>
        <v>02</v>
      </c>
      <c r="E3242" t="str">
        <f>VLOOKUP(B3242,'HOGARES-BASELINE'!$B:$I,8,FALSE)</f>
        <v>01020940</v>
      </c>
      <c r="F3242" s="6" t="str">
        <f t="shared" si="110"/>
        <v>0102094002</v>
      </c>
    </row>
    <row r="3243" spans="1:6" x14ac:dyDescent="0.3">
      <c r="A3243" s="6" t="s">
        <v>3243</v>
      </c>
      <c r="B3243">
        <v>49670234</v>
      </c>
      <c r="C3243" s="3">
        <v>3</v>
      </c>
      <c r="D3243" s="5" t="str">
        <f t="shared" si="111"/>
        <v>03</v>
      </c>
      <c r="E3243" t="str">
        <f>VLOOKUP(B3243,'HOGARES-BASELINE'!$B:$I,8,FALSE)</f>
        <v>01010941</v>
      </c>
      <c r="F3243" s="6" t="str">
        <f t="shared" si="110"/>
        <v>0101094103</v>
      </c>
    </row>
    <row r="3244" spans="1:6" x14ac:dyDescent="0.3">
      <c r="A3244" s="6" t="s">
        <v>3244</v>
      </c>
      <c r="B3244">
        <v>49670234</v>
      </c>
      <c r="C3244" s="3">
        <v>4</v>
      </c>
      <c r="D3244" s="5" t="str">
        <f t="shared" si="111"/>
        <v>04</v>
      </c>
      <c r="E3244" t="str">
        <f>VLOOKUP(B3244,'HOGARES-BASELINE'!$B:$I,8,FALSE)</f>
        <v>01010941</v>
      </c>
      <c r="F3244" s="6" t="str">
        <f t="shared" si="110"/>
        <v>0101094104</v>
      </c>
    </row>
    <row r="3245" spans="1:6" x14ac:dyDescent="0.3">
      <c r="A3245" s="6" t="s">
        <v>3245</v>
      </c>
      <c r="B3245">
        <v>49670234</v>
      </c>
      <c r="C3245" s="3">
        <v>2</v>
      </c>
      <c r="D3245" s="5" t="str">
        <f t="shared" si="111"/>
        <v>02</v>
      </c>
      <c r="E3245" t="str">
        <f>VLOOKUP(B3245,'HOGARES-BASELINE'!$B:$I,8,FALSE)</f>
        <v>01010941</v>
      </c>
      <c r="F3245" s="6" t="str">
        <f t="shared" si="110"/>
        <v>0101094102</v>
      </c>
    </row>
    <row r="3246" spans="1:6" x14ac:dyDescent="0.3">
      <c r="A3246" s="6" t="s">
        <v>3246</v>
      </c>
      <c r="B3246">
        <v>49670234</v>
      </c>
      <c r="C3246" s="3">
        <v>1</v>
      </c>
      <c r="D3246" s="5" t="str">
        <f t="shared" si="111"/>
        <v>01</v>
      </c>
      <c r="E3246" t="str">
        <f>VLOOKUP(B3246,'HOGARES-BASELINE'!$B:$I,8,FALSE)</f>
        <v>01010941</v>
      </c>
      <c r="F3246" s="6" t="str">
        <f t="shared" si="110"/>
        <v>0101094101</v>
      </c>
    </row>
    <row r="3247" spans="1:6" x14ac:dyDescent="0.3">
      <c r="A3247" s="6" t="s">
        <v>3247</v>
      </c>
      <c r="B3247">
        <v>49691954</v>
      </c>
      <c r="C3247" s="3">
        <v>2</v>
      </c>
      <c r="D3247" s="5" t="str">
        <f t="shared" si="111"/>
        <v>02</v>
      </c>
      <c r="E3247" t="str">
        <f>VLOOKUP(B3247,'HOGARES-BASELINE'!$B:$I,8,FALSE)</f>
        <v>01010942</v>
      </c>
      <c r="F3247" s="6" t="str">
        <f t="shared" si="110"/>
        <v>0101094202</v>
      </c>
    </row>
    <row r="3248" spans="1:6" x14ac:dyDescent="0.3">
      <c r="A3248" s="6" t="s">
        <v>3248</v>
      </c>
      <c r="B3248">
        <v>49691954</v>
      </c>
      <c r="C3248" s="3">
        <v>3</v>
      </c>
      <c r="D3248" s="5" t="str">
        <f t="shared" si="111"/>
        <v>03</v>
      </c>
      <c r="E3248" t="str">
        <f>VLOOKUP(B3248,'HOGARES-BASELINE'!$B:$I,8,FALSE)</f>
        <v>01010942</v>
      </c>
      <c r="F3248" s="6" t="str">
        <f t="shared" si="110"/>
        <v>0101094203</v>
      </c>
    </row>
    <row r="3249" spans="1:6" x14ac:dyDescent="0.3">
      <c r="A3249" s="6" t="s">
        <v>3249</v>
      </c>
      <c r="B3249">
        <v>49691954</v>
      </c>
      <c r="C3249" s="3">
        <v>1</v>
      </c>
      <c r="D3249" s="5" t="str">
        <f t="shared" si="111"/>
        <v>01</v>
      </c>
      <c r="E3249" t="str">
        <f>VLOOKUP(B3249,'HOGARES-BASELINE'!$B:$I,8,FALSE)</f>
        <v>01010942</v>
      </c>
      <c r="F3249" s="6" t="str">
        <f t="shared" si="110"/>
        <v>0101094201</v>
      </c>
    </row>
    <row r="3250" spans="1:6" x14ac:dyDescent="0.3">
      <c r="A3250" s="6" t="s">
        <v>3250</v>
      </c>
      <c r="B3250">
        <v>4995718</v>
      </c>
      <c r="C3250" s="3">
        <v>1</v>
      </c>
      <c r="D3250" s="5" t="str">
        <f t="shared" si="111"/>
        <v>01</v>
      </c>
      <c r="E3250" t="str">
        <f>VLOOKUP(B3250,'HOGARES-BASELINE'!$B:$I,8,FALSE)</f>
        <v>00030943</v>
      </c>
      <c r="F3250" s="6" t="str">
        <f t="shared" si="110"/>
        <v>0003094301</v>
      </c>
    </row>
    <row r="3251" spans="1:6" x14ac:dyDescent="0.3">
      <c r="A3251" s="6" t="s">
        <v>3251</v>
      </c>
      <c r="B3251">
        <v>50947411</v>
      </c>
      <c r="C3251" s="3">
        <v>2</v>
      </c>
      <c r="D3251" s="5" t="str">
        <f t="shared" si="111"/>
        <v>02</v>
      </c>
      <c r="E3251" t="str">
        <f>VLOOKUP(B3251,'HOGARES-BASELINE'!$B:$I,8,FALSE)</f>
        <v>01010944</v>
      </c>
      <c r="F3251" s="6" t="str">
        <f t="shared" si="110"/>
        <v>0101094402</v>
      </c>
    </row>
    <row r="3252" spans="1:6" x14ac:dyDescent="0.3">
      <c r="A3252" s="6" t="s">
        <v>3252</v>
      </c>
      <c r="B3252">
        <v>50947411</v>
      </c>
      <c r="C3252" s="3">
        <v>1</v>
      </c>
      <c r="D3252" s="5" t="str">
        <f t="shared" si="111"/>
        <v>01</v>
      </c>
      <c r="E3252" t="str">
        <f>VLOOKUP(B3252,'HOGARES-BASELINE'!$B:$I,8,FALSE)</f>
        <v>01010944</v>
      </c>
      <c r="F3252" s="6" t="str">
        <f t="shared" si="110"/>
        <v>0101094401</v>
      </c>
    </row>
    <row r="3253" spans="1:6" x14ac:dyDescent="0.3">
      <c r="A3253" s="6" t="s">
        <v>3253</v>
      </c>
      <c r="B3253">
        <v>50947411</v>
      </c>
      <c r="C3253" s="3">
        <v>3</v>
      </c>
      <c r="D3253" s="5" t="str">
        <f t="shared" si="111"/>
        <v>03</v>
      </c>
      <c r="E3253" t="str">
        <f>VLOOKUP(B3253,'HOGARES-BASELINE'!$B:$I,8,FALSE)</f>
        <v>01010944</v>
      </c>
      <c r="F3253" s="6" t="str">
        <f t="shared" si="110"/>
        <v>0101094403</v>
      </c>
    </row>
    <row r="3254" spans="1:6" x14ac:dyDescent="0.3">
      <c r="A3254" s="6" t="s">
        <v>3254</v>
      </c>
      <c r="B3254">
        <v>50947411</v>
      </c>
      <c r="C3254" s="3">
        <v>4</v>
      </c>
      <c r="D3254" s="5" t="str">
        <f t="shared" si="111"/>
        <v>04</v>
      </c>
      <c r="E3254" t="str">
        <f>VLOOKUP(B3254,'HOGARES-BASELINE'!$B:$I,8,FALSE)</f>
        <v>01010944</v>
      </c>
      <c r="F3254" s="6" t="str">
        <f t="shared" si="110"/>
        <v>0101094404</v>
      </c>
    </row>
    <row r="3255" spans="1:6" x14ac:dyDescent="0.3">
      <c r="A3255" s="6" t="s">
        <v>3255</v>
      </c>
      <c r="B3255">
        <v>5122512</v>
      </c>
      <c r="C3255" s="3">
        <v>1</v>
      </c>
      <c r="D3255" s="5" t="str">
        <f t="shared" si="111"/>
        <v>01</v>
      </c>
      <c r="E3255" t="str">
        <f>VLOOKUP(B3255,'HOGARES-BASELINE'!$B:$I,8,FALSE)</f>
        <v>01030945</v>
      </c>
      <c r="F3255" s="6" t="str">
        <f t="shared" si="110"/>
        <v>0103094501</v>
      </c>
    </row>
    <row r="3256" spans="1:6" x14ac:dyDescent="0.3">
      <c r="A3256" s="6" t="s">
        <v>3256</v>
      </c>
      <c r="B3256">
        <v>5122512</v>
      </c>
      <c r="C3256" s="3">
        <v>2</v>
      </c>
      <c r="D3256" s="5" t="str">
        <f t="shared" si="111"/>
        <v>02</v>
      </c>
      <c r="E3256" t="str">
        <f>VLOOKUP(B3256,'HOGARES-BASELINE'!$B:$I,8,FALSE)</f>
        <v>01030945</v>
      </c>
      <c r="F3256" s="6" t="str">
        <f t="shared" si="110"/>
        <v>0103094502</v>
      </c>
    </row>
    <row r="3257" spans="1:6" x14ac:dyDescent="0.3">
      <c r="A3257" s="6" t="s">
        <v>3257</v>
      </c>
      <c r="B3257">
        <v>52136819</v>
      </c>
      <c r="C3257" s="3">
        <v>2</v>
      </c>
      <c r="D3257" s="5" t="str">
        <f t="shared" si="111"/>
        <v>02</v>
      </c>
      <c r="E3257" t="str">
        <f>VLOOKUP(B3257,'HOGARES-BASELINE'!$B:$I,8,FALSE)</f>
        <v>01030946</v>
      </c>
      <c r="F3257" s="6" t="str">
        <f t="shared" si="110"/>
        <v>0103094602</v>
      </c>
    </row>
    <row r="3258" spans="1:6" x14ac:dyDescent="0.3">
      <c r="A3258" s="6" t="s">
        <v>3258</v>
      </c>
      <c r="B3258">
        <v>52136819</v>
      </c>
      <c r="C3258" s="3">
        <v>3</v>
      </c>
      <c r="D3258" s="5" t="str">
        <f t="shared" si="111"/>
        <v>03</v>
      </c>
      <c r="E3258" t="str">
        <f>VLOOKUP(B3258,'HOGARES-BASELINE'!$B:$I,8,FALSE)</f>
        <v>01030946</v>
      </c>
      <c r="F3258" s="6" t="str">
        <f t="shared" si="110"/>
        <v>0103094603</v>
      </c>
    </row>
    <row r="3259" spans="1:6" x14ac:dyDescent="0.3">
      <c r="A3259" s="6" t="s">
        <v>3259</v>
      </c>
      <c r="B3259">
        <v>52136819</v>
      </c>
      <c r="C3259" s="3">
        <v>1</v>
      </c>
      <c r="D3259" s="5" t="str">
        <f t="shared" si="111"/>
        <v>01</v>
      </c>
      <c r="E3259" t="str">
        <f>VLOOKUP(B3259,'HOGARES-BASELINE'!$B:$I,8,FALSE)</f>
        <v>01030946</v>
      </c>
      <c r="F3259" s="6" t="str">
        <f t="shared" si="110"/>
        <v>0103094601</v>
      </c>
    </row>
    <row r="3260" spans="1:6" x14ac:dyDescent="0.3">
      <c r="A3260" s="6" t="s">
        <v>3260</v>
      </c>
      <c r="B3260">
        <v>5217736</v>
      </c>
      <c r="C3260" s="3">
        <v>3</v>
      </c>
      <c r="D3260" s="5" t="str">
        <f t="shared" si="111"/>
        <v>03</v>
      </c>
      <c r="E3260" t="str">
        <f>VLOOKUP(B3260,'HOGARES-BASELINE'!$B:$I,8,FALSE)</f>
        <v>01020947</v>
      </c>
      <c r="F3260" s="6" t="str">
        <f t="shared" si="110"/>
        <v>0102094703</v>
      </c>
    </row>
    <row r="3261" spans="1:6" x14ac:dyDescent="0.3">
      <c r="A3261" s="6" t="s">
        <v>3261</v>
      </c>
      <c r="B3261">
        <v>5217736</v>
      </c>
      <c r="C3261" s="3">
        <v>1</v>
      </c>
      <c r="D3261" s="5" t="str">
        <f t="shared" si="111"/>
        <v>01</v>
      </c>
      <c r="E3261" t="str">
        <f>VLOOKUP(B3261,'HOGARES-BASELINE'!$B:$I,8,FALSE)</f>
        <v>01020947</v>
      </c>
      <c r="F3261" s="6" t="str">
        <f t="shared" si="110"/>
        <v>0102094701</v>
      </c>
    </row>
    <row r="3262" spans="1:6" x14ac:dyDescent="0.3">
      <c r="A3262" s="6" t="s">
        <v>3262</v>
      </c>
      <c r="B3262">
        <v>5217736</v>
      </c>
      <c r="C3262" s="3">
        <v>2</v>
      </c>
      <c r="D3262" s="5" t="str">
        <f t="shared" si="111"/>
        <v>02</v>
      </c>
      <c r="E3262" t="str">
        <f>VLOOKUP(B3262,'HOGARES-BASELINE'!$B:$I,8,FALSE)</f>
        <v>01020947</v>
      </c>
      <c r="F3262" s="6" t="str">
        <f t="shared" si="110"/>
        <v>0102094702</v>
      </c>
    </row>
    <row r="3263" spans="1:6" x14ac:dyDescent="0.3">
      <c r="A3263" s="6" t="s">
        <v>3263</v>
      </c>
      <c r="B3263">
        <v>55221885</v>
      </c>
      <c r="C3263" s="3">
        <v>1</v>
      </c>
      <c r="D3263" s="5" t="str">
        <f t="shared" si="111"/>
        <v>01</v>
      </c>
      <c r="E3263" t="str">
        <f>VLOOKUP(B3263,'HOGARES-BASELINE'!$B:$I,8,FALSE)</f>
        <v>00030948</v>
      </c>
      <c r="F3263" s="6" t="str">
        <f t="shared" si="110"/>
        <v>0003094801</v>
      </c>
    </row>
    <row r="3264" spans="1:6" x14ac:dyDescent="0.3">
      <c r="A3264" s="6" t="s">
        <v>3264</v>
      </c>
      <c r="B3264">
        <v>55221885</v>
      </c>
      <c r="C3264" s="3">
        <v>2</v>
      </c>
      <c r="D3264" s="5" t="str">
        <f t="shared" si="111"/>
        <v>02</v>
      </c>
      <c r="E3264" t="str">
        <f>VLOOKUP(B3264,'HOGARES-BASELINE'!$B:$I,8,FALSE)</f>
        <v>00030948</v>
      </c>
      <c r="F3264" s="6" t="str">
        <f t="shared" si="110"/>
        <v>0003094802</v>
      </c>
    </row>
    <row r="3265" spans="1:6" x14ac:dyDescent="0.3">
      <c r="A3265" s="6" t="s">
        <v>3265</v>
      </c>
      <c r="B3265">
        <v>55221885</v>
      </c>
      <c r="C3265" s="3">
        <v>3</v>
      </c>
      <c r="D3265" s="5" t="str">
        <f t="shared" si="111"/>
        <v>03</v>
      </c>
      <c r="E3265" t="str">
        <f>VLOOKUP(B3265,'HOGARES-BASELINE'!$B:$I,8,FALSE)</f>
        <v>00030948</v>
      </c>
      <c r="F3265" s="6" t="str">
        <f t="shared" si="110"/>
        <v>0003094803</v>
      </c>
    </row>
    <row r="3266" spans="1:6" x14ac:dyDescent="0.3">
      <c r="A3266" s="6" t="s">
        <v>3266</v>
      </c>
      <c r="B3266">
        <v>55221885</v>
      </c>
      <c r="C3266" s="3">
        <v>7</v>
      </c>
      <c r="D3266" s="5" t="str">
        <f t="shared" si="111"/>
        <v>07</v>
      </c>
      <c r="E3266" t="str">
        <f>VLOOKUP(B3266,'HOGARES-BASELINE'!$B:$I,8,FALSE)</f>
        <v>00030948</v>
      </c>
      <c r="F3266" s="6" t="str">
        <f t="shared" si="110"/>
        <v>0003094807</v>
      </c>
    </row>
    <row r="3267" spans="1:6" x14ac:dyDescent="0.3">
      <c r="A3267" s="6" t="s">
        <v>3267</v>
      </c>
      <c r="B3267">
        <v>55221885</v>
      </c>
      <c r="C3267" s="3">
        <v>6</v>
      </c>
      <c r="D3267" s="5" t="str">
        <f t="shared" si="111"/>
        <v>06</v>
      </c>
      <c r="E3267" t="str">
        <f>VLOOKUP(B3267,'HOGARES-BASELINE'!$B:$I,8,FALSE)</f>
        <v>00030948</v>
      </c>
      <c r="F3267" s="6" t="str">
        <f t="shared" ref="F3267:F3330" si="112">_xlfn.CONCAT(E3267,D3267)</f>
        <v>0003094806</v>
      </c>
    </row>
    <row r="3268" spans="1:6" x14ac:dyDescent="0.3">
      <c r="A3268" s="6" t="s">
        <v>3268</v>
      </c>
      <c r="B3268">
        <v>55221885</v>
      </c>
      <c r="C3268" s="3">
        <v>5</v>
      </c>
      <c r="D3268" s="5" t="str">
        <f t="shared" si="111"/>
        <v>05</v>
      </c>
      <c r="E3268" t="str">
        <f>VLOOKUP(B3268,'HOGARES-BASELINE'!$B:$I,8,FALSE)</f>
        <v>00030948</v>
      </c>
      <c r="F3268" s="6" t="str">
        <f t="shared" si="112"/>
        <v>0003094805</v>
      </c>
    </row>
    <row r="3269" spans="1:6" x14ac:dyDescent="0.3">
      <c r="A3269" s="6" t="s">
        <v>3269</v>
      </c>
      <c r="B3269">
        <v>55221885</v>
      </c>
      <c r="C3269" s="3">
        <v>4</v>
      </c>
      <c r="D3269" s="5" t="str">
        <f t="shared" si="111"/>
        <v>04</v>
      </c>
      <c r="E3269" t="str">
        <f>VLOOKUP(B3269,'HOGARES-BASELINE'!$B:$I,8,FALSE)</f>
        <v>00030948</v>
      </c>
      <c r="F3269" s="6" t="str">
        <f t="shared" si="112"/>
        <v>0003094804</v>
      </c>
    </row>
    <row r="3270" spans="1:6" x14ac:dyDescent="0.3">
      <c r="A3270" s="6" t="s">
        <v>3270</v>
      </c>
      <c r="B3270">
        <v>55226186</v>
      </c>
      <c r="C3270" s="3">
        <v>1</v>
      </c>
      <c r="D3270" s="5" t="str">
        <f t="shared" si="111"/>
        <v>01</v>
      </c>
      <c r="E3270" t="str">
        <f>VLOOKUP(B3270,'HOGARES-BASELINE'!$B:$I,8,FALSE)</f>
        <v>00030949</v>
      </c>
      <c r="F3270" s="6" t="str">
        <f t="shared" si="112"/>
        <v>0003094901</v>
      </c>
    </row>
    <row r="3271" spans="1:6" x14ac:dyDescent="0.3">
      <c r="A3271" s="6" t="s">
        <v>3271</v>
      </c>
      <c r="B3271">
        <v>55226186</v>
      </c>
      <c r="C3271" s="3">
        <v>8</v>
      </c>
      <c r="D3271" s="5" t="str">
        <f t="shared" ref="D3271:D3334" si="113">_xlfn.CONCAT(0,C3271)</f>
        <v>08</v>
      </c>
      <c r="E3271" t="str">
        <f>VLOOKUP(B3271,'HOGARES-BASELINE'!$B:$I,8,FALSE)</f>
        <v>00030949</v>
      </c>
      <c r="F3271" s="6" t="str">
        <f t="shared" si="112"/>
        <v>0003094908</v>
      </c>
    </row>
    <row r="3272" spans="1:6" x14ac:dyDescent="0.3">
      <c r="A3272" s="6" t="s">
        <v>3272</v>
      </c>
      <c r="B3272">
        <v>55226186</v>
      </c>
      <c r="C3272" s="3">
        <v>6</v>
      </c>
      <c r="D3272" s="5" t="str">
        <f t="shared" si="113"/>
        <v>06</v>
      </c>
      <c r="E3272" t="str">
        <f>VLOOKUP(B3272,'HOGARES-BASELINE'!$B:$I,8,FALSE)</f>
        <v>00030949</v>
      </c>
      <c r="F3272" s="6" t="str">
        <f t="shared" si="112"/>
        <v>0003094906</v>
      </c>
    </row>
    <row r="3273" spans="1:6" x14ac:dyDescent="0.3">
      <c r="A3273" s="6" t="s">
        <v>3273</v>
      </c>
      <c r="B3273">
        <v>55226186</v>
      </c>
      <c r="C3273" s="3">
        <v>7</v>
      </c>
      <c r="D3273" s="5" t="str">
        <f t="shared" si="113"/>
        <v>07</v>
      </c>
      <c r="E3273" t="str">
        <f>VLOOKUP(B3273,'HOGARES-BASELINE'!$B:$I,8,FALSE)</f>
        <v>00030949</v>
      </c>
      <c r="F3273" s="6" t="str">
        <f t="shared" si="112"/>
        <v>0003094907</v>
      </c>
    </row>
    <row r="3274" spans="1:6" x14ac:dyDescent="0.3">
      <c r="A3274" s="6" t="s">
        <v>3274</v>
      </c>
      <c r="B3274">
        <v>55226186</v>
      </c>
      <c r="C3274" s="3">
        <v>4</v>
      </c>
      <c r="D3274" s="5" t="str">
        <f t="shared" si="113"/>
        <v>04</v>
      </c>
      <c r="E3274" t="str">
        <f>VLOOKUP(B3274,'HOGARES-BASELINE'!$B:$I,8,FALSE)</f>
        <v>00030949</v>
      </c>
      <c r="F3274" s="6" t="str">
        <f t="shared" si="112"/>
        <v>0003094904</v>
      </c>
    </row>
    <row r="3275" spans="1:6" x14ac:dyDescent="0.3">
      <c r="A3275" s="6" t="s">
        <v>3275</v>
      </c>
      <c r="B3275">
        <v>55226186</v>
      </c>
      <c r="C3275" s="3">
        <v>2</v>
      </c>
      <c r="D3275" s="5" t="str">
        <f t="shared" si="113"/>
        <v>02</v>
      </c>
      <c r="E3275" t="str">
        <f>VLOOKUP(B3275,'HOGARES-BASELINE'!$B:$I,8,FALSE)</f>
        <v>00030949</v>
      </c>
      <c r="F3275" s="6" t="str">
        <f t="shared" si="112"/>
        <v>0003094902</v>
      </c>
    </row>
    <row r="3276" spans="1:6" x14ac:dyDescent="0.3">
      <c r="A3276" s="6" t="s">
        <v>3276</v>
      </c>
      <c r="B3276">
        <v>55226186</v>
      </c>
      <c r="C3276" s="3">
        <v>3</v>
      </c>
      <c r="D3276" s="5" t="str">
        <f t="shared" si="113"/>
        <v>03</v>
      </c>
      <c r="E3276" t="str">
        <f>VLOOKUP(B3276,'HOGARES-BASELINE'!$B:$I,8,FALSE)</f>
        <v>00030949</v>
      </c>
      <c r="F3276" s="6" t="str">
        <f t="shared" si="112"/>
        <v>0003094903</v>
      </c>
    </row>
    <row r="3277" spans="1:6" x14ac:dyDescent="0.3">
      <c r="A3277" s="6" t="s">
        <v>3277</v>
      </c>
      <c r="B3277">
        <v>55226186</v>
      </c>
      <c r="C3277" s="3">
        <v>5</v>
      </c>
      <c r="D3277" s="5" t="str">
        <f t="shared" si="113"/>
        <v>05</v>
      </c>
      <c r="E3277" t="str">
        <f>VLOOKUP(B3277,'HOGARES-BASELINE'!$B:$I,8,FALSE)</f>
        <v>00030949</v>
      </c>
      <c r="F3277" s="6" t="str">
        <f t="shared" si="112"/>
        <v>0003094905</v>
      </c>
    </row>
    <row r="3278" spans="1:6" x14ac:dyDescent="0.3">
      <c r="A3278" s="6" t="s">
        <v>3278</v>
      </c>
      <c r="B3278">
        <v>55228378</v>
      </c>
      <c r="C3278" s="3">
        <v>2</v>
      </c>
      <c r="D3278" s="5" t="str">
        <f t="shared" si="113"/>
        <v>02</v>
      </c>
      <c r="E3278" t="str">
        <f>VLOOKUP(B3278,'HOGARES-BASELINE'!$B:$I,8,FALSE)</f>
        <v>00030950</v>
      </c>
      <c r="F3278" s="6" t="str">
        <f t="shared" si="112"/>
        <v>0003095002</v>
      </c>
    </row>
    <row r="3279" spans="1:6" x14ac:dyDescent="0.3">
      <c r="A3279" s="6" t="s">
        <v>3279</v>
      </c>
      <c r="B3279">
        <v>55228378</v>
      </c>
      <c r="C3279" s="3">
        <v>3</v>
      </c>
      <c r="D3279" s="5" t="str">
        <f t="shared" si="113"/>
        <v>03</v>
      </c>
      <c r="E3279" t="str">
        <f>VLOOKUP(B3279,'HOGARES-BASELINE'!$B:$I,8,FALSE)</f>
        <v>00030950</v>
      </c>
      <c r="F3279" s="6" t="str">
        <f t="shared" si="112"/>
        <v>0003095003</v>
      </c>
    </row>
    <row r="3280" spans="1:6" x14ac:dyDescent="0.3">
      <c r="A3280" s="6" t="s">
        <v>3280</v>
      </c>
      <c r="B3280">
        <v>55228378</v>
      </c>
      <c r="C3280" s="3">
        <v>1</v>
      </c>
      <c r="D3280" s="5" t="str">
        <f t="shared" si="113"/>
        <v>01</v>
      </c>
      <c r="E3280" t="str">
        <f>VLOOKUP(B3280,'HOGARES-BASELINE'!$B:$I,8,FALSE)</f>
        <v>00030950</v>
      </c>
      <c r="F3280" s="6" t="str">
        <f t="shared" si="112"/>
        <v>0003095001</v>
      </c>
    </row>
    <row r="3281" spans="1:6" x14ac:dyDescent="0.3">
      <c r="A3281" s="6" t="s">
        <v>3281</v>
      </c>
      <c r="B3281">
        <v>55231073</v>
      </c>
      <c r="C3281" s="3">
        <v>3</v>
      </c>
      <c r="D3281" s="5" t="str">
        <f t="shared" si="113"/>
        <v>03</v>
      </c>
      <c r="E3281" t="str">
        <f>VLOOKUP(B3281,'HOGARES-BASELINE'!$B:$I,8,FALSE)</f>
        <v>01030951</v>
      </c>
      <c r="F3281" s="6" t="str">
        <f t="shared" si="112"/>
        <v>0103095103</v>
      </c>
    </row>
    <row r="3282" spans="1:6" x14ac:dyDescent="0.3">
      <c r="A3282" s="6" t="s">
        <v>3282</v>
      </c>
      <c r="B3282">
        <v>55231073</v>
      </c>
      <c r="C3282" s="3">
        <v>2</v>
      </c>
      <c r="D3282" s="5" t="str">
        <f t="shared" si="113"/>
        <v>02</v>
      </c>
      <c r="E3282" t="str">
        <f>VLOOKUP(B3282,'HOGARES-BASELINE'!$B:$I,8,FALSE)</f>
        <v>01030951</v>
      </c>
      <c r="F3282" s="6" t="str">
        <f t="shared" si="112"/>
        <v>0103095102</v>
      </c>
    </row>
    <row r="3283" spans="1:6" x14ac:dyDescent="0.3">
      <c r="A3283" s="6" t="s">
        <v>3283</v>
      </c>
      <c r="B3283">
        <v>55231073</v>
      </c>
      <c r="C3283" s="3">
        <v>1</v>
      </c>
      <c r="D3283" s="5" t="str">
        <f t="shared" si="113"/>
        <v>01</v>
      </c>
      <c r="E3283" t="str">
        <f>VLOOKUP(B3283,'HOGARES-BASELINE'!$B:$I,8,FALSE)</f>
        <v>01030951</v>
      </c>
      <c r="F3283" s="6" t="str">
        <f t="shared" si="112"/>
        <v>0103095101</v>
      </c>
    </row>
    <row r="3284" spans="1:6" x14ac:dyDescent="0.3">
      <c r="A3284" s="6" t="s">
        <v>3284</v>
      </c>
      <c r="B3284">
        <v>55231073</v>
      </c>
      <c r="C3284" s="3">
        <v>4</v>
      </c>
      <c r="D3284" s="5" t="str">
        <f t="shared" si="113"/>
        <v>04</v>
      </c>
      <c r="E3284" t="str">
        <f>VLOOKUP(B3284,'HOGARES-BASELINE'!$B:$I,8,FALSE)</f>
        <v>01030951</v>
      </c>
      <c r="F3284" s="6" t="str">
        <f t="shared" si="112"/>
        <v>0103095104</v>
      </c>
    </row>
    <row r="3285" spans="1:6" x14ac:dyDescent="0.3">
      <c r="A3285" s="6" t="s">
        <v>3285</v>
      </c>
      <c r="B3285">
        <v>55232194</v>
      </c>
      <c r="C3285" s="3">
        <v>3</v>
      </c>
      <c r="D3285" s="5" t="str">
        <f t="shared" si="113"/>
        <v>03</v>
      </c>
      <c r="E3285" t="str">
        <f>VLOOKUP(B3285,'HOGARES-BASELINE'!$B:$I,8,FALSE)</f>
        <v>00030952</v>
      </c>
      <c r="F3285" s="6" t="str">
        <f t="shared" si="112"/>
        <v>0003095203</v>
      </c>
    </row>
    <row r="3286" spans="1:6" x14ac:dyDescent="0.3">
      <c r="A3286" s="6" t="s">
        <v>3286</v>
      </c>
      <c r="B3286">
        <v>55232194</v>
      </c>
      <c r="C3286" s="3">
        <v>5</v>
      </c>
      <c r="D3286" s="5" t="str">
        <f t="shared" si="113"/>
        <v>05</v>
      </c>
      <c r="E3286" t="str">
        <f>VLOOKUP(B3286,'HOGARES-BASELINE'!$B:$I,8,FALSE)</f>
        <v>00030952</v>
      </c>
      <c r="F3286" s="6" t="str">
        <f t="shared" si="112"/>
        <v>0003095205</v>
      </c>
    </row>
    <row r="3287" spans="1:6" x14ac:dyDescent="0.3">
      <c r="A3287" s="6" t="s">
        <v>3287</v>
      </c>
      <c r="B3287">
        <v>55232194</v>
      </c>
      <c r="C3287" s="3">
        <v>2</v>
      </c>
      <c r="D3287" s="5" t="str">
        <f t="shared" si="113"/>
        <v>02</v>
      </c>
      <c r="E3287" t="str">
        <f>VLOOKUP(B3287,'HOGARES-BASELINE'!$B:$I,8,FALSE)</f>
        <v>00030952</v>
      </c>
      <c r="F3287" s="6" t="str">
        <f t="shared" si="112"/>
        <v>0003095202</v>
      </c>
    </row>
    <row r="3288" spans="1:6" x14ac:dyDescent="0.3">
      <c r="A3288" s="6" t="s">
        <v>3288</v>
      </c>
      <c r="B3288">
        <v>55232194</v>
      </c>
      <c r="C3288" s="3">
        <v>4</v>
      </c>
      <c r="D3288" s="5" t="str">
        <f t="shared" si="113"/>
        <v>04</v>
      </c>
      <c r="E3288" t="str">
        <f>VLOOKUP(B3288,'HOGARES-BASELINE'!$B:$I,8,FALSE)</f>
        <v>00030952</v>
      </c>
      <c r="F3288" s="6" t="str">
        <f t="shared" si="112"/>
        <v>0003095204</v>
      </c>
    </row>
    <row r="3289" spans="1:6" x14ac:dyDescent="0.3">
      <c r="A3289" s="6" t="s">
        <v>3289</v>
      </c>
      <c r="B3289">
        <v>55232194</v>
      </c>
      <c r="C3289" s="3">
        <v>1</v>
      </c>
      <c r="D3289" s="5" t="str">
        <f t="shared" si="113"/>
        <v>01</v>
      </c>
      <c r="E3289" t="str">
        <f>VLOOKUP(B3289,'HOGARES-BASELINE'!$B:$I,8,FALSE)</f>
        <v>00030952</v>
      </c>
      <c r="F3289" s="6" t="str">
        <f t="shared" si="112"/>
        <v>0003095201</v>
      </c>
    </row>
    <row r="3290" spans="1:6" x14ac:dyDescent="0.3">
      <c r="A3290" s="6" t="s">
        <v>3290</v>
      </c>
      <c r="B3290">
        <v>55232316</v>
      </c>
      <c r="C3290" s="3">
        <v>5</v>
      </c>
      <c r="D3290" s="5" t="str">
        <f t="shared" si="113"/>
        <v>05</v>
      </c>
      <c r="E3290" t="str">
        <f>VLOOKUP(B3290,'HOGARES-BASELINE'!$B:$I,8,FALSE)</f>
        <v>01030953</v>
      </c>
      <c r="F3290" s="6" t="str">
        <f t="shared" si="112"/>
        <v>0103095305</v>
      </c>
    </row>
    <row r="3291" spans="1:6" x14ac:dyDescent="0.3">
      <c r="A3291" s="6" t="s">
        <v>3291</v>
      </c>
      <c r="B3291">
        <v>55232316</v>
      </c>
      <c r="C3291" s="3">
        <v>4</v>
      </c>
      <c r="D3291" s="5" t="str">
        <f t="shared" si="113"/>
        <v>04</v>
      </c>
      <c r="E3291" t="str">
        <f>VLOOKUP(B3291,'HOGARES-BASELINE'!$B:$I,8,FALSE)</f>
        <v>01030953</v>
      </c>
      <c r="F3291" s="6" t="str">
        <f t="shared" si="112"/>
        <v>0103095304</v>
      </c>
    </row>
    <row r="3292" spans="1:6" x14ac:dyDescent="0.3">
      <c r="A3292" s="6" t="s">
        <v>3292</v>
      </c>
      <c r="B3292">
        <v>55232316</v>
      </c>
      <c r="C3292" s="3">
        <v>1</v>
      </c>
      <c r="D3292" s="5" t="str">
        <f t="shared" si="113"/>
        <v>01</v>
      </c>
      <c r="E3292" t="str">
        <f>VLOOKUP(B3292,'HOGARES-BASELINE'!$B:$I,8,FALSE)</f>
        <v>01030953</v>
      </c>
      <c r="F3292" s="6" t="str">
        <f t="shared" si="112"/>
        <v>0103095301</v>
      </c>
    </row>
    <row r="3293" spans="1:6" x14ac:dyDescent="0.3">
      <c r="A3293" s="6" t="s">
        <v>3293</v>
      </c>
      <c r="B3293">
        <v>55232316</v>
      </c>
      <c r="C3293" s="3">
        <v>3</v>
      </c>
      <c r="D3293" s="5" t="str">
        <f t="shared" si="113"/>
        <v>03</v>
      </c>
      <c r="E3293" t="str">
        <f>VLOOKUP(B3293,'HOGARES-BASELINE'!$B:$I,8,FALSE)</f>
        <v>01030953</v>
      </c>
      <c r="F3293" s="6" t="str">
        <f t="shared" si="112"/>
        <v>0103095303</v>
      </c>
    </row>
    <row r="3294" spans="1:6" x14ac:dyDescent="0.3">
      <c r="A3294" s="6" t="s">
        <v>3294</v>
      </c>
      <c r="B3294">
        <v>55232316</v>
      </c>
      <c r="C3294" s="3">
        <v>2</v>
      </c>
      <c r="D3294" s="5" t="str">
        <f t="shared" si="113"/>
        <v>02</v>
      </c>
      <c r="E3294" t="str">
        <f>VLOOKUP(B3294,'HOGARES-BASELINE'!$B:$I,8,FALSE)</f>
        <v>01030953</v>
      </c>
      <c r="F3294" s="6" t="str">
        <f t="shared" si="112"/>
        <v>0103095302</v>
      </c>
    </row>
    <row r="3295" spans="1:6" x14ac:dyDescent="0.3">
      <c r="A3295" s="6" t="s">
        <v>3295</v>
      </c>
      <c r="B3295">
        <v>55240557</v>
      </c>
      <c r="C3295" s="3">
        <v>1</v>
      </c>
      <c r="D3295" s="5" t="str">
        <f t="shared" si="113"/>
        <v>01</v>
      </c>
      <c r="E3295" t="str">
        <f>VLOOKUP(B3295,'HOGARES-BASELINE'!$B:$I,8,FALSE)</f>
        <v>00030954</v>
      </c>
      <c r="F3295" s="6" t="str">
        <f t="shared" si="112"/>
        <v>0003095401</v>
      </c>
    </row>
    <row r="3296" spans="1:6" x14ac:dyDescent="0.3">
      <c r="A3296" s="6" t="s">
        <v>3296</v>
      </c>
      <c r="B3296">
        <v>55240557</v>
      </c>
      <c r="C3296" s="3">
        <v>2</v>
      </c>
      <c r="D3296" s="5" t="str">
        <f t="shared" si="113"/>
        <v>02</v>
      </c>
      <c r="E3296" t="str">
        <f>VLOOKUP(B3296,'HOGARES-BASELINE'!$B:$I,8,FALSE)</f>
        <v>00030954</v>
      </c>
      <c r="F3296" s="6" t="str">
        <f t="shared" si="112"/>
        <v>0003095402</v>
      </c>
    </row>
    <row r="3297" spans="1:6" x14ac:dyDescent="0.3">
      <c r="A3297" s="6" t="s">
        <v>3297</v>
      </c>
      <c r="B3297">
        <v>55240557</v>
      </c>
      <c r="C3297" s="3">
        <v>4</v>
      </c>
      <c r="D3297" s="5" t="str">
        <f t="shared" si="113"/>
        <v>04</v>
      </c>
      <c r="E3297" t="str">
        <f>VLOOKUP(B3297,'HOGARES-BASELINE'!$B:$I,8,FALSE)</f>
        <v>00030954</v>
      </c>
      <c r="F3297" s="6" t="str">
        <f t="shared" si="112"/>
        <v>0003095404</v>
      </c>
    </row>
    <row r="3298" spans="1:6" x14ac:dyDescent="0.3">
      <c r="A3298" s="6" t="s">
        <v>3298</v>
      </c>
      <c r="B3298">
        <v>55240557</v>
      </c>
      <c r="C3298" s="3">
        <v>3</v>
      </c>
      <c r="D3298" s="5" t="str">
        <f t="shared" si="113"/>
        <v>03</v>
      </c>
      <c r="E3298" t="str">
        <f>VLOOKUP(B3298,'HOGARES-BASELINE'!$B:$I,8,FALSE)</f>
        <v>00030954</v>
      </c>
      <c r="F3298" s="6" t="str">
        <f t="shared" si="112"/>
        <v>0003095403</v>
      </c>
    </row>
    <row r="3299" spans="1:6" x14ac:dyDescent="0.3">
      <c r="A3299" s="6" t="s">
        <v>3299</v>
      </c>
      <c r="B3299">
        <v>55300439</v>
      </c>
      <c r="C3299" s="3">
        <v>4</v>
      </c>
      <c r="D3299" s="5" t="str">
        <f t="shared" si="113"/>
        <v>04</v>
      </c>
      <c r="E3299" t="str">
        <f>VLOOKUP(B3299,'HOGARES-BASELINE'!$B:$I,8,FALSE)</f>
        <v>00030955</v>
      </c>
      <c r="F3299" s="6" t="str">
        <f t="shared" si="112"/>
        <v>0003095504</v>
      </c>
    </row>
    <row r="3300" spans="1:6" x14ac:dyDescent="0.3">
      <c r="A3300" s="6" t="s">
        <v>3300</v>
      </c>
      <c r="B3300">
        <v>55300439</v>
      </c>
      <c r="C3300" s="3">
        <v>1</v>
      </c>
      <c r="D3300" s="5" t="str">
        <f t="shared" si="113"/>
        <v>01</v>
      </c>
      <c r="E3300" t="str">
        <f>VLOOKUP(B3300,'HOGARES-BASELINE'!$B:$I,8,FALSE)</f>
        <v>00030955</v>
      </c>
      <c r="F3300" s="6" t="str">
        <f t="shared" si="112"/>
        <v>0003095501</v>
      </c>
    </row>
    <row r="3301" spans="1:6" x14ac:dyDescent="0.3">
      <c r="A3301" s="6" t="s">
        <v>3301</v>
      </c>
      <c r="B3301">
        <v>55300439</v>
      </c>
      <c r="C3301" s="3">
        <v>3</v>
      </c>
      <c r="D3301" s="5" t="str">
        <f t="shared" si="113"/>
        <v>03</v>
      </c>
      <c r="E3301" t="str">
        <f>VLOOKUP(B3301,'HOGARES-BASELINE'!$B:$I,8,FALSE)</f>
        <v>00030955</v>
      </c>
      <c r="F3301" s="6" t="str">
        <f t="shared" si="112"/>
        <v>0003095503</v>
      </c>
    </row>
    <row r="3302" spans="1:6" x14ac:dyDescent="0.3">
      <c r="A3302" s="6" t="s">
        <v>3302</v>
      </c>
      <c r="B3302">
        <v>55300439</v>
      </c>
      <c r="C3302" s="3">
        <v>2</v>
      </c>
      <c r="D3302" s="5" t="str">
        <f t="shared" si="113"/>
        <v>02</v>
      </c>
      <c r="E3302" t="str">
        <f>VLOOKUP(B3302,'HOGARES-BASELINE'!$B:$I,8,FALSE)</f>
        <v>00030955</v>
      </c>
      <c r="F3302" s="6" t="str">
        <f t="shared" si="112"/>
        <v>0003095502</v>
      </c>
    </row>
    <row r="3303" spans="1:6" x14ac:dyDescent="0.3">
      <c r="A3303" s="6" t="s">
        <v>3303</v>
      </c>
      <c r="B3303">
        <v>57304740</v>
      </c>
      <c r="C3303" s="3">
        <v>2</v>
      </c>
      <c r="D3303" s="5" t="str">
        <f t="shared" si="113"/>
        <v>02</v>
      </c>
      <c r="E3303" t="str">
        <f>VLOOKUP(B3303,'HOGARES-BASELINE'!$B:$I,8,FALSE)</f>
        <v>01030956</v>
      </c>
      <c r="F3303" s="6" t="str">
        <f t="shared" si="112"/>
        <v>0103095602</v>
      </c>
    </row>
    <row r="3304" spans="1:6" x14ac:dyDescent="0.3">
      <c r="A3304" s="6" t="s">
        <v>3304</v>
      </c>
      <c r="B3304">
        <v>57304740</v>
      </c>
      <c r="C3304" s="3">
        <v>6</v>
      </c>
      <c r="D3304" s="5" t="str">
        <f t="shared" si="113"/>
        <v>06</v>
      </c>
      <c r="E3304" t="str">
        <f>VLOOKUP(B3304,'HOGARES-BASELINE'!$B:$I,8,FALSE)</f>
        <v>01030956</v>
      </c>
      <c r="F3304" s="6" t="str">
        <f t="shared" si="112"/>
        <v>0103095606</v>
      </c>
    </row>
    <row r="3305" spans="1:6" x14ac:dyDescent="0.3">
      <c r="A3305" s="6" t="s">
        <v>3305</v>
      </c>
      <c r="B3305">
        <v>57304740</v>
      </c>
      <c r="C3305" s="3">
        <v>1</v>
      </c>
      <c r="D3305" s="5" t="str">
        <f t="shared" si="113"/>
        <v>01</v>
      </c>
      <c r="E3305" t="str">
        <f>VLOOKUP(B3305,'HOGARES-BASELINE'!$B:$I,8,FALSE)</f>
        <v>01030956</v>
      </c>
      <c r="F3305" s="6" t="str">
        <f t="shared" si="112"/>
        <v>0103095601</v>
      </c>
    </row>
    <row r="3306" spans="1:6" x14ac:dyDescent="0.3">
      <c r="A3306" s="6" t="s">
        <v>3306</v>
      </c>
      <c r="B3306">
        <v>57304740</v>
      </c>
      <c r="C3306" s="3">
        <v>4</v>
      </c>
      <c r="D3306" s="5" t="str">
        <f t="shared" si="113"/>
        <v>04</v>
      </c>
      <c r="E3306" t="str">
        <f>VLOOKUP(B3306,'HOGARES-BASELINE'!$B:$I,8,FALSE)</f>
        <v>01030956</v>
      </c>
      <c r="F3306" s="6" t="str">
        <f t="shared" si="112"/>
        <v>0103095604</v>
      </c>
    </row>
    <row r="3307" spans="1:6" x14ac:dyDescent="0.3">
      <c r="A3307" s="6" t="s">
        <v>3307</v>
      </c>
      <c r="B3307">
        <v>57304740</v>
      </c>
      <c r="C3307" s="3">
        <v>7</v>
      </c>
      <c r="D3307" s="5" t="str">
        <f t="shared" si="113"/>
        <v>07</v>
      </c>
      <c r="E3307" t="str">
        <f>VLOOKUP(B3307,'HOGARES-BASELINE'!$B:$I,8,FALSE)</f>
        <v>01030956</v>
      </c>
      <c r="F3307" s="6" t="str">
        <f t="shared" si="112"/>
        <v>0103095607</v>
      </c>
    </row>
    <row r="3308" spans="1:6" x14ac:dyDescent="0.3">
      <c r="A3308" s="6" t="s">
        <v>3308</v>
      </c>
      <c r="B3308">
        <v>57304740</v>
      </c>
      <c r="C3308" s="3">
        <v>3</v>
      </c>
      <c r="D3308" s="5" t="str">
        <f t="shared" si="113"/>
        <v>03</v>
      </c>
      <c r="E3308" t="str">
        <f>VLOOKUP(B3308,'HOGARES-BASELINE'!$B:$I,8,FALSE)</f>
        <v>01030956</v>
      </c>
      <c r="F3308" s="6" t="str">
        <f t="shared" si="112"/>
        <v>0103095603</v>
      </c>
    </row>
    <row r="3309" spans="1:6" x14ac:dyDescent="0.3">
      <c r="A3309" s="6" t="s">
        <v>3309</v>
      </c>
      <c r="B3309">
        <v>57304740</v>
      </c>
      <c r="C3309" s="3">
        <v>5</v>
      </c>
      <c r="D3309" s="5" t="str">
        <f t="shared" si="113"/>
        <v>05</v>
      </c>
      <c r="E3309" t="str">
        <f>VLOOKUP(B3309,'HOGARES-BASELINE'!$B:$I,8,FALSE)</f>
        <v>01030956</v>
      </c>
      <c r="F3309" s="6" t="str">
        <f t="shared" si="112"/>
        <v>0103095605</v>
      </c>
    </row>
    <row r="3310" spans="1:6" x14ac:dyDescent="0.3">
      <c r="A3310" s="6" t="s">
        <v>3310</v>
      </c>
      <c r="B3310">
        <v>6307220</v>
      </c>
      <c r="C3310" s="3">
        <v>2</v>
      </c>
      <c r="D3310" s="5" t="str">
        <f t="shared" si="113"/>
        <v>02</v>
      </c>
      <c r="E3310" t="str">
        <f>VLOOKUP(B3310,'HOGARES-BASELINE'!$B:$I,8,FALSE)</f>
        <v>01020957</v>
      </c>
      <c r="F3310" s="6" t="str">
        <f t="shared" si="112"/>
        <v>0102095702</v>
      </c>
    </row>
    <row r="3311" spans="1:6" x14ac:dyDescent="0.3">
      <c r="A3311" s="6" t="s">
        <v>3311</v>
      </c>
      <c r="B3311">
        <v>6307220</v>
      </c>
      <c r="C3311" s="3">
        <v>1</v>
      </c>
      <c r="D3311" s="5" t="str">
        <f t="shared" si="113"/>
        <v>01</v>
      </c>
      <c r="E3311" t="str">
        <f>VLOOKUP(B3311,'HOGARES-BASELINE'!$B:$I,8,FALSE)</f>
        <v>01020957</v>
      </c>
      <c r="F3311" s="6" t="str">
        <f t="shared" si="112"/>
        <v>0102095701</v>
      </c>
    </row>
    <row r="3312" spans="1:6" x14ac:dyDescent="0.3">
      <c r="A3312" s="6" t="s">
        <v>3312</v>
      </c>
      <c r="B3312">
        <v>6307220</v>
      </c>
      <c r="C3312" s="3">
        <v>3</v>
      </c>
      <c r="D3312" s="5" t="str">
        <f t="shared" si="113"/>
        <v>03</v>
      </c>
      <c r="E3312" t="str">
        <f>VLOOKUP(B3312,'HOGARES-BASELINE'!$B:$I,8,FALSE)</f>
        <v>01020957</v>
      </c>
      <c r="F3312" s="6" t="str">
        <f t="shared" si="112"/>
        <v>0102095703</v>
      </c>
    </row>
    <row r="3313" spans="1:6" x14ac:dyDescent="0.3">
      <c r="A3313" s="6" t="s">
        <v>3313</v>
      </c>
      <c r="B3313">
        <v>64479725</v>
      </c>
      <c r="C3313" s="3">
        <v>1</v>
      </c>
      <c r="D3313" s="5" t="str">
        <f t="shared" si="113"/>
        <v>01</v>
      </c>
      <c r="E3313" t="str">
        <f>VLOOKUP(B3313,'HOGARES-BASELINE'!$B:$I,8,FALSE)</f>
        <v>00030958</v>
      </c>
      <c r="F3313" s="6" t="str">
        <f t="shared" si="112"/>
        <v>0003095801</v>
      </c>
    </row>
    <row r="3314" spans="1:6" x14ac:dyDescent="0.3">
      <c r="A3314" s="6" t="s">
        <v>3314</v>
      </c>
      <c r="B3314">
        <v>64479725</v>
      </c>
      <c r="C3314" s="3">
        <v>4</v>
      </c>
      <c r="D3314" s="5" t="str">
        <f t="shared" si="113"/>
        <v>04</v>
      </c>
      <c r="E3314" t="str">
        <f>VLOOKUP(B3314,'HOGARES-BASELINE'!$B:$I,8,FALSE)</f>
        <v>00030958</v>
      </c>
      <c r="F3314" s="6" t="str">
        <f t="shared" si="112"/>
        <v>0003095804</v>
      </c>
    </row>
    <row r="3315" spans="1:6" x14ac:dyDescent="0.3">
      <c r="A3315" s="6" t="s">
        <v>3315</v>
      </c>
      <c r="B3315">
        <v>64479725</v>
      </c>
      <c r="C3315" s="3">
        <v>5</v>
      </c>
      <c r="D3315" s="5" t="str">
        <f t="shared" si="113"/>
        <v>05</v>
      </c>
      <c r="E3315" t="str">
        <f>VLOOKUP(B3315,'HOGARES-BASELINE'!$B:$I,8,FALSE)</f>
        <v>00030958</v>
      </c>
      <c r="F3315" s="6" t="str">
        <f t="shared" si="112"/>
        <v>0003095805</v>
      </c>
    </row>
    <row r="3316" spans="1:6" x14ac:dyDescent="0.3">
      <c r="A3316" s="6" t="s">
        <v>3316</v>
      </c>
      <c r="B3316">
        <v>64479725</v>
      </c>
      <c r="C3316" s="3">
        <v>2</v>
      </c>
      <c r="D3316" s="5" t="str">
        <f t="shared" si="113"/>
        <v>02</v>
      </c>
      <c r="E3316" t="str">
        <f>VLOOKUP(B3316,'HOGARES-BASELINE'!$B:$I,8,FALSE)</f>
        <v>00030958</v>
      </c>
      <c r="F3316" s="6" t="str">
        <f t="shared" si="112"/>
        <v>0003095802</v>
      </c>
    </row>
    <row r="3317" spans="1:6" x14ac:dyDescent="0.3">
      <c r="A3317" s="6" t="s">
        <v>3317</v>
      </c>
      <c r="B3317">
        <v>64479725</v>
      </c>
      <c r="C3317" s="3">
        <v>3</v>
      </c>
      <c r="D3317" s="5" t="str">
        <f t="shared" si="113"/>
        <v>03</v>
      </c>
      <c r="E3317" t="str">
        <f>VLOOKUP(B3317,'HOGARES-BASELINE'!$B:$I,8,FALSE)</f>
        <v>00030958</v>
      </c>
      <c r="F3317" s="6" t="str">
        <f t="shared" si="112"/>
        <v>0003095803</v>
      </c>
    </row>
    <row r="3318" spans="1:6" x14ac:dyDescent="0.3">
      <c r="A3318" s="6" t="s">
        <v>3318</v>
      </c>
      <c r="B3318">
        <v>64558825</v>
      </c>
      <c r="C3318" s="3">
        <v>2</v>
      </c>
      <c r="D3318" s="5" t="str">
        <f t="shared" si="113"/>
        <v>02</v>
      </c>
      <c r="E3318" t="str">
        <f>VLOOKUP(B3318,'HOGARES-BASELINE'!$B:$I,8,FALSE)</f>
        <v>01030959</v>
      </c>
      <c r="F3318" s="6" t="str">
        <f t="shared" si="112"/>
        <v>0103095902</v>
      </c>
    </row>
    <row r="3319" spans="1:6" x14ac:dyDescent="0.3">
      <c r="A3319" s="6" t="s">
        <v>3319</v>
      </c>
      <c r="B3319">
        <v>64558825</v>
      </c>
      <c r="C3319" s="3">
        <v>4</v>
      </c>
      <c r="D3319" s="5" t="str">
        <f t="shared" si="113"/>
        <v>04</v>
      </c>
      <c r="E3319" t="str">
        <f>VLOOKUP(B3319,'HOGARES-BASELINE'!$B:$I,8,FALSE)</f>
        <v>01030959</v>
      </c>
      <c r="F3319" s="6" t="str">
        <f t="shared" si="112"/>
        <v>0103095904</v>
      </c>
    </row>
    <row r="3320" spans="1:6" x14ac:dyDescent="0.3">
      <c r="A3320" s="6" t="s">
        <v>3320</v>
      </c>
      <c r="B3320">
        <v>64558825</v>
      </c>
      <c r="C3320" s="3">
        <v>3</v>
      </c>
      <c r="D3320" s="5" t="str">
        <f t="shared" si="113"/>
        <v>03</v>
      </c>
      <c r="E3320" t="str">
        <f>VLOOKUP(B3320,'HOGARES-BASELINE'!$B:$I,8,FALSE)</f>
        <v>01030959</v>
      </c>
      <c r="F3320" s="6" t="str">
        <f t="shared" si="112"/>
        <v>0103095903</v>
      </c>
    </row>
    <row r="3321" spans="1:6" x14ac:dyDescent="0.3">
      <c r="A3321" s="6" t="s">
        <v>3321</v>
      </c>
      <c r="B3321">
        <v>64558825</v>
      </c>
      <c r="C3321" s="3">
        <v>1</v>
      </c>
      <c r="D3321" s="5" t="str">
        <f t="shared" si="113"/>
        <v>01</v>
      </c>
      <c r="E3321" t="str">
        <f>VLOOKUP(B3321,'HOGARES-BASELINE'!$B:$I,8,FALSE)</f>
        <v>01030959</v>
      </c>
      <c r="F3321" s="6" t="str">
        <f t="shared" si="112"/>
        <v>0103095901</v>
      </c>
    </row>
    <row r="3322" spans="1:6" x14ac:dyDescent="0.3">
      <c r="A3322" s="6" t="s">
        <v>3322</v>
      </c>
      <c r="B3322">
        <v>64865431</v>
      </c>
      <c r="C3322" s="3">
        <v>1</v>
      </c>
      <c r="D3322" s="5" t="str">
        <f t="shared" si="113"/>
        <v>01</v>
      </c>
      <c r="E3322" t="str">
        <f>VLOOKUP(B3322,'HOGARES-BASELINE'!$B:$I,8,FALSE)</f>
        <v>00030960</v>
      </c>
      <c r="F3322" s="6" t="str">
        <f t="shared" si="112"/>
        <v>0003096001</v>
      </c>
    </row>
    <row r="3323" spans="1:6" x14ac:dyDescent="0.3">
      <c r="A3323" s="6" t="s">
        <v>3323</v>
      </c>
      <c r="B3323">
        <v>64865431</v>
      </c>
      <c r="C3323" s="3">
        <v>2</v>
      </c>
      <c r="D3323" s="5" t="str">
        <f t="shared" si="113"/>
        <v>02</v>
      </c>
      <c r="E3323" t="str">
        <f>VLOOKUP(B3323,'HOGARES-BASELINE'!$B:$I,8,FALSE)</f>
        <v>00030960</v>
      </c>
      <c r="F3323" s="6" t="str">
        <f t="shared" si="112"/>
        <v>0003096002</v>
      </c>
    </row>
    <row r="3324" spans="1:6" x14ac:dyDescent="0.3">
      <c r="A3324" s="6" t="s">
        <v>3324</v>
      </c>
      <c r="B3324">
        <v>64865431</v>
      </c>
      <c r="C3324" s="3">
        <v>6</v>
      </c>
      <c r="D3324" s="5" t="str">
        <f t="shared" si="113"/>
        <v>06</v>
      </c>
      <c r="E3324" t="str">
        <f>VLOOKUP(B3324,'HOGARES-BASELINE'!$B:$I,8,FALSE)</f>
        <v>00030960</v>
      </c>
      <c r="F3324" s="6" t="str">
        <f t="shared" si="112"/>
        <v>0003096006</v>
      </c>
    </row>
    <row r="3325" spans="1:6" x14ac:dyDescent="0.3">
      <c r="A3325" s="6" t="s">
        <v>3325</v>
      </c>
      <c r="B3325">
        <v>64865431</v>
      </c>
      <c r="C3325" s="3">
        <v>3</v>
      </c>
      <c r="D3325" s="5" t="str">
        <f t="shared" si="113"/>
        <v>03</v>
      </c>
      <c r="E3325" t="str">
        <f>VLOOKUP(B3325,'HOGARES-BASELINE'!$B:$I,8,FALSE)</f>
        <v>00030960</v>
      </c>
      <c r="F3325" s="6" t="str">
        <f t="shared" si="112"/>
        <v>0003096003</v>
      </c>
    </row>
    <row r="3326" spans="1:6" x14ac:dyDescent="0.3">
      <c r="A3326" s="6" t="s">
        <v>3326</v>
      </c>
      <c r="B3326">
        <v>64865431</v>
      </c>
      <c r="C3326" s="3">
        <v>5</v>
      </c>
      <c r="D3326" s="5" t="str">
        <f t="shared" si="113"/>
        <v>05</v>
      </c>
      <c r="E3326" t="str">
        <f>VLOOKUP(B3326,'HOGARES-BASELINE'!$B:$I,8,FALSE)</f>
        <v>00030960</v>
      </c>
      <c r="F3326" s="6" t="str">
        <f t="shared" si="112"/>
        <v>0003096005</v>
      </c>
    </row>
    <row r="3327" spans="1:6" x14ac:dyDescent="0.3">
      <c r="A3327" s="6" t="s">
        <v>3327</v>
      </c>
      <c r="B3327">
        <v>64865431</v>
      </c>
      <c r="C3327" s="3">
        <v>4</v>
      </c>
      <c r="D3327" s="5" t="str">
        <f t="shared" si="113"/>
        <v>04</v>
      </c>
      <c r="E3327" t="str">
        <f>VLOOKUP(B3327,'HOGARES-BASELINE'!$B:$I,8,FALSE)</f>
        <v>00030960</v>
      </c>
      <c r="F3327" s="6" t="str">
        <f t="shared" si="112"/>
        <v>0003096004</v>
      </c>
    </row>
    <row r="3328" spans="1:6" x14ac:dyDescent="0.3">
      <c r="A3328" s="6" t="s">
        <v>3328</v>
      </c>
      <c r="B3328">
        <v>65747539</v>
      </c>
      <c r="C3328" s="3">
        <v>2</v>
      </c>
      <c r="D3328" s="5" t="str">
        <f t="shared" si="113"/>
        <v>02</v>
      </c>
      <c r="E3328" t="str">
        <f>VLOOKUP(B3328,'HOGARES-BASELINE'!$B:$I,8,FALSE)</f>
        <v>00030961</v>
      </c>
      <c r="F3328" s="6" t="str">
        <f t="shared" si="112"/>
        <v>0003096102</v>
      </c>
    </row>
    <row r="3329" spans="1:6" x14ac:dyDescent="0.3">
      <c r="A3329" s="6" t="s">
        <v>3329</v>
      </c>
      <c r="B3329">
        <v>65747539</v>
      </c>
      <c r="C3329" s="3">
        <v>1</v>
      </c>
      <c r="D3329" s="5" t="str">
        <f t="shared" si="113"/>
        <v>01</v>
      </c>
      <c r="E3329" t="str">
        <f>VLOOKUP(B3329,'HOGARES-BASELINE'!$B:$I,8,FALSE)</f>
        <v>00030961</v>
      </c>
      <c r="F3329" s="6" t="str">
        <f t="shared" si="112"/>
        <v>0003096101</v>
      </c>
    </row>
    <row r="3330" spans="1:6" x14ac:dyDescent="0.3">
      <c r="A3330" s="6" t="s">
        <v>3330</v>
      </c>
      <c r="B3330">
        <v>65815427</v>
      </c>
      <c r="C3330" s="3">
        <v>1</v>
      </c>
      <c r="D3330" s="5" t="str">
        <f t="shared" si="113"/>
        <v>01</v>
      </c>
      <c r="E3330" t="str">
        <f>VLOOKUP(B3330,'HOGARES-BASELINE'!$B:$I,8,FALSE)</f>
        <v>01020962</v>
      </c>
      <c r="F3330" s="6" t="str">
        <f t="shared" si="112"/>
        <v>0102096201</v>
      </c>
    </row>
    <row r="3331" spans="1:6" x14ac:dyDescent="0.3">
      <c r="A3331" s="6" t="s">
        <v>3331</v>
      </c>
      <c r="B3331">
        <v>65815427</v>
      </c>
      <c r="C3331" s="3">
        <v>2</v>
      </c>
      <c r="D3331" s="5" t="str">
        <f t="shared" si="113"/>
        <v>02</v>
      </c>
      <c r="E3331" t="str">
        <f>VLOOKUP(B3331,'HOGARES-BASELINE'!$B:$I,8,FALSE)</f>
        <v>01020962</v>
      </c>
      <c r="F3331" s="6" t="str">
        <f t="shared" ref="F3331:F3394" si="114">_xlfn.CONCAT(E3331,D3331)</f>
        <v>0102096202</v>
      </c>
    </row>
    <row r="3332" spans="1:6" x14ac:dyDescent="0.3">
      <c r="A3332" s="6" t="s">
        <v>3332</v>
      </c>
      <c r="B3332">
        <v>66814958</v>
      </c>
      <c r="C3332" s="3">
        <v>3</v>
      </c>
      <c r="D3332" s="5" t="str">
        <f t="shared" si="113"/>
        <v>03</v>
      </c>
      <c r="E3332" t="str">
        <f>VLOOKUP(B3332,'HOGARES-BASELINE'!$B:$I,8,FALSE)</f>
        <v>00020963</v>
      </c>
      <c r="F3332" s="6" t="str">
        <f t="shared" si="114"/>
        <v>0002096303</v>
      </c>
    </row>
    <row r="3333" spans="1:6" x14ac:dyDescent="0.3">
      <c r="A3333" s="6" t="s">
        <v>3333</v>
      </c>
      <c r="B3333">
        <v>66814958</v>
      </c>
      <c r="C3333" s="3">
        <v>2</v>
      </c>
      <c r="D3333" s="5" t="str">
        <f t="shared" si="113"/>
        <v>02</v>
      </c>
      <c r="E3333" t="str">
        <f>VLOOKUP(B3333,'HOGARES-BASELINE'!$B:$I,8,FALSE)</f>
        <v>00020963</v>
      </c>
      <c r="F3333" s="6" t="str">
        <f t="shared" si="114"/>
        <v>0002096302</v>
      </c>
    </row>
    <row r="3334" spans="1:6" x14ac:dyDescent="0.3">
      <c r="A3334" s="6" t="s">
        <v>3334</v>
      </c>
      <c r="B3334">
        <v>66814958</v>
      </c>
      <c r="C3334" s="3">
        <v>1</v>
      </c>
      <c r="D3334" s="5" t="str">
        <f t="shared" si="113"/>
        <v>01</v>
      </c>
      <c r="E3334" t="str">
        <f>VLOOKUP(B3334,'HOGARES-BASELINE'!$B:$I,8,FALSE)</f>
        <v>00020963</v>
      </c>
      <c r="F3334" s="6" t="str">
        <f t="shared" si="114"/>
        <v>0002096301</v>
      </c>
    </row>
    <row r="3335" spans="1:6" x14ac:dyDescent="0.3">
      <c r="A3335" s="6" t="s">
        <v>3335</v>
      </c>
      <c r="B3335">
        <v>66815424</v>
      </c>
      <c r="C3335" s="3">
        <v>4</v>
      </c>
      <c r="D3335" s="5" t="str">
        <f t="shared" ref="D3335:D3398" si="115">_xlfn.CONCAT(0,C3335)</f>
        <v>04</v>
      </c>
      <c r="E3335" t="str">
        <f>VLOOKUP(B3335,'HOGARES-BASELINE'!$B:$I,8,FALSE)</f>
        <v>00020964</v>
      </c>
      <c r="F3335" s="6" t="str">
        <f t="shared" si="114"/>
        <v>0002096404</v>
      </c>
    </row>
    <row r="3336" spans="1:6" x14ac:dyDescent="0.3">
      <c r="A3336" s="6" t="s">
        <v>3336</v>
      </c>
      <c r="B3336">
        <v>66815424</v>
      </c>
      <c r="C3336" s="3">
        <v>2</v>
      </c>
      <c r="D3336" s="5" t="str">
        <f t="shared" si="115"/>
        <v>02</v>
      </c>
      <c r="E3336" t="str">
        <f>VLOOKUP(B3336,'HOGARES-BASELINE'!$B:$I,8,FALSE)</f>
        <v>00020964</v>
      </c>
      <c r="F3336" s="6" t="str">
        <f t="shared" si="114"/>
        <v>0002096402</v>
      </c>
    </row>
    <row r="3337" spans="1:6" x14ac:dyDescent="0.3">
      <c r="A3337" s="6" t="s">
        <v>3337</v>
      </c>
      <c r="B3337">
        <v>66815424</v>
      </c>
      <c r="C3337" s="3">
        <v>1</v>
      </c>
      <c r="D3337" s="5" t="str">
        <f t="shared" si="115"/>
        <v>01</v>
      </c>
      <c r="E3337" t="str">
        <f>VLOOKUP(B3337,'HOGARES-BASELINE'!$B:$I,8,FALSE)</f>
        <v>00020964</v>
      </c>
      <c r="F3337" s="6" t="str">
        <f t="shared" si="114"/>
        <v>0002096401</v>
      </c>
    </row>
    <row r="3338" spans="1:6" x14ac:dyDescent="0.3">
      <c r="A3338" s="6" t="s">
        <v>3338</v>
      </c>
      <c r="B3338">
        <v>66815424</v>
      </c>
      <c r="C3338" s="3">
        <v>3</v>
      </c>
      <c r="D3338" s="5" t="str">
        <f t="shared" si="115"/>
        <v>03</v>
      </c>
      <c r="E3338" t="str">
        <f>VLOOKUP(B3338,'HOGARES-BASELINE'!$B:$I,8,FALSE)</f>
        <v>00020964</v>
      </c>
      <c r="F3338" s="6" t="str">
        <f t="shared" si="114"/>
        <v>0002096403</v>
      </c>
    </row>
    <row r="3339" spans="1:6" x14ac:dyDescent="0.3">
      <c r="A3339" s="6" t="s">
        <v>3339</v>
      </c>
      <c r="B3339">
        <v>66819007</v>
      </c>
      <c r="C3339" s="3">
        <v>1</v>
      </c>
      <c r="D3339" s="5" t="str">
        <f t="shared" si="115"/>
        <v>01</v>
      </c>
      <c r="E3339" t="str">
        <f>VLOOKUP(B3339,'HOGARES-BASELINE'!$B:$I,8,FALSE)</f>
        <v>01020965</v>
      </c>
      <c r="F3339" s="6" t="str">
        <f t="shared" si="114"/>
        <v>0102096501</v>
      </c>
    </row>
    <row r="3340" spans="1:6" x14ac:dyDescent="0.3">
      <c r="A3340" s="6" t="s">
        <v>3340</v>
      </c>
      <c r="B3340">
        <v>66826171</v>
      </c>
      <c r="C3340" s="3">
        <v>4</v>
      </c>
      <c r="D3340" s="5" t="str">
        <f t="shared" si="115"/>
        <v>04</v>
      </c>
      <c r="E3340" t="str">
        <f>VLOOKUP(B3340,'HOGARES-BASELINE'!$B:$I,8,FALSE)</f>
        <v>01020966</v>
      </c>
      <c r="F3340" s="6" t="str">
        <f t="shared" si="114"/>
        <v>0102096604</v>
      </c>
    </row>
    <row r="3341" spans="1:6" x14ac:dyDescent="0.3">
      <c r="A3341" s="6" t="s">
        <v>3341</v>
      </c>
      <c r="B3341">
        <v>66826171</v>
      </c>
      <c r="C3341" s="3">
        <v>3</v>
      </c>
      <c r="D3341" s="5" t="str">
        <f t="shared" si="115"/>
        <v>03</v>
      </c>
      <c r="E3341" t="str">
        <f>VLOOKUP(B3341,'HOGARES-BASELINE'!$B:$I,8,FALSE)</f>
        <v>01020966</v>
      </c>
      <c r="F3341" s="6" t="str">
        <f t="shared" si="114"/>
        <v>0102096603</v>
      </c>
    </row>
    <row r="3342" spans="1:6" x14ac:dyDescent="0.3">
      <c r="A3342" s="6" t="s">
        <v>3342</v>
      </c>
      <c r="B3342">
        <v>66826171</v>
      </c>
      <c r="C3342" s="3">
        <v>1</v>
      </c>
      <c r="D3342" s="5" t="str">
        <f t="shared" si="115"/>
        <v>01</v>
      </c>
      <c r="E3342" t="str">
        <f>VLOOKUP(B3342,'HOGARES-BASELINE'!$B:$I,8,FALSE)</f>
        <v>01020966</v>
      </c>
      <c r="F3342" s="6" t="str">
        <f t="shared" si="114"/>
        <v>0102096601</v>
      </c>
    </row>
    <row r="3343" spans="1:6" x14ac:dyDescent="0.3">
      <c r="A3343" s="6" t="s">
        <v>3343</v>
      </c>
      <c r="B3343">
        <v>66826171</v>
      </c>
      <c r="C3343" s="3">
        <v>2</v>
      </c>
      <c r="D3343" s="5" t="str">
        <f t="shared" si="115"/>
        <v>02</v>
      </c>
      <c r="E3343" t="str">
        <f>VLOOKUP(B3343,'HOGARES-BASELINE'!$B:$I,8,FALSE)</f>
        <v>01020966</v>
      </c>
      <c r="F3343" s="6" t="str">
        <f t="shared" si="114"/>
        <v>0102096602</v>
      </c>
    </row>
    <row r="3344" spans="1:6" x14ac:dyDescent="0.3">
      <c r="A3344" s="6" t="s">
        <v>3344</v>
      </c>
      <c r="B3344">
        <v>66829892</v>
      </c>
      <c r="C3344" s="3">
        <v>1</v>
      </c>
      <c r="D3344" s="5" t="str">
        <f t="shared" si="115"/>
        <v>01</v>
      </c>
      <c r="E3344" t="str">
        <f>VLOOKUP(B3344,'HOGARES-BASELINE'!$B:$I,8,FALSE)</f>
        <v>00020967</v>
      </c>
      <c r="F3344" s="6" t="str">
        <f t="shared" si="114"/>
        <v>0002096701</v>
      </c>
    </row>
    <row r="3345" spans="1:6" x14ac:dyDescent="0.3">
      <c r="A3345" s="6" t="s">
        <v>3345</v>
      </c>
      <c r="B3345">
        <v>66829892</v>
      </c>
      <c r="C3345" s="3">
        <v>2</v>
      </c>
      <c r="D3345" s="5" t="str">
        <f t="shared" si="115"/>
        <v>02</v>
      </c>
      <c r="E3345" t="str">
        <f>VLOOKUP(B3345,'HOGARES-BASELINE'!$B:$I,8,FALSE)</f>
        <v>00020967</v>
      </c>
      <c r="F3345" s="6" t="str">
        <f t="shared" si="114"/>
        <v>0002096702</v>
      </c>
    </row>
    <row r="3346" spans="1:6" x14ac:dyDescent="0.3">
      <c r="A3346" s="6" t="s">
        <v>3346</v>
      </c>
      <c r="B3346">
        <v>66831349</v>
      </c>
      <c r="C3346" s="3">
        <v>2</v>
      </c>
      <c r="D3346" s="5" t="str">
        <f t="shared" si="115"/>
        <v>02</v>
      </c>
      <c r="E3346" t="str">
        <f>VLOOKUP(B3346,'HOGARES-BASELINE'!$B:$I,8,FALSE)</f>
        <v>00020968</v>
      </c>
      <c r="F3346" s="6" t="str">
        <f t="shared" si="114"/>
        <v>0002096802</v>
      </c>
    </row>
    <row r="3347" spans="1:6" x14ac:dyDescent="0.3">
      <c r="A3347" s="6" t="s">
        <v>3347</v>
      </c>
      <c r="B3347">
        <v>66831349</v>
      </c>
      <c r="C3347" s="3">
        <v>5</v>
      </c>
      <c r="D3347" s="5" t="str">
        <f t="shared" si="115"/>
        <v>05</v>
      </c>
      <c r="E3347" t="str">
        <f>VLOOKUP(B3347,'HOGARES-BASELINE'!$B:$I,8,FALSE)</f>
        <v>00020968</v>
      </c>
      <c r="F3347" s="6" t="str">
        <f t="shared" si="114"/>
        <v>0002096805</v>
      </c>
    </row>
    <row r="3348" spans="1:6" x14ac:dyDescent="0.3">
      <c r="A3348" s="6" t="s">
        <v>3348</v>
      </c>
      <c r="B3348">
        <v>66831349</v>
      </c>
      <c r="C3348" s="3">
        <v>4</v>
      </c>
      <c r="D3348" s="5" t="str">
        <f t="shared" si="115"/>
        <v>04</v>
      </c>
      <c r="E3348" t="str">
        <f>VLOOKUP(B3348,'HOGARES-BASELINE'!$B:$I,8,FALSE)</f>
        <v>00020968</v>
      </c>
      <c r="F3348" s="6" t="str">
        <f t="shared" si="114"/>
        <v>0002096804</v>
      </c>
    </row>
    <row r="3349" spans="1:6" x14ac:dyDescent="0.3">
      <c r="A3349" s="6" t="s">
        <v>3349</v>
      </c>
      <c r="B3349">
        <v>66831349</v>
      </c>
      <c r="C3349" s="3">
        <v>1</v>
      </c>
      <c r="D3349" s="5" t="str">
        <f t="shared" si="115"/>
        <v>01</v>
      </c>
      <c r="E3349" t="str">
        <f>VLOOKUP(B3349,'HOGARES-BASELINE'!$B:$I,8,FALSE)</f>
        <v>00020968</v>
      </c>
      <c r="F3349" s="6" t="str">
        <f t="shared" si="114"/>
        <v>0002096801</v>
      </c>
    </row>
    <row r="3350" spans="1:6" x14ac:dyDescent="0.3">
      <c r="A3350" s="6" t="s">
        <v>3350</v>
      </c>
      <c r="B3350">
        <v>66831349</v>
      </c>
      <c r="C3350" s="3">
        <v>3</v>
      </c>
      <c r="D3350" s="5" t="str">
        <f t="shared" si="115"/>
        <v>03</v>
      </c>
      <c r="E3350" t="str">
        <f>VLOOKUP(B3350,'HOGARES-BASELINE'!$B:$I,8,FALSE)</f>
        <v>00020968</v>
      </c>
      <c r="F3350" s="6" t="str">
        <f t="shared" si="114"/>
        <v>0002096803</v>
      </c>
    </row>
    <row r="3351" spans="1:6" x14ac:dyDescent="0.3">
      <c r="A3351" s="6" t="s">
        <v>3351</v>
      </c>
      <c r="B3351">
        <v>66834663</v>
      </c>
      <c r="C3351" s="3">
        <v>6</v>
      </c>
      <c r="D3351" s="5" t="str">
        <f t="shared" si="115"/>
        <v>06</v>
      </c>
      <c r="E3351" t="str">
        <f>VLOOKUP(B3351,'HOGARES-BASELINE'!$B:$I,8,FALSE)</f>
        <v>00020969</v>
      </c>
      <c r="F3351" s="6" t="str">
        <f t="shared" si="114"/>
        <v>0002096906</v>
      </c>
    </row>
    <row r="3352" spans="1:6" x14ac:dyDescent="0.3">
      <c r="A3352" s="6" t="s">
        <v>3352</v>
      </c>
      <c r="B3352">
        <v>66834663</v>
      </c>
      <c r="C3352" s="3">
        <v>1</v>
      </c>
      <c r="D3352" s="5" t="str">
        <f t="shared" si="115"/>
        <v>01</v>
      </c>
      <c r="E3352" t="str">
        <f>VLOOKUP(B3352,'HOGARES-BASELINE'!$B:$I,8,FALSE)</f>
        <v>00020969</v>
      </c>
      <c r="F3352" s="6" t="str">
        <f t="shared" si="114"/>
        <v>0002096901</v>
      </c>
    </row>
    <row r="3353" spans="1:6" x14ac:dyDescent="0.3">
      <c r="A3353" s="6" t="s">
        <v>3353</v>
      </c>
      <c r="B3353">
        <v>66834663</v>
      </c>
      <c r="C3353" s="3">
        <v>5</v>
      </c>
      <c r="D3353" s="5" t="str">
        <f t="shared" si="115"/>
        <v>05</v>
      </c>
      <c r="E3353" t="str">
        <f>VLOOKUP(B3353,'HOGARES-BASELINE'!$B:$I,8,FALSE)</f>
        <v>00020969</v>
      </c>
      <c r="F3353" s="6" t="str">
        <f t="shared" si="114"/>
        <v>0002096905</v>
      </c>
    </row>
    <row r="3354" spans="1:6" x14ac:dyDescent="0.3">
      <c r="A3354" s="6" t="s">
        <v>3354</v>
      </c>
      <c r="B3354">
        <v>66834663</v>
      </c>
      <c r="C3354" s="3">
        <v>2</v>
      </c>
      <c r="D3354" s="5" t="str">
        <f t="shared" si="115"/>
        <v>02</v>
      </c>
      <c r="E3354" t="str">
        <f>VLOOKUP(B3354,'HOGARES-BASELINE'!$B:$I,8,FALSE)</f>
        <v>00020969</v>
      </c>
      <c r="F3354" s="6" t="str">
        <f t="shared" si="114"/>
        <v>0002096902</v>
      </c>
    </row>
    <row r="3355" spans="1:6" x14ac:dyDescent="0.3">
      <c r="A3355" s="6" t="s">
        <v>3355</v>
      </c>
      <c r="B3355">
        <v>66834663</v>
      </c>
      <c r="C3355" s="3">
        <v>4</v>
      </c>
      <c r="D3355" s="5" t="str">
        <f t="shared" si="115"/>
        <v>04</v>
      </c>
      <c r="E3355" t="str">
        <f>VLOOKUP(B3355,'HOGARES-BASELINE'!$B:$I,8,FALSE)</f>
        <v>00020969</v>
      </c>
      <c r="F3355" s="6" t="str">
        <f t="shared" si="114"/>
        <v>0002096904</v>
      </c>
    </row>
    <row r="3356" spans="1:6" x14ac:dyDescent="0.3">
      <c r="A3356" s="6" t="s">
        <v>3356</v>
      </c>
      <c r="B3356">
        <v>66834663</v>
      </c>
      <c r="C3356" s="3">
        <v>3</v>
      </c>
      <c r="D3356" s="5" t="str">
        <f t="shared" si="115"/>
        <v>03</v>
      </c>
      <c r="E3356" t="str">
        <f>VLOOKUP(B3356,'HOGARES-BASELINE'!$B:$I,8,FALSE)</f>
        <v>00020969</v>
      </c>
      <c r="F3356" s="6" t="str">
        <f t="shared" si="114"/>
        <v>0002096903</v>
      </c>
    </row>
    <row r="3357" spans="1:6" x14ac:dyDescent="0.3">
      <c r="A3357" s="6" t="s">
        <v>3357</v>
      </c>
      <c r="B3357">
        <v>66850119</v>
      </c>
      <c r="C3357" s="3">
        <v>1</v>
      </c>
      <c r="D3357" s="5" t="str">
        <f t="shared" si="115"/>
        <v>01</v>
      </c>
      <c r="E3357" t="str">
        <f>VLOOKUP(B3357,'HOGARES-BASELINE'!$B:$I,8,FALSE)</f>
        <v>01020970</v>
      </c>
      <c r="F3357" s="6" t="str">
        <f t="shared" si="114"/>
        <v>0102097001</v>
      </c>
    </row>
    <row r="3358" spans="1:6" x14ac:dyDescent="0.3">
      <c r="A3358" s="6" t="s">
        <v>3358</v>
      </c>
      <c r="B3358">
        <v>66851995</v>
      </c>
      <c r="C3358" s="3">
        <v>2</v>
      </c>
      <c r="D3358" s="5" t="str">
        <f t="shared" si="115"/>
        <v>02</v>
      </c>
      <c r="E3358" t="str">
        <f>VLOOKUP(B3358,'HOGARES-BASELINE'!$B:$I,8,FALSE)</f>
        <v>00020971</v>
      </c>
      <c r="F3358" s="6" t="str">
        <f t="shared" si="114"/>
        <v>0002097102</v>
      </c>
    </row>
    <row r="3359" spans="1:6" x14ac:dyDescent="0.3">
      <c r="A3359" s="6" t="s">
        <v>3359</v>
      </c>
      <c r="B3359">
        <v>66851995</v>
      </c>
      <c r="C3359" s="3">
        <v>1</v>
      </c>
      <c r="D3359" s="5" t="str">
        <f t="shared" si="115"/>
        <v>01</v>
      </c>
      <c r="E3359" t="str">
        <f>VLOOKUP(B3359,'HOGARES-BASELINE'!$B:$I,8,FALSE)</f>
        <v>00020971</v>
      </c>
      <c r="F3359" s="6" t="str">
        <f t="shared" si="114"/>
        <v>0002097101</v>
      </c>
    </row>
    <row r="3360" spans="1:6" x14ac:dyDescent="0.3">
      <c r="A3360" s="6" t="s">
        <v>3360</v>
      </c>
      <c r="B3360">
        <v>66852181</v>
      </c>
      <c r="C3360" s="3">
        <v>1</v>
      </c>
      <c r="D3360" s="5" t="str">
        <f t="shared" si="115"/>
        <v>01</v>
      </c>
      <c r="E3360" t="str">
        <f>VLOOKUP(B3360,'HOGARES-BASELINE'!$B:$I,8,FALSE)</f>
        <v>00020972</v>
      </c>
      <c r="F3360" s="6" t="str">
        <f t="shared" si="114"/>
        <v>0002097201</v>
      </c>
    </row>
    <row r="3361" spans="1:6" x14ac:dyDescent="0.3">
      <c r="A3361" s="6" t="s">
        <v>3361</v>
      </c>
      <c r="B3361">
        <v>66865510</v>
      </c>
      <c r="C3361" s="3">
        <v>1</v>
      </c>
      <c r="D3361" s="5" t="str">
        <f t="shared" si="115"/>
        <v>01</v>
      </c>
      <c r="E3361" t="str">
        <f>VLOOKUP(B3361,'HOGARES-BASELINE'!$B:$I,8,FALSE)</f>
        <v>01020973</v>
      </c>
      <c r="F3361" s="6" t="str">
        <f t="shared" si="114"/>
        <v>0102097301</v>
      </c>
    </row>
    <row r="3362" spans="1:6" x14ac:dyDescent="0.3">
      <c r="A3362" s="6" t="s">
        <v>3362</v>
      </c>
      <c r="B3362">
        <v>66865510</v>
      </c>
      <c r="C3362" s="3">
        <v>2</v>
      </c>
      <c r="D3362" s="5" t="str">
        <f t="shared" si="115"/>
        <v>02</v>
      </c>
      <c r="E3362" t="str">
        <f>VLOOKUP(B3362,'HOGARES-BASELINE'!$B:$I,8,FALSE)</f>
        <v>01020973</v>
      </c>
      <c r="F3362" s="6" t="str">
        <f t="shared" si="114"/>
        <v>0102097302</v>
      </c>
    </row>
    <row r="3363" spans="1:6" x14ac:dyDescent="0.3">
      <c r="A3363" s="6" t="s">
        <v>3363</v>
      </c>
      <c r="B3363">
        <v>66865510</v>
      </c>
      <c r="C3363" s="3">
        <v>3</v>
      </c>
      <c r="D3363" s="5" t="str">
        <f t="shared" si="115"/>
        <v>03</v>
      </c>
      <c r="E3363" t="str">
        <f>VLOOKUP(B3363,'HOGARES-BASELINE'!$B:$I,8,FALSE)</f>
        <v>01020973</v>
      </c>
      <c r="F3363" s="6" t="str">
        <f t="shared" si="114"/>
        <v>0102097303</v>
      </c>
    </row>
    <row r="3364" spans="1:6" x14ac:dyDescent="0.3">
      <c r="A3364" s="6" t="s">
        <v>3364</v>
      </c>
      <c r="B3364">
        <v>66865510</v>
      </c>
      <c r="C3364" s="3">
        <v>4</v>
      </c>
      <c r="D3364" s="5" t="str">
        <f t="shared" si="115"/>
        <v>04</v>
      </c>
      <c r="E3364" t="str">
        <f>VLOOKUP(B3364,'HOGARES-BASELINE'!$B:$I,8,FALSE)</f>
        <v>01020973</v>
      </c>
      <c r="F3364" s="6" t="str">
        <f t="shared" si="114"/>
        <v>0102097304</v>
      </c>
    </row>
    <row r="3365" spans="1:6" x14ac:dyDescent="0.3">
      <c r="A3365" s="6" t="s">
        <v>3365</v>
      </c>
      <c r="B3365">
        <v>66865714</v>
      </c>
      <c r="C3365" s="3">
        <v>2</v>
      </c>
      <c r="D3365" s="5" t="str">
        <f t="shared" si="115"/>
        <v>02</v>
      </c>
      <c r="E3365" t="str">
        <f>VLOOKUP(B3365,'HOGARES-BASELINE'!$B:$I,8,FALSE)</f>
        <v>01020974</v>
      </c>
      <c r="F3365" s="6" t="str">
        <f t="shared" si="114"/>
        <v>0102097402</v>
      </c>
    </row>
    <row r="3366" spans="1:6" x14ac:dyDescent="0.3">
      <c r="A3366" s="6" t="s">
        <v>3366</v>
      </c>
      <c r="B3366">
        <v>66865714</v>
      </c>
      <c r="C3366" s="3">
        <v>1</v>
      </c>
      <c r="D3366" s="5" t="str">
        <f t="shared" si="115"/>
        <v>01</v>
      </c>
      <c r="E3366" t="str">
        <f>VLOOKUP(B3366,'HOGARES-BASELINE'!$B:$I,8,FALSE)</f>
        <v>01020974</v>
      </c>
      <c r="F3366" s="6" t="str">
        <f t="shared" si="114"/>
        <v>0102097401</v>
      </c>
    </row>
    <row r="3367" spans="1:6" x14ac:dyDescent="0.3">
      <c r="A3367" s="6" t="s">
        <v>3367</v>
      </c>
      <c r="B3367">
        <v>66866128</v>
      </c>
      <c r="C3367" s="3">
        <v>3</v>
      </c>
      <c r="D3367" s="5" t="str">
        <f t="shared" si="115"/>
        <v>03</v>
      </c>
      <c r="E3367" t="str">
        <f>VLOOKUP(B3367,'HOGARES-BASELINE'!$B:$I,8,FALSE)</f>
        <v>00020975</v>
      </c>
      <c r="F3367" s="6" t="str">
        <f t="shared" si="114"/>
        <v>0002097503</v>
      </c>
    </row>
    <row r="3368" spans="1:6" x14ac:dyDescent="0.3">
      <c r="A3368" s="6" t="s">
        <v>3368</v>
      </c>
      <c r="B3368">
        <v>66866128</v>
      </c>
      <c r="C3368" s="3">
        <v>1</v>
      </c>
      <c r="D3368" s="5" t="str">
        <f t="shared" si="115"/>
        <v>01</v>
      </c>
      <c r="E3368" t="str">
        <f>VLOOKUP(B3368,'HOGARES-BASELINE'!$B:$I,8,FALSE)</f>
        <v>00020975</v>
      </c>
      <c r="F3368" s="6" t="str">
        <f t="shared" si="114"/>
        <v>0002097501</v>
      </c>
    </row>
    <row r="3369" spans="1:6" x14ac:dyDescent="0.3">
      <c r="A3369" s="6" t="s">
        <v>3369</v>
      </c>
      <c r="B3369">
        <v>66866128</v>
      </c>
      <c r="C3369" s="3">
        <v>2</v>
      </c>
      <c r="D3369" s="5" t="str">
        <f t="shared" si="115"/>
        <v>02</v>
      </c>
      <c r="E3369" t="str">
        <f>VLOOKUP(B3369,'HOGARES-BASELINE'!$B:$I,8,FALSE)</f>
        <v>00020975</v>
      </c>
      <c r="F3369" s="6" t="str">
        <f t="shared" si="114"/>
        <v>0002097502</v>
      </c>
    </row>
    <row r="3370" spans="1:6" x14ac:dyDescent="0.3">
      <c r="A3370" s="6" t="s">
        <v>3370</v>
      </c>
      <c r="B3370">
        <v>66900125</v>
      </c>
      <c r="C3370" s="3">
        <v>1</v>
      </c>
      <c r="D3370" s="5" t="str">
        <f t="shared" si="115"/>
        <v>01</v>
      </c>
      <c r="E3370" t="str">
        <f>VLOOKUP(B3370,'HOGARES-BASELINE'!$B:$I,8,FALSE)</f>
        <v>01020976</v>
      </c>
      <c r="F3370" s="6" t="str">
        <f t="shared" si="114"/>
        <v>0102097601</v>
      </c>
    </row>
    <row r="3371" spans="1:6" x14ac:dyDescent="0.3">
      <c r="A3371" s="6" t="s">
        <v>3371</v>
      </c>
      <c r="B3371">
        <v>66900125</v>
      </c>
      <c r="C3371" s="3">
        <v>3</v>
      </c>
      <c r="D3371" s="5" t="str">
        <f t="shared" si="115"/>
        <v>03</v>
      </c>
      <c r="E3371" t="str">
        <f>VLOOKUP(B3371,'HOGARES-BASELINE'!$B:$I,8,FALSE)</f>
        <v>01020976</v>
      </c>
      <c r="F3371" s="6" t="str">
        <f t="shared" si="114"/>
        <v>0102097603</v>
      </c>
    </row>
    <row r="3372" spans="1:6" x14ac:dyDescent="0.3">
      <c r="A3372" s="6" t="s">
        <v>3372</v>
      </c>
      <c r="B3372">
        <v>66900125</v>
      </c>
      <c r="C3372" s="3">
        <v>4</v>
      </c>
      <c r="D3372" s="5" t="str">
        <f t="shared" si="115"/>
        <v>04</v>
      </c>
      <c r="E3372" t="str">
        <f>VLOOKUP(B3372,'HOGARES-BASELINE'!$B:$I,8,FALSE)</f>
        <v>01020976</v>
      </c>
      <c r="F3372" s="6" t="str">
        <f t="shared" si="114"/>
        <v>0102097604</v>
      </c>
    </row>
    <row r="3373" spans="1:6" x14ac:dyDescent="0.3">
      <c r="A3373" s="6" t="s">
        <v>3373</v>
      </c>
      <c r="B3373">
        <v>66900125</v>
      </c>
      <c r="C3373" s="3">
        <v>2</v>
      </c>
      <c r="D3373" s="5" t="str">
        <f t="shared" si="115"/>
        <v>02</v>
      </c>
      <c r="E3373" t="str">
        <f>VLOOKUP(B3373,'HOGARES-BASELINE'!$B:$I,8,FALSE)</f>
        <v>01020976</v>
      </c>
      <c r="F3373" s="6" t="str">
        <f t="shared" si="114"/>
        <v>0102097602</v>
      </c>
    </row>
    <row r="3374" spans="1:6" x14ac:dyDescent="0.3">
      <c r="A3374" s="6" t="s">
        <v>3374</v>
      </c>
      <c r="B3374">
        <v>66903981</v>
      </c>
      <c r="C3374" s="3">
        <v>1</v>
      </c>
      <c r="D3374" s="5" t="str">
        <f t="shared" si="115"/>
        <v>01</v>
      </c>
      <c r="E3374" t="str">
        <f>VLOOKUP(B3374,'HOGARES-BASELINE'!$B:$I,8,FALSE)</f>
        <v>00020977</v>
      </c>
      <c r="F3374" s="6" t="str">
        <f t="shared" si="114"/>
        <v>0002097701</v>
      </c>
    </row>
    <row r="3375" spans="1:6" x14ac:dyDescent="0.3">
      <c r="A3375" s="6" t="s">
        <v>3375</v>
      </c>
      <c r="B3375">
        <v>66903981</v>
      </c>
      <c r="C3375" s="3">
        <v>2</v>
      </c>
      <c r="D3375" s="5" t="str">
        <f t="shared" si="115"/>
        <v>02</v>
      </c>
      <c r="E3375" t="str">
        <f>VLOOKUP(B3375,'HOGARES-BASELINE'!$B:$I,8,FALSE)</f>
        <v>00020977</v>
      </c>
      <c r="F3375" s="6" t="str">
        <f t="shared" si="114"/>
        <v>0002097702</v>
      </c>
    </row>
    <row r="3376" spans="1:6" x14ac:dyDescent="0.3">
      <c r="A3376" s="6" t="s">
        <v>3376</v>
      </c>
      <c r="B3376">
        <v>66908388</v>
      </c>
      <c r="C3376" s="3">
        <v>3</v>
      </c>
      <c r="D3376" s="5" t="str">
        <f t="shared" si="115"/>
        <v>03</v>
      </c>
      <c r="E3376" t="str">
        <f>VLOOKUP(B3376,'HOGARES-BASELINE'!$B:$I,8,FALSE)</f>
        <v>01020978</v>
      </c>
      <c r="F3376" s="6" t="str">
        <f t="shared" si="114"/>
        <v>0102097803</v>
      </c>
    </row>
    <row r="3377" spans="1:6" x14ac:dyDescent="0.3">
      <c r="A3377" s="6" t="s">
        <v>3377</v>
      </c>
      <c r="B3377">
        <v>66908388</v>
      </c>
      <c r="C3377" s="3">
        <v>2</v>
      </c>
      <c r="D3377" s="5" t="str">
        <f t="shared" si="115"/>
        <v>02</v>
      </c>
      <c r="E3377" t="str">
        <f>VLOOKUP(B3377,'HOGARES-BASELINE'!$B:$I,8,FALSE)</f>
        <v>01020978</v>
      </c>
      <c r="F3377" s="6" t="str">
        <f t="shared" si="114"/>
        <v>0102097802</v>
      </c>
    </row>
    <row r="3378" spans="1:6" x14ac:dyDescent="0.3">
      <c r="A3378" s="6" t="s">
        <v>3378</v>
      </c>
      <c r="B3378">
        <v>66908388</v>
      </c>
      <c r="C3378" s="3">
        <v>1</v>
      </c>
      <c r="D3378" s="5" t="str">
        <f t="shared" si="115"/>
        <v>01</v>
      </c>
      <c r="E3378" t="str">
        <f>VLOOKUP(B3378,'HOGARES-BASELINE'!$B:$I,8,FALSE)</f>
        <v>01020978</v>
      </c>
      <c r="F3378" s="6" t="str">
        <f t="shared" si="114"/>
        <v>0102097801</v>
      </c>
    </row>
    <row r="3379" spans="1:6" x14ac:dyDescent="0.3">
      <c r="A3379" s="6" t="s">
        <v>3379</v>
      </c>
      <c r="B3379">
        <v>66908980</v>
      </c>
      <c r="C3379" s="3">
        <v>2</v>
      </c>
      <c r="D3379" s="5" t="str">
        <f t="shared" si="115"/>
        <v>02</v>
      </c>
      <c r="E3379" t="str">
        <f>VLOOKUP(B3379,'HOGARES-BASELINE'!$B:$I,8,FALSE)</f>
        <v>01020979</v>
      </c>
      <c r="F3379" s="6" t="str">
        <f t="shared" si="114"/>
        <v>0102097902</v>
      </c>
    </row>
    <row r="3380" spans="1:6" x14ac:dyDescent="0.3">
      <c r="A3380" s="6" t="s">
        <v>3380</v>
      </c>
      <c r="B3380">
        <v>66908980</v>
      </c>
      <c r="C3380" s="3">
        <v>1</v>
      </c>
      <c r="D3380" s="5" t="str">
        <f t="shared" si="115"/>
        <v>01</v>
      </c>
      <c r="E3380" t="str">
        <f>VLOOKUP(B3380,'HOGARES-BASELINE'!$B:$I,8,FALSE)</f>
        <v>01020979</v>
      </c>
      <c r="F3380" s="6" t="str">
        <f t="shared" si="114"/>
        <v>0102097901</v>
      </c>
    </row>
    <row r="3381" spans="1:6" x14ac:dyDescent="0.3">
      <c r="A3381" s="6" t="s">
        <v>3381</v>
      </c>
      <c r="B3381">
        <v>66914158</v>
      </c>
      <c r="C3381" s="3">
        <v>1</v>
      </c>
      <c r="D3381" s="5" t="str">
        <f t="shared" si="115"/>
        <v>01</v>
      </c>
      <c r="E3381" t="str">
        <f>VLOOKUP(B3381,'HOGARES-BASELINE'!$B:$I,8,FALSE)</f>
        <v>01020980</v>
      </c>
      <c r="F3381" s="6" t="str">
        <f t="shared" si="114"/>
        <v>0102098001</v>
      </c>
    </row>
    <row r="3382" spans="1:6" x14ac:dyDescent="0.3">
      <c r="A3382" s="6" t="s">
        <v>3382</v>
      </c>
      <c r="B3382">
        <v>66914158</v>
      </c>
      <c r="C3382" s="3">
        <v>2</v>
      </c>
      <c r="D3382" s="5" t="str">
        <f t="shared" si="115"/>
        <v>02</v>
      </c>
      <c r="E3382" t="str">
        <f>VLOOKUP(B3382,'HOGARES-BASELINE'!$B:$I,8,FALSE)</f>
        <v>01020980</v>
      </c>
      <c r="F3382" s="6" t="str">
        <f t="shared" si="114"/>
        <v>0102098002</v>
      </c>
    </row>
    <row r="3383" spans="1:6" x14ac:dyDescent="0.3">
      <c r="A3383" s="6" t="s">
        <v>3383</v>
      </c>
      <c r="B3383">
        <v>66914781</v>
      </c>
      <c r="C3383" s="3">
        <v>3</v>
      </c>
      <c r="D3383" s="5" t="str">
        <f t="shared" si="115"/>
        <v>03</v>
      </c>
      <c r="E3383" t="str">
        <f>VLOOKUP(B3383,'HOGARES-BASELINE'!$B:$I,8,FALSE)</f>
        <v>01020981</v>
      </c>
      <c r="F3383" s="6" t="str">
        <f t="shared" si="114"/>
        <v>0102098103</v>
      </c>
    </row>
    <row r="3384" spans="1:6" x14ac:dyDescent="0.3">
      <c r="A3384" s="6" t="s">
        <v>3384</v>
      </c>
      <c r="B3384">
        <v>66914781</v>
      </c>
      <c r="C3384" s="3">
        <v>1</v>
      </c>
      <c r="D3384" s="5" t="str">
        <f t="shared" si="115"/>
        <v>01</v>
      </c>
      <c r="E3384" t="str">
        <f>VLOOKUP(B3384,'HOGARES-BASELINE'!$B:$I,8,FALSE)</f>
        <v>01020981</v>
      </c>
      <c r="F3384" s="6" t="str">
        <f t="shared" si="114"/>
        <v>0102098101</v>
      </c>
    </row>
    <row r="3385" spans="1:6" x14ac:dyDescent="0.3">
      <c r="A3385" s="6" t="s">
        <v>3385</v>
      </c>
      <c r="B3385">
        <v>66914781</v>
      </c>
      <c r="C3385" s="3">
        <v>2</v>
      </c>
      <c r="D3385" s="5" t="str">
        <f t="shared" si="115"/>
        <v>02</v>
      </c>
      <c r="E3385" t="str">
        <f>VLOOKUP(B3385,'HOGARES-BASELINE'!$B:$I,8,FALSE)</f>
        <v>01020981</v>
      </c>
      <c r="F3385" s="6" t="str">
        <f t="shared" si="114"/>
        <v>0102098102</v>
      </c>
    </row>
    <row r="3386" spans="1:6" x14ac:dyDescent="0.3">
      <c r="A3386" s="6" t="s">
        <v>3386</v>
      </c>
      <c r="B3386">
        <v>66922979</v>
      </c>
      <c r="C3386" s="3">
        <v>1</v>
      </c>
      <c r="D3386" s="5" t="str">
        <f t="shared" si="115"/>
        <v>01</v>
      </c>
      <c r="E3386" t="str">
        <f>VLOOKUP(B3386,'HOGARES-BASELINE'!$B:$I,8,FALSE)</f>
        <v>01020982</v>
      </c>
      <c r="F3386" s="6" t="str">
        <f t="shared" si="114"/>
        <v>0102098201</v>
      </c>
    </row>
    <row r="3387" spans="1:6" x14ac:dyDescent="0.3">
      <c r="A3387" s="6" t="s">
        <v>3387</v>
      </c>
      <c r="B3387">
        <v>66924354</v>
      </c>
      <c r="C3387" s="3">
        <v>1</v>
      </c>
      <c r="D3387" s="5" t="str">
        <f t="shared" si="115"/>
        <v>01</v>
      </c>
      <c r="E3387" t="str">
        <f>VLOOKUP(B3387,'HOGARES-BASELINE'!$B:$I,8,FALSE)</f>
        <v>00020983</v>
      </c>
      <c r="F3387" s="6" t="str">
        <f t="shared" si="114"/>
        <v>0002098301</v>
      </c>
    </row>
    <row r="3388" spans="1:6" x14ac:dyDescent="0.3">
      <c r="A3388" s="6" t="s">
        <v>3388</v>
      </c>
      <c r="B3388">
        <v>66924354</v>
      </c>
      <c r="C3388" s="3">
        <v>2</v>
      </c>
      <c r="D3388" s="5" t="str">
        <f t="shared" si="115"/>
        <v>02</v>
      </c>
      <c r="E3388" t="str">
        <f>VLOOKUP(B3388,'HOGARES-BASELINE'!$B:$I,8,FALSE)</f>
        <v>00020983</v>
      </c>
      <c r="F3388" s="6" t="str">
        <f t="shared" si="114"/>
        <v>0002098302</v>
      </c>
    </row>
    <row r="3389" spans="1:6" x14ac:dyDescent="0.3">
      <c r="A3389" s="6" t="s">
        <v>3389</v>
      </c>
      <c r="B3389">
        <v>66924354</v>
      </c>
      <c r="C3389" s="3">
        <v>3</v>
      </c>
      <c r="D3389" s="5" t="str">
        <f t="shared" si="115"/>
        <v>03</v>
      </c>
      <c r="E3389" t="str">
        <f>VLOOKUP(B3389,'HOGARES-BASELINE'!$B:$I,8,FALSE)</f>
        <v>00020983</v>
      </c>
      <c r="F3389" s="6" t="str">
        <f t="shared" si="114"/>
        <v>0002098303</v>
      </c>
    </row>
    <row r="3390" spans="1:6" x14ac:dyDescent="0.3">
      <c r="A3390" s="6" t="s">
        <v>3390</v>
      </c>
      <c r="B3390">
        <v>66946161</v>
      </c>
      <c r="C3390" s="3">
        <v>3</v>
      </c>
      <c r="D3390" s="5" t="str">
        <f t="shared" si="115"/>
        <v>03</v>
      </c>
      <c r="E3390" t="str">
        <f>VLOOKUP(B3390,'HOGARES-BASELINE'!$B:$I,8,FALSE)</f>
        <v>00020984</v>
      </c>
      <c r="F3390" s="6" t="str">
        <f t="shared" si="114"/>
        <v>0002098403</v>
      </c>
    </row>
    <row r="3391" spans="1:6" x14ac:dyDescent="0.3">
      <c r="A3391" s="6" t="s">
        <v>3391</v>
      </c>
      <c r="B3391">
        <v>66946161</v>
      </c>
      <c r="C3391" s="3">
        <v>2</v>
      </c>
      <c r="D3391" s="5" t="str">
        <f t="shared" si="115"/>
        <v>02</v>
      </c>
      <c r="E3391" t="str">
        <f>VLOOKUP(B3391,'HOGARES-BASELINE'!$B:$I,8,FALSE)</f>
        <v>00020984</v>
      </c>
      <c r="F3391" s="6" t="str">
        <f t="shared" si="114"/>
        <v>0002098402</v>
      </c>
    </row>
    <row r="3392" spans="1:6" x14ac:dyDescent="0.3">
      <c r="A3392" s="6" t="s">
        <v>3392</v>
      </c>
      <c r="B3392">
        <v>66946161</v>
      </c>
      <c r="C3392" s="3">
        <v>1</v>
      </c>
      <c r="D3392" s="5" t="str">
        <f t="shared" si="115"/>
        <v>01</v>
      </c>
      <c r="E3392" t="str">
        <f>VLOOKUP(B3392,'HOGARES-BASELINE'!$B:$I,8,FALSE)</f>
        <v>00020984</v>
      </c>
      <c r="F3392" s="6" t="str">
        <f t="shared" si="114"/>
        <v>0002098401</v>
      </c>
    </row>
    <row r="3393" spans="1:6" x14ac:dyDescent="0.3">
      <c r="A3393" s="6" t="s">
        <v>3393</v>
      </c>
      <c r="B3393">
        <v>66946161</v>
      </c>
      <c r="C3393" s="3">
        <v>4</v>
      </c>
      <c r="D3393" s="5" t="str">
        <f t="shared" si="115"/>
        <v>04</v>
      </c>
      <c r="E3393" t="str">
        <f>VLOOKUP(B3393,'HOGARES-BASELINE'!$B:$I,8,FALSE)</f>
        <v>00020984</v>
      </c>
      <c r="F3393" s="6" t="str">
        <f t="shared" si="114"/>
        <v>0002098404</v>
      </c>
    </row>
    <row r="3394" spans="1:6" x14ac:dyDescent="0.3">
      <c r="A3394" s="6" t="s">
        <v>3394</v>
      </c>
      <c r="B3394">
        <v>66949232</v>
      </c>
      <c r="C3394" s="3">
        <v>3</v>
      </c>
      <c r="D3394" s="5" t="str">
        <f t="shared" si="115"/>
        <v>03</v>
      </c>
      <c r="E3394" t="str">
        <f>VLOOKUP(B3394,'HOGARES-BASELINE'!$B:$I,8,FALSE)</f>
        <v>00020985</v>
      </c>
      <c r="F3394" s="6" t="str">
        <f t="shared" si="114"/>
        <v>0002098503</v>
      </c>
    </row>
    <row r="3395" spans="1:6" x14ac:dyDescent="0.3">
      <c r="A3395" s="6" t="s">
        <v>3395</v>
      </c>
      <c r="B3395">
        <v>66949232</v>
      </c>
      <c r="C3395" s="3">
        <v>2</v>
      </c>
      <c r="D3395" s="5" t="str">
        <f t="shared" si="115"/>
        <v>02</v>
      </c>
      <c r="E3395" t="str">
        <f>VLOOKUP(B3395,'HOGARES-BASELINE'!$B:$I,8,FALSE)</f>
        <v>00020985</v>
      </c>
      <c r="F3395" s="6" t="str">
        <f t="shared" ref="F3395:F3458" si="116">_xlfn.CONCAT(E3395,D3395)</f>
        <v>0002098502</v>
      </c>
    </row>
    <row r="3396" spans="1:6" x14ac:dyDescent="0.3">
      <c r="A3396" s="6" t="s">
        <v>3396</v>
      </c>
      <c r="B3396">
        <v>66949232</v>
      </c>
      <c r="C3396" s="3">
        <v>5</v>
      </c>
      <c r="D3396" s="5" t="str">
        <f t="shared" si="115"/>
        <v>05</v>
      </c>
      <c r="E3396" t="str">
        <f>VLOOKUP(B3396,'HOGARES-BASELINE'!$B:$I,8,FALSE)</f>
        <v>00020985</v>
      </c>
      <c r="F3396" s="6" t="str">
        <f t="shared" si="116"/>
        <v>0002098505</v>
      </c>
    </row>
    <row r="3397" spans="1:6" x14ac:dyDescent="0.3">
      <c r="A3397" s="6" t="s">
        <v>3397</v>
      </c>
      <c r="B3397">
        <v>66949232</v>
      </c>
      <c r="C3397" s="3">
        <v>6</v>
      </c>
      <c r="D3397" s="5" t="str">
        <f t="shared" si="115"/>
        <v>06</v>
      </c>
      <c r="E3397" t="str">
        <f>VLOOKUP(B3397,'HOGARES-BASELINE'!$B:$I,8,FALSE)</f>
        <v>00020985</v>
      </c>
      <c r="F3397" s="6" t="str">
        <f t="shared" si="116"/>
        <v>0002098506</v>
      </c>
    </row>
    <row r="3398" spans="1:6" x14ac:dyDescent="0.3">
      <c r="A3398" s="6" t="s">
        <v>3398</v>
      </c>
      <c r="B3398">
        <v>66949232</v>
      </c>
      <c r="C3398" s="3">
        <v>4</v>
      </c>
      <c r="D3398" s="5" t="str">
        <f t="shared" si="115"/>
        <v>04</v>
      </c>
      <c r="E3398" t="str">
        <f>VLOOKUP(B3398,'HOGARES-BASELINE'!$B:$I,8,FALSE)</f>
        <v>00020985</v>
      </c>
      <c r="F3398" s="6" t="str">
        <f t="shared" si="116"/>
        <v>0002098504</v>
      </c>
    </row>
    <row r="3399" spans="1:6" x14ac:dyDescent="0.3">
      <c r="A3399" s="6" t="s">
        <v>3399</v>
      </c>
      <c r="B3399">
        <v>66949232</v>
      </c>
      <c r="C3399" s="3">
        <v>1</v>
      </c>
      <c r="D3399" s="5" t="str">
        <f t="shared" ref="D3399:D3462" si="117">_xlfn.CONCAT(0,C3399)</f>
        <v>01</v>
      </c>
      <c r="E3399" t="str">
        <f>VLOOKUP(B3399,'HOGARES-BASELINE'!$B:$I,8,FALSE)</f>
        <v>00020985</v>
      </c>
      <c r="F3399" s="6" t="str">
        <f t="shared" si="116"/>
        <v>0002098501</v>
      </c>
    </row>
    <row r="3400" spans="1:6" x14ac:dyDescent="0.3">
      <c r="A3400" s="6" t="s">
        <v>3400</v>
      </c>
      <c r="B3400">
        <v>66953260</v>
      </c>
      <c r="C3400" s="3">
        <v>4</v>
      </c>
      <c r="D3400" s="5" t="str">
        <f t="shared" si="117"/>
        <v>04</v>
      </c>
      <c r="E3400" t="str">
        <f>VLOOKUP(B3400,'HOGARES-BASELINE'!$B:$I,8,FALSE)</f>
        <v>00020986</v>
      </c>
      <c r="F3400" s="6" t="str">
        <f t="shared" si="116"/>
        <v>0002098604</v>
      </c>
    </row>
    <row r="3401" spans="1:6" x14ac:dyDescent="0.3">
      <c r="A3401" s="6" t="s">
        <v>3401</v>
      </c>
      <c r="B3401">
        <v>66953260</v>
      </c>
      <c r="C3401" s="3">
        <v>3</v>
      </c>
      <c r="D3401" s="5" t="str">
        <f t="shared" si="117"/>
        <v>03</v>
      </c>
      <c r="E3401" t="str">
        <f>VLOOKUP(B3401,'HOGARES-BASELINE'!$B:$I,8,FALSE)</f>
        <v>00020986</v>
      </c>
      <c r="F3401" s="6" t="str">
        <f t="shared" si="116"/>
        <v>0002098603</v>
      </c>
    </row>
    <row r="3402" spans="1:6" x14ac:dyDescent="0.3">
      <c r="A3402" s="6" t="s">
        <v>3402</v>
      </c>
      <c r="B3402">
        <v>66953260</v>
      </c>
      <c r="C3402" s="3">
        <v>2</v>
      </c>
      <c r="D3402" s="5" t="str">
        <f t="shared" si="117"/>
        <v>02</v>
      </c>
      <c r="E3402" t="str">
        <f>VLOOKUP(B3402,'HOGARES-BASELINE'!$B:$I,8,FALSE)</f>
        <v>00020986</v>
      </c>
      <c r="F3402" s="6" t="str">
        <f t="shared" si="116"/>
        <v>0002098602</v>
      </c>
    </row>
    <row r="3403" spans="1:6" x14ac:dyDescent="0.3">
      <c r="A3403" s="6" t="s">
        <v>3403</v>
      </c>
      <c r="B3403">
        <v>66953260</v>
      </c>
      <c r="C3403" s="3">
        <v>1</v>
      </c>
      <c r="D3403" s="5" t="str">
        <f t="shared" si="117"/>
        <v>01</v>
      </c>
      <c r="E3403" t="str">
        <f>VLOOKUP(B3403,'HOGARES-BASELINE'!$B:$I,8,FALSE)</f>
        <v>00020986</v>
      </c>
      <c r="F3403" s="6" t="str">
        <f t="shared" si="116"/>
        <v>0002098601</v>
      </c>
    </row>
    <row r="3404" spans="1:6" x14ac:dyDescent="0.3">
      <c r="A3404" s="6" t="s">
        <v>3404</v>
      </c>
      <c r="B3404">
        <v>66956904</v>
      </c>
      <c r="C3404" s="3">
        <v>1</v>
      </c>
      <c r="D3404" s="5" t="str">
        <f t="shared" si="117"/>
        <v>01</v>
      </c>
      <c r="E3404" t="str">
        <f>VLOOKUP(B3404,'HOGARES-BASELINE'!$B:$I,8,FALSE)</f>
        <v>00020987</v>
      </c>
      <c r="F3404" s="6" t="str">
        <f t="shared" si="116"/>
        <v>0002098701</v>
      </c>
    </row>
    <row r="3405" spans="1:6" x14ac:dyDescent="0.3">
      <c r="A3405" s="6" t="s">
        <v>3405</v>
      </c>
      <c r="B3405">
        <v>66956904</v>
      </c>
      <c r="C3405" s="3">
        <v>3</v>
      </c>
      <c r="D3405" s="5" t="str">
        <f t="shared" si="117"/>
        <v>03</v>
      </c>
      <c r="E3405" t="str">
        <f>VLOOKUP(B3405,'HOGARES-BASELINE'!$B:$I,8,FALSE)</f>
        <v>00020987</v>
      </c>
      <c r="F3405" s="6" t="str">
        <f t="shared" si="116"/>
        <v>0002098703</v>
      </c>
    </row>
    <row r="3406" spans="1:6" x14ac:dyDescent="0.3">
      <c r="A3406" s="6" t="s">
        <v>3406</v>
      </c>
      <c r="B3406">
        <v>66956904</v>
      </c>
      <c r="C3406" s="3">
        <v>2</v>
      </c>
      <c r="D3406" s="5" t="str">
        <f t="shared" si="117"/>
        <v>02</v>
      </c>
      <c r="E3406" t="str">
        <f>VLOOKUP(B3406,'HOGARES-BASELINE'!$B:$I,8,FALSE)</f>
        <v>00020987</v>
      </c>
      <c r="F3406" s="6" t="str">
        <f t="shared" si="116"/>
        <v>0002098702</v>
      </c>
    </row>
    <row r="3407" spans="1:6" x14ac:dyDescent="0.3">
      <c r="A3407" s="6" t="s">
        <v>3407</v>
      </c>
      <c r="B3407">
        <v>66972092</v>
      </c>
      <c r="C3407" s="3">
        <v>1</v>
      </c>
      <c r="D3407" s="5" t="str">
        <f t="shared" si="117"/>
        <v>01</v>
      </c>
      <c r="E3407" t="str">
        <f>VLOOKUP(B3407,'HOGARES-BASELINE'!$B:$I,8,FALSE)</f>
        <v>00020988</v>
      </c>
      <c r="F3407" s="6" t="str">
        <f t="shared" si="116"/>
        <v>0002098801</v>
      </c>
    </row>
    <row r="3408" spans="1:6" x14ac:dyDescent="0.3">
      <c r="A3408" s="6" t="s">
        <v>3408</v>
      </c>
      <c r="B3408">
        <v>66972092</v>
      </c>
      <c r="C3408" s="3">
        <v>2</v>
      </c>
      <c r="D3408" s="5" t="str">
        <f t="shared" si="117"/>
        <v>02</v>
      </c>
      <c r="E3408" t="str">
        <f>VLOOKUP(B3408,'HOGARES-BASELINE'!$B:$I,8,FALSE)</f>
        <v>00020988</v>
      </c>
      <c r="F3408" s="6" t="str">
        <f t="shared" si="116"/>
        <v>0002098802</v>
      </c>
    </row>
    <row r="3409" spans="1:6" x14ac:dyDescent="0.3">
      <c r="A3409" s="6" t="s">
        <v>3409</v>
      </c>
      <c r="B3409">
        <v>66973335</v>
      </c>
      <c r="C3409" s="3">
        <v>1</v>
      </c>
      <c r="D3409" s="5" t="str">
        <f t="shared" si="117"/>
        <v>01</v>
      </c>
      <c r="E3409" t="str">
        <f>VLOOKUP(B3409,'HOGARES-BASELINE'!$B:$I,8,FALSE)</f>
        <v>00020989</v>
      </c>
      <c r="F3409" s="6" t="str">
        <f t="shared" si="116"/>
        <v>0002098901</v>
      </c>
    </row>
    <row r="3410" spans="1:6" x14ac:dyDescent="0.3">
      <c r="A3410" s="6" t="s">
        <v>3410</v>
      </c>
      <c r="B3410">
        <v>66973335</v>
      </c>
      <c r="C3410" s="3">
        <v>3</v>
      </c>
      <c r="D3410" s="5" t="str">
        <f t="shared" si="117"/>
        <v>03</v>
      </c>
      <c r="E3410" t="str">
        <f>VLOOKUP(B3410,'HOGARES-BASELINE'!$B:$I,8,FALSE)</f>
        <v>00020989</v>
      </c>
      <c r="F3410" s="6" t="str">
        <f t="shared" si="116"/>
        <v>0002098903</v>
      </c>
    </row>
    <row r="3411" spans="1:6" x14ac:dyDescent="0.3">
      <c r="A3411" s="6" t="s">
        <v>3411</v>
      </c>
      <c r="B3411">
        <v>66973335</v>
      </c>
      <c r="C3411" s="3">
        <v>2</v>
      </c>
      <c r="D3411" s="5" t="str">
        <f t="shared" si="117"/>
        <v>02</v>
      </c>
      <c r="E3411" t="str">
        <f>VLOOKUP(B3411,'HOGARES-BASELINE'!$B:$I,8,FALSE)</f>
        <v>00020989</v>
      </c>
      <c r="F3411" s="6" t="str">
        <f t="shared" si="116"/>
        <v>0002098902</v>
      </c>
    </row>
    <row r="3412" spans="1:6" x14ac:dyDescent="0.3">
      <c r="A3412" s="6" t="s">
        <v>3412</v>
      </c>
      <c r="B3412">
        <v>66979672</v>
      </c>
      <c r="C3412" s="3">
        <v>1</v>
      </c>
      <c r="D3412" s="5" t="str">
        <f t="shared" si="117"/>
        <v>01</v>
      </c>
      <c r="E3412" t="str">
        <f>VLOOKUP(B3412,'HOGARES-BASELINE'!$B:$I,8,FALSE)</f>
        <v>00020990</v>
      </c>
      <c r="F3412" s="6" t="str">
        <f t="shared" si="116"/>
        <v>0002099001</v>
      </c>
    </row>
    <row r="3413" spans="1:6" x14ac:dyDescent="0.3">
      <c r="A3413" s="6" t="s">
        <v>3413</v>
      </c>
      <c r="B3413">
        <v>66979672</v>
      </c>
      <c r="C3413" s="3">
        <v>2</v>
      </c>
      <c r="D3413" s="5" t="str">
        <f t="shared" si="117"/>
        <v>02</v>
      </c>
      <c r="E3413" t="str">
        <f>VLOOKUP(B3413,'HOGARES-BASELINE'!$B:$I,8,FALSE)</f>
        <v>00020990</v>
      </c>
      <c r="F3413" s="6" t="str">
        <f t="shared" si="116"/>
        <v>0002099002</v>
      </c>
    </row>
    <row r="3414" spans="1:6" x14ac:dyDescent="0.3">
      <c r="A3414" s="6" t="s">
        <v>3414</v>
      </c>
      <c r="B3414">
        <v>66979672</v>
      </c>
      <c r="C3414" s="3">
        <v>3</v>
      </c>
      <c r="D3414" s="5" t="str">
        <f t="shared" si="117"/>
        <v>03</v>
      </c>
      <c r="E3414" t="str">
        <f>VLOOKUP(B3414,'HOGARES-BASELINE'!$B:$I,8,FALSE)</f>
        <v>00020990</v>
      </c>
      <c r="F3414" s="6" t="str">
        <f t="shared" si="116"/>
        <v>0002099003</v>
      </c>
    </row>
    <row r="3415" spans="1:6" x14ac:dyDescent="0.3">
      <c r="A3415" s="6" t="s">
        <v>3415</v>
      </c>
      <c r="B3415">
        <v>66981241</v>
      </c>
      <c r="C3415" s="3">
        <v>5</v>
      </c>
      <c r="D3415" s="5" t="str">
        <f t="shared" si="117"/>
        <v>05</v>
      </c>
      <c r="E3415" t="str">
        <f>VLOOKUP(B3415,'HOGARES-BASELINE'!$B:$I,8,FALSE)</f>
        <v>00020991</v>
      </c>
      <c r="F3415" s="6" t="str">
        <f t="shared" si="116"/>
        <v>0002099105</v>
      </c>
    </row>
    <row r="3416" spans="1:6" x14ac:dyDescent="0.3">
      <c r="A3416" s="6" t="s">
        <v>3416</v>
      </c>
      <c r="B3416">
        <v>66981241</v>
      </c>
      <c r="C3416" s="3">
        <v>1</v>
      </c>
      <c r="D3416" s="5" t="str">
        <f t="shared" si="117"/>
        <v>01</v>
      </c>
      <c r="E3416" t="str">
        <f>VLOOKUP(B3416,'HOGARES-BASELINE'!$B:$I,8,FALSE)</f>
        <v>00020991</v>
      </c>
      <c r="F3416" s="6" t="str">
        <f t="shared" si="116"/>
        <v>0002099101</v>
      </c>
    </row>
    <row r="3417" spans="1:6" x14ac:dyDescent="0.3">
      <c r="A3417" s="6" t="s">
        <v>3417</v>
      </c>
      <c r="B3417">
        <v>66981241</v>
      </c>
      <c r="C3417" s="3">
        <v>2</v>
      </c>
      <c r="D3417" s="5" t="str">
        <f t="shared" si="117"/>
        <v>02</v>
      </c>
      <c r="E3417" t="str">
        <f>VLOOKUP(B3417,'HOGARES-BASELINE'!$B:$I,8,FALSE)</f>
        <v>00020991</v>
      </c>
      <c r="F3417" s="6" t="str">
        <f t="shared" si="116"/>
        <v>0002099102</v>
      </c>
    </row>
    <row r="3418" spans="1:6" x14ac:dyDescent="0.3">
      <c r="A3418" s="6" t="s">
        <v>3418</v>
      </c>
      <c r="B3418">
        <v>66981241</v>
      </c>
      <c r="C3418" s="3">
        <v>3</v>
      </c>
      <c r="D3418" s="5" t="str">
        <f t="shared" si="117"/>
        <v>03</v>
      </c>
      <c r="E3418" t="str">
        <f>VLOOKUP(B3418,'HOGARES-BASELINE'!$B:$I,8,FALSE)</f>
        <v>00020991</v>
      </c>
      <c r="F3418" s="6" t="str">
        <f t="shared" si="116"/>
        <v>0002099103</v>
      </c>
    </row>
    <row r="3419" spans="1:6" x14ac:dyDescent="0.3">
      <c r="A3419" s="6" t="s">
        <v>3419</v>
      </c>
      <c r="B3419">
        <v>66981241</v>
      </c>
      <c r="C3419" s="3">
        <v>4</v>
      </c>
      <c r="D3419" s="5" t="str">
        <f t="shared" si="117"/>
        <v>04</v>
      </c>
      <c r="E3419" t="str">
        <f>VLOOKUP(B3419,'HOGARES-BASELINE'!$B:$I,8,FALSE)</f>
        <v>00020991</v>
      </c>
      <c r="F3419" s="6" t="str">
        <f t="shared" si="116"/>
        <v>0002099104</v>
      </c>
    </row>
    <row r="3420" spans="1:6" x14ac:dyDescent="0.3">
      <c r="A3420" s="6" t="s">
        <v>3420</v>
      </c>
      <c r="B3420">
        <v>66981593</v>
      </c>
      <c r="C3420" s="3">
        <v>1</v>
      </c>
      <c r="D3420" s="5" t="str">
        <f t="shared" si="117"/>
        <v>01</v>
      </c>
      <c r="E3420" t="str">
        <f>VLOOKUP(B3420,'HOGARES-BASELINE'!$B:$I,8,FALSE)</f>
        <v>00020992</v>
      </c>
      <c r="F3420" s="6" t="str">
        <f t="shared" si="116"/>
        <v>0002099201</v>
      </c>
    </row>
    <row r="3421" spans="1:6" x14ac:dyDescent="0.3">
      <c r="A3421" s="6" t="s">
        <v>3421</v>
      </c>
      <c r="B3421">
        <v>66981593</v>
      </c>
      <c r="C3421" s="3">
        <v>2</v>
      </c>
      <c r="D3421" s="5" t="str">
        <f t="shared" si="117"/>
        <v>02</v>
      </c>
      <c r="E3421" t="str">
        <f>VLOOKUP(B3421,'HOGARES-BASELINE'!$B:$I,8,FALSE)</f>
        <v>00020992</v>
      </c>
      <c r="F3421" s="6" t="str">
        <f t="shared" si="116"/>
        <v>0002099202</v>
      </c>
    </row>
    <row r="3422" spans="1:6" x14ac:dyDescent="0.3">
      <c r="A3422" s="6" t="s">
        <v>3422</v>
      </c>
      <c r="B3422">
        <v>66981593</v>
      </c>
      <c r="C3422" s="3">
        <v>3</v>
      </c>
      <c r="D3422" s="5" t="str">
        <f t="shared" si="117"/>
        <v>03</v>
      </c>
      <c r="E3422" t="str">
        <f>VLOOKUP(B3422,'HOGARES-BASELINE'!$B:$I,8,FALSE)</f>
        <v>00020992</v>
      </c>
      <c r="F3422" s="6" t="str">
        <f t="shared" si="116"/>
        <v>0002099203</v>
      </c>
    </row>
    <row r="3423" spans="1:6" x14ac:dyDescent="0.3">
      <c r="A3423" s="6" t="s">
        <v>3423</v>
      </c>
      <c r="B3423">
        <v>66981593</v>
      </c>
      <c r="C3423" s="3">
        <v>4</v>
      </c>
      <c r="D3423" s="5" t="str">
        <f t="shared" si="117"/>
        <v>04</v>
      </c>
      <c r="E3423" t="str">
        <f>VLOOKUP(B3423,'HOGARES-BASELINE'!$B:$I,8,FALSE)</f>
        <v>00020992</v>
      </c>
      <c r="F3423" s="6" t="str">
        <f t="shared" si="116"/>
        <v>0002099204</v>
      </c>
    </row>
    <row r="3424" spans="1:6" x14ac:dyDescent="0.3">
      <c r="A3424" s="6" t="s">
        <v>3424</v>
      </c>
      <c r="B3424">
        <v>66981593</v>
      </c>
      <c r="C3424" s="3">
        <v>5</v>
      </c>
      <c r="D3424" s="5" t="str">
        <f t="shared" si="117"/>
        <v>05</v>
      </c>
      <c r="E3424" t="str">
        <f>VLOOKUP(B3424,'HOGARES-BASELINE'!$B:$I,8,FALSE)</f>
        <v>00020992</v>
      </c>
      <c r="F3424" s="6" t="str">
        <f t="shared" si="116"/>
        <v>0002099205</v>
      </c>
    </row>
    <row r="3425" spans="1:6" x14ac:dyDescent="0.3">
      <c r="A3425" s="6" t="s">
        <v>3425</v>
      </c>
      <c r="B3425">
        <v>66983263</v>
      </c>
      <c r="C3425" s="3">
        <v>1</v>
      </c>
      <c r="D3425" s="5" t="str">
        <f t="shared" si="117"/>
        <v>01</v>
      </c>
      <c r="E3425" t="str">
        <f>VLOOKUP(B3425,'HOGARES-BASELINE'!$B:$I,8,FALSE)</f>
        <v>01020993</v>
      </c>
      <c r="F3425" s="6" t="str">
        <f t="shared" si="116"/>
        <v>0102099301</v>
      </c>
    </row>
    <row r="3426" spans="1:6" x14ac:dyDescent="0.3">
      <c r="A3426" s="6" t="s">
        <v>3426</v>
      </c>
      <c r="B3426">
        <v>66983263</v>
      </c>
      <c r="C3426" s="3">
        <v>4</v>
      </c>
      <c r="D3426" s="5" t="str">
        <f t="shared" si="117"/>
        <v>04</v>
      </c>
      <c r="E3426" t="str">
        <f>VLOOKUP(B3426,'HOGARES-BASELINE'!$B:$I,8,FALSE)</f>
        <v>01020993</v>
      </c>
      <c r="F3426" s="6" t="str">
        <f t="shared" si="116"/>
        <v>0102099304</v>
      </c>
    </row>
    <row r="3427" spans="1:6" x14ac:dyDescent="0.3">
      <c r="A3427" s="6" t="s">
        <v>3427</v>
      </c>
      <c r="B3427">
        <v>66983263</v>
      </c>
      <c r="C3427" s="3">
        <v>2</v>
      </c>
      <c r="D3427" s="5" t="str">
        <f t="shared" si="117"/>
        <v>02</v>
      </c>
      <c r="E3427" t="str">
        <f>VLOOKUP(B3427,'HOGARES-BASELINE'!$B:$I,8,FALSE)</f>
        <v>01020993</v>
      </c>
      <c r="F3427" s="6" t="str">
        <f t="shared" si="116"/>
        <v>0102099302</v>
      </c>
    </row>
    <row r="3428" spans="1:6" x14ac:dyDescent="0.3">
      <c r="A3428" s="6" t="s">
        <v>3428</v>
      </c>
      <c r="B3428">
        <v>66983263</v>
      </c>
      <c r="C3428" s="3">
        <v>3</v>
      </c>
      <c r="D3428" s="5" t="str">
        <f t="shared" si="117"/>
        <v>03</v>
      </c>
      <c r="E3428" t="str">
        <f>VLOOKUP(B3428,'HOGARES-BASELINE'!$B:$I,8,FALSE)</f>
        <v>01020993</v>
      </c>
      <c r="F3428" s="6" t="str">
        <f t="shared" si="116"/>
        <v>0102099303</v>
      </c>
    </row>
    <row r="3429" spans="1:6" x14ac:dyDescent="0.3">
      <c r="A3429" s="6" t="s">
        <v>3429</v>
      </c>
      <c r="B3429">
        <v>66983263</v>
      </c>
      <c r="C3429" s="3">
        <v>5</v>
      </c>
      <c r="D3429" s="5" t="str">
        <f t="shared" si="117"/>
        <v>05</v>
      </c>
      <c r="E3429" t="str">
        <f>VLOOKUP(B3429,'HOGARES-BASELINE'!$B:$I,8,FALSE)</f>
        <v>01020993</v>
      </c>
      <c r="F3429" s="6" t="str">
        <f t="shared" si="116"/>
        <v>0102099305</v>
      </c>
    </row>
    <row r="3430" spans="1:6" x14ac:dyDescent="0.3">
      <c r="A3430" s="6" t="s">
        <v>3430</v>
      </c>
      <c r="B3430">
        <v>66989106</v>
      </c>
      <c r="C3430" s="3">
        <v>1</v>
      </c>
      <c r="D3430" s="5" t="str">
        <f t="shared" si="117"/>
        <v>01</v>
      </c>
      <c r="E3430" t="str">
        <f>VLOOKUP(B3430,'HOGARES-BASELINE'!$B:$I,8,FALSE)</f>
        <v>00020994</v>
      </c>
      <c r="F3430" s="6" t="str">
        <f t="shared" si="116"/>
        <v>0002099401</v>
      </c>
    </row>
    <row r="3431" spans="1:6" x14ac:dyDescent="0.3">
      <c r="A3431" s="6" t="s">
        <v>3431</v>
      </c>
      <c r="B3431">
        <v>66989106</v>
      </c>
      <c r="C3431" s="3">
        <v>2</v>
      </c>
      <c r="D3431" s="5" t="str">
        <f t="shared" si="117"/>
        <v>02</v>
      </c>
      <c r="E3431" t="str">
        <f>VLOOKUP(B3431,'HOGARES-BASELINE'!$B:$I,8,FALSE)</f>
        <v>00020994</v>
      </c>
      <c r="F3431" s="6" t="str">
        <f t="shared" si="116"/>
        <v>0002099402</v>
      </c>
    </row>
    <row r="3432" spans="1:6" x14ac:dyDescent="0.3">
      <c r="A3432" s="6" t="s">
        <v>3432</v>
      </c>
      <c r="B3432">
        <v>66989106</v>
      </c>
      <c r="C3432" s="3">
        <v>3</v>
      </c>
      <c r="D3432" s="5" t="str">
        <f t="shared" si="117"/>
        <v>03</v>
      </c>
      <c r="E3432" t="str">
        <f>VLOOKUP(B3432,'HOGARES-BASELINE'!$B:$I,8,FALSE)</f>
        <v>00020994</v>
      </c>
      <c r="F3432" s="6" t="str">
        <f t="shared" si="116"/>
        <v>0002099403</v>
      </c>
    </row>
    <row r="3433" spans="1:6" x14ac:dyDescent="0.3">
      <c r="A3433" s="6" t="s">
        <v>3433</v>
      </c>
      <c r="B3433">
        <v>66993102</v>
      </c>
      <c r="C3433" s="3">
        <v>2</v>
      </c>
      <c r="D3433" s="5" t="str">
        <f t="shared" si="117"/>
        <v>02</v>
      </c>
      <c r="E3433" t="str">
        <f>VLOOKUP(B3433,'HOGARES-BASELINE'!$B:$I,8,FALSE)</f>
        <v>00020995</v>
      </c>
      <c r="F3433" s="6" t="str">
        <f t="shared" si="116"/>
        <v>0002099502</v>
      </c>
    </row>
    <row r="3434" spans="1:6" x14ac:dyDescent="0.3">
      <c r="A3434" s="6" t="s">
        <v>3434</v>
      </c>
      <c r="B3434">
        <v>66993102</v>
      </c>
      <c r="C3434" s="3">
        <v>3</v>
      </c>
      <c r="D3434" s="5" t="str">
        <f t="shared" si="117"/>
        <v>03</v>
      </c>
      <c r="E3434" t="str">
        <f>VLOOKUP(B3434,'HOGARES-BASELINE'!$B:$I,8,FALSE)</f>
        <v>00020995</v>
      </c>
      <c r="F3434" s="6" t="str">
        <f t="shared" si="116"/>
        <v>0002099503</v>
      </c>
    </row>
    <row r="3435" spans="1:6" x14ac:dyDescent="0.3">
      <c r="A3435" s="6" t="s">
        <v>3435</v>
      </c>
      <c r="B3435">
        <v>66993102</v>
      </c>
      <c r="C3435" s="3">
        <v>1</v>
      </c>
      <c r="D3435" s="5" t="str">
        <f t="shared" si="117"/>
        <v>01</v>
      </c>
      <c r="E3435" t="str">
        <f>VLOOKUP(B3435,'HOGARES-BASELINE'!$B:$I,8,FALSE)</f>
        <v>00020995</v>
      </c>
      <c r="F3435" s="6" t="str">
        <f t="shared" si="116"/>
        <v>0002099501</v>
      </c>
    </row>
    <row r="3436" spans="1:6" x14ac:dyDescent="0.3">
      <c r="A3436" s="6" t="s">
        <v>3436</v>
      </c>
      <c r="B3436">
        <v>66993102</v>
      </c>
      <c r="C3436" s="3">
        <v>4</v>
      </c>
      <c r="D3436" s="5" t="str">
        <f t="shared" si="117"/>
        <v>04</v>
      </c>
      <c r="E3436" t="str">
        <f>VLOOKUP(B3436,'HOGARES-BASELINE'!$B:$I,8,FALSE)</f>
        <v>00020995</v>
      </c>
      <c r="F3436" s="6" t="str">
        <f t="shared" si="116"/>
        <v>0002099504</v>
      </c>
    </row>
    <row r="3437" spans="1:6" x14ac:dyDescent="0.3">
      <c r="A3437" s="6" t="s">
        <v>3437</v>
      </c>
      <c r="B3437">
        <v>66993543</v>
      </c>
      <c r="C3437" s="3">
        <v>2</v>
      </c>
      <c r="D3437" s="5" t="str">
        <f t="shared" si="117"/>
        <v>02</v>
      </c>
      <c r="E3437" t="str">
        <f>VLOOKUP(B3437,'HOGARES-BASELINE'!$B:$I,8,FALSE)</f>
        <v>01020996</v>
      </c>
      <c r="F3437" s="6" t="str">
        <f t="shared" si="116"/>
        <v>0102099602</v>
      </c>
    </row>
    <row r="3438" spans="1:6" x14ac:dyDescent="0.3">
      <c r="A3438" s="6" t="s">
        <v>3438</v>
      </c>
      <c r="B3438">
        <v>66993543</v>
      </c>
      <c r="C3438" s="3">
        <v>1</v>
      </c>
      <c r="D3438" s="5" t="str">
        <f t="shared" si="117"/>
        <v>01</v>
      </c>
      <c r="E3438" t="str">
        <f>VLOOKUP(B3438,'HOGARES-BASELINE'!$B:$I,8,FALSE)</f>
        <v>01020996</v>
      </c>
      <c r="F3438" s="6" t="str">
        <f t="shared" si="116"/>
        <v>0102099601</v>
      </c>
    </row>
    <row r="3439" spans="1:6" x14ac:dyDescent="0.3">
      <c r="A3439" s="6" t="s">
        <v>3439</v>
      </c>
      <c r="B3439">
        <v>66993543</v>
      </c>
      <c r="C3439" s="3">
        <v>4</v>
      </c>
      <c r="D3439" s="5" t="str">
        <f t="shared" si="117"/>
        <v>04</v>
      </c>
      <c r="E3439" t="str">
        <f>VLOOKUP(B3439,'HOGARES-BASELINE'!$B:$I,8,FALSE)</f>
        <v>01020996</v>
      </c>
      <c r="F3439" s="6" t="str">
        <f t="shared" si="116"/>
        <v>0102099604</v>
      </c>
    </row>
    <row r="3440" spans="1:6" x14ac:dyDescent="0.3">
      <c r="A3440" s="6" t="s">
        <v>3440</v>
      </c>
      <c r="B3440">
        <v>66993543</v>
      </c>
      <c r="C3440" s="3">
        <v>3</v>
      </c>
      <c r="D3440" s="5" t="str">
        <f t="shared" si="117"/>
        <v>03</v>
      </c>
      <c r="E3440" t="str">
        <f>VLOOKUP(B3440,'HOGARES-BASELINE'!$B:$I,8,FALSE)</f>
        <v>01020996</v>
      </c>
      <c r="F3440" s="6" t="str">
        <f t="shared" si="116"/>
        <v>0102099603</v>
      </c>
    </row>
    <row r="3441" spans="1:6" x14ac:dyDescent="0.3">
      <c r="A3441" s="6" t="s">
        <v>3441</v>
      </c>
      <c r="B3441">
        <v>66996132</v>
      </c>
      <c r="C3441" s="3">
        <v>1</v>
      </c>
      <c r="D3441" s="5" t="str">
        <f t="shared" si="117"/>
        <v>01</v>
      </c>
      <c r="E3441" t="str">
        <f>VLOOKUP(B3441,'HOGARES-BASELINE'!$B:$I,8,FALSE)</f>
        <v>01020997</v>
      </c>
      <c r="F3441" s="6" t="str">
        <f t="shared" si="116"/>
        <v>0102099701</v>
      </c>
    </row>
    <row r="3442" spans="1:6" x14ac:dyDescent="0.3">
      <c r="A3442" s="6" t="s">
        <v>3442</v>
      </c>
      <c r="B3442">
        <v>67007953</v>
      </c>
      <c r="C3442" s="3">
        <v>2</v>
      </c>
      <c r="D3442" s="5" t="str">
        <f t="shared" si="117"/>
        <v>02</v>
      </c>
      <c r="E3442" t="str">
        <f>VLOOKUP(B3442,'HOGARES-BASELINE'!$B:$I,8,FALSE)</f>
        <v>00020998</v>
      </c>
      <c r="F3442" s="6" t="str">
        <f t="shared" si="116"/>
        <v>0002099802</v>
      </c>
    </row>
    <row r="3443" spans="1:6" x14ac:dyDescent="0.3">
      <c r="A3443" s="6" t="s">
        <v>3443</v>
      </c>
      <c r="B3443">
        <v>67007953</v>
      </c>
      <c r="C3443" s="3">
        <v>3</v>
      </c>
      <c r="D3443" s="5" t="str">
        <f t="shared" si="117"/>
        <v>03</v>
      </c>
      <c r="E3443" t="str">
        <f>VLOOKUP(B3443,'HOGARES-BASELINE'!$B:$I,8,FALSE)</f>
        <v>00020998</v>
      </c>
      <c r="F3443" s="6" t="str">
        <f t="shared" si="116"/>
        <v>0002099803</v>
      </c>
    </row>
    <row r="3444" spans="1:6" x14ac:dyDescent="0.3">
      <c r="A3444" s="6" t="s">
        <v>3444</v>
      </c>
      <c r="B3444">
        <v>67007953</v>
      </c>
      <c r="C3444" s="3">
        <v>1</v>
      </c>
      <c r="D3444" s="5" t="str">
        <f t="shared" si="117"/>
        <v>01</v>
      </c>
      <c r="E3444" t="str">
        <f>VLOOKUP(B3444,'HOGARES-BASELINE'!$B:$I,8,FALSE)</f>
        <v>00020998</v>
      </c>
      <c r="F3444" s="6" t="str">
        <f t="shared" si="116"/>
        <v>0002099801</v>
      </c>
    </row>
    <row r="3445" spans="1:6" x14ac:dyDescent="0.3">
      <c r="A3445" s="6" t="s">
        <v>3445</v>
      </c>
      <c r="B3445">
        <v>67009210</v>
      </c>
      <c r="C3445" s="3">
        <v>4</v>
      </c>
      <c r="D3445" s="5" t="str">
        <f t="shared" si="117"/>
        <v>04</v>
      </c>
      <c r="E3445" t="str">
        <f>VLOOKUP(B3445,'HOGARES-BASELINE'!$B:$I,8,FALSE)</f>
        <v>00020999</v>
      </c>
      <c r="F3445" s="6" t="str">
        <f t="shared" si="116"/>
        <v>0002099904</v>
      </c>
    </row>
    <row r="3446" spans="1:6" x14ac:dyDescent="0.3">
      <c r="A3446" s="6" t="s">
        <v>3446</v>
      </c>
      <c r="B3446">
        <v>67009210</v>
      </c>
      <c r="C3446" s="3">
        <v>2</v>
      </c>
      <c r="D3446" s="5" t="str">
        <f t="shared" si="117"/>
        <v>02</v>
      </c>
      <c r="E3446" t="str">
        <f>VLOOKUP(B3446,'HOGARES-BASELINE'!$B:$I,8,FALSE)</f>
        <v>00020999</v>
      </c>
      <c r="F3446" s="6" t="str">
        <f t="shared" si="116"/>
        <v>0002099902</v>
      </c>
    </row>
    <row r="3447" spans="1:6" x14ac:dyDescent="0.3">
      <c r="A3447" s="6" t="s">
        <v>3447</v>
      </c>
      <c r="B3447">
        <v>67009210</v>
      </c>
      <c r="C3447" s="3">
        <v>1</v>
      </c>
      <c r="D3447" s="5" t="str">
        <f t="shared" si="117"/>
        <v>01</v>
      </c>
      <c r="E3447" t="str">
        <f>VLOOKUP(B3447,'HOGARES-BASELINE'!$B:$I,8,FALSE)</f>
        <v>00020999</v>
      </c>
      <c r="F3447" s="6" t="str">
        <f t="shared" si="116"/>
        <v>0002099901</v>
      </c>
    </row>
    <row r="3448" spans="1:6" x14ac:dyDescent="0.3">
      <c r="A3448" s="6" t="s">
        <v>3448</v>
      </c>
      <c r="B3448">
        <v>67009210</v>
      </c>
      <c r="C3448" s="3">
        <v>5</v>
      </c>
      <c r="D3448" s="5" t="str">
        <f t="shared" si="117"/>
        <v>05</v>
      </c>
      <c r="E3448" t="str">
        <f>VLOOKUP(B3448,'HOGARES-BASELINE'!$B:$I,8,FALSE)</f>
        <v>00020999</v>
      </c>
      <c r="F3448" s="6" t="str">
        <f t="shared" si="116"/>
        <v>0002099905</v>
      </c>
    </row>
    <row r="3449" spans="1:6" x14ac:dyDescent="0.3">
      <c r="A3449" s="6" t="s">
        <v>3449</v>
      </c>
      <c r="B3449">
        <v>67009210</v>
      </c>
      <c r="C3449" s="3">
        <v>3</v>
      </c>
      <c r="D3449" s="5" t="str">
        <f t="shared" si="117"/>
        <v>03</v>
      </c>
      <c r="E3449" t="str">
        <f>VLOOKUP(B3449,'HOGARES-BASELINE'!$B:$I,8,FALSE)</f>
        <v>00020999</v>
      </c>
      <c r="F3449" s="6" t="str">
        <f t="shared" si="116"/>
        <v>0002099903</v>
      </c>
    </row>
    <row r="3450" spans="1:6" x14ac:dyDescent="0.3">
      <c r="A3450" s="6" t="s">
        <v>3450</v>
      </c>
      <c r="B3450">
        <v>67014248</v>
      </c>
      <c r="C3450" s="3">
        <v>1</v>
      </c>
      <c r="D3450" s="5" t="str">
        <f t="shared" si="117"/>
        <v>01</v>
      </c>
      <c r="E3450" t="str">
        <f>VLOOKUP(B3450,'HOGARES-BASELINE'!$B:$I,8,FALSE)</f>
        <v>00021000</v>
      </c>
      <c r="F3450" s="6" t="str">
        <f t="shared" si="116"/>
        <v>0002100001</v>
      </c>
    </row>
    <row r="3451" spans="1:6" x14ac:dyDescent="0.3">
      <c r="A3451" s="6" t="s">
        <v>3451</v>
      </c>
      <c r="B3451">
        <v>67014248</v>
      </c>
      <c r="C3451" s="3">
        <v>2</v>
      </c>
      <c r="D3451" s="5" t="str">
        <f t="shared" si="117"/>
        <v>02</v>
      </c>
      <c r="E3451" t="str">
        <f>VLOOKUP(B3451,'HOGARES-BASELINE'!$B:$I,8,FALSE)</f>
        <v>00021000</v>
      </c>
      <c r="F3451" s="6" t="str">
        <f t="shared" si="116"/>
        <v>0002100002</v>
      </c>
    </row>
    <row r="3452" spans="1:6" x14ac:dyDescent="0.3">
      <c r="A3452" s="6" t="s">
        <v>3452</v>
      </c>
      <c r="B3452">
        <v>67014248</v>
      </c>
      <c r="C3452" s="3">
        <v>3</v>
      </c>
      <c r="D3452" s="5" t="str">
        <f t="shared" si="117"/>
        <v>03</v>
      </c>
      <c r="E3452" t="str">
        <f>VLOOKUP(B3452,'HOGARES-BASELINE'!$B:$I,8,FALSE)</f>
        <v>00021000</v>
      </c>
      <c r="F3452" s="6" t="str">
        <f t="shared" si="116"/>
        <v>0002100003</v>
      </c>
    </row>
    <row r="3453" spans="1:6" x14ac:dyDescent="0.3">
      <c r="A3453" s="6" t="s">
        <v>3453</v>
      </c>
      <c r="B3453">
        <v>67014248</v>
      </c>
      <c r="C3453" s="3">
        <v>5</v>
      </c>
      <c r="D3453" s="5" t="str">
        <f t="shared" si="117"/>
        <v>05</v>
      </c>
      <c r="E3453" t="str">
        <f>VLOOKUP(B3453,'HOGARES-BASELINE'!$B:$I,8,FALSE)</f>
        <v>00021000</v>
      </c>
      <c r="F3453" s="6" t="str">
        <f t="shared" si="116"/>
        <v>0002100005</v>
      </c>
    </row>
    <row r="3454" spans="1:6" x14ac:dyDescent="0.3">
      <c r="A3454" s="6" t="s">
        <v>3454</v>
      </c>
      <c r="B3454">
        <v>67014248</v>
      </c>
      <c r="C3454" s="3">
        <v>4</v>
      </c>
      <c r="D3454" s="5" t="str">
        <f t="shared" si="117"/>
        <v>04</v>
      </c>
      <c r="E3454" t="str">
        <f>VLOOKUP(B3454,'HOGARES-BASELINE'!$B:$I,8,FALSE)</f>
        <v>00021000</v>
      </c>
      <c r="F3454" s="6" t="str">
        <f t="shared" si="116"/>
        <v>0002100004</v>
      </c>
    </row>
    <row r="3455" spans="1:6" x14ac:dyDescent="0.3">
      <c r="A3455" s="6" t="s">
        <v>3455</v>
      </c>
      <c r="B3455">
        <v>67014284</v>
      </c>
      <c r="C3455" s="3">
        <v>3</v>
      </c>
      <c r="D3455" s="5" t="str">
        <f t="shared" si="117"/>
        <v>03</v>
      </c>
      <c r="E3455" t="str">
        <f>VLOOKUP(B3455,'HOGARES-BASELINE'!$B:$I,8,FALSE)</f>
        <v>01021001</v>
      </c>
      <c r="F3455" s="6" t="str">
        <f t="shared" si="116"/>
        <v>0102100103</v>
      </c>
    </row>
    <row r="3456" spans="1:6" x14ac:dyDescent="0.3">
      <c r="A3456" s="6" t="s">
        <v>3456</v>
      </c>
      <c r="B3456">
        <v>67014284</v>
      </c>
      <c r="C3456" s="3">
        <v>2</v>
      </c>
      <c r="D3456" s="5" t="str">
        <f t="shared" si="117"/>
        <v>02</v>
      </c>
      <c r="E3456" t="str">
        <f>VLOOKUP(B3456,'HOGARES-BASELINE'!$B:$I,8,FALSE)</f>
        <v>01021001</v>
      </c>
      <c r="F3456" s="6" t="str">
        <f t="shared" si="116"/>
        <v>0102100102</v>
      </c>
    </row>
    <row r="3457" spans="1:6" x14ac:dyDescent="0.3">
      <c r="A3457" s="6" t="s">
        <v>3457</v>
      </c>
      <c r="B3457">
        <v>67014284</v>
      </c>
      <c r="C3457" s="3">
        <v>1</v>
      </c>
      <c r="D3457" s="5" t="str">
        <f t="shared" si="117"/>
        <v>01</v>
      </c>
      <c r="E3457" t="str">
        <f>VLOOKUP(B3457,'HOGARES-BASELINE'!$B:$I,8,FALSE)</f>
        <v>01021001</v>
      </c>
      <c r="F3457" s="6" t="str">
        <f t="shared" si="116"/>
        <v>0102100101</v>
      </c>
    </row>
    <row r="3458" spans="1:6" x14ac:dyDescent="0.3">
      <c r="A3458" s="6" t="s">
        <v>3458</v>
      </c>
      <c r="B3458">
        <v>67014284</v>
      </c>
      <c r="C3458" s="3">
        <v>4</v>
      </c>
      <c r="D3458" s="5" t="str">
        <f t="shared" si="117"/>
        <v>04</v>
      </c>
      <c r="E3458" t="str">
        <f>VLOOKUP(B3458,'HOGARES-BASELINE'!$B:$I,8,FALSE)</f>
        <v>01021001</v>
      </c>
      <c r="F3458" s="6" t="str">
        <f t="shared" si="116"/>
        <v>0102100104</v>
      </c>
    </row>
    <row r="3459" spans="1:6" x14ac:dyDescent="0.3">
      <c r="A3459" s="6" t="s">
        <v>3459</v>
      </c>
      <c r="B3459">
        <v>67016691</v>
      </c>
      <c r="C3459" s="3">
        <v>4</v>
      </c>
      <c r="D3459" s="5" t="str">
        <f t="shared" si="117"/>
        <v>04</v>
      </c>
      <c r="E3459" t="str">
        <f>VLOOKUP(B3459,'HOGARES-BASELINE'!$B:$I,8,FALSE)</f>
        <v>00021002</v>
      </c>
      <c r="F3459" s="6" t="str">
        <f t="shared" ref="F3459:F3522" si="118">_xlfn.CONCAT(E3459,D3459)</f>
        <v>0002100204</v>
      </c>
    </row>
    <row r="3460" spans="1:6" x14ac:dyDescent="0.3">
      <c r="A3460" s="6" t="s">
        <v>3460</v>
      </c>
      <c r="B3460">
        <v>67016691</v>
      </c>
      <c r="C3460" s="3">
        <v>3</v>
      </c>
      <c r="D3460" s="5" t="str">
        <f t="shared" si="117"/>
        <v>03</v>
      </c>
      <c r="E3460" t="str">
        <f>VLOOKUP(B3460,'HOGARES-BASELINE'!$B:$I,8,FALSE)</f>
        <v>00021002</v>
      </c>
      <c r="F3460" s="6" t="str">
        <f t="shared" si="118"/>
        <v>0002100203</v>
      </c>
    </row>
    <row r="3461" spans="1:6" x14ac:dyDescent="0.3">
      <c r="A3461" s="6" t="s">
        <v>3461</v>
      </c>
      <c r="B3461">
        <v>67016691</v>
      </c>
      <c r="C3461" s="3">
        <v>1</v>
      </c>
      <c r="D3461" s="5" t="str">
        <f t="shared" si="117"/>
        <v>01</v>
      </c>
      <c r="E3461" t="str">
        <f>VLOOKUP(B3461,'HOGARES-BASELINE'!$B:$I,8,FALSE)</f>
        <v>00021002</v>
      </c>
      <c r="F3461" s="6" t="str">
        <f t="shared" si="118"/>
        <v>0002100201</v>
      </c>
    </row>
    <row r="3462" spans="1:6" x14ac:dyDescent="0.3">
      <c r="A3462" s="6" t="s">
        <v>3462</v>
      </c>
      <c r="B3462">
        <v>67016691</v>
      </c>
      <c r="C3462" s="3">
        <v>2</v>
      </c>
      <c r="D3462" s="5" t="str">
        <f t="shared" si="117"/>
        <v>02</v>
      </c>
      <c r="E3462" t="str">
        <f>VLOOKUP(B3462,'HOGARES-BASELINE'!$B:$I,8,FALSE)</f>
        <v>00021002</v>
      </c>
      <c r="F3462" s="6" t="str">
        <f t="shared" si="118"/>
        <v>0002100202</v>
      </c>
    </row>
    <row r="3463" spans="1:6" x14ac:dyDescent="0.3">
      <c r="A3463" s="6" t="s">
        <v>3463</v>
      </c>
      <c r="B3463">
        <v>67019790</v>
      </c>
      <c r="C3463" s="3">
        <v>2</v>
      </c>
      <c r="D3463" s="5" t="str">
        <f t="shared" ref="D3463:D3526" si="119">_xlfn.CONCAT(0,C3463)</f>
        <v>02</v>
      </c>
      <c r="E3463" t="str">
        <f>VLOOKUP(B3463,'HOGARES-BASELINE'!$B:$I,8,FALSE)</f>
        <v>00021003</v>
      </c>
      <c r="F3463" s="6" t="str">
        <f t="shared" si="118"/>
        <v>0002100302</v>
      </c>
    </row>
    <row r="3464" spans="1:6" x14ac:dyDescent="0.3">
      <c r="A3464" s="6" t="s">
        <v>3464</v>
      </c>
      <c r="B3464">
        <v>67019790</v>
      </c>
      <c r="C3464" s="3">
        <v>3</v>
      </c>
      <c r="D3464" s="5" t="str">
        <f t="shared" si="119"/>
        <v>03</v>
      </c>
      <c r="E3464" t="str">
        <f>VLOOKUP(B3464,'HOGARES-BASELINE'!$B:$I,8,FALSE)</f>
        <v>00021003</v>
      </c>
      <c r="F3464" s="6" t="str">
        <f t="shared" si="118"/>
        <v>0002100303</v>
      </c>
    </row>
    <row r="3465" spans="1:6" x14ac:dyDescent="0.3">
      <c r="A3465" s="6" t="s">
        <v>3465</v>
      </c>
      <c r="B3465">
        <v>67019790</v>
      </c>
      <c r="C3465" s="3">
        <v>1</v>
      </c>
      <c r="D3465" s="5" t="str">
        <f t="shared" si="119"/>
        <v>01</v>
      </c>
      <c r="E3465" t="str">
        <f>VLOOKUP(B3465,'HOGARES-BASELINE'!$B:$I,8,FALSE)</f>
        <v>00021003</v>
      </c>
      <c r="F3465" s="6" t="str">
        <f t="shared" si="118"/>
        <v>0002100301</v>
      </c>
    </row>
    <row r="3466" spans="1:6" x14ac:dyDescent="0.3">
      <c r="A3466" s="6" t="s">
        <v>3466</v>
      </c>
      <c r="B3466">
        <v>67019790</v>
      </c>
      <c r="C3466" s="3">
        <v>4</v>
      </c>
      <c r="D3466" s="5" t="str">
        <f t="shared" si="119"/>
        <v>04</v>
      </c>
      <c r="E3466" t="str">
        <f>VLOOKUP(B3466,'HOGARES-BASELINE'!$B:$I,8,FALSE)</f>
        <v>00021003</v>
      </c>
      <c r="F3466" s="6" t="str">
        <f t="shared" si="118"/>
        <v>0002100304</v>
      </c>
    </row>
    <row r="3467" spans="1:6" x14ac:dyDescent="0.3">
      <c r="A3467" s="6" t="s">
        <v>3467</v>
      </c>
      <c r="B3467">
        <v>67021030</v>
      </c>
      <c r="C3467" s="3">
        <v>2</v>
      </c>
      <c r="D3467" s="5" t="str">
        <f t="shared" si="119"/>
        <v>02</v>
      </c>
      <c r="E3467" t="str">
        <f>VLOOKUP(B3467,'HOGARES-BASELINE'!$B:$I,8,FALSE)</f>
        <v>01021004</v>
      </c>
      <c r="F3467" s="6" t="str">
        <f t="shared" si="118"/>
        <v>0102100402</v>
      </c>
    </row>
    <row r="3468" spans="1:6" x14ac:dyDescent="0.3">
      <c r="A3468" s="6" t="s">
        <v>3468</v>
      </c>
      <c r="B3468">
        <v>67021030</v>
      </c>
      <c r="C3468" s="3">
        <v>4</v>
      </c>
      <c r="D3468" s="5" t="str">
        <f t="shared" si="119"/>
        <v>04</v>
      </c>
      <c r="E3468" t="str">
        <f>VLOOKUP(B3468,'HOGARES-BASELINE'!$B:$I,8,FALSE)</f>
        <v>01021004</v>
      </c>
      <c r="F3468" s="6" t="str">
        <f t="shared" si="118"/>
        <v>0102100404</v>
      </c>
    </row>
    <row r="3469" spans="1:6" x14ac:dyDescent="0.3">
      <c r="A3469" s="6" t="s">
        <v>3469</v>
      </c>
      <c r="B3469">
        <v>67021030</v>
      </c>
      <c r="C3469" s="3">
        <v>1</v>
      </c>
      <c r="D3469" s="5" t="str">
        <f t="shared" si="119"/>
        <v>01</v>
      </c>
      <c r="E3469" t="str">
        <f>VLOOKUP(B3469,'HOGARES-BASELINE'!$B:$I,8,FALSE)</f>
        <v>01021004</v>
      </c>
      <c r="F3469" s="6" t="str">
        <f t="shared" si="118"/>
        <v>0102100401</v>
      </c>
    </row>
    <row r="3470" spans="1:6" x14ac:dyDescent="0.3">
      <c r="A3470" s="6" t="s">
        <v>3470</v>
      </c>
      <c r="B3470">
        <v>67021030</v>
      </c>
      <c r="C3470" s="3">
        <v>5</v>
      </c>
      <c r="D3470" s="5" t="str">
        <f t="shared" si="119"/>
        <v>05</v>
      </c>
      <c r="E3470" t="str">
        <f>VLOOKUP(B3470,'HOGARES-BASELINE'!$B:$I,8,FALSE)</f>
        <v>01021004</v>
      </c>
      <c r="F3470" s="6" t="str">
        <f t="shared" si="118"/>
        <v>0102100405</v>
      </c>
    </row>
    <row r="3471" spans="1:6" x14ac:dyDescent="0.3">
      <c r="A3471" s="6" t="s">
        <v>3471</v>
      </c>
      <c r="B3471">
        <v>67021030</v>
      </c>
      <c r="C3471" s="3">
        <v>3</v>
      </c>
      <c r="D3471" s="5" t="str">
        <f t="shared" si="119"/>
        <v>03</v>
      </c>
      <c r="E3471" t="str">
        <f>VLOOKUP(B3471,'HOGARES-BASELINE'!$B:$I,8,FALSE)</f>
        <v>01021004</v>
      </c>
      <c r="F3471" s="6" t="str">
        <f t="shared" si="118"/>
        <v>0102100403</v>
      </c>
    </row>
    <row r="3472" spans="1:6" x14ac:dyDescent="0.3">
      <c r="A3472" s="6" t="s">
        <v>3472</v>
      </c>
      <c r="B3472">
        <v>670254</v>
      </c>
      <c r="C3472" s="3">
        <v>1</v>
      </c>
      <c r="D3472" s="5" t="str">
        <f t="shared" si="119"/>
        <v>01</v>
      </c>
      <c r="E3472" t="str">
        <f>VLOOKUP(B3472,'HOGARES-BASELINE'!$B:$I,8,FALSE)</f>
        <v>01011005</v>
      </c>
      <c r="F3472" s="6" t="str">
        <f t="shared" si="118"/>
        <v>0101100501</v>
      </c>
    </row>
    <row r="3473" spans="1:6" x14ac:dyDescent="0.3">
      <c r="A3473" s="6" t="s">
        <v>3473</v>
      </c>
      <c r="B3473">
        <v>670254</v>
      </c>
      <c r="C3473" s="3">
        <v>4</v>
      </c>
      <c r="D3473" s="5" t="str">
        <f t="shared" si="119"/>
        <v>04</v>
      </c>
      <c r="E3473" t="str">
        <f>VLOOKUP(B3473,'HOGARES-BASELINE'!$B:$I,8,FALSE)</f>
        <v>01011005</v>
      </c>
      <c r="F3473" s="6" t="str">
        <f t="shared" si="118"/>
        <v>0101100504</v>
      </c>
    </row>
    <row r="3474" spans="1:6" x14ac:dyDescent="0.3">
      <c r="A3474" s="6" t="s">
        <v>3474</v>
      </c>
      <c r="B3474">
        <v>670254</v>
      </c>
      <c r="C3474" s="3">
        <v>3</v>
      </c>
      <c r="D3474" s="5" t="str">
        <f t="shared" si="119"/>
        <v>03</v>
      </c>
      <c r="E3474" t="str">
        <f>VLOOKUP(B3474,'HOGARES-BASELINE'!$B:$I,8,FALSE)</f>
        <v>01011005</v>
      </c>
      <c r="F3474" s="6" t="str">
        <f t="shared" si="118"/>
        <v>0101100503</v>
      </c>
    </row>
    <row r="3475" spans="1:6" x14ac:dyDescent="0.3">
      <c r="A3475" s="6" t="s">
        <v>3475</v>
      </c>
      <c r="B3475">
        <v>670254</v>
      </c>
      <c r="C3475" s="3">
        <v>2</v>
      </c>
      <c r="D3475" s="5" t="str">
        <f t="shared" si="119"/>
        <v>02</v>
      </c>
      <c r="E3475" t="str">
        <f>VLOOKUP(B3475,'HOGARES-BASELINE'!$B:$I,8,FALSE)</f>
        <v>01011005</v>
      </c>
      <c r="F3475" s="6" t="str">
        <f t="shared" si="118"/>
        <v>0101100502</v>
      </c>
    </row>
    <row r="3476" spans="1:6" x14ac:dyDescent="0.3">
      <c r="A3476" s="6" t="s">
        <v>3476</v>
      </c>
      <c r="B3476">
        <v>67028018</v>
      </c>
      <c r="C3476" s="3">
        <v>4</v>
      </c>
      <c r="D3476" s="5" t="str">
        <f t="shared" si="119"/>
        <v>04</v>
      </c>
      <c r="E3476" t="str">
        <f>VLOOKUP(B3476,'HOGARES-BASELINE'!$B:$I,8,FALSE)</f>
        <v>00021006</v>
      </c>
      <c r="F3476" s="6" t="str">
        <f t="shared" si="118"/>
        <v>0002100604</v>
      </c>
    </row>
    <row r="3477" spans="1:6" x14ac:dyDescent="0.3">
      <c r="A3477" s="6" t="s">
        <v>3477</v>
      </c>
      <c r="B3477">
        <v>67028018</v>
      </c>
      <c r="C3477" s="3">
        <v>3</v>
      </c>
      <c r="D3477" s="5" t="str">
        <f t="shared" si="119"/>
        <v>03</v>
      </c>
      <c r="E3477" t="str">
        <f>VLOOKUP(B3477,'HOGARES-BASELINE'!$B:$I,8,FALSE)</f>
        <v>00021006</v>
      </c>
      <c r="F3477" s="6" t="str">
        <f t="shared" si="118"/>
        <v>0002100603</v>
      </c>
    </row>
    <row r="3478" spans="1:6" x14ac:dyDescent="0.3">
      <c r="A3478" s="6" t="s">
        <v>3478</v>
      </c>
      <c r="B3478">
        <v>67028018</v>
      </c>
      <c r="C3478" s="3">
        <v>2</v>
      </c>
      <c r="D3478" s="5" t="str">
        <f t="shared" si="119"/>
        <v>02</v>
      </c>
      <c r="E3478" t="str">
        <f>VLOOKUP(B3478,'HOGARES-BASELINE'!$B:$I,8,FALSE)</f>
        <v>00021006</v>
      </c>
      <c r="F3478" s="6" t="str">
        <f t="shared" si="118"/>
        <v>0002100602</v>
      </c>
    </row>
    <row r="3479" spans="1:6" x14ac:dyDescent="0.3">
      <c r="A3479" s="6" t="s">
        <v>3479</v>
      </c>
      <c r="B3479">
        <v>67028018</v>
      </c>
      <c r="C3479" s="3">
        <v>1</v>
      </c>
      <c r="D3479" s="5" t="str">
        <f t="shared" si="119"/>
        <v>01</v>
      </c>
      <c r="E3479" t="str">
        <f>VLOOKUP(B3479,'HOGARES-BASELINE'!$B:$I,8,FALSE)</f>
        <v>00021006</v>
      </c>
      <c r="F3479" s="6" t="str">
        <f t="shared" si="118"/>
        <v>0002100601</v>
      </c>
    </row>
    <row r="3480" spans="1:6" x14ac:dyDescent="0.3">
      <c r="A3480" s="6" t="s">
        <v>3480</v>
      </c>
      <c r="B3480">
        <v>67033667</v>
      </c>
      <c r="C3480" s="3">
        <v>2</v>
      </c>
      <c r="D3480" s="5" t="str">
        <f t="shared" si="119"/>
        <v>02</v>
      </c>
      <c r="E3480" t="str">
        <f>VLOOKUP(B3480,'HOGARES-BASELINE'!$B:$I,8,FALSE)</f>
        <v>01021007</v>
      </c>
      <c r="F3480" s="6" t="str">
        <f t="shared" si="118"/>
        <v>0102100702</v>
      </c>
    </row>
    <row r="3481" spans="1:6" x14ac:dyDescent="0.3">
      <c r="A3481" s="6" t="s">
        <v>3481</v>
      </c>
      <c r="B3481">
        <v>67033667</v>
      </c>
      <c r="C3481" s="3">
        <v>1</v>
      </c>
      <c r="D3481" s="5" t="str">
        <f t="shared" si="119"/>
        <v>01</v>
      </c>
      <c r="E3481" t="str">
        <f>VLOOKUP(B3481,'HOGARES-BASELINE'!$B:$I,8,FALSE)</f>
        <v>01021007</v>
      </c>
      <c r="F3481" s="6" t="str">
        <f t="shared" si="118"/>
        <v>0102100701</v>
      </c>
    </row>
    <row r="3482" spans="1:6" x14ac:dyDescent="0.3">
      <c r="A3482" s="6" t="s">
        <v>3482</v>
      </c>
      <c r="B3482">
        <v>70049056</v>
      </c>
      <c r="C3482" s="3">
        <v>4</v>
      </c>
      <c r="D3482" s="5" t="str">
        <f t="shared" si="119"/>
        <v>04</v>
      </c>
      <c r="E3482" t="str">
        <f>VLOOKUP(B3482,'HOGARES-BASELINE'!$B:$I,8,FALSE)</f>
        <v>00011008</v>
      </c>
      <c r="F3482" s="6" t="str">
        <f t="shared" si="118"/>
        <v>0001100804</v>
      </c>
    </row>
    <row r="3483" spans="1:6" x14ac:dyDescent="0.3">
      <c r="A3483" s="6" t="s">
        <v>3483</v>
      </c>
      <c r="B3483">
        <v>70049056</v>
      </c>
      <c r="C3483" s="3">
        <v>5</v>
      </c>
      <c r="D3483" s="5" t="str">
        <f t="shared" si="119"/>
        <v>05</v>
      </c>
      <c r="E3483" t="str">
        <f>VLOOKUP(B3483,'HOGARES-BASELINE'!$B:$I,8,FALSE)</f>
        <v>00011008</v>
      </c>
      <c r="F3483" s="6" t="str">
        <f t="shared" si="118"/>
        <v>0001100805</v>
      </c>
    </row>
    <row r="3484" spans="1:6" x14ac:dyDescent="0.3">
      <c r="A3484" s="6" t="s">
        <v>3484</v>
      </c>
      <c r="B3484">
        <v>70049056</v>
      </c>
      <c r="C3484" s="3">
        <v>7</v>
      </c>
      <c r="D3484" s="5" t="str">
        <f t="shared" si="119"/>
        <v>07</v>
      </c>
      <c r="E3484" t="str">
        <f>VLOOKUP(B3484,'HOGARES-BASELINE'!$B:$I,8,FALSE)</f>
        <v>00011008</v>
      </c>
      <c r="F3484" s="6" t="str">
        <f t="shared" si="118"/>
        <v>0001100807</v>
      </c>
    </row>
    <row r="3485" spans="1:6" x14ac:dyDescent="0.3">
      <c r="A3485" s="6" t="s">
        <v>3485</v>
      </c>
      <c r="B3485">
        <v>70049056</v>
      </c>
      <c r="C3485" s="3">
        <v>3</v>
      </c>
      <c r="D3485" s="5" t="str">
        <f t="shared" si="119"/>
        <v>03</v>
      </c>
      <c r="E3485" t="str">
        <f>VLOOKUP(B3485,'HOGARES-BASELINE'!$B:$I,8,FALSE)</f>
        <v>00011008</v>
      </c>
      <c r="F3485" s="6" t="str">
        <f t="shared" si="118"/>
        <v>0001100803</v>
      </c>
    </row>
    <row r="3486" spans="1:6" x14ac:dyDescent="0.3">
      <c r="A3486" s="6" t="s">
        <v>3486</v>
      </c>
      <c r="B3486">
        <v>70049056</v>
      </c>
      <c r="C3486" s="3">
        <v>1</v>
      </c>
      <c r="D3486" s="5" t="str">
        <f t="shared" si="119"/>
        <v>01</v>
      </c>
      <c r="E3486" t="str">
        <f>VLOOKUP(B3486,'HOGARES-BASELINE'!$B:$I,8,FALSE)</f>
        <v>00011008</v>
      </c>
      <c r="F3486" s="6" t="str">
        <f t="shared" si="118"/>
        <v>0001100801</v>
      </c>
    </row>
    <row r="3487" spans="1:6" x14ac:dyDescent="0.3">
      <c r="A3487" s="6" t="s">
        <v>3487</v>
      </c>
      <c r="B3487">
        <v>70049056</v>
      </c>
      <c r="C3487" s="3">
        <v>2</v>
      </c>
      <c r="D3487" s="5" t="str">
        <f t="shared" si="119"/>
        <v>02</v>
      </c>
      <c r="E3487" t="str">
        <f>VLOOKUP(B3487,'HOGARES-BASELINE'!$B:$I,8,FALSE)</f>
        <v>00011008</v>
      </c>
      <c r="F3487" s="6" t="str">
        <f t="shared" si="118"/>
        <v>0001100802</v>
      </c>
    </row>
    <row r="3488" spans="1:6" x14ac:dyDescent="0.3">
      <c r="A3488" s="6" t="s">
        <v>3488</v>
      </c>
      <c r="B3488">
        <v>70049056</v>
      </c>
      <c r="C3488" s="3">
        <v>8</v>
      </c>
      <c r="D3488" s="5" t="str">
        <f t="shared" si="119"/>
        <v>08</v>
      </c>
      <c r="E3488" t="str">
        <f>VLOOKUP(B3488,'HOGARES-BASELINE'!$B:$I,8,FALSE)</f>
        <v>00011008</v>
      </c>
      <c r="F3488" s="6" t="str">
        <f t="shared" si="118"/>
        <v>0001100808</v>
      </c>
    </row>
    <row r="3489" spans="1:6" x14ac:dyDescent="0.3">
      <c r="A3489" s="6" t="s">
        <v>3489</v>
      </c>
      <c r="B3489">
        <v>70049056</v>
      </c>
      <c r="C3489" s="3">
        <v>6</v>
      </c>
      <c r="D3489" s="5" t="str">
        <f t="shared" si="119"/>
        <v>06</v>
      </c>
      <c r="E3489" t="str">
        <f>VLOOKUP(B3489,'HOGARES-BASELINE'!$B:$I,8,FALSE)</f>
        <v>00011008</v>
      </c>
      <c r="F3489" s="6" t="str">
        <f t="shared" si="118"/>
        <v>0001100806</v>
      </c>
    </row>
    <row r="3490" spans="1:6" x14ac:dyDescent="0.3">
      <c r="A3490" s="6" t="s">
        <v>3490</v>
      </c>
      <c r="B3490">
        <v>70073044</v>
      </c>
      <c r="C3490" s="3">
        <v>1</v>
      </c>
      <c r="D3490" s="5" t="str">
        <f t="shared" si="119"/>
        <v>01</v>
      </c>
      <c r="E3490" t="str">
        <f>VLOOKUP(B3490,'HOGARES-BASELINE'!$B:$I,8,FALSE)</f>
        <v>00011009</v>
      </c>
      <c r="F3490" s="6" t="str">
        <f t="shared" si="118"/>
        <v>0001100901</v>
      </c>
    </row>
    <row r="3491" spans="1:6" x14ac:dyDescent="0.3">
      <c r="A3491" s="6" t="s">
        <v>3491</v>
      </c>
      <c r="B3491">
        <v>70108470</v>
      </c>
      <c r="C3491" s="3">
        <v>1</v>
      </c>
      <c r="D3491" s="5" t="str">
        <f t="shared" si="119"/>
        <v>01</v>
      </c>
      <c r="E3491" t="str">
        <f>VLOOKUP(B3491,'HOGARES-BASELINE'!$B:$I,8,FALSE)</f>
        <v>00011010</v>
      </c>
      <c r="F3491" s="6" t="str">
        <f t="shared" si="118"/>
        <v>0001101001</v>
      </c>
    </row>
    <row r="3492" spans="1:6" x14ac:dyDescent="0.3">
      <c r="A3492" s="6" t="s">
        <v>3492</v>
      </c>
      <c r="B3492">
        <v>70108470</v>
      </c>
      <c r="C3492" s="3">
        <v>2</v>
      </c>
      <c r="D3492" s="5" t="str">
        <f t="shared" si="119"/>
        <v>02</v>
      </c>
      <c r="E3492" t="str">
        <f>VLOOKUP(B3492,'HOGARES-BASELINE'!$B:$I,8,FALSE)</f>
        <v>00011010</v>
      </c>
      <c r="F3492" s="6" t="str">
        <f t="shared" si="118"/>
        <v>0001101002</v>
      </c>
    </row>
    <row r="3493" spans="1:6" x14ac:dyDescent="0.3">
      <c r="A3493" s="6" t="s">
        <v>3493</v>
      </c>
      <c r="B3493">
        <v>70127199</v>
      </c>
      <c r="C3493" s="3">
        <v>1</v>
      </c>
      <c r="D3493" s="5" t="str">
        <f t="shared" si="119"/>
        <v>01</v>
      </c>
      <c r="E3493" t="str">
        <f>VLOOKUP(B3493,'HOGARES-BASELINE'!$B:$I,8,FALSE)</f>
        <v>00011011</v>
      </c>
      <c r="F3493" s="6" t="str">
        <f t="shared" si="118"/>
        <v>0001101101</v>
      </c>
    </row>
    <row r="3494" spans="1:6" x14ac:dyDescent="0.3">
      <c r="A3494" s="6" t="s">
        <v>3494</v>
      </c>
      <c r="B3494">
        <v>70432281</v>
      </c>
      <c r="C3494" s="3">
        <v>3</v>
      </c>
      <c r="D3494" s="5" t="str">
        <f t="shared" si="119"/>
        <v>03</v>
      </c>
      <c r="E3494" t="str">
        <f>VLOOKUP(B3494,'HOGARES-BASELINE'!$B:$I,8,FALSE)</f>
        <v>01011012</v>
      </c>
      <c r="F3494" s="6" t="str">
        <f t="shared" si="118"/>
        <v>0101101203</v>
      </c>
    </row>
    <row r="3495" spans="1:6" x14ac:dyDescent="0.3">
      <c r="A3495" s="6" t="s">
        <v>3495</v>
      </c>
      <c r="B3495">
        <v>70432281</v>
      </c>
      <c r="C3495" s="3">
        <v>2</v>
      </c>
      <c r="D3495" s="5" t="str">
        <f t="shared" si="119"/>
        <v>02</v>
      </c>
      <c r="E3495" t="str">
        <f>VLOOKUP(B3495,'HOGARES-BASELINE'!$B:$I,8,FALSE)</f>
        <v>01011012</v>
      </c>
      <c r="F3495" s="6" t="str">
        <f t="shared" si="118"/>
        <v>0101101202</v>
      </c>
    </row>
    <row r="3496" spans="1:6" x14ac:dyDescent="0.3">
      <c r="A3496" s="6" t="s">
        <v>3496</v>
      </c>
      <c r="B3496">
        <v>70432281</v>
      </c>
      <c r="C3496" s="3">
        <v>4</v>
      </c>
      <c r="D3496" s="5" t="str">
        <f t="shared" si="119"/>
        <v>04</v>
      </c>
      <c r="E3496" t="str">
        <f>VLOOKUP(B3496,'HOGARES-BASELINE'!$B:$I,8,FALSE)</f>
        <v>01011012</v>
      </c>
      <c r="F3496" s="6" t="str">
        <f t="shared" si="118"/>
        <v>0101101204</v>
      </c>
    </row>
    <row r="3497" spans="1:6" x14ac:dyDescent="0.3">
      <c r="A3497" s="6" t="s">
        <v>3497</v>
      </c>
      <c r="B3497">
        <v>70432281</v>
      </c>
      <c r="C3497" s="3">
        <v>1</v>
      </c>
      <c r="D3497" s="5" t="str">
        <f t="shared" si="119"/>
        <v>01</v>
      </c>
      <c r="E3497" t="str">
        <f>VLOOKUP(B3497,'HOGARES-BASELINE'!$B:$I,8,FALSE)</f>
        <v>01011012</v>
      </c>
      <c r="F3497" s="6" t="str">
        <f t="shared" si="118"/>
        <v>0101101201</v>
      </c>
    </row>
    <row r="3498" spans="1:6" x14ac:dyDescent="0.3">
      <c r="A3498" s="6" t="s">
        <v>3498</v>
      </c>
      <c r="B3498">
        <v>70540124</v>
      </c>
      <c r="C3498" s="3">
        <v>3</v>
      </c>
      <c r="D3498" s="5" t="str">
        <f t="shared" si="119"/>
        <v>03</v>
      </c>
      <c r="E3498" t="str">
        <f>VLOOKUP(B3498,'HOGARES-BASELINE'!$B:$I,8,FALSE)</f>
        <v>01011013</v>
      </c>
      <c r="F3498" s="6" t="str">
        <f t="shared" si="118"/>
        <v>0101101303</v>
      </c>
    </row>
    <row r="3499" spans="1:6" x14ac:dyDescent="0.3">
      <c r="A3499" s="6" t="s">
        <v>3499</v>
      </c>
      <c r="B3499">
        <v>70540124</v>
      </c>
      <c r="C3499" s="3">
        <v>2</v>
      </c>
      <c r="D3499" s="5" t="str">
        <f t="shared" si="119"/>
        <v>02</v>
      </c>
      <c r="E3499" t="str">
        <f>VLOOKUP(B3499,'HOGARES-BASELINE'!$B:$I,8,FALSE)</f>
        <v>01011013</v>
      </c>
      <c r="F3499" s="6" t="str">
        <f t="shared" si="118"/>
        <v>0101101302</v>
      </c>
    </row>
    <row r="3500" spans="1:6" x14ac:dyDescent="0.3">
      <c r="A3500" s="6" t="s">
        <v>3500</v>
      </c>
      <c r="B3500">
        <v>70540124</v>
      </c>
      <c r="C3500" s="3">
        <v>1</v>
      </c>
      <c r="D3500" s="5" t="str">
        <f t="shared" si="119"/>
        <v>01</v>
      </c>
      <c r="E3500" t="str">
        <f>VLOOKUP(B3500,'HOGARES-BASELINE'!$B:$I,8,FALSE)</f>
        <v>01011013</v>
      </c>
      <c r="F3500" s="6" t="str">
        <f t="shared" si="118"/>
        <v>0101101301</v>
      </c>
    </row>
    <row r="3501" spans="1:6" x14ac:dyDescent="0.3">
      <c r="A3501" s="6" t="s">
        <v>3501</v>
      </c>
      <c r="B3501">
        <v>70663173</v>
      </c>
      <c r="C3501" s="3">
        <v>1</v>
      </c>
      <c r="D3501" s="5" t="str">
        <f t="shared" si="119"/>
        <v>01</v>
      </c>
      <c r="E3501" t="str">
        <f>VLOOKUP(B3501,'HOGARES-BASELINE'!$B:$I,8,FALSE)</f>
        <v>01011014</v>
      </c>
      <c r="F3501" s="6" t="str">
        <f t="shared" si="118"/>
        <v>0101101401</v>
      </c>
    </row>
    <row r="3502" spans="1:6" x14ac:dyDescent="0.3">
      <c r="A3502" s="6" t="s">
        <v>3502</v>
      </c>
      <c r="B3502">
        <v>70721342</v>
      </c>
      <c r="C3502" s="3">
        <v>1</v>
      </c>
      <c r="D3502" s="5" t="str">
        <f t="shared" si="119"/>
        <v>01</v>
      </c>
      <c r="E3502" t="str">
        <f>VLOOKUP(B3502,'HOGARES-BASELINE'!$B:$I,8,FALSE)</f>
        <v>01011015</v>
      </c>
      <c r="F3502" s="6" t="str">
        <f t="shared" si="118"/>
        <v>0101101501</v>
      </c>
    </row>
    <row r="3503" spans="1:6" x14ac:dyDescent="0.3">
      <c r="A3503" s="6" t="s">
        <v>3503</v>
      </c>
      <c r="B3503">
        <v>71216514</v>
      </c>
      <c r="C3503" s="3">
        <v>2</v>
      </c>
      <c r="D3503" s="5" t="str">
        <f t="shared" si="119"/>
        <v>02</v>
      </c>
      <c r="E3503" t="str">
        <f>VLOOKUP(B3503,'HOGARES-BASELINE'!$B:$I,8,FALSE)</f>
        <v>00011016</v>
      </c>
      <c r="F3503" s="6" t="str">
        <f t="shared" si="118"/>
        <v>0001101602</v>
      </c>
    </row>
    <row r="3504" spans="1:6" x14ac:dyDescent="0.3">
      <c r="A3504" s="6" t="s">
        <v>3504</v>
      </c>
      <c r="B3504">
        <v>71216514</v>
      </c>
      <c r="C3504" s="3">
        <v>1</v>
      </c>
      <c r="D3504" s="5" t="str">
        <f t="shared" si="119"/>
        <v>01</v>
      </c>
      <c r="E3504" t="str">
        <f>VLOOKUP(B3504,'HOGARES-BASELINE'!$B:$I,8,FALSE)</f>
        <v>00011016</v>
      </c>
      <c r="F3504" s="6" t="str">
        <f t="shared" si="118"/>
        <v>0001101601</v>
      </c>
    </row>
    <row r="3505" spans="1:6" x14ac:dyDescent="0.3">
      <c r="A3505" s="6" t="s">
        <v>3505</v>
      </c>
      <c r="B3505">
        <v>71218215</v>
      </c>
      <c r="C3505" s="3">
        <v>3</v>
      </c>
      <c r="D3505" s="5" t="str">
        <f t="shared" si="119"/>
        <v>03</v>
      </c>
      <c r="E3505" t="str">
        <f>VLOOKUP(B3505,'HOGARES-BASELINE'!$B:$I,8,FALSE)</f>
        <v>00011017</v>
      </c>
      <c r="F3505" s="6" t="str">
        <f t="shared" si="118"/>
        <v>0001101703</v>
      </c>
    </row>
    <row r="3506" spans="1:6" x14ac:dyDescent="0.3">
      <c r="A3506" s="6" t="s">
        <v>3506</v>
      </c>
      <c r="B3506">
        <v>71218215</v>
      </c>
      <c r="C3506" s="3">
        <v>1</v>
      </c>
      <c r="D3506" s="5" t="str">
        <f t="shared" si="119"/>
        <v>01</v>
      </c>
      <c r="E3506" t="str">
        <f>VLOOKUP(B3506,'HOGARES-BASELINE'!$B:$I,8,FALSE)</f>
        <v>00011017</v>
      </c>
      <c r="F3506" s="6" t="str">
        <f t="shared" si="118"/>
        <v>0001101701</v>
      </c>
    </row>
    <row r="3507" spans="1:6" x14ac:dyDescent="0.3">
      <c r="A3507" s="6" t="s">
        <v>3507</v>
      </c>
      <c r="B3507">
        <v>71218215</v>
      </c>
      <c r="C3507" s="3">
        <v>6</v>
      </c>
      <c r="D3507" s="5" t="str">
        <f t="shared" si="119"/>
        <v>06</v>
      </c>
      <c r="E3507" t="str">
        <f>VLOOKUP(B3507,'HOGARES-BASELINE'!$B:$I,8,FALSE)</f>
        <v>00011017</v>
      </c>
      <c r="F3507" s="6" t="str">
        <f t="shared" si="118"/>
        <v>0001101706</v>
      </c>
    </row>
    <row r="3508" spans="1:6" x14ac:dyDescent="0.3">
      <c r="A3508" s="6" t="s">
        <v>3508</v>
      </c>
      <c r="B3508">
        <v>71218215</v>
      </c>
      <c r="C3508" s="3">
        <v>2</v>
      </c>
      <c r="D3508" s="5" t="str">
        <f t="shared" si="119"/>
        <v>02</v>
      </c>
      <c r="E3508" t="str">
        <f>VLOOKUP(B3508,'HOGARES-BASELINE'!$B:$I,8,FALSE)</f>
        <v>00011017</v>
      </c>
      <c r="F3508" s="6" t="str">
        <f t="shared" si="118"/>
        <v>0001101702</v>
      </c>
    </row>
    <row r="3509" spans="1:6" x14ac:dyDescent="0.3">
      <c r="A3509" s="6" t="s">
        <v>3509</v>
      </c>
      <c r="B3509">
        <v>71218215</v>
      </c>
      <c r="C3509" s="3">
        <v>4</v>
      </c>
      <c r="D3509" s="5" t="str">
        <f t="shared" si="119"/>
        <v>04</v>
      </c>
      <c r="E3509" t="str">
        <f>VLOOKUP(B3509,'HOGARES-BASELINE'!$B:$I,8,FALSE)</f>
        <v>00011017</v>
      </c>
      <c r="F3509" s="6" t="str">
        <f t="shared" si="118"/>
        <v>0001101704</v>
      </c>
    </row>
    <row r="3510" spans="1:6" x14ac:dyDescent="0.3">
      <c r="A3510" s="6" t="s">
        <v>3510</v>
      </c>
      <c r="B3510">
        <v>71218215</v>
      </c>
      <c r="C3510" s="3">
        <v>5</v>
      </c>
      <c r="D3510" s="5" t="str">
        <f t="shared" si="119"/>
        <v>05</v>
      </c>
      <c r="E3510" t="str">
        <f>VLOOKUP(B3510,'HOGARES-BASELINE'!$B:$I,8,FALSE)</f>
        <v>00011017</v>
      </c>
      <c r="F3510" s="6" t="str">
        <f t="shared" si="118"/>
        <v>0001101705</v>
      </c>
    </row>
    <row r="3511" spans="1:6" x14ac:dyDescent="0.3">
      <c r="A3511" s="6" t="s">
        <v>3511</v>
      </c>
      <c r="B3511">
        <v>71260467</v>
      </c>
      <c r="C3511" s="3">
        <v>1</v>
      </c>
      <c r="D3511" s="5" t="str">
        <f t="shared" si="119"/>
        <v>01</v>
      </c>
      <c r="E3511" t="str">
        <f>VLOOKUP(B3511,'HOGARES-BASELINE'!$B:$I,8,FALSE)</f>
        <v>00011018</v>
      </c>
      <c r="F3511" s="6" t="str">
        <f t="shared" si="118"/>
        <v>0001101801</v>
      </c>
    </row>
    <row r="3512" spans="1:6" x14ac:dyDescent="0.3">
      <c r="A3512" s="6" t="s">
        <v>3512</v>
      </c>
      <c r="B3512">
        <v>71276975</v>
      </c>
      <c r="C3512" s="3">
        <v>1</v>
      </c>
      <c r="D3512" s="5" t="str">
        <f t="shared" si="119"/>
        <v>01</v>
      </c>
      <c r="E3512" t="str">
        <f>VLOOKUP(B3512,'HOGARES-BASELINE'!$B:$I,8,FALSE)</f>
        <v>01011019</v>
      </c>
      <c r="F3512" s="6" t="str">
        <f t="shared" si="118"/>
        <v>0101101901</v>
      </c>
    </row>
    <row r="3513" spans="1:6" x14ac:dyDescent="0.3">
      <c r="A3513" s="6" t="s">
        <v>3513</v>
      </c>
      <c r="B3513">
        <v>71314870</v>
      </c>
      <c r="C3513" s="3">
        <v>1</v>
      </c>
      <c r="D3513" s="5" t="str">
        <f t="shared" si="119"/>
        <v>01</v>
      </c>
      <c r="E3513" t="str">
        <f>VLOOKUP(B3513,'HOGARES-BASELINE'!$B:$I,8,FALSE)</f>
        <v>01011020</v>
      </c>
      <c r="F3513" s="6" t="str">
        <f t="shared" si="118"/>
        <v>0101102001</v>
      </c>
    </row>
    <row r="3514" spans="1:6" x14ac:dyDescent="0.3">
      <c r="A3514" s="6" t="s">
        <v>3514</v>
      </c>
      <c r="B3514">
        <v>71365608</v>
      </c>
      <c r="C3514" s="3">
        <v>1</v>
      </c>
      <c r="D3514" s="5" t="str">
        <f t="shared" si="119"/>
        <v>01</v>
      </c>
      <c r="E3514" t="str">
        <f>VLOOKUP(B3514,'HOGARES-BASELINE'!$B:$I,8,FALSE)</f>
        <v>00011021</v>
      </c>
      <c r="F3514" s="6" t="str">
        <f t="shared" si="118"/>
        <v>0001102101</v>
      </c>
    </row>
    <row r="3515" spans="1:6" x14ac:dyDescent="0.3">
      <c r="A3515" s="6" t="s">
        <v>3515</v>
      </c>
      <c r="B3515">
        <v>71376919</v>
      </c>
      <c r="C3515" s="3">
        <v>1</v>
      </c>
      <c r="D3515" s="5" t="str">
        <f t="shared" si="119"/>
        <v>01</v>
      </c>
      <c r="E3515" t="str">
        <f>VLOOKUP(B3515,'HOGARES-BASELINE'!$B:$I,8,FALSE)</f>
        <v>01011022</v>
      </c>
      <c r="F3515" s="6" t="str">
        <f t="shared" si="118"/>
        <v>0101102201</v>
      </c>
    </row>
    <row r="3516" spans="1:6" x14ac:dyDescent="0.3">
      <c r="A3516" s="6" t="s">
        <v>3516</v>
      </c>
      <c r="B3516">
        <v>71376919</v>
      </c>
      <c r="C3516" s="3">
        <v>2</v>
      </c>
      <c r="D3516" s="5" t="str">
        <f t="shared" si="119"/>
        <v>02</v>
      </c>
      <c r="E3516" t="str">
        <f>VLOOKUP(B3516,'HOGARES-BASELINE'!$B:$I,8,FALSE)</f>
        <v>01011022</v>
      </c>
      <c r="F3516" s="6" t="str">
        <f t="shared" si="118"/>
        <v>0101102202</v>
      </c>
    </row>
    <row r="3517" spans="1:6" x14ac:dyDescent="0.3">
      <c r="A3517" s="6" t="s">
        <v>3517</v>
      </c>
      <c r="B3517">
        <v>71387728</v>
      </c>
      <c r="C3517" s="3">
        <v>1</v>
      </c>
      <c r="D3517" s="5" t="str">
        <f t="shared" si="119"/>
        <v>01</v>
      </c>
      <c r="E3517" t="str">
        <f>VLOOKUP(B3517,'HOGARES-BASELINE'!$B:$I,8,FALSE)</f>
        <v>00011023</v>
      </c>
      <c r="F3517" s="6" t="str">
        <f t="shared" si="118"/>
        <v>0001102301</v>
      </c>
    </row>
    <row r="3518" spans="1:6" x14ac:dyDescent="0.3">
      <c r="A3518" s="6" t="s">
        <v>3518</v>
      </c>
      <c r="B3518">
        <v>71387728</v>
      </c>
      <c r="C3518" s="3">
        <v>3</v>
      </c>
      <c r="D3518" s="5" t="str">
        <f t="shared" si="119"/>
        <v>03</v>
      </c>
      <c r="E3518" t="str">
        <f>VLOOKUP(B3518,'HOGARES-BASELINE'!$B:$I,8,FALSE)</f>
        <v>00011023</v>
      </c>
      <c r="F3518" s="6" t="str">
        <f t="shared" si="118"/>
        <v>0001102303</v>
      </c>
    </row>
    <row r="3519" spans="1:6" x14ac:dyDescent="0.3">
      <c r="A3519" s="6" t="s">
        <v>3519</v>
      </c>
      <c r="B3519">
        <v>71387728</v>
      </c>
      <c r="C3519" s="3">
        <v>2</v>
      </c>
      <c r="D3519" s="5" t="str">
        <f t="shared" si="119"/>
        <v>02</v>
      </c>
      <c r="E3519" t="str">
        <f>VLOOKUP(B3519,'HOGARES-BASELINE'!$B:$I,8,FALSE)</f>
        <v>00011023</v>
      </c>
      <c r="F3519" s="6" t="str">
        <f t="shared" si="118"/>
        <v>0001102302</v>
      </c>
    </row>
    <row r="3520" spans="1:6" x14ac:dyDescent="0.3">
      <c r="A3520" s="6" t="s">
        <v>3520</v>
      </c>
      <c r="B3520">
        <v>71579896</v>
      </c>
      <c r="C3520" s="3">
        <v>1</v>
      </c>
      <c r="D3520" s="5" t="str">
        <f t="shared" si="119"/>
        <v>01</v>
      </c>
      <c r="E3520" t="str">
        <f>VLOOKUP(B3520,'HOGARES-BASELINE'!$B:$I,8,FALSE)</f>
        <v>00011024</v>
      </c>
      <c r="F3520" s="6" t="str">
        <f t="shared" si="118"/>
        <v>0001102401</v>
      </c>
    </row>
    <row r="3521" spans="1:6" x14ac:dyDescent="0.3">
      <c r="A3521" s="6" t="s">
        <v>3521</v>
      </c>
      <c r="B3521">
        <v>71591169</v>
      </c>
      <c r="C3521" s="3">
        <v>1</v>
      </c>
      <c r="D3521" s="5" t="str">
        <f t="shared" si="119"/>
        <v>01</v>
      </c>
      <c r="E3521" t="str">
        <f>VLOOKUP(B3521,'HOGARES-BASELINE'!$B:$I,8,FALSE)</f>
        <v>00011025</v>
      </c>
      <c r="F3521" s="6" t="str">
        <f t="shared" si="118"/>
        <v>0001102501</v>
      </c>
    </row>
    <row r="3522" spans="1:6" x14ac:dyDescent="0.3">
      <c r="A3522" s="6" t="s">
        <v>3522</v>
      </c>
      <c r="B3522">
        <v>71603638</v>
      </c>
      <c r="C3522" s="3">
        <v>3</v>
      </c>
      <c r="D3522" s="5" t="str">
        <f t="shared" si="119"/>
        <v>03</v>
      </c>
      <c r="E3522" t="str">
        <f>VLOOKUP(B3522,'HOGARES-BASELINE'!$B:$I,8,FALSE)</f>
        <v>00011026</v>
      </c>
      <c r="F3522" s="6" t="str">
        <f t="shared" si="118"/>
        <v>0001102603</v>
      </c>
    </row>
    <row r="3523" spans="1:6" x14ac:dyDescent="0.3">
      <c r="A3523" s="6" t="s">
        <v>3523</v>
      </c>
      <c r="B3523">
        <v>71603638</v>
      </c>
      <c r="C3523" s="3">
        <v>1</v>
      </c>
      <c r="D3523" s="5" t="str">
        <f t="shared" si="119"/>
        <v>01</v>
      </c>
      <c r="E3523" t="str">
        <f>VLOOKUP(B3523,'HOGARES-BASELINE'!$B:$I,8,FALSE)</f>
        <v>00011026</v>
      </c>
      <c r="F3523" s="6" t="str">
        <f t="shared" ref="F3523:F3586" si="120">_xlfn.CONCAT(E3523,D3523)</f>
        <v>0001102601</v>
      </c>
    </row>
    <row r="3524" spans="1:6" x14ac:dyDescent="0.3">
      <c r="A3524" s="6" t="s">
        <v>3524</v>
      </c>
      <c r="B3524">
        <v>71603638</v>
      </c>
      <c r="C3524" s="3">
        <v>2</v>
      </c>
      <c r="D3524" s="5" t="str">
        <f t="shared" si="119"/>
        <v>02</v>
      </c>
      <c r="E3524" t="str">
        <f>VLOOKUP(B3524,'HOGARES-BASELINE'!$B:$I,8,FALSE)</f>
        <v>00011026</v>
      </c>
      <c r="F3524" s="6" t="str">
        <f t="shared" si="120"/>
        <v>0001102602</v>
      </c>
    </row>
    <row r="3525" spans="1:6" x14ac:dyDescent="0.3">
      <c r="A3525" s="6" t="s">
        <v>3525</v>
      </c>
      <c r="B3525">
        <v>71645240</v>
      </c>
      <c r="C3525" s="3">
        <v>2</v>
      </c>
      <c r="D3525" s="5" t="str">
        <f t="shared" si="119"/>
        <v>02</v>
      </c>
      <c r="E3525" t="str">
        <f>VLOOKUP(B3525,'HOGARES-BASELINE'!$B:$I,8,FALSE)</f>
        <v>01011027</v>
      </c>
      <c r="F3525" s="6" t="str">
        <f t="shared" si="120"/>
        <v>0101102702</v>
      </c>
    </row>
    <row r="3526" spans="1:6" x14ac:dyDescent="0.3">
      <c r="A3526" s="6" t="s">
        <v>3526</v>
      </c>
      <c r="B3526">
        <v>71645240</v>
      </c>
      <c r="C3526" s="3">
        <v>1</v>
      </c>
      <c r="D3526" s="5" t="str">
        <f t="shared" si="119"/>
        <v>01</v>
      </c>
      <c r="E3526" t="str">
        <f>VLOOKUP(B3526,'HOGARES-BASELINE'!$B:$I,8,FALSE)</f>
        <v>01011027</v>
      </c>
      <c r="F3526" s="6" t="str">
        <f t="shared" si="120"/>
        <v>0101102701</v>
      </c>
    </row>
    <row r="3527" spans="1:6" x14ac:dyDescent="0.3">
      <c r="A3527" s="6" t="s">
        <v>3527</v>
      </c>
      <c r="B3527">
        <v>71645240</v>
      </c>
      <c r="C3527" s="3">
        <v>3</v>
      </c>
      <c r="D3527" s="5" t="str">
        <f t="shared" ref="D3527:D3590" si="121">_xlfn.CONCAT(0,C3527)</f>
        <v>03</v>
      </c>
      <c r="E3527" t="str">
        <f>VLOOKUP(B3527,'HOGARES-BASELINE'!$B:$I,8,FALSE)</f>
        <v>01011027</v>
      </c>
      <c r="F3527" s="6" t="str">
        <f t="shared" si="120"/>
        <v>0101102703</v>
      </c>
    </row>
    <row r="3528" spans="1:6" x14ac:dyDescent="0.3">
      <c r="A3528" s="6" t="s">
        <v>3528</v>
      </c>
      <c r="B3528">
        <v>71646374</v>
      </c>
      <c r="C3528" s="3">
        <v>2</v>
      </c>
      <c r="D3528" s="5" t="str">
        <f t="shared" si="121"/>
        <v>02</v>
      </c>
      <c r="E3528" t="str">
        <f>VLOOKUP(B3528,'HOGARES-BASELINE'!$B:$I,8,FALSE)</f>
        <v>00011028</v>
      </c>
      <c r="F3528" s="6" t="str">
        <f t="shared" si="120"/>
        <v>0001102802</v>
      </c>
    </row>
    <row r="3529" spans="1:6" x14ac:dyDescent="0.3">
      <c r="A3529" s="6" t="s">
        <v>3529</v>
      </c>
      <c r="B3529">
        <v>71646374</v>
      </c>
      <c r="C3529" s="3">
        <v>3</v>
      </c>
      <c r="D3529" s="5" t="str">
        <f t="shared" si="121"/>
        <v>03</v>
      </c>
      <c r="E3529" t="str">
        <f>VLOOKUP(B3529,'HOGARES-BASELINE'!$B:$I,8,FALSE)</f>
        <v>00011028</v>
      </c>
      <c r="F3529" s="6" t="str">
        <f t="shared" si="120"/>
        <v>0001102803</v>
      </c>
    </row>
    <row r="3530" spans="1:6" x14ac:dyDescent="0.3">
      <c r="A3530" s="6" t="s">
        <v>3530</v>
      </c>
      <c r="B3530">
        <v>71646374</v>
      </c>
      <c r="C3530" s="3">
        <v>1</v>
      </c>
      <c r="D3530" s="5" t="str">
        <f t="shared" si="121"/>
        <v>01</v>
      </c>
      <c r="E3530" t="str">
        <f>VLOOKUP(B3530,'HOGARES-BASELINE'!$B:$I,8,FALSE)</f>
        <v>00011028</v>
      </c>
      <c r="F3530" s="6" t="str">
        <f t="shared" si="120"/>
        <v>0001102801</v>
      </c>
    </row>
    <row r="3531" spans="1:6" x14ac:dyDescent="0.3">
      <c r="A3531" s="6" t="s">
        <v>3531</v>
      </c>
      <c r="B3531">
        <v>71653892</v>
      </c>
      <c r="C3531" s="3">
        <v>1</v>
      </c>
      <c r="D3531" s="5" t="str">
        <f t="shared" si="121"/>
        <v>01</v>
      </c>
      <c r="E3531" t="str">
        <f>VLOOKUP(B3531,'HOGARES-BASELINE'!$B:$I,8,FALSE)</f>
        <v>00011029</v>
      </c>
      <c r="F3531" s="6" t="str">
        <f t="shared" si="120"/>
        <v>0001102901</v>
      </c>
    </row>
    <row r="3532" spans="1:6" x14ac:dyDescent="0.3">
      <c r="A3532" s="6" t="s">
        <v>3532</v>
      </c>
      <c r="B3532">
        <v>71663203</v>
      </c>
      <c r="C3532" s="3">
        <v>3</v>
      </c>
      <c r="D3532" s="5" t="str">
        <f t="shared" si="121"/>
        <v>03</v>
      </c>
      <c r="E3532" t="str">
        <f>VLOOKUP(B3532,'HOGARES-BASELINE'!$B:$I,8,FALSE)</f>
        <v>00011030</v>
      </c>
      <c r="F3532" s="6" t="str">
        <f t="shared" si="120"/>
        <v>0001103003</v>
      </c>
    </row>
    <row r="3533" spans="1:6" x14ac:dyDescent="0.3">
      <c r="A3533" s="6" t="s">
        <v>3533</v>
      </c>
      <c r="B3533">
        <v>71663203</v>
      </c>
      <c r="C3533" s="3">
        <v>4</v>
      </c>
      <c r="D3533" s="5" t="str">
        <f t="shared" si="121"/>
        <v>04</v>
      </c>
      <c r="E3533" t="str">
        <f>VLOOKUP(B3533,'HOGARES-BASELINE'!$B:$I,8,FALSE)</f>
        <v>00011030</v>
      </c>
      <c r="F3533" s="6" t="str">
        <f t="shared" si="120"/>
        <v>0001103004</v>
      </c>
    </row>
    <row r="3534" spans="1:6" x14ac:dyDescent="0.3">
      <c r="A3534" s="6" t="s">
        <v>3534</v>
      </c>
      <c r="B3534">
        <v>71663203</v>
      </c>
      <c r="C3534" s="3">
        <v>1</v>
      </c>
      <c r="D3534" s="5" t="str">
        <f t="shared" si="121"/>
        <v>01</v>
      </c>
      <c r="E3534" t="str">
        <f>VLOOKUP(B3534,'HOGARES-BASELINE'!$B:$I,8,FALSE)</f>
        <v>00011030</v>
      </c>
      <c r="F3534" s="6" t="str">
        <f t="shared" si="120"/>
        <v>0001103001</v>
      </c>
    </row>
    <row r="3535" spans="1:6" x14ac:dyDescent="0.3">
      <c r="A3535" s="6" t="s">
        <v>3535</v>
      </c>
      <c r="B3535">
        <v>71663203</v>
      </c>
      <c r="C3535" s="3">
        <v>6</v>
      </c>
      <c r="D3535" s="5" t="str">
        <f t="shared" si="121"/>
        <v>06</v>
      </c>
      <c r="E3535" t="str">
        <f>VLOOKUP(B3535,'HOGARES-BASELINE'!$B:$I,8,FALSE)</f>
        <v>00011030</v>
      </c>
      <c r="F3535" s="6" t="str">
        <f t="shared" si="120"/>
        <v>0001103006</v>
      </c>
    </row>
    <row r="3536" spans="1:6" x14ac:dyDescent="0.3">
      <c r="A3536" s="6" t="s">
        <v>3536</v>
      </c>
      <c r="B3536">
        <v>71663203</v>
      </c>
      <c r="C3536" s="3">
        <v>5</v>
      </c>
      <c r="D3536" s="5" t="str">
        <f t="shared" si="121"/>
        <v>05</v>
      </c>
      <c r="E3536" t="str">
        <f>VLOOKUP(B3536,'HOGARES-BASELINE'!$B:$I,8,FALSE)</f>
        <v>00011030</v>
      </c>
      <c r="F3536" s="6" t="str">
        <f t="shared" si="120"/>
        <v>0001103005</v>
      </c>
    </row>
    <row r="3537" spans="1:6" x14ac:dyDescent="0.3">
      <c r="A3537" s="6" t="s">
        <v>3537</v>
      </c>
      <c r="B3537">
        <v>71663203</v>
      </c>
      <c r="C3537" s="3">
        <v>2</v>
      </c>
      <c r="D3537" s="5" t="str">
        <f t="shared" si="121"/>
        <v>02</v>
      </c>
      <c r="E3537" t="str">
        <f>VLOOKUP(B3537,'HOGARES-BASELINE'!$B:$I,8,FALSE)</f>
        <v>00011030</v>
      </c>
      <c r="F3537" s="6" t="str">
        <f t="shared" si="120"/>
        <v>0001103002</v>
      </c>
    </row>
    <row r="3538" spans="1:6" x14ac:dyDescent="0.3">
      <c r="A3538" s="6" t="s">
        <v>3538</v>
      </c>
      <c r="B3538">
        <v>71664592</v>
      </c>
      <c r="C3538" s="3">
        <v>5</v>
      </c>
      <c r="D3538" s="5" t="str">
        <f t="shared" si="121"/>
        <v>05</v>
      </c>
      <c r="E3538" t="str">
        <f>VLOOKUP(B3538,'HOGARES-BASELINE'!$B:$I,8,FALSE)</f>
        <v>00011031</v>
      </c>
      <c r="F3538" s="6" t="str">
        <f t="shared" si="120"/>
        <v>0001103105</v>
      </c>
    </row>
    <row r="3539" spans="1:6" x14ac:dyDescent="0.3">
      <c r="A3539" s="6" t="s">
        <v>3539</v>
      </c>
      <c r="B3539">
        <v>71664592</v>
      </c>
      <c r="C3539" s="3">
        <v>4</v>
      </c>
      <c r="D3539" s="5" t="str">
        <f t="shared" si="121"/>
        <v>04</v>
      </c>
      <c r="E3539" t="str">
        <f>VLOOKUP(B3539,'HOGARES-BASELINE'!$B:$I,8,FALSE)</f>
        <v>00011031</v>
      </c>
      <c r="F3539" s="6" t="str">
        <f t="shared" si="120"/>
        <v>0001103104</v>
      </c>
    </row>
    <row r="3540" spans="1:6" x14ac:dyDescent="0.3">
      <c r="A3540" s="6" t="s">
        <v>3540</v>
      </c>
      <c r="B3540">
        <v>71664592</v>
      </c>
      <c r="C3540" s="3">
        <v>1</v>
      </c>
      <c r="D3540" s="5" t="str">
        <f t="shared" si="121"/>
        <v>01</v>
      </c>
      <c r="E3540" t="str">
        <f>VLOOKUP(B3540,'HOGARES-BASELINE'!$B:$I,8,FALSE)</f>
        <v>00011031</v>
      </c>
      <c r="F3540" s="6" t="str">
        <f t="shared" si="120"/>
        <v>0001103101</v>
      </c>
    </row>
    <row r="3541" spans="1:6" x14ac:dyDescent="0.3">
      <c r="A3541" s="6" t="s">
        <v>3541</v>
      </c>
      <c r="B3541">
        <v>71664592</v>
      </c>
      <c r="C3541" s="3">
        <v>2</v>
      </c>
      <c r="D3541" s="5" t="str">
        <f t="shared" si="121"/>
        <v>02</v>
      </c>
      <c r="E3541" t="str">
        <f>VLOOKUP(B3541,'HOGARES-BASELINE'!$B:$I,8,FALSE)</f>
        <v>00011031</v>
      </c>
      <c r="F3541" s="6" t="str">
        <f t="shared" si="120"/>
        <v>0001103102</v>
      </c>
    </row>
    <row r="3542" spans="1:6" x14ac:dyDescent="0.3">
      <c r="A3542" s="6" t="s">
        <v>3542</v>
      </c>
      <c r="B3542">
        <v>71664592</v>
      </c>
      <c r="C3542" s="3">
        <v>3</v>
      </c>
      <c r="D3542" s="5" t="str">
        <f t="shared" si="121"/>
        <v>03</v>
      </c>
      <c r="E3542" t="str">
        <f>VLOOKUP(B3542,'HOGARES-BASELINE'!$B:$I,8,FALSE)</f>
        <v>00011031</v>
      </c>
      <c r="F3542" s="6" t="str">
        <f t="shared" si="120"/>
        <v>0001103103</v>
      </c>
    </row>
    <row r="3543" spans="1:6" x14ac:dyDescent="0.3">
      <c r="A3543" s="6" t="s">
        <v>3543</v>
      </c>
      <c r="B3543">
        <v>71671195</v>
      </c>
      <c r="C3543" s="3">
        <v>2</v>
      </c>
      <c r="D3543" s="5" t="str">
        <f t="shared" si="121"/>
        <v>02</v>
      </c>
      <c r="E3543" t="str">
        <f>VLOOKUP(B3543,'HOGARES-BASELINE'!$B:$I,8,FALSE)</f>
        <v>00011032</v>
      </c>
      <c r="F3543" s="6" t="str">
        <f t="shared" si="120"/>
        <v>0001103202</v>
      </c>
    </row>
    <row r="3544" spans="1:6" x14ac:dyDescent="0.3">
      <c r="A3544" s="6" t="s">
        <v>3544</v>
      </c>
      <c r="B3544">
        <v>71671195</v>
      </c>
      <c r="C3544" s="3">
        <v>1</v>
      </c>
      <c r="D3544" s="5" t="str">
        <f t="shared" si="121"/>
        <v>01</v>
      </c>
      <c r="E3544" t="str">
        <f>VLOOKUP(B3544,'HOGARES-BASELINE'!$B:$I,8,FALSE)</f>
        <v>00011032</v>
      </c>
      <c r="F3544" s="6" t="str">
        <f t="shared" si="120"/>
        <v>0001103201</v>
      </c>
    </row>
    <row r="3545" spans="1:6" x14ac:dyDescent="0.3">
      <c r="A3545" s="6" t="s">
        <v>3545</v>
      </c>
      <c r="B3545">
        <v>71681839</v>
      </c>
      <c r="C3545" s="3">
        <v>4</v>
      </c>
      <c r="D3545" s="5" t="str">
        <f t="shared" si="121"/>
        <v>04</v>
      </c>
      <c r="E3545" t="str">
        <f>VLOOKUP(B3545,'HOGARES-BASELINE'!$B:$I,8,FALSE)</f>
        <v>01011033</v>
      </c>
      <c r="F3545" s="6" t="str">
        <f t="shared" si="120"/>
        <v>0101103304</v>
      </c>
    </row>
    <row r="3546" spans="1:6" x14ac:dyDescent="0.3">
      <c r="A3546" s="6" t="s">
        <v>3546</v>
      </c>
      <c r="B3546">
        <v>71681839</v>
      </c>
      <c r="C3546" s="3">
        <v>5</v>
      </c>
      <c r="D3546" s="5" t="str">
        <f t="shared" si="121"/>
        <v>05</v>
      </c>
      <c r="E3546" t="str">
        <f>VLOOKUP(B3546,'HOGARES-BASELINE'!$B:$I,8,FALSE)</f>
        <v>01011033</v>
      </c>
      <c r="F3546" s="6" t="str">
        <f t="shared" si="120"/>
        <v>0101103305</v>
      </c>
    </row>
    <row r="3547" spans="1:6" x14ac:dyDescent="0.3">
      <c r="A3547" s="6" t="s">
        <v>3547</v>
      </c>
      <c r="B3547">
        <v>71681839</v>
      </c>
      <c r="C3547" s="3">
        <v>1</v>
      </c>
      <c r="D3547" s="5" t="str">
        <f t="shared" si="121"/>
        <v>01</v>
      </c>
      <c r="E3547" t="str">
        <f>VLOOKUP(B3547,'HOGARES-BASELINE'!$B:$I,8,FALSE)</f>
        <v>01011033</v>
      </c>
      <c r="F3547" s="6" t="str">
        <f t="shared" si="120"/>
        <v>0101103301</v>
      </c>
    </row>
    <row r="3548" spans="1:6" x14ac:dyDescent="0.3">
      <c r="A3548" s="6" t="s">
        <v>3548</v>
      </c>
      <c r="B3548">
        <v>71681839</v>
      </c>
      <c r="C3548" s="3">
        <v>2</v>
      </c>
      <c r="D3548" s="5" t="str">
        <f t="shared" si="121"/>
        <v>02</v>
      </c>
      <c r="E3548" t="str">
        <f>VLOOKUP(B3548,'HOGARES-BASELINE'!$B:$I,8,FALSE)</f>
        <v>01011033</v>
      </c>
      <c r="F3548" s="6" t="str">
        <f t="shared" si="120"/>
        <v>0101103302</v>
      </c>
    </row>
    <row r="3549" spans="1:6" x14ac:dyDescent="0.3">
      <c r="A3549" s="6" t="s">
        <v>3549</v>
      </c>
      <c r="B3549">
        <v>71681839</v>
      </c>
      <c r="C3549" s="3">
        <v>3</v>
      </c>
      <c r="D3549" s="5" t="str">
        <f t="shared" si="121"/>
        <v>03</v>
      </c>
      <c r="E3549" t="str">
        <f>VLOOKUP(B3549,'HOGARES-BASELINE'!$B:$I,8,FALSE)</f>
        <v>01011033</v>
      </c>
      <c r="F3549" s="6" t="str">
        <f t="shared" si="120"/>
        <v>0101103303</v>
      </c>
    </row>
    <row r="3550" spans="1:6" x14ac:dyDescent="0.3">
      <c r="A3550" s="6" t="s">
        <v>3550</v>
      </c>
      <c r="B3550">
        <v>71686558</v>
      </c>
      <c r="C3550" s="3">
        <v>1</v>
      </c>
      <c r="D3550" s="5" t="str">
        <f t="shared" si="121"/>
        <v>01</v>
      </c>
      <c r="E3550" t="str">
        <f>VLOOKUP(B3550,'HOGARES-BASELINE'!$B:$I,8,FALSE)</f>
        <v>00011034</v>
      </c>
      <c r="F3550" s="6" t="str">
        <f t="shared" si="120"/>
        <v>0001103401</v>
      </c>
    </row>
    <row r="3551" spans="1:6" x14ac:dyDescent="0.3">
      <c r="A3551" s="6" t="s">
        <v>3551</v>
      </c>
      <c r="B3551">
        <v>71686558</v>
      </c>
      <c r="C3551" s="3">
        <v>2</v>
      </c>
      <c r="D3551" s="5" t="str">
        <f t="shared" si="121"/>
        <v>02</v>
      </c>
      <c r="E3551" t="str">
        <f>VLOOKUP(B3551,'HOGARES-BASELINE'!$B:$I,8,FALSE)</f>
        <v>00011034</v>
      </c>
      <c r="F3551" s="6" t="str">
        <f t="shared" si="120"/>
        <v>0001103402</v>
      </c>
    </row>
    <row r="3552" spans="1:6" x14ac:dyDescent="0.3">
      <c r="A3552" s="6" t="s">
        <v>3552</v>
      </c>
      <c r="B3552">
        <v>71697945</v>
      </c>
      <c r="C3552" s="3">
        <v>1</v>
      </c>
      <c r="D3552" s="5" t="str">
        <f t="shared" si="121"/>
        <v>01</v>
      </c>
      <c r="E3552" t="str">
        <f>VLOOKUP(B3552,'HOGARES-BASELINE'!$B:$I,8,FALSE)</f>
        <v>00011035</v>
      </c>
      <c r="F3552" s="6" t="str">
        <f t="shared" si="120"/>
        <v>0001103501</v>
      </c>
    </row>
    <row r="3553" spans="1:6" x14ac:dyDescent="0.3">
      <c r="A3553" s="6" t="s">
        <v>3553</v>
      </c>
      <c r="B3553">
        <v>71697945</v>
      </c>
      <c r="C3553" s="3">
        <v>2</v>
      </c>
      <c r="D3553" s="5" t="str">
        <f t="shared" si="121"/>
        <v>02</v>
      </c>
      <c r="E3553" t="str">
        <f>VLOOKUP(B3553,'HOGARES-BASELINE'!$B:$I,8,FALSE)</f>
        <v>00011035</v>
      </c>
      <c r="F3553" s="6" t="str">
        <f t="shared" si="120"/>
        <v>0001103502</v>
      </c>
    </row>
    <row r="3554" spans="1:6" x14ac:dyDescent="0.3">
      <c r="A3554" s="6" t="s">
        <v>3554</v>
      </c>
      <c r="B3554">
        <v>71697945</v>
      </c>
      <c r="C3554" s="3">
        <v>3</v>
      </c>
      <c r="D3554" s="5" t="str">
        <f t="shared" si="121"/>
        <v>03</v>
      </c>
      <c r="E3554" t="str">
        <f>VLOOKUP(B3554,'HOGARES-BASELINE'!$B:$I,8,FALSE)</f>
        <v>00011035</v>
      </c>
      <c r="F3554" s="6" t="str">
        <f t="shared" si="120"/>
        <v>0001103503</v>
      </c>
    </row>
    <row r="3555" spans="1:6" x14ac:dyDescent="0.3">
      <c r="A3555" s="6" t="s">
        <v>3555</v>
      </c>
      <c r="B3555">
        <v>71717122</v>
      </c>
      <c r="C3555" s="3">
        <v>2</v>
      </c>
      <c r="D3555" s="5" t="str">
        <f t="shared" si="121"/>
        <v>02</v>
      </c>
      <c r="E3555" t="str">
        <f>VLOOKUP(B3555,'HOGARES-BASELINE'!$B:$I,8,FALSE)</f>
        <v>00011036</v>
      </c>
      <c r="F3555" s="6" t="str">
        <f t="shared" si="120"/>
        <v>0001103602</v>
      </c>
    </row>
    <row r="3556" spans="1:6" x14ac:dyDescent="0.3">
      <c r="A3556" s="6" t="s">
        <v>3556</v>
      </c>
      <c r="B3556">
        <v>71717122</v>
      </c>
      <c r="C3556" s="3">
        <v>4</v>
      </c>
      <c r="D3556" s="5" t="str">
        <f t="shared" si="121"/>
        <v>04</v>
      </c>
      <c r="E3556" t="str">
        <f>VLOOKUP(B3556,'HOGARES-BASELINE'!$B:$I,8,FALSE)</f>
        <v>00011036</v>
      </c>
      <c r="F3556" s="6" t="str">
        <f t="shared" si="120"/>
        <v>0001103604</v>
      </c>
    </row>
    <row r="3557" spans="1:6" x14ac:dyDescent="0.3">
      <c r="A3557" s="6" t="s">
        <v>3557</v>
      </c>
      <c r="B3557">
        <v>71717122</v>
      </c>
      <c r="C3557" s="3">
        <v>7</v>
      </c>
      <c r="D3557" s="5" t="str">
        <f t="shared" si="121"/>
        <v>07</v>
      </c>
      <c r="E3557" t="str">
        <f>VLOOKUP(B3557,'HOGARES-BASELINE'!$B:$I,8,FALSE)</f>
        <v>00011036</v>
      </c>
      <c r="F3557" s="6" t="str">
        <f t="shared" si="120"/>
        <v>0001103607</v>
      </c>
    </row>
    <row r="3558" spans="1:6" x14ac:dyDescent="0.3">
      <c r="A3558" s="6" t="s">
        <v>3558</v>
      </c>
      <c r="B3558">
        <v>71717122</v>
      </c>
      <c r="C3558" s="3">
        <v>5</v>
      </c>
      <c r="D3558" s="5" t="str">
        <f t="shared" si="121"/>
        <v>05</v>
      </c>
      <c r="E3558" t="str">
        <f>VLOOKUP(B3558,'HOGARES-BASELINE'!$B:$I,8,FALSE)</f>
        <v>00011036</v>
      </c>
      <c r="F3558" s="6" t="str">
        <f t="shared" si="120"/>
        <v>0001103605</v>
      </c>
    </row>
    <row r="3559" spans="1:6" x14ac:dyDescent="0.3">
      <c r="A3559" s="6" t="s">
        <v>3559</v>
      </c>
      <c r="B3559">
        <v>71717122</v>
      </c>
      <c r="C3559" s="3">
        <v>1</v>
      </c>
      <c r="D3559" s="5" t="str">
        <f t="shared" si="121"/>
        <v>01</v>
      </c>
      <c r="E3559" t="str">
        <f>VLOOKUP(B3559,'HOGARES-BASELINE'!$B:$I,8,FALSE)</f>
        <v>00011036</v>
      </c>
      <c r="F3559" s="6" t="str">
        <f t="shared" si="120"/>
        <v>0001103601</v>
      </c>
    </row>
    <row r="3560" spans="1:6" x14ac:dyDescent="0.3">
      <c r="A3560" s="6" t="s">
        <v>3560</v>
      </c>
      <c r="B3560">
        <v>71717122</v>
      </c>
      <c r="C3560" s="3">
        <v>3</v>
      </c>
      <c r="D3560" s="5" t="str">
        <f t="shared" si="121"/>
        <v>03</v>
      </c>
      <c r="E3560" t="str">
        <f>VLOOKUP(B3560,'HOGARES-BASELINE'!$B:$I,8,FALSE)</f>
        <v>00011036</v>
      </c>
      <c r="F3560" s="6" t="str">
        <f t="shared" si="120"/>
        <v>0001103603</v>
      </c>
    </row>
    <row r="3561" spans="1:6" x14ac:dyDescent="0.3">
      <c r="A3561" s="6" t="s">
        <v>3561</v>
      </c>
      <c r="B3561">
        <v>71717122</v>
      </c>
      <c r="C3561" s="3">
        <v>6</v>
      </c>
      <c r="D3561" s="5" t="str">
        <f t="shared" si="121"/>
        <v>06</v>
      </c>
      <c r="E3561" t="str">
        <f>VLOOKUP(B3561,'HOGARES-BASELINE'!$B:$I,8,FALSE)</f>
        <v>00011036</v>
      </c>
      <c r="F3561" s="6" t="str">
        <f t="shared" si="120"/>
        <v>0001103606</v>
      </c>
    </row>
    <row r="3562" spans="1:6" x14ac:dyDescent="0.3">
      <c r="A3562" s="6" t="s">
        <v>3562</v>
      </c>
      <c r="B3562">
        <v>71728862</v>
      </c>
      <c r="C3562" s="3">
        <v>1</v>
      </c>
      <c r="D3562" s="5" t="str">
        <f t="shared" si="121"/>
        <v>01</v>
      </c>
      <c r="E3562" t="str">
        <f>VLOOKUP(B3562,'HOGARES-BASELINE'!$B:$I,8,FALSE)</f>
        <v>01011037</v>
      </c>
      <c r="F3562" s="6" t="str">
        <f t="shared" si="120"/>
        <v>0101103701</v>
      </c>
    </row>
    <row r="3563" spans="1:6" x14ac:dyDescent="0.3">
      <c r="A3563" s="6" t="s">
        <v>3563</v>
      </c>
      <c r="B3563">
        <v>71728862</v>
      </c>
      <c r="C3563" s="3">
        <v>2</v>
      </c>
      <c r="D3563" s="5" t="str">
        <f t="shared" si="121"/>
        <v>02</v>
      </c>
      <c r="E3563" t="str">
        <f>VLOOKUP(B3563,'HOGARES-BASELINE'!$B:$I,8,FALSE)</f>
        <v>01011037</v>
      </c>
      <c r="F3563" s="6" t="str">
        <f t="shared" si="120"/>
        <v>0101103702</v>
      </c>
    </row>
    <row r="3564" spans="1:6" x14ac:dyDescent="0.3">
      <c r="A3564" s="6" t="s">
        <v>3564</v>
      </c>
      <c r="B3564">
        <v>71744033</v>
      </c>
      <c r="C3564" s="3">
        <v>1</v>
      </c>
      <c r="D3564" s="5" t="str">
        <f t="shared" si="121"/>
        <v>01</v>
      </c>
      <c r="E3564" t="str">
        <f>VLOOKUP(B3564,'HOGARES-BASELINE'!$B:$I,8,FALSE)</f>
        <v>00011038</v>
      </c>
      <c r="F3564" s="6" t="str">
        <f t="shared" si="120"/>
        <v>0001103801</v>
      </c>
    </row>
    <row r="3565" spans="1:6" x14ac:dyDescent="0.3">
      <c r="A3565" s="6" t="s">
        <v>3565</v>
      </c>
      <c r="B3565">
        <v>71763215</v>
      </c>
      <c r="C3565" s="3">
        <v>4</v>
      </c>
      <c r="D3565" s="5" t="str">
        <f t="shared" si="121"/>
        <v>04</v>
      </c>
      <c r="E3565" t="str">
        <f>VLOOKUP(B3565,'HOGARES-BASELINE'!$B:$I,8,FALSE)</f>
        <v>01011039</v>
      </c>
      <c r="F3565" s="6" t="str">
        <f t="shared" si="120"/>
        <v>0101103904</v>
      </c>
    </row>
    <row r="3566" spans="1:6" x14ac:dyDescent="0.3">
      <c r="A3566" s="6" t="s">
        <v>3566</v>
      </c>
      <c r="B3566">
        <v>71763215</v>
      </c>
      <c r="C3566" s="3">
        <v>5</v>
      </c>
      <c r="D3566" s="5" t="str">
        <f t="shared" si="121"/>
        <v>05</v>
      </c>
      <c r="E3566" t="str">
        <f>VLOOKUP(B3566,'HOGARES-BASELINE'!$B:$I,8,FALSE)</f>
        <v>01011039</v>
      </c>
      <c r="F3566" s="6" t="str">
        <f t="shared" si="120"/>
        <v>0101103905</v>
      </c>
    </row>
    <row r="3567" spans="1:6" x14ac:dyDescent="0.3">
      <c r="A3567" s="6" t="s">
        <v>3567</v>
      </c>
      <c r="B3567">
        <v>71763215</v>
      </c>
      <c r="C3567" s="3">
        <v>2</v>
      </c>
      <c r="D3567" s="5" t="str">
        <f t="shared" si="121"/>
        <v>02</v>
      </c>
      <c r="E3567" t="str">
        <f>VLOOKUP(B3567,'HOGARES-BASELINE'!$B:$I,8,FALSE)</f>
        <v>01011039</v>
      </c>
      <c r="F3567" s="6" t="str">
        <f t="shared" si="120"/>
        <v>0101103902</v>
      </c>
    </row>
    <row r="3568" spans="1:6" x14ac:dyDescent="0.3">
      <c r="A3568" s="6" t="s">
        <v>3568</v>
      </c>
      <c r="B3568">
        <v>71763215</v>
      </c>
      <c r="C3568" s="3">
        <v>3</v>
      </c>
      <c r="D3568" s="5" t="str">
        <f t="shared" si="121"/>
        <v>03</v>
      </c>
      <c r="E3568" t="str">
        <f>VLOOKUP(B3568,'HOGARES-BASELINE'!$B:$I,8,FALSE)</f>
        <v>01011039</v>
      </c>
      <c r="F3568" s="6" t="str">
        <f t="shared" si="120"/>
        <v>0101103903</v>
      </c>
    </row>
    <row r="3569" spans="1:6" x14ac:dyDescent="0.3">
      <c r="A3569" s="6" t="s">
        <v>3569</v>
      </c>
      <c r="B3569">
        <v>71763215</v>
      </c>
      <c r="C3569" s="3">
        <v>1</v>
      </c>
      <c r="D3569" s="5" t="str">
        <f t="shared" si="121"/>
        <v>01</v>
      </c>
      <c r="E3569" t="str">
        <f>VLOOKUP(B3569,'HOGARES-BASELINE'!$B:$I,8,FALSE)</f>
        <v>01011039</v>
      </c>
      <c r="F3569" s="6" t="str">
        <f t="shared" si="120"/>
        <v>0101103901</v>
      </c>
    </row>
    <row r="3570" spans="1:6" x14ac:dyDescent="0.3">
      <c r="A3570" s="6" t="s">
        <v>3570</v>
      </c>
      <c r="B3570">
        <v>71769872</v>
      </c>
      <c r="C3570" s="3">
        <v>1</v>
      </c>
      <c r="D3570" s="5" t="str">
        <f t="shared" si="121"/>
        <v>01</v>
      </c>
      <c r="E3570" t="str">
        <f>VLOOKUP(B3570,'HOGARES-BASELINE'!$B:$I,8,FALSE)</f>
        <v>00011040</v>
      </c>
      <c r="F3570" s="6" t="str">
        <f t="shared" si="120"/>
        <v>0001104001</v>
      </c>
    </row>
    <row r="3571" spans="1:6" x14ac:dyDescent="0.3">
      <c r="A3571" s="6" t="s">
        <v>3571</v>
      </c>
      <c r="B3571">
        <v>71769872</v>
      </c>
      <c r="C3571" s="3">
        <v>2</v>
      </c>
      <c r="D3571" s="5" t="str">
        <f t="shared" si="121"/>
        <v>02</v>
      </c>
      <c r="E3571" t="str">
        <f>VLOOKUP(B3571,'HOGARES-BASELINE'!$B:$I,8,FALSE)</f>
        <v>00011040</v>
      </c>
      <c r="F3571" s="6" t="str">
        <f t="shared" si="120"/>
        <v>0001104002</v>
      </c>
    </row>
    <row r="3572" spans="1:6" x14ac:dyDescent="0.3">
      <c r="A3572" s="6" t="s">
        <v>3572</v>
      </c>
      <c r="B3572">
        <v>71796175</v>
      </c>
      <c r="C3572" s="3">
        <v>2</v>
      </c>
      <c r="D3572" s="5" t="str">
        <f t="shared" si="121"/>
        <v>02</v>
      </c>
      <c r="E3572" t="str">
        <f>VLOOKUP(B3572,'HOGARES-BASELINE'!$B:$I,8,FALSE)</f>
        <v>00011041</v>
      </c>
      <c r="F3572" s="6" t="str">
        <f t="shared" si="120"/>
        <v>0001104102</v>
      </c>
    </row>
    <row r="3573" spans="1:6" x14ac:dyDescent="0.3">
      <c r="A3573" s="6" t="s">
        <v>3573</v>
      </c>
      <c r="B3573">
        <v>71796175</v>
      </c>
      <c r="C3573" s="3">
        <v>4</v>
      </c>
      <c r="D3573" s="5" t="str">
        <f t="shared" si="121"/>
        <v>04</v>
      </c>
      <c r="E3573" t="str">
        <f>VLOOKUP(B3573,'HOGARES-BASELINE'!$B:$I,8,FALSE)</f>
        <v>00011041</v>
      </c>
      <c r="F3573" s="6" t="str">
        <f t="shared" si="120"/>
        <v>0001104104</v>
      </c>
    </row>
    <row r="3574" spans="1:6" x14ac:dyDescent="0.3">
      <c r="A3574" s="6" t="s">
        <v>3574</v>
      </c>
      <c r="B3574">
        <v>71796175</v>
      </c>
      <c r="C3574" s="3">
        <v>1</v>
      </c>
      <c r="D3574" s="5" t="str">
        <f t="shared" si="121"/>
        <v>01</v>
      </c>
      <c r="E3574" t="str">
        <f>VLOOKUP(B3574,'HOGARES-BASELINE'!$B:$I,8,FALSE)</f>
        <v>00011041</v>
      </c>
      <c r="F3574" s="6" t="str">
        <f t="shared" si="120"/>
        <v>0001104101</v>
      </c>
    </row>
    <row r="3575" spans="1:6" x14ac:dyDescent="0.3">
      <c r="A3575" s="6" t="s">
        <v>3575</v>
      </c>
      <c r="B3575">
        <v>71796175</v>
      </c>
      <c r="C3575" s="3">
        <v>3</v>
      </c>
      <c r="D3575" s="5" t="str">
        <f t="shared" si="121"/>
        <v>03</v>
      </c>
      <c r="E3575" t="str">
        <f>VLOOKUP(B3575,'HOGARES-BASELINE'!$B:$I,8,FALSE)</f>
        <v>00011041</v>
      </c>
      <c r="F3575" s="6" t="str">
        <f t="shared" si="120"/>
        <v>0001104103</v>
      </c>
    </row>
    <row r="3576" spans="1:6" x14ac:dyDescent="0.3">
      <c r="A3576" s="6" t="s">
        <v>3576</v>
      </c>
      <c r="B3576">
        <v>71799939</v>
      </c>
      <c r="C3576" s="3">
        <v>1</v>
      </c>
      <c r="D3576" s="5" t="str">
        <f t="shared" si="121"/>
        <v>01</v>
      </c>
      <c r="E3576" t="str">
        <f>VLOOKUP(B3576,'HOGARES-BASELINE'!$B:$I,8,FALSE)</f>
        <v>00011042</v>
      </c>
      <c r="F3576" s="6" t="str">
        <f t="shared" si="120"/>
        <v>0001104201</v>
      </c>
    </row>
    <row r="3577" spans="1:6" x14ac:dyDescent="0.3">
      <c r="A3577" s="6" t="s">
        <v>3577</v>
      </c>
      <c r="B3577">
        <v>72042663</v>
      </c>
      <c r="C3577" s="3">
        <v>4</v>
      </c>
      <c r="D3577" s="5" t="str">
        <f t="shared" si="121"/>
        <v>04</v>
      </c>
      <c r="E3577" t="str">
        <f>VLOOKUP(B3577,'HOGARES-BASELINE'!$B:$I,8,FALSE)</f>
        <v>01031043</v>
      </c>
      <c r="F3577" s="6" t="str">
        <f t="shared" si="120"/>
        <v>0103104304</v>
      </c>
    </row>
    <row r="3578" spans="1:6" x14ac:dyDescent="0.3">
      <c r="A3578" s="6" t="s">
        <v>3578</v>
      </c>
      <c r="B3578">
        <v>72042663</v>
      </c>
      <c r="C3578" s="3">
        <v>2</v>
      </c>
      <c r="D3578" s="5" t="str">
        <f t="shared" si="121"/>
        <v>02</v>
      </c>
      <c r="E3578" t="str">
        <f>VLOOKUP(B3578,'HOGARES-BASELINE'!$B:$I,8,FALSE)</f>
        <v>01031043</v>
      </c>
      <c r="F3578" s="6" t="str">
        <f t="shared" si="120"/>
        <v>0103104302</v>
      </c>
    </row>
    <row r="3579" spans="1:6" x14ac:dyDescent="0.3">
      <c r="A3579" s="6" t="s">
        <v>3579</v>
      </c>
      <c r="B3579">
        <v>72042663</v>
      </c>
      <c r="C3579" s="3">
        <v>1</v>
      </c>
      <c r="D3579" s="5" t="str">
        <f t="shared" si="121"/>
        <v>01</v>
      </c>
      <c r="E3579" t="str">
        <f>VLOOKUP(B3579,'HOGARES-BASELINE'!$B:$I,8,FALSE)</f>
        <v>01031043</v>
      </c>
      <c r="F3579" s="6" t="str">
        <f t="shared" si="120"/>
        <v>0103104301</v>
      </c>
    </row>
    <row r="3580" spans="1:6" x14ac:dyDescent="0.3">
      <c r="A3580" s="6" t="s">
        <v>3580</v>
      </c>
      <c r="B3580">
        <v>72042663</v>
      </c>
      <c r="C3580" s="3">
        <v>3</v>
      </c>
      <c r="D3580" s="5" t="str">
        <f t="shared" si="121"/>
        <v>03</v>
      </c>
      <c r="E3580" t="str">
        <f>VLOOKUP(B3580,'HOGARES-BASELINE'!$B:$I,8,FALSE)</f>
        <v>01031043</v>
      </c>
      <c r="F3580" s="6" t="str">
        <f t="shared" si="120"/>
        <v>0103104303</v>
      </c>
    </row>
    <row r="3581" spans="1:6" x14ac:dyDescent="0.3">
      <c r="A3581" s="6" t="s">
        <v>3581</v>
      </c>
      <c r="B3581">
        <v>72127034</v>
      </c>
      <c r="C3581" s="3">
        <v>1</v>
      </c>
      <c r="D3581" s="5" t="str">
        <f t="shared" si="121"/>
        <v>01</v>
      </c>
      <c r="E3581" t="str">
        <f>VLOOKUP(B3581,'HOGARES-BASELINE'!$B:$I,8,FALSE)</f>
        <v>00031044</v>
      </c>
      <c r="F3581" s="6" t="str">
        <f t="shared" si="120"/>
        <v>0003104401</v>
      </c>
    </row>
    <row r="3582" spans="1:6" x14ac:dyDescent="0.3">
      <c r="A3582" s="6" t="s">
        <v>3582</v>
      </c>
      <c r="B3582">
        <v>72127034</v>
      </c>
      <c r="C3582" s="3">
        <v>2</v>
      </c>
      <c r="D3582" s="5" t="str">
        <f t="shared" si="121"/>
        <v>02</v>
      </c>
      <c r="E3582" t="str">
        <f>VLOOKUP(B3582,'HOGARES-BASELINE'!$B:$I,8,FALSE)</f>
        <v>00031044</v>
      </c>
      <c r="F3582" s="6" t="str">
        <f t="shared" si="120"/>
        <v>0003104402</v>
      </c>
    </row>
    <row r="3583" spans="1:6" x14ac:dyDescent="0.3">
      <c r="A3583" s="6" t="s">
        <v>3583</v>
      </c>
      <c r="B3583">
        <v>72127034</v>
      </c>
      <c r="C3583" s="3">
        <v>3</v>
      </c>
      <c r="D3583" s="5" t="str">
        <f t="shared" si="121"/>
        <v>03</v>
      </c>
      <c r="E3583" t="str">
        <f>VLOOKUP(B3583,'HOGARES-BASELINE'!$B:$I,8,FALSE)</f>
        <v>00031044</v>
      </c>
      <c r="F3583" s="6" t="str">
        <f t="shared" si="120"/>
        <v>0003104403</v>
      </c>
    </row>
    <row r="3584" spans="1:6" x14ac:dyDescent="0.3">
      <c r="A3584" s="6" t="s">
        <v>3584</v>
      </c>
      <c r="B3584">
        <v>72129785</v>
      </c>
      <c r="C3584" s="3">
        <v>2</v>
      </c>
      <c r="D3584" s="5" t="str">
        <f t="shared" si="121"/>
        <v>02</v>
      </c>
      <c r="E3584" t="str">
        <f>VLOOKUP(B3584,'HOGARES-BASELINE'!$B:$I,8,FALSE)</f>
        <v>01031045</v>
      </c>
      <c r="F3584" s="6" t="str">
        <f t="shared" si="120"/>
        <v>0103104502</v>
      </c>
    </row>
    <row r="3585" spans="1:6" x14ac:dyDescent="0.3">
      <c r="A3585" s="6" t="s">
        <v>3585</v>
      </c>
      <c r="B3585">
        <v>72129785</v>
      </c>
      <c r="C3585" s="3">
        <v>1</v>
      </c>
      <c r="D3585" s="5" t="str">
        <f t="shared" si="121"/>
        <v>01</v>
      </c>
      <c r="E3585" t="str">
        <f>VLOOKUP(B3585,'HOGARES-BASELINE'!$B:$I,8,FALSE)</f>
        <v>01031045</v>
      </c>
      <c r="F3585" s="6" t="str">
        <f t="shared" si="120"/>
        <v>0103104501</v>
      </c>
    </row>
    <row r="3586" spans="1:6" x14ac:dyDescent="0.3">
      <c r="A3586" s="6" t="s">
        <v>3586</v>
      </c>
      <c r="B3586">
        <v>72131105</v>
      </c>
      <c r="C3586" s="3">
        <v>2</v>
      </c>
      <c r="D3586" s="5" t="str">
        <f t="shared" si="121"/>
        <v>02</v>
      </c>
      <c r="E3586" t="str">
        <f>VLOOKUP(B3586,'HOGARES-BASELINE'!$B:$I,8,FALSE)</f>
        <v>00031046</v>
      </c>
      <c r="F3586" s="6" t="str">
        <f t="shared" si="120"/>
        <v>0003104602</v>
      </c>
    </row>
    <row r="3587" spans="1:6" x14ac:dyDescent="0.3">
      <c r="A3587" s="6" t="s">
        <v>3587</v>
      </c>
      <c r="B3587">
        <v>72131105</v>
      </c>
      <c r="C3587" s="3">
        <v>1</v>
      </c>
      <c r="D3587" s="5" t="str">
        <f t="shared" si="121"/>
        <v>01</v>
      </c>
      <c r="E3587" t="str">
        <f>VLOOKUP(B3587,'HOGARES-BASELINE'!$B:$I,8,FALSE)</f>
        <v>00031046</v>
      </c>
      <c r="F3587" s="6" t="str">
        <f t="shared" ref="F3587:F3650" si="122">_xlfn.CONCAT(E3587,D3587)</f>
        <v>0003104601</v>
      </c>
    </row>
    <row r="3588" spans="1:6" x14ac:dyDescent="0.3">
      <c r="A3588" s="6" t="s">
        <v>3588</v>
      </c>
      <c r="B3588">
        <v>72132483</v>
      </c>
      <c r="C3588" s="3">
        <v>5</v>
      </c>
      <c r="D3588" s="5" t="str">
        <f t="shared" si="121"/>
        <v>05</v>
      </c>
      <c r="E3588" t="str">
        <f>VLOOKUP(B3588,'HOGARES-BASELINE'!$B:$I,8,FALSE)</f>
        <v>01031047</v>
      </c>
      <c r="F3588" s="6" t="str">
        <f t="shared" si="122"/>
        <v>0103104705</v>
      </c>
    </row>
    <row r="3589" spans="1:6" x14ac:dyDescent="0.3">
      <c r="A3589" s="6" t="s">
        <v>3589</v>
      </c>
      <c r="B3589">
        <v>72132483</v>
      </c>
      <c r="C3589" s="3">
        <v>1</v>
      </c>
      <c r="D3589" s="5" t="str">
        <f t="shared" si="121"/>
        <v>01</v>
      </c>
      <c r="E3589" t="str">
        <f>VLOOKUP(B3589,'HOGARES-BASELINE'!$B:$I,8,FALSE)</f>
        <v>01031047</v>
      </c>
      <c r="F3589" s="6" t="str">
        <f t="shared" si="122"/>
        <v>0103104701</v>
      </c>
    </row>
    <row r="3590" spans="1:6" x14ac:dyDescent="0.3">
      <c r="A3590" s="6" t="s">
        <v>3590</v>
      </c>
      <c r="B3590">
        <v>72132483</v>
      </c>
      <c r="C3590" s="3">
        <v>2</v>
      </c>
      <c r="D3590" s="5" t="str">
        <f t="shared" si="121"/>
        <v>02</v>
      </c>
      <c r="E3590" t="str">
        <f>VLOOKUP(B3590,'HOGARES-BASELINE'!$B:$I,8,FALSE)</f>
        <v>01031047</v>
      </c>
      <c r="F3590" s="6" t="str">
        <f t="shared" si="122"/>
        <v>0103104702</v>
      </c>
    </row>
    <row r="3591" spans="1:6" x14ac:dyDescent="0.3">
      <c r="A3591" s="6" t="s">
        <v>3591</v>
      </c>
      <c r="B3591">
        <v>72132483</v>
      </c>
      <c r="C3591" s="3">
        <v>4</v>
      </c>
      <c r="D3591" s="5" t="str">
        <f t="shared" ref="D3591:D3654" si="123">_xlfn.CONCAT(0,C3591)</f>
        <v>04</v>
      </c>
      <c r="E3591" t="str">
        <f>VLOOKUP(B3591,'HOGARES-BASELINE'!$B:$I,8,FALSE)</f>
        <v>01031047</v>
      </c>
      <c r="F3591" s="6" t="str">
        <f t="shared" si="122"/>
        <v>0103104704</v>
      </c>
    </row>
    <row r="3592" spans="1:6" x14ac:dyDescent="0.3">
      <c r="A3592" s="6" t="s">
        <v>3592</v>
      </c>
      <c r="B3592">
        <v>72132483</v>
      </c>
      <c r="C3592" s="3">
        <v>3</v>
      </c>
      <c r="D3592" s="5" t="str">
        <f t="shared" si="123"/>
        <v>03</v>
      </c>
      <c r="E3592" t="str">
        <f>VLOOKUP(B3592,'HOGARES-BASELINE'!$B:$I,8,FALSE)</f>
        <v>01031047</v>
      </c>
      <c r="F3592" s="6" t="str">
        <f t="shared" si="122"/>
        <v>0103104703</v>
      </c>
    </row>
    <row r="3593" spans="1:6" x14ac:dyDescent="0.3">
      <c r="A3593" s="6" t="s">
        <v>3593</v>
      </c>
      <c r="B3593">
        <v>72144157</v>
      </c>
      <c r="C3593" s="3">
        <v>1</v>
      </c>
      <c r="D3593" s="5" t="str">
        <f t="shared" si="123"/>
        <v>01</v>
      </c>
      <c r="E3593" t="str">
        <f>VLOOKUP(B3593,'HOGARES-BASELINE'!$B:$I,8,FALSE)</f>
        <v>01031048</v>
      </c>
      <c r="F3593" s="6" t="str">
        <f t="shared" si="122"/>
        <v>0103104801</v>
      </c>
    </row>
    <row r="3594" spans="1:6" x14ac:dyDescent="0.3">
      <c r="A3594" s="6" t="s">
        <v>3594</v>
      </c>
      <c r="B3594">
        <v>72145817</v>
      </c>
      <c r="C3594" s="3">
        <v>2</v>
      </c>
      <c r="D3594" s="5" t="str">
        <f t="shared" si="123"/>
        <v>02</v>
      </c>
      <c r="E3594" t="str">
        <f>VLOOKUP(B3594,'HOGARES-BASELINE'!$B:$I,8,FALSE)</f>
        <v>01031049</v>
      </c>
      <c r="F3594" s="6" t="str">
        <f t="shared" si="122"/>
        <v>0103104902</v>
      </c>
    </row>
    <row r="3595" spans="1:6" x14ac:dyDescent="0.3">
      <c r="A3595" s="6" t="s">
        <v>3595</v>
      </c>
      <c r="B3595">
        <v>72145817</v>
      </c>
      <c r="C3595" s="3">
        <v>1</v>
      </c>
      <c r="D3595" s="5" t="str">
        <f t="shared" si="123"/>
        <v>01</v>
      </c>
      <c r="E3595" t="str">
        <f>VLOOKUP(B3595,'HOGARES-BASELINE'!$B:$I,8,FALSE)</f>
        <v>01031049</v>
      </c>
      <c r="F3595" s="6" t="str">
        <f t="shared" si="122"/>
        <v>0103104901</v>
      </c>
    </row>
    <row r="3596" spans="1:6" x14ac:dyDescent="0.3">
      <c r="A3596" s="6" t="s">
        <v>3596</v>
      </c>
      <c r="B3596">
        <v>72145817</v>
      </c>
      <c r="C3596" s="3">
        <v>3</v>
      </c>
      <c r="D3596" s="5" t="str">
        <f t="shared" si="123"/>
        <v>03</v>
      </c>
      <c r="E3596" t="str">
        <f>VLOOKUP(B3596,'HOGARES-BASELINE'!$B:$I,8,FALSE)</f>
        <v>01031049</v>
      </c>
      <c r="F3596" s="6" t="str">
        <f t="shared" si="122"/>
        <v>0103104903</v>
      </c>
    </row>
    <row r="3597" spans="1:6" x14ac:dyDescent="0.3">
      <c r="A3597" s="6" t="s">
        <v>3597</v>
      </c>
      <c r="B3597">
        <v>72146165</v>
      </c>
      <c r="C3597" s="3">
        <v>4</v>
      </c>
      <c r="D3597" s="5" t="str">
        <f t="shared" si="123"/>
        <v>04</v>
      </c>
      <c r="E3597" t="str">
        <f>VLOOKUP(B3597,'HOGARES-BASELINE'!$B:$I,8,FALSE)</f>
        <v>00031050</v>
      </c>
      <c r="F3597" s="6" t="str">
        <f t="shared" si="122"/>
        <v>0003105004</v>
      </c>
    </row>
    <row r="3598" spans="1:6" x14ac:dyDescent="0.3">
      <c r="A3598" s="6" t="s">
        <v>3598</v>
      </c>
      <c r="B3598">
        <v>72146165</v>
      </c>
      <c r="C3598" s="3">
        <v>1</v>
      </c>
      <c r="D3598" s="5" t="str">
        <f t="shared" si="123"/>
        <v>01</v>
      </c>
      <c r="E3598" t="str">
        <f>VLOOKUP(B3598,'HOGARES-BASELINE'!$B:$I,8,FALSE)</f>
        <v>00031050</v>
      </c>
      <c r="F3598" s="6" t="str">
        <f t="shared" si="122"/>
        <v>0003105001</v>
      </c>
    </row>
    <row r="3599" spans="1:6" x14ac:dyDescent="0.3">
      <c r="A3599" s="6" t="s">
        <v>3599</v>
      </c>
      <c r="B3599">
        <v>72146165</v>
      </c>
      <c r="C3599" s="3">
        <v>5</v>
      </c>
      <c r="D3599" s="5" t="str">
        <f t="shared" si="123"/>
        <v>05</v>
      </c>
      <c r="E3599" t="str">
        <f>VLOOKUP(B3599,'HOGARES-BASELINE'!$B:$I,8,FALSE)</f>
        <v>00031050</v>
      </c>
      <c r="F3599" s="6" t="str">
        <f t="shared" si="122"/>
        <v>0003105005</v>
      </c>
    </row>
    <row r="3600" spans="1:6" x14ac:dyDescent="0.3">
      <c r="A3600" s="6" t="s">
        <v>3600</v>
      </c>
      <c r="B3600">
        <v>72146165</v>
      </c>
      <c r="C3600" s="3">
        <v>3</v>
      </c>
      <c r="D3600" s="5" t="str">
        <f t="shared" si="123"/>
        <v>03</v>
      </c>
      <c r="E3600" t="str">
        <f>VLOOKUP(B3600,'HOGARES-BASELINE'!$B:$I,8,FALSE)</f>
        <v>00031050</v>
      </c>
      <c r="F3600" s="6" t="str">
        <f t="shared" si="122"/>
        <v>0003105003</v>
      </c>
    </row>
    <row r="3601" spans="1:6" x14ac:dyDescent="0.3">
      <c r="A3601" s="6" t="s">
        <v>3601</v>
      </c>
      <c r="B3601">
        <v>72146165</v>
      </c>
      <c r="C3601" s="3">
        <v>2</v>
      </c>
      <c r="D3601" s="5" t="str">
        <f t="shared" si="123"/>
        <v>02</v>
      </c>
      <c r="E3601" t="str">
        <f>VLOOKUP(B3601,'HOGARES-BASELINE'!$B:$I,8,FALSE)</f>
        <v>00031050</v>
      </c>
      <c r="F3601" s="6" t="str">
        <f t="shared" si="122"/>
        <v>0003105002</v>
      </c>
    </row>
    <row r="3602" spans="1:6" x14ac:dyDescent="0.3">
      <c r="A3602" s="6" t="s">
        <v>3602</v>
      </c>
      <c r="B3602">
        <v>72146737</v>
      </c>
      <c r="C3602" s="3">
        <v>1</v>
      </c>
      <c r="D3602" s="5" t="str">
        <f t="shared" si="123"/>
        <v>01</v>
      </c>
      <c r="E3602" t="str">
        <f>VLOOKUP(B3602,'HOGARES-BASELINE'!$B:$I,8,FALSE)</f>
        <v>01031051</v>
      </c>
      <c r="F3602" s="6" t="str">
        <f t="shared" si="122"/>
        <v>0103105101</v>
      </c>
    </row>
    <row r="3603" spans="1:6" x14ac:dyDescent="0.3">
      <c r="A3603" s="6" t="s">
        <v>3603</v>
      </c>
      <c r="B3603">
        <v>72146737</v>
      </c>
      <c r="C3603" s="3">
        <v>2</v>
      </c>
      <c r="D3603" s="5" t="str">
        <f t="shared" si="123"/>
        <v>02</v>
      </c>
      <c r="E3603" t="str">
        <f>VLOOKUP(B3603,'HOGARES-BASELINE'!$B:$I,8,FALSE)</f>
        <v>01031051</v>
      </c>
      <c r="F3603" s="6" t="str">
        <f t="shared" si="122"/>
        <v>0103105102</v>
      </c>
    </row>
    <row r="3604" spans="1:6" x14ac:dyDescent="0.3">
      <c r="A3604" s="6" t="s">
        <v>3604</v>
      </c>
      <c r="B3604">
        <v>72149109</v>
      </c>
      <c r="C3604" s="3">
        <v>2</v>
      </c>
      <c r="D3604" s="5" t="str">
        <f t="shared" si="123"/>
        <v>02</v>
      </c>
      <c r="E3604" t="str">
        <f>VLOOKUP(B3604,'HOGARES-BASELINE'!$B:$I,8,FALSE)</f>
        <v>00031052</v>
      </c>
      <c r="F3604" s="6" t="str">
        <f t="shared" si="122"/>
        <v>0003105202</v>
      </c>
    </row>
    <row r="3605" spans="1:6" x14ac:dyDescent="0.3">
      <c r="A3605" s="6" t="s">
        <v>3605</v>
      </c>
      <c r="B3605">
        <v>72149109</v>
      </c>
      <c r="C3605" s="3">
        <v>3</v>
      </c>
      <c r="D3605" s="5" t="str">
        <f t="shared" si="123"/>
        <v>03</v>
      </c>
      <c r="E3605" t="str">
        <f>VLOOKUP(B3605,'HOGARES-BASELINE'!$B:$I,8,FALSE)</f>
        <v>00031052</v>
      </c>
      <c r="F3605" s="6" t="str">
        <f t="shared" si="122"/>
        <v>0003105203</v>
      </c>
    </row>
    <row r="3606" spans="1:6" x14ac:dyDescent="0.3">
      <c r="A3606" s="6" t="s">
        <v>3606</v>
      </c>
      <c r="B3606">
        <v>72149109</v>
      </c>
      <c r="C3606" s="3">
        <v>1</v>
      </c>
      <c r="D3606" s="5" t="str">
        <f t="shared" si="123"/>
        <v>01</v>
      </c>
      <c r="E3606" t="str">
        <f>VLOOKUP(B3606,'HOGARES-BASELINE'!$B:$I,8,FALSE)</f>
        <v>00031052</v>
      </c>
      <c r="F3606" s="6" t="str">
        <f t="shared" si="122"/>
        <v>0003105201</v>
      </c>
    </row>
    <row r="3607" spans="1:6" x14ac:dyDescent="0.3">
      <c r="A3607" s="6" t="s">
        <v>3607</v>
      </c>
      <c r="B3607">
        <v>72149109</v>
      </c>
      <c r="C3607" s="3">
        <v>4</v>
      </c>
      <c r="D3607" s="5" t="str">
        <f t="shared" si="123"/>
        <v>04</v>
      </c>
      <c r="E3607" t="str">
        <f>VLOOKUP(B3607,'HOGARES-BASELINE'!$B:$I,8,FALSE)</f>
        <v>00031052</v>
      </c>
      <c r="F3607" s="6" t="str">
        <f t="shared" si="122"/>
        <v>0003105204</v>
      </c>
    </row>
    <row r="3608" spans="1:6" x14ac:dyDescent="0.3">
      <c r="A3608" s="6" t="s">
        <v>3608</v>
      </c>
      <c r="B3608">
        <v>72149109</v>
      </c>
      <c r="C3608" s="3">
        <v>5</v>
      </c>
      <c r="D3608" s="5" t="str">
        <f t="shared" si="123"/>
        <v>05</v>
      </c>
      <c r="E3608" t="str">
        <f>VLOOKUP(B3608,'HOGARES-BASELINE'!$B:$I,8,FALSE)</f>
        <v>00031052</v>
      </c>
      <c r="F3608" s="6" t="str">
        <f t="shared" si="122"/>
        <v>0003105205</v>
      </c>
    </row>
    <row r="3609" spans="1:6" x14ac:dyDescent="0.3">
      <c r="A3609" s="6" t="s">
        <v>3609</v>
      </c>
      <c r="B3609">
        <v>72167042</v>
      </c>
      <c r="C3609" s="3">
        <v>1</v>
      </c>
      <c r="D3609" s="5" t="str">
        <f t="shared" si="123"/>
        <v>01</v>
      </c>
      <c r="E3609" t="str">
        <f>VLOOKUP(B3609,'HOGARES-BASELINE'!$B:$I,8,FALSE)</f>
        <v>00031053</v>
      </c>
      <c r="F3609" s="6" t="str">
        <f t="shared" si="122"/>
        <v>0003105301</v>
      </c>
    </row>
    <row r="3610" spans="1:6" x14ac:dyDescent="0.3">
      <c r="A3610" s="6" t="s">
        <v>3610</v>
      </c>
      <c r="B3610">
        <v>72167042</v>
      </c>
      <c r="C3610" s="3">
        <v>3</v>
      </c>
      <c r="D3610" s="5" t="str">
        <f t="shared" si="123"/>
        <v>03</v>
      </c>
      <c r="E3610" t="str">
        <f>VLOOKUP(B3610,'HOGARES-BASELINE'!$B:$I,8,FALSE)</f>
        <v>00031053</v>
      </c>
      <c r="F3610" s="6" t="str">
        <f t="shared" si="122"/>
        <v>0003105303</v>
      </c>
    </row>
    <row r="3611" spans="1:6" x14ac:dyDescent="0.3">
      <c r="A3611" s="6" t="s">
        <v>3611</v>
      </c>
      <c r="B3611">
        <v>72167042</v>
      </c>
      <c r="C3611" s="3">
        <v>2</v>
      </c>
      <c r="D3611" s="5" t="str">
        <f t="shared" si="123"/>
        <v>02</v>
      </c>
      <c r="E3611" t="str">
        <f>VLOOKUP(B3611,'HOGARES-BASELINE'!$B:$I,8,FALSE)</f>
        <v>00031053</v>
      </c>
      <c r="F3611" s="6" t="str">
        <f t="shared" si="122"/>
        <v>0003105302</v>
      </c>
    </row>
    <row r="3612" spans="1:6" x14ac:dyDescent="0.3">
      <c r="A3612" s="6" t="s">
        <v>3612</v>
      </c>
      <c r="B3612">
        <v>72170241</v>
      </c>
      <c r="C3612" s="3">
        <v>3</v>
      </c>
      <c r="D3612" s="5" t="str">
        <f t="shared" si="123"/>
        <v>03</v>
      </c>
      <c r="E3612" t="str">
        <f>VLOOKUP(B3612,'HOGARES-BASELINE'!$B:$I,8,FALSE)</f>
        <v>00031054</v>
      </c>
      <c r="F3612" s="6" t="str">
        <f t="shared" si="122"/>
        <v>0003105403</v>
      </c>
    </row>
    <row r="3613" spans="1:6" x14ac:dyDescent="0.3">
      <c r="A3613" s="6" t="s">
        <v>3613</v>
      </c>
      <c r="B3613">
        <v>72170241</v>
      </c>
      <c r="C3613" s="3">
        <v>2</v>
      </c>
      <c r="D3613" s="5" t="str">
        <f t="shared" si="123"/>
        <v>02</v>
      </c>
      <c r="E3613" t="str">
        <f>VLOOKUP(B3613,'HOGARES-BASELINE'!$B:$I,8,FALSE)</f>
        <v>00031054</v>
      </c>
      <c r="F3613" s="6" t="str">
        <f t="shared" si="122"/>
        <v>0003105402</v>
      </c>
    </row>
    <row r="3614" spans="1:6" x14ac:dyDescent="0.3">
      <c r="A3614" s="6" t="s">
        <v>3614</v>
      </c>
      <c r="B3614">
        <v>72170241</v>
      </c>
      <c r="C3614" s="3">
        <v>4</v>
      </c>
      <c r="D3614" s="5" t="str">
        <f t="shared" si="123"/>
        <v>04</v>
      </c>
      <c r="E3614" t="str">
        <f>VLOOKUP(B3614,'HOGARES-BASELINE'!$B:$I,8,FALSE)</f>
        <v>00031054</v>
      </c>
      <c r="F3614" s="6" t="str">
        <f t="shared" si="122"/>
        <v>0003105404</v>
      </c>
    </row>
    <row r="3615" spans="1:6" x14ac:dyDescent="0.3">
      <c r="A3615" s="6" t="s">
        <v>3615</v>
      </c>
      <c r="B3615">
        <v>72170241</v>
      </c>
      <c r="C3615" s="3">
        <v>1</v>
      </c>
      <c r="D3615" s="5" t="str">
        <f t="shared" si="123"/>
        <v>01</v>
      </c>
      <c r="E3615" t="str">
        <f>VLOOKUP(B3615,'HOGARES-BASELINE'!$B:$I,8,FALSE)</f>
        <v>00031054</v>
      </c>
      <c r="F3615" s="6" t="str">
        <f t="shared" si="122"/>
        <v>0003105401</v>
      </c>
    </row>
    <row r="3616" spans="1:6" x14ac:dyDescent="0.3">
      <c r="A3616" s="6" t="s">
        <v>3616</v>
      </c>
      <c r="B3616">
        <v>72175816</v>
      </c>
      <c r="C3616" s="3">
        <v>3</v>
      </c>
      <c r="D3616" s="5" t="str">
        <f t="shared" si="123"/>
        <v>03</v>
      </c>
      <c r="E3616" t="str">
        <f>VLOOKUP(B3616,'HOGARES-BASELINE'!$B:$I,8,FALSE)</f>
        <v>00031055</v>
      </c>
      <c r="F3616" s="6" t="str">
        <f t="shared" si="122"/>
        <v>0003105503</v>
      </c>
    </row>
    <row r="3617" spans="1:6" x14ac:dyDescent="0.3">
      <c r="A3617" s="6" t="s">
        <v>3617</v>
      </c>
      <c r="B3617">
        <v>72175816</v>
      </c>
      <c r="C3617" s="3">
        <v>4</v>
      </c>
      <c r="D3617" s="5" t="str">
        <f t="shared" si="123"/>
        <v>04</v>
      </c>
      <c r="E3617" t="str">
        <f>VLOOKUP(B3617,'HOGARES-BASELINE'!$B:$I,8,FALSE)</f>
        <v>00031055</v>
      </c>
      <c r="F3617" s="6" t="str">
        <f t="shared" si="122"/>
        <v>0003105504</v>
      </c>
    </row>
    <row r="3618" spans="1:6" x14ac:dyDescent="0.3">
      <c r="A3618" s="6" t="s">
        <v>3618</v>
      </c>
      <c r="B3618">
        <v>72175816</v>
      </c>
      <c r="C3618" s="3">
        <v>1</v>
      </c>
      <c r="D3618" s="5" t="str">
        <f t="shared" si="123"/>
        <v>01</v>
      </c>
      <c r="E3618" t="str">
        <f>VLOOKUP(B3618,'HOGARES-BASELINE'!$B:$I,8,FALSE)</f>
        <v>00031055</v>
      </c>
      <c r="F3618" s="6" t="str">
        <f t="shared" si="122"/>
        <v>0003105501</v>
      </c>
    </row>
    <row r="3619" spans="1:6" x14ac:dyDescent="0.3">
      <c r="A3619" s="6" t="s">
        <v>3619</v>
      </c>
      <c r="B3619">
        <v>72175816</v>
      </c>
      <c r="C3619" s="3">
        <v>2</v>
      </c>
      <c r="D3619" s="5" t="str">
        <f t="shared" si="123"/>
        <v>02</v>
      </c>
      <c r="E3619" t="str">
        <f>VLOOKUP(B3619,'HOGARES-BASELINE'!$B:$I,8,FALSE)</f>
        <v>00031055</v>
      </c>
      <c r="F3619" s="6" t="str">
        <f t="shared" si="122"/>
        <v>0003105502</v>
      </c>
    </row>
    <row r="3620" spans="1:6" x14ac:dyDescent="0.3">
      <c r="A3620" s="6" t="s">
        <v>3620</v>
      </c>
      <c r="B3620">
        <v>72175816</v>
      </c>
      <c r="C3620" s="3">
        <v>5</v>
      </c>
      <c r="D3620" s="5" t="str">
        <f t="shared" si="123"/>
        <v>05</v>
      </c>
      <c r="E3620" t="str">
        <f>VLOOKUP(B3620,'HOGARES-BASELINE'!$B:$I,8,FALSE)</f>
        <v>00031055</v>
      </c>
      <c r="F3620" s="6" t="str">
        <f t="shared" si="122"/>
        <v>0003105505</v>
      </c>
    </row>
    <row r="3621" spans="1:6" x14ac:dyDescent="0.3">
      <c r="A3621" s="6" t="s">
        <v>3621</v>
      </c>
      <c r="B3621">
        <v>72178853</v>
      </c>
      <c r="C3621" s="3">
        <v>2</v>
      </c>
      <c r="D3621" s="5" t="str">
        <f t="shared" si="123"/>
        <v>02</v>
      </c>
      <c r="E3621" t="str">
        <f>VLOOKUP(B3621,'HOGARES-BASELINE'!$B:$I,8,FALSE)</f>
        <v>01031056</v>
      </c>
      <c r="F3621" s="6" t="str">
        <f t="shared" si="122"/>
        <v>0103105602</v>
      </c>
    </row>
    <row r="3622" spans="1:6" x14ac:dyDescent="0.3">
      <c r="A3622" s="6" t="s">
        <v>3622</v>
      </c>
      <c r="B3622">
        <v>72178853</v>
      </c>
      <c r="C3622" s="3">
        <v>1</v>
      </c>
      <c r="D3622" s="5" t="str">
        <f t="shared" si="123"/>
        <v>01</v>
      </c>
      <c r="E3622" t="str">
        <f>VLOOKUP(B3622,'HOGARES-BASELINE'!$B:$I,8,FALSE)</f>
        <v>01031056</v>
      </c>
      <c r="F3622" s="6" t="str">
        <f t="shared" si="122"/>
        <v>0103105601</v>
      </c>
    </row>
    <row r="3623" spans="1:6" x14ac:dyDescent="0.3">
      <c r="A3623" s="6" t="s">
        <v>3623</v>
      </c>
      <c r="B3623">
        <v>72180833</v>
      </c>
      <c r="C3623" s="3">
        <v>4</v>
      </c>
      <c r="D3623" s="5" t="str">
        <f t="shared" si="123"/>
        <v>04</v>
      </c>
      <c r="E3623" t="str">
        <f>VLOOKUP(B3623,'HOGARES-BASELINE'!$B:$I,8,FALSE)</f>
        <v>01031057</v>
      </c>
      <c r="F3623" s="6" t="str">
        <f t="shared" si="122"/>
        <v>0103105704</v>
      </c>
    </row>
    <row r="3624" spans="1:6" x14ac:dyDescent="0.3">
      <c r="A3624" s="6" t="s">
        <v>3624</v>
      </c>
      <c r="B3624">
        <v>72180833</v>
      </c>
      <c r="C3624" s="3">
        <v>3</v>
      </c>
      <c r="D3624" s="5" t="str">
        <f t="shared" si="123"/>
        <v>03</v>
      </c>
      <c r="E3624" t="str">
        <f>VLOOKUP(B3624,'HOGARES-BASELINE'!$B:$I,8,FALSE)</f>
        <v>01031057</v>
      </c>
      <c r="F3624" s="6" t="str">
        <f t="shared" si="122"/>
        <v>0103105703</v>
      </c>
    </row>
    <row r="3625" spans="1:6" x14ac:dyDescent="0.3">
      <c r="A3625" s="6" t="s">
        <v>3625</v>
      </c>
      <c r="B3625">
        <v>72180833</v>
      </c>
      <c r="C3625" s="3">
        <v>2</v>
      </c>
      <c r="D3625" s="5" t="str">
        <f t="shared" si="123"/>
        <v>02</v>
      </c>
      <c r="E3625" t="str">
        <f>VLOOKUP(B3625,'HOGARES-BASELINE'!$B:$I,8,FALSE)</f>
        <v>01031057</v>
      </c>
      <c r="F3625" s="6" t="str">
        <f t="shared" si="122"/>
        <v>0103105702</v>
      </c>
    </row>
    <row r="3626" spans="1:6" x14ac:dyDescent="0.3">
      <c r="A3626" s="6" t="s">
        <v>3626</v>
      </c>
      <c r="B3626">
        <v>72180833</v>
      </c>
      <c r="C3626" s="3">
        <v>1</v>
      </c>
      <c r="D3626" s="5" t="str">
        <f t="shared" si="123"/>
        <v>01</v>
      </c>
      <c r="E3626" t="str">
        <f>VLOOKUP(B3626,'HOGARES-BASELINE'!$B:$I,8,FALSE)</f>
        <v>01031057</v>
      </c>
      <c r="F3626" s="6" t="str">
        <f t="shared" si="122"/>
        <v>0103105701</v>
      </c>
    </row>
    <row r="3627" spans="1:6" x14ac:dyDescent="0.3">
      <c r="A3627" s="6" t="s">
        <v>3627</v>
      </c>
      <c r="B3627">
        <v>72180833</v>
      </c>
      <c r="C3627" s="3">
        <v>5</v>
      </c>
      <c r="D3627" s="5" t="str">
        <f t="shared" si="123"/>
        <v>05</v>
      </c>
      <c r="E3627" t="str">
        <f>VLOOKUP(B3627,'HOGARES-BASELINE'!$B:$I,8,FALSE)</f>
        <v>01031057</v>
      </c>
      <c r="F3627" s="6" t="str">
        <f t="shared" si="122"/>
        <v>0103105705</v>
      </c>
    </row>
    <row r="3628" spans="1:6" x14ac:dyDescent="0.3">
      <c r="A3628" s="6" t="s">
        <v>3628</v>
      </c>
      <c r="B3628">
        <v>72182204</v>
      </c>
      <c r="C3628" s="3">
        <v>1</v>
      </c>
      <c r="D3628" s="5" t="str">
        <f t="shared" si="123"/>
        <v>01</v>
      </c>
      <c r="E3628" t="str">
        <f>VLOOKUP(B3628,'HOGARES-BASELINE'!$B:$I,8,FALSE)</f>
        <v>01031058</v>
      </c>
      <c r="F3628" s="6" t="str">
        <f t="shared" si="122"/>
        <v>0103105801</v>
      </c>
    </row>
    <row r="3629" spans="1:6" x14ac:dyDescent="0.3">
      <c r="A3629" s="6" t="s">
        <v>3629</v>
      </c>
      <c r="B3629">
        <v>72182204</v>
      </c>
      <c r="C3629" s="3">
        <v>2</v>
      </c>
      <c r="D3629" s="5" t="str">
        <f t="shared" si="123"/>
        <v>02</v>
      </c>
      <c r="E3629" t="str">
        <f>VLOOKUP(B3629,'HOGARES-BASELINE'!$B:$I,8,FALSE)</f>
        <v>01031058</v>
      </c>
      <c r="F3629" s="6" t="str">
        <f t="shared" si="122"/>
        <v>0103105802</v>
      </c>
    </row>
    <row r="3630" spans="1:6" x14ac:dyDescent="0.3">
      <c r="A3630" s="6" t="s">
        <v>3630</v>
      </c>
      <c r="B3630">
        <v>72182204</v>
      </c>
      <c r="C3630" s="3">
        <v>4</v>
      </c>
      <c r="D3630" s="5" t="str">
        <f t="shared" si="123"/>
        <v>04</v>
      </c>
      <c r="E3630" t="str">
        <f>VLOOKUP(B3630,'HOGARES-BASELINE'!$B:$I,8,FALSE)</f>
        <v>01031058</v>
      </c>
      <c r="F3630" s="6" t="str">
        <f t="shared" si="122"/>
        <v>0103105804</v>
      </c>
    </row>
    <row r="3631" spans="1:6" x14ac:dyDescent="0.3">
      <c r="A3631" s="6" t="s">
        <v>3631</v>
      </c>
      <c r="B3631">
        <v>72182204</v>
      </c>
      <c r="C3631" s="3">
        <v>3</v>
      </c>
      <c r="D3631" s="5" t="str">
        <f t="shared" si="123"/>
        <v>03</v>
      </c>
      <c r="E3631" t="str">
        <f>VLOOKUP(B3631,'HOGARES-BASELINE'!$B:$I,8,FALSE)</f>
        <v>01031058</v>
      </c>
      <c r="F3631" s="6" t="str">
        <f t="shared" si="122"/>
        <v>0103105803</v>
      </c>
    </row>
    <row r="3632" spans="1:6" x14ac:dyDescent="0.3">
      <c r="A3632" s="6" t="s">
        <v>3632</v>
      </c>
      <c r="B3632">
        <v>72183434</v>
      </c>
      <c r="C3632" s="3">
        <v>3</v>
      </c>
      <c r="D3632" s="5" t="str">
        <f t="shared" si="123"/>
        <v>03</v>
      </c>
      <c r="E3632" t="str">
        <f>VLOOKUP(B3632,'HOGARES-BASELINE'!$B:$I,8,FALSE)</f>
        <v>00031059</v>
      </c>
      <c r="F3632" s="6" t="str">
        <f t="shared" si="122"/>
        <v>0003105903</v>
      </c>
    </row>
    <row r="3633" spans="1:6" x14ac:dyDescent="0.3">
      <c r="A3633" s="6" t="s">
        <v>3633</v>
      </c>
      <c r="B3633">
        <v>72183434</v>
      </c>
      <c r="C3633" s="3">
        <v>1</v>
      </c>
      <c r="D3633" s="5" t="str">
        <f t="shared" si="123"/>
        <v>01</v>
      </c>
      <c r="E3633" t="str">
        <f>VLOOKUP(B3633,'HOGARES-BASELINE'!$B:$I,8,FALSE)</f>
        <v>00031059</v>
      </c>
      <c r="F3633" s="6" t="str">
        <f t="shared" si="122"/>
        <v>0003105901</v>
      </c>
    </row>
    <row r="3634" spans="1:6" x14ac:dyDescent="0.3">
      <c r="A3634" s="6" t="s">
        <v>3634</v>
      </c>
      <c r="B3634">
        <v>72183434</v>
      </c>
      <c r="C3634" s="3">
        <v>2</v>
      </c>
      <c r="D3634" s="5" t="str">
        <f t="shared" si="123"/>
        <v>02</v>
      </c>
      <c r="E3634" t="str">
        <f>VLOOKUP(B3634,'HOGARES-BASELINE'!$B:$I,8,FALSE)</f>
        <v>00031059</v>
      </c>
      <c r="F3634" s="6" t="str">
        <f t="shared" si="122"/>
        <v>0003105902</v>
      </c>
    </row>
    <row r="3635" spans="1:6" x14ac:dyDescent="0.3">
      <c r="A3635" s="6" t="s">
        <v>3635</v>
      </c>
      <c r="B3635">
        <v>72183434</v>
      </c>
      <c r="C3635" s="3">
        <v>4</v>
      </c>
      <c r="D3635" s="5" t="str">
        <f t="shared" si="123"/>
        <v>04</v>
      </c>
      <c r="E3635" t="str">
        <f>VLOOKUP(B3635,'HOGARES-BASELINE'!$B:$I,8,FALSE)</f>
        <v>00031059</v>
      </c>
      <c r="F3635" s="6" t="str">
        <f t="shared" si="122"/>
        <v>0003105904</v>
      </c>
    </row>
    <row r="3636" spans="1:6" x14ac:dyDescent="0.3">
      <c r="A3636" s="6" t="s">
        <v>3636</v>
      </c>
      <c r="B3636">
        <v>72184735</v>
      </c>
      <c r="C3636" s="3">
        <v>5</v>
      </c>
      <c r="D3636" s="5" t="str">
        <f t="shared" si="123"/>
        <v>05</v>
      </c>
      <c r="E3636" t="str">
        <f>VLOOKUP(B3636,'HOGARES-BASELINE'!$B:$I,8,FALSE)</f>
        <v>00031060</v>
      </c>
      <c r="F3636" s="6" t="str">
        <f t="shared" si="122"/>
        <v>0003106005</v>
      </c>
    </row>
    <row r="3637" spans="1:6" x14ac:dyDescent="0.3">
      <c r="A3637" s="6" t="s">
        <v>3637</v>
      </c>
      <c r="B3637">
        <v>72184735</v>
      </c>
      <c r="C3637" s="3">
        <v>2</v>
      </c>
      <c r="D3637" s="5" t="str">
        <f t="shared" si="123"/>
        <v>02</v>
      </c>
      <c r="E3637" t="str">
        <f>VLOOKUP(B3637,'HOGARES-BASELINE'!$B:$I,8,FALSE)</f>
        <v>00031060</v>
      </c>
      <c r="F3637" s="6" t="str">
        <f t="shared" si="122"/>
        <v>0003106002</v>
      </c>
    </row>
    <row r="3638" spans="1:6" x14ac:dyDescent="0.3">
      <c r="A3638" s="6" t="s">
        <v>3638</v>
      </c>
      <c r="B3638">
        <v>72184735</v>
      </c>
      <c r="C3638" s="3">
        <v>3</v>
      </c>
      <c r="D3638" s="5" t="str">
        <f t="shared" si="123"/>
        <v>03</v>
      </c>
      <c r="E3638" t="str">
        <f>VLOOKUP(B3638,'HOGARES-BASELINE'!$B:$I,8,FALSE)</f>
        <v>00031060</v>
      </c>
      <c r="F3638" s="6" t="str">
        <f t="shared" si="122"/>
        <v>0003106003</v>
      </c>
    </row>
    <row r="3639" spans="1:6" x14ac:dyDescent="0.3">
      <c r="A3639" s="6" t="s">
        <v>3639</v>
      </c>
      <c r="B3639">
        <v>72184735</v>
      </c>
      <c r="C3639" s="3">
        <v>1</v>
      </c>
      <c r="D3639" s="5" t="str">
        <f t="shared" si="123"/>
        <v>01</v>
      </c>
      <c r="E3639" t="str">
        <f>VLOOKUP(B3639,'HOGARES-BASELINE'!$B:$I,8,FALSE)</f>
        <v>00031060</v>
      </c>
      <c r="F3639" s="6" t="str">
        <f t="shared" si="122"/>
        <v>0003106001</v>
      </c>
    </row>
    <row r="3640" spans="1:6" x14ac:dyDescent="0.3">
      <c r="A3640" s="6" t="s">
        <v>3640</v>
      </c>
      <c r="B3640">
        <v>72184735</v>
      </c>
      <c r="C3640" s="3">
        <v>6</v>
      </c>
      <c r="D3640" s="5" t="str">
        <f t="shared" si="123"/>
        <v>06</v>
      </c>
      <c r="E3640" t="str">
        <f>VLOOKUP(B3640,'HOGARES-BASELINE'!$B:$I,8,FALSE)</f>
        <v>00031060</v>
      </c>
      <c r="F3640" s="6" t="str">
        <f t="shared" si="122"/>
        <v>0003106006</v>
      </c>
    </row>
    <row r="3641" spans="1:6" x14ac:dyDescent="0.3">
      <c r="A3641" s="6" t="s">
        <v>3641</v>
      </c>
      <c r="B3641">
        <v>72184735</v>
      </c>
      <c r="C3641" s="3">
        <v>4</v>
      </c>
      <c r="D3641" s="5" t="str">
        <f t="shared" si="123"/>
        <v>04</v>
      </c>
      <c r="E3641" t="str">
        <f>VLOOKUP(B3641,'HOGARES-BASELINE'!$B:$I,8,FALSE)</f>
        <v>00031060</v>
      </c>
      <c r="F3641" s="6" t="str">
        <f t="shared" si="122"/>
        <v>0003106004</v>
      </c>
    </row>
    <row r="3642" spans="1:6" x14ac:dyDescent="0.3">
      <c r="A3642" s="6" t="s">
        <v>3642</v>
      </c>
      <c r="B3642">
        <v>72200209</v>
      </c>
      <c r="C3642" s="3">
        <v>1</v>
      </c>
      <c r="D3642" s="5" t="str">
        <f t="shared" si="123"/>
        <v>01</v>
      </c>
      <c r="E3642" t="str">
        <f>VLOOKUP(B3642,'HOGARES-BASELINE'!$B:$I,8,FALSE)</f>
        <v>01031061</v>
      </c>
      <c r="F3642" s="6" t="str">
        <f t="shared" si="122"/>
        <v>0103106101</v>
      </c>
    </row>
    <row r="3643" spans="1:6" x14ac:dyDescent="0.3">
      <c r="A3643" s="6" t="s">
        <v>3643</v>
      </c>
      <c r="B3643">
        <v>72210592</v>
      </c>
      <c r="C3643" s="3">
        <v>2</v>
      </c>
      <c r="D3643" s="5" t="str">
        <f t="shared" si="123"/>
        <v>02</v>
      </c>
      <c r="E3643" t="str">
        <f>VLOOKUP(B3643,'HOGARES-BASELINE'!$B:$I,8,FALSE)</f>
        <v>01031062</v>
      </c>
      <c r="F3643" s="6" t="str">
        <f t="shared" si="122"/>
        <v>0103106202</v>
      </c>
    </row>
    <row r="3644" spans="1:6" x14ac:dyDescent="0.3">
      <c r="A3644" s="6" t="s">
        <v>3644</v>
      </c>
      <c r="B3644">
        <v>72210592</v>
      </c>
      <c r="C3644" s="3">
        <v>1</v>
      </c>
      <c r="D3644" s="5" t="str">
        <f t="shared" si="123"/>
        <v>01</v>
      </c>
      <c r="E3644" t="str">
        <f>VLOOKUP(B3644,'HOGARES-BASELINE'!$B:$I,8,FALSE)</f>
        <v>01031062</v>
      </c>
      <c r="F3644" s="6" t="str">
        <f t="shared" si="122"/>
        <v>0103106201</v>
      </c>
    </row>
    <row r="3645" spans="1:6" x14ac:dyDescent="0.3">
      <c r="A3645" s="6" t="s">
        <v>3645</v>
      </c>
      <c r="B3645">
        <v>72212320</v>
      </c>
      <c r="C3645" s="3">
        <v>1</v>
      </c>
      <c r="D3645" s="5" t="str">
        <f t="shared" si="123"/>
        <v>01</v>
      </c>
      <c r="E3645" t="str">
        <f>VLOOKUP(B3645,'HOGARES-BASELINE'!$B:$I,8,FALSE)</f>
        <v>01031063</v>
      </c>
      <c r="F3645" s="6" t="str">
        <f t="shared" si="122"/>
        <v>0103106301</v>
      </c>
    </row>
    <row r="3646" spans="1:6" x14ac:dyDescent="0.3">
      <c r="A3646" s="6" t="s">
        <v>3646</v>
      </c>
      <c r="B3646">
        <v>72212320</v>
      </c>
      <c r="C3646" s="3">
        <v>6</v>
      </c>
      <c r="D3646" s="5" t="str">
        <f t="shared" si="123"/>
        <v>06</v>
      </c>
      <c r="E3646" t="str">
        <f>VLOOKUP(B3646,'HOGARES-BASELINE'!$B:$I,8,FALSE)</f>
        <v>01031063</v>
      </c>
      <c r="F3646" s="6" t="str">
        <f t="shared" si="122"/>
        <v>0103106306</v>
      </c>
    </row>
    <row r="3647" spans="1:6" x14ac:dyDescent="0.3">
      <c r="A3647" s="6" t="s">
        <v>3647</v>
      </c>
      <c r="B3647">
        <v>72212320</v>
      </c>
      <c r="C3647" s="3">
        <v>3</v>
      </c>
      <c r="D3647" s="5" t="str">
        <f t="shared" si="123"/>
        <v>03</v>
      </c>
      <c r="E3647" t="str">
        <f>VLOOKUP(B3647,'HOGARES-BASELINE'!$B:$I,8,FALSE)</f>
        <v>01031063</v>
      </c>
      <c r="F3647" s="6" t="str">
        <f t="shared" si="122"/>
        <v>0103106303</v>
      </c>
    </row>
    <row r="3648" spans="1:6" x14ac:dyDescent="0.3">
      <c r="A3648" s="6" t="s">
        <v>3648</v>
      </c>
      <c r="B3648">
        <v>72212320</v>
      </c>
      <c r="C3648" s="3">
        <v>8</v>
      </c>
      <c r="D3648" s="5" t="str">
        <f t="shared" si="123"/>
        <v>08</v>
      </c>
      <c r="E3648" t="str">
        <f>VLOOKUP(B3648,'HOGARES-BASELINE'!$B:$I,8,FALSE)</f>
        <v>01031063</v>
      </c>
      <c r="F3648" s="6" t="str">
        <f t="shared" si="122"/>
        <v>0103106308</v>
      </c>
    </row>
    <row r="3649" spans="1:6" x14ac:dyDescent="0.3">
      <c r="A3649" s="6" t="s">
        <v>3649</v>
      </c>
      <c r="B3649">
        <v>72212320</v>
      </c>
      <c r="C3649" s="3">
        <v>5</v>
      </c>
      <c r="D3649" s="5" t="str">
        <f t="shared" si="123"/>
        <v>05</v>
      </c>
      <c r="E3649" t="str">
        <f>VLOOKUP(B3649,'HOGARES-BASELINE'!$B:$I,8,FALSE)</f>
        <v>01031063</v>
      </c>
      <c r="F3649" s="6" t="str">
        <f t="shared" si="122"/>
        <v>0103106305</v>
      </c>
    </row>
    <row r="3650" spans="1:6" x14ac:dyDescent="0.3">
      <c r="A3650" s="6" t="s">
        <v>3650</v>
      </c>
      <c r="B3650">
        <v>72212320</v>
      </c>
      <c r="C3650" s="3">
        <v>2</v>
      </c>
      <c r="D3650" s="5" t="str">
        <f t="shared" si="123"/>
        <v>02</v>
      </c>
      <c r="E3650" t="str">
        <f>VLOOKUP(B3650,'HOGARES-BASELINE'!$B:$I,8,FALSE)</f>
        <v>01031063</v>
      </c>
      <c r="F3650" s="6" t="str">
        <f t="shared" si="122"/>
        <v>0103106302</v>
      </c>
    </row>
    <row r="3651" spans="1:6" x14ac:dyDescent="0.3">
      <c r="A3651" s="6" t="s">
        <v>3651</v>
      </c>
      <c r="B3651">
        <v>72212320</v>
      </c>
      <c r="C3651" s="3">
        <v>7</v>
      </c>
      <c r="D3651" s="5" t="str">
        <f t="shared" si="123"/>
        <v>07</v>
      </c>
      <c r="E3651" t="str">
        <f>VLOOKUP(B3651,'HOGARES-BASELINE'!$B:$I,8,FALSE)</f>
        <v>01031063</v>
      </c>
      <c r="F3651" s="6" t="str">
        <f t="shared" ref="F3651:F3714" si="124">_xlfn.CONCAT(E3651,D3651)</f>
        <v>0103106307</v>
      </c>
    </row>
    <row r="3652" spans="1:6" x14ac:dyDescent="0.3">
      <c r="A3652" s="6" t="s">
        <v>3652</v>
      </c>
      <c r="B3652">
        <v>72212320</v>
      </c>
      <c r="C3652" s="3">
        <v>4</v>
      </c>
      <c r="D3652" s="5" t="str">
        <f t="shared" si="123"/>
        <v>04</v>
      </c>
      <c r="E3652" t="str">
        <f>VLOOKUP(B3652,'HOGARES-BASELINE'!$B:$I,8,FALSE)</f>
        <v>01031063</v>
      </c>
      <c r="F3652" s="6" t="str">
        <f t="shared" si="124"/>
        <v>0103106304</v>
      </c>
    </row>
    <row r="3653" spans="1:6" x14ac:dyDescent="0.3">
      <c r="A3653" s="6" t="s">
        <v>3653</v>
      </c>
      <c r="B3653">
        <v>72213150</v>
      </c>
      <c r="C3653" s="3">
        <v>3</v>
      </c>
      <c r="D3653" s="5" t="str">
        <f t="shared" si="123"/>
        <v>03</v>
      </c>
      <c r="E3653" t="str">
        <f>VLOOKUP(B3653,'HOGARES-BASELINE'!$B:$I,8,FALSE)</f>
        <v>00031064</v>
      </c>
      <c r="F3653" s="6" t="str">
        <f t="shared" si="124"/>
        <v>0003106403</v>
      </c>
    </row>
    <row r="3654" spans="1:6" x14ac:dyDescent="0.3">
      <c r="A3654" s="6" t="s">
        <v>3654</v>
      </c>
      <c r="B3654">
        <v>72213150</v>
      </c>
      <c r="C3654" s="3">
        <v>1</v>
      </c>
      <c r="D3654" s="5" t="str">
        <f t="shared" si="123"/>
        <v>01</v>
      </c>
      <c r="E3654" t="str">
        <f>VLOOKUP(B3654,'HOGARES-BASELINE'!$B:$I,8,FALSE)</f>
        <v>00031064</v>
      </c>
      <c r="F3654" s="6" t="str">
        <f t="shared" si="124"/>
        <v>0003106401</v>
      </c>
    </row>
    <row r="3655" spans="1:6" x14ac:dyDescent="0.3">
      <c r="A3655" s="6" t="s">
        <v>3655</v>
      </c>
      <c r="B3655">
        <v>72213150</v>
      </c>
      <c r="C3655" s="3">
        <v>4</v>
      </c>
      <c r="D3655" s="5" t="str">
        <f t="shared" ref="D3655:D3718" si="125">_xlfn.CONCAT(0,C3655)</f>
        <v>04</v>
      </c>
      <c r="E3655" t="str">
        <f>VLOOKUP(B3655,'HOGARES-BASELINE'!$B:$I,8,FALSE)</f>
        <v>00031064</v>
      </c>
      <c r="F3655" s="6" t="str">
        <f t="shared" si="124"/>
        <v>0003106404</v>
      </c>
    </row>
    <row r="3656" spans="1:6" x14ac:dyDescent="0.3">
      <c r="A3656" s="6" t="s">
        <v>3656</v>
      </c>
      <c r="B3656">
        <v>72213150</v>
      </c>
      <c r="C3656" s="3">
        <v>2</v>
      </c>
      <c r="D3656" s="5" t="str">
        <f t="shared" si="125"/>
        <v>02</v>
      </c>
      <c r="E3656" t="str">
        <f>VLOOKUP(B3656,'HOGARES-BASELINE'!$B:$I,8,FALSE)</f>
        <v>00031064</v>
      </c>
      <c r="F3656" s="6" t="str">
        <f t="shared" si="124"/>
        <v>0003106402</v>
      </c>
    </row>
    <row r="3657" spans="1:6" x14ac:dyDescent="0.3">
      <c r="A3657" s="6" t="s">
        <v>3657</v>
      </c>
      <c r="B3657">
        <v>72214776</v>
      </c>
      <c r="C3657" s="3">
        <v>3</v>
      </c>
      <c r="D3657" s="5" t="str">
        <f t="shared" si="125"/>
        <v>03</v>
      </c>
      <c r="E3657" t="str">
        <f>VLOOKUP(B3657,'HOGARES-BASELINE'!$B:$I,8,FALSE)</f>
        <v>01031065</v>
      </c>
      <c r="F3657" s="6" t="str">
        <f t="shared" si="124"/>
        <v>0103106503</v>
      </c>
    </row>
    <row r="3658" spans="1:6" x14ac:dyDescent="0.3">
      <c r="A3658" s="6" t="s">
        <v>3658</v>
      </c>
      <c r="B3658">
        <v>72214776</v>
      </c>
      <c r="C3658" s="3">
        <v>1</v>
      </c>
      <c r="D3658" s="5" t="str">
        <f t="shared" si="125"/>
        <v>01</v>
      </c>
      <c r="E3658" t="str">
        <f>VLOOKUP(B3658,'HOGARES-BASELINE'!$B:$I,8,FALSE)</f>
        <v>01031065</v>
      </c>
      <c r="F3658" s="6" t="str">
        <f t="shared" si="124"/>
        <v>0103106501</v>
      </c>
    </row>
    <row r="3659" spans="1:6" x14ac:dyDescent="0.3">
      <c r="A3659" s="6" t="s">
        <v>3659</v>
      </c>
      <c r="B3659">
        <v>72214776</v>
      </c>
      <c r="C3659" s="3">
        <v>2</v>
      </c>
      <c r="D3659" s="5" t="str">
        <f t="shared" si="125"/>
        <v>02</v>
      </c>
      <c r="E3659" t="str">
        <f>VLOOKUP(B3659,'HOGARES-BASELINE'!$B:$I,8,FALSE)</f>
        <v>01031065</v>
      </c>
      <c r="F3659" s="6" t="str">
        <f t="shared" si="124"/>
        <v>0103106502</v>
      </c>
    </row>
    <row r="3660" spans="1:6" x14ac:dyDescent="0.3">
      <c r="A3660" s="6" t="s">
        <v>3660</v>
      </c>
      <c r="B3660">
        <v>72217502</v>
      </c>
      <c r="C3660" s="3">
        <v>6</v>
      </c>
      <c r="D3660" s="5" t="str">
        <f t="shared" si="125"/>
        <v>06</v>
      </c>
      <c r="E3660" t="str">
        <f>VLOOKUP(B3660,'HOGARES-BASELINE'!$B:$I,8,FALSE)</f>
        <v>00031066</v>
      </c>
      <c r="F3660" s="6" t="str">
        <f t="shared" si="124"/>
        <v>0003106606</v>
      </c>
    </row>
    <row r="3661" spans="1:6" x14ac:dyDescent="0.3">
      <c r="A3661" s="6" t="s">
        <v>3661</v>
      </c>
      <c r="B3661">
        <v>72217502</v>
      </c>
      <c r="C3661" s="3">
        <v>4</v>
      </c>
      <c r="D3661" s="5" t="str">
        <f t="shared" si="125"/>
        <v>04</v>
      </c>
      <c r="E3661" t="str">
        <f>VLOOKUP(B3661,'HOGARES-BASELINE'!$B:$I,8,FALSE)</f>
        <v>00031066</v>
      </c>
      <c r="F3661" s="6" t="str">
        <f t="shared" si="124"/>
        <v>0003106604</v>
      </c>
    </row>
    <row r="3662" spans="1:6" x14ac:dyDescent="0.3">
      <c r="A3662" s="6" t="s">
        <v>3662</v>
      </c>
      <c r="B3662">
        <v>72217502</v>
      </c>
      <c r="C3662" s="3">
        <v>2</v>
      </c>
      <c r="D3662" s="5" t="str">
        <f t="shared" si="125"/>
        <v>02</v>
      </c>
      <c r="E3662" t="str">
        <f>VLOOKUP(B3662,'HOGARES-BASELINE'!$B:$I,8,FALSE)</f>
        <v>00031066</v>
      </c>
      <c r="F3662" s="6" t="str">
        <f t="shared" si="124"/>
        <v>0003106602</v>
      </c>
    </row>
    <row r="3663" spans="1:6" x14ac:dyDescent="0.3">
      <c r="A3663" s="6" t="s">
        <v>3663</v>
      </c>
      <c r="B3663">
        <v>72217502</v>
      </c>
      <c r="C3663" s="3">
        <v>1</v>
      </c>
      <c r="D3663" s="5" t="str">
        <f t="shared" si="125"/>
        <v>01</v>
      </c>
      <c r="E3663" t="str">
        <f>VLOOKUP(B3663,'HOGARES-BASELINE'!$B:$I,8,FALSE)</f>
        <v>00031066</v>
      </c>
      <c r="F3663" s="6" t="str">
        <f t="shared" si="124"/>
        <v>0003106601</v>
      </c>
    </row>
    <row r="3664" spans="1:6" x14ac:dyDescent="0.3">
      <c r="A3664" s="6" t="s">
        <v>3664</v>
      </c>
      <c r="B3664">
        <v>72217502</v>
      </c>
      <c r="C3664" s="3">
        <v>3</v>
      </c>
      <c r="D3664" s="5" t="str">
        <f t="shared" si="125"/>
        <v>03</v>
      </c>
      <c r="E3664" t="str">
        <f>VLOOKUP(B3664,'HOGARES-BASELINE'!$B:$I,8,FALSE)</f>
        <v>00031066</v>
      </c>
      <c r="F3664" s="6" t="str">
        <f t="shared" si="124"/>
        <v>0003106603</v>
      </c>
    </row>
    <row r="3665" spans="1:6" x14ac:dyDescent="0.3">
      <c r="A3665" s="6" t="s">
        <v>3665</v>
      </c>
      <c r="B3665">
        <v>72217502</v>
      </c>
      <c r="C3665" s="3">
        <v>5</v>
      </c>
      <c r="D3665" s="5" t="str">
        <f t="shared" si="125"/>
        <v>05</v>
      </c>
      <c r="E3665" t="str">
        <f>VLOOKUP(B3665,'HOGARES-BASELINE'!$B:$I,8,FALSE)</f>
        <v>00031066</v>
      </c>
      <c r="F3665" s="6" t="str">
        <f t="shared" si="124"/>
        <v>0003106605</v>
      </c>
    </row>
    <row r="3666" spans="1:6" x14ac:dyDescent="0.3">
      <c r="A3666" s="6" t="s">
        <v>3666</v>
      </c>
      <c r="B3666">
        <v>72227073</v>
      </c>
      <c r="C3666" s="3">
        <v>1</v>
      </c>
      <c r="D3666" s="5" t="str">
        <f t="shared" si="125"/>
        <v>01</v>
      </c>
      <c r="E3666" t="str">
        <f>VLOOKUP(B3666,'HOGARES-BASELINE'!$B:$I,8,FALSE)</f>
        <v>01031067</v>
      </c>
      <c r="F3666" s="6" t="str">
        <f t="shared" si="124"/>
        <v>0103106701</v>
      </c>
    </row>
    <row r="3667" spans="1:6" x14ac:dyDescent="0.3">
      <c r="A3667" s="6" t="s">
        <v>3667</v>
      </c>
      <c r="B3667">
        <v>72227073</v>
      </c>
      <c r="C3667" s="3">
        <v>4</v>
      </c>
      <c r="D3667" s="5" t="str">
        <f t="shared" si="125"/>
        <v>04</v>
      </c>
      <c r="E3667" t="str">
        <f>VLOOKUP(B3667,'HOGARES-BASELINE'!$B:$I,8,FALSE)</f>
        <v>01031067</v>
      </c>
      <c r="F3667" s="6" t="str">
        <f t="shared" si="124"/>
        <v>0103106704</v>
      </c>
    </row>
    <row r="3668" spans="1:6" x14ac:dyDescent="0.3">
      <c r="A3668" s="6" t="s">
        <v>3668</v>
      </c>
      <c r="B3668">
        <v>72227073</v>
      </c>
      <c r="C3668" s="3">
        <v>2</v>
      </c>
      <c r="D3668" s="5" t="str">
        <f t="shared" si="125"/>
        <v>02</v>
      </c>
      <c r="E3668" t="str">
        <f>VLOOKUP(B3668,'HOGARES-BASELINE'!$B:$I,8,FALSE)</f>
        <v>01031067</v>
      </c>
      <c r="F3668" s="6" t="str">
        <f t="shared" si="124"/>
        <v>0103106702</v>
      </c>
    </row>
    <row r="3669" spans="1:6" x14ac:dyDescent="0.3">
      <c r="A3669" s="6" t="s">
        <v>3669</v>
      </c>
      <c r="B3669">
        <v>72227073</v>
      </c>
      <c r="C3669" s="3">
        <v>3</v>
      </c>
      <c r="D3669" s="5" t="str">
        <f t="shared" si="125"/>
        <v>03</v>
      </c>
      <c r="E3669" t="str">
        <f>VLOOKUP(B3669,'HOGARES-BASELINE'!$B:$I,8,FALSE)</f>
        <v>01031067</v>
      </c>
      <c r="F3669" s="6" t="str">
        <f t="shared" si="124"/>
        <v>0103106703</v>
      </c>
    </row>
    <row r="3670" spans="1:6" x14ac:dyDescent="0.3">
      <c r="A3670" s="6" t="s">
        <v>3670</v>
      </c>
      <c r="B3670">
        <v>72227073</v>
      </c>
      <c r="C3670" s="3">
        <v>5</v>
      </c>
      <c r="D3670" s="5" t="str">
        <f t="shared" si="125"/>
        <v>05</v>
      </c>
      <c r="E3670" t="str">
        <f>VLOOKUP(B3670,'HOGARES-BASELINE'!$B:$I,8,FALSE)</f>
        <v>01031067</v>
      </c>
      <c r="F3670" s="6" t="str">
        <f t="shared" si="124"/>
        <v>0103106705</v>
      </c>
    </row>
    <row r="3671" spans="1:6" x14ac:dyDescent="0.3">
      <c r="A3671" s="6" t="s">
        <v>3671</v>
      </c>
      <c r="B3671">
        <v>72227387</v>
      </c>
      <c r="C3671" s="3">
        <v>2</v>
      </c>
      <c r="D3671" s="5" t="str">
        <f t="shared" si="125"/>
        <v>02</v>
      </c>
      <c r="E3671" t="str">
        <f>VLOOKUP(B3671,'HOGARES-BASELINE'!$B:$I,8,FALSE)</f>
        <v>01031068</v>
      </c>
      <c r="F3671" s="6" t="str">
        <f t="shared" si="124"/>
        <v>0103106802</v>
      </c>
    </row>
    <row r="3672" spans="1:6" x14ac:dyDescent="0.3">
      <c r="A3672" s="6" t="s">
        <v>3672</v>
      </c>
      <c r="B3672">
        <v>72227387</v>
      </c>
      <c r="C3672" s="3">
        <v>3</v>
      </c>
      <c r="D3672" s="5" t="str">
        <f t="shared" si="125"/>
        <v>03</v>
      </c>
      <c r="E3672" t="str">
        <f>VLOOKUP(B3672,'HOGARES-BASELINE'!$B:$I,8,FALSE)</f>
        <v>01031068</v>
      </c>
      <c r="F3672" s="6" t="str">
        <f t="shared" si="124"/>
        <v>0103106803</v>
      </c>
    </row>
    <row r="3673" spans="1:6" x14ac:dyDescent="0.3">
      <c r="A3673" s="6" t="s">
        <v>3673</v>
      </c>
      <c r="B3673">
        <v>72227387</v>
      </c>
      <c r="C3673" s="3">
        <v>5</v>
      </c>
      <c r="D3673" s="5" t="str">
        <f t="shared" si="125"/>
        <v>05</v>
      </c>
      <c r="E3673" t="str">
        <f>VLOOKUP(B3673,'HOGARES-BASELINE'!$B:$I,8,FALSE)</f>
        <v>01031068</v>
      </c>
      <c r="F3673" s="6" t="str">
        <f t="shared" si="124"/>
        <v>0103106805</v>
      </c>
    </row>
    <row r="3674" spans="1:6" x14ac:dyDescent="0.3">
      <c r="A3674" s="6" t="s">
        <v>3674</v>
      </c>
      <c r="B3674">
        <v>72227387</v>
      </c>
      <c r="C3674" s="3">
        <v>4</v>
      </c>
      <c r="D3674" s="5" t="str">
        <f t="shared" si="125"/>
        <v>04</v>
      </c>
      <c r="E3674" t="str">
        <f>VLOOKUP(B3674,'HOGARES-BASELINE'!$B:$I,8,FALSE)</f>
        <v>01031068</v>
      </c>
      <c r="F3674" s="6" t="str">
        <f t="shared" si="124"/>
        <v>0103106804</v>
      </c>
    </row>
    <row r="3675" spans="1:6" x14ac:dyDescent="0.3">
      <c r="A3675" s="6" t="s">
        <v>3675</v>
      </c>
      <c r="B3675">
        <v>72227387</v>
      </c>
      <c r="C3675" s="3">
        <v>1</v>
      </c>
      <c r="D3675" s="5" t="str">
        <f t="shared" si="125"/>
        <v>01</v>
      </c>
      <c r="E3675" t="str">
        <f>VLOOKUP(B3675,'HOGARES-BASELINE'!$B:$I,8,FALSE)</f>
        <v>01031068</v>
      </c>
      <c r="F3675" s="6" t="str">
        <f t="shared" si="124"/>
        <v>0103106801</v>
      </c>
    </row>
    <row r="3676" spans="1:6" x14ac:dyDescent="0.3">
      <c r="A3676" s="6" t="s">
        <v>3676</v>
      </c>
      <c r="B3676">
        <v>72234487</v>
      </c>
      <c r="C3676" s="3">
        <v>1</v>
      </c>
      <c r="D3676" s="5" t="str">
        <f t="shared" si="125"/>
        <v>01</v>
      </c>
      <c r="E3676" t="str">
        <f>VLOOKUP(B3676,'HOGARES-BASELINE'!$B:$I,8,FALSE)</f>
        <v>00031069</v>
      </c>
      <c r="F3676" s="6" t="str">
        <f t="shared" si="124"/>
        <v>0003106901</v>
      </c>
    </row>
    <row r="3677" spans="1:6" x14ac:dyDescent="0.3">
      <c r="A3677" s="6" t="s">
        <v>3677</v>
      </c>
      <c r="B3677">
        <v>72239153</v>
      </c>
      <c r="C3677" s="3">
        <v>3</v>
      </c>
      <c r="D3677" s="5" t="str">
        <f t="shared" si="125"/>
        <v>03</v>
      </c>
      <c r="E3677" t="str">
        <f>VLOOKUP(B3677,'HOGARES-BASELINE'!$B:$I,8,FALSE)</f>
        <v>00031070</v>
      </c>
      <c r="F3677" s="6" t="str">
        <f t="shared" si="124"/>
        <v>0003107003</v>
      </c>
    </row>
    <row r="3678" spans="1:6" x14ac:dyDescent="0.3">
      <c r="A3678" s="6" t="s">
        <v>3678</v>
      </c>
      <c r="B3678">
        <v>72239153</v>
      </c>
      <c r="C3678" s="3">
        <v>2</v>
      </c>
      <c r="D3678" s="5" t="str">
        <f t="shared" si="125"/>
        <v>02</v>
      </c>
      <c r="E3678" t="str">
        <f>VLOOKUP(B3678,'HOGARES-BASELINE'!$B:$I,8,FALSE)</f>
        <v>00031070</v>
      </c>
      <c r="F3678" s="6" t="str">
        <f t="shared" si="124"/>
        <v>0003107002</v>
      </c>
    </row>
    <row r="3679" spans="1:6" x14ac:dyDescent="0.3">
      <c r="A3679" s="6" t="s">
        <v>3679</v>
      </c>
      <c r="B3679">
        <v>72239153</v>
      </c>
      <c r="C3679" s="3">
        <v>1</v>
      </c>
      <c r="D3679" s="5" t="str">
        <f t="shared" si="125"/>
        <v>01</v>
      </c>
      <c r="E3679" t="str">
        <f>VLOOKUP(B3679,'HOGARES-BASELINE'!$B:$I,8,FALSE)</f>
        <v>00031070</v>
      </c>
      <c r="F3679" s="6" t="str">
        <f t="shared" si="124"/>
        <v>0003107001</v>
      </c>
    </row>
    <row r="3680" spans="1:6" x14ac:dyDescent="0.3">
      <c r="A3680" s="6" t="s">
        <v>3680</v>
      </c>
      <c r="B3680">
        <v>72239164</v>
      </c>
      <c r="C3680" s="3">
        <v>1</v>
      </c>
      <c r="D3680" s="5" t="str">
        <f t="shared" si="125"/>
        <v>01</v>
      </c>
      <c r="E3680" t="str">
        <f>VLOOKUP(B3680,'HOGARES-BASELINE'!$B:$I,8,FALSE)</f>
        <v>01031071</v>
      </c>
      <c r="F3680" s="6" t="str">
        <f t="shared" si="124"/>
        <v>0103107101</v>
      </c>
    </row>
    <row r="3681" spans="1:6" x14ac:dyDescent="0.3">
      <c r="A3681" s="6" t="s">
        <v>3681</v>
      </c>
      <c r="B3681">
        <v>72239164</v>
      </c>
      <c r="C3681" s="3">
        <v>3</v>
      </c>
      <c r="D3681" s="5" t="str">
        <f t="shared" si="125"/>
        <v>03</v>
      </c>
      <c r="E3681" t="str">
        <f>VLOOKUP(B3681,'HOGARES-BASELINE'!$B:$I,8,FALSE)</f>
        <v>01031071</v>
      </c>
      <c r="F3681" s="6" t="str">
        <f t="shared" si="124"/>
        <v>0103107103</v>
      </c>
    </row>
    <row r="3682" spans="1:6" x14ac:dyDescent="0.3">
      <c r="A3682" s="6" t="s">
        <v>3682</v>
      </c>
      <c r="B3682">
        <v>72239164</v>
      </c>
      <c r="C3682" s="3">
        <v>2</v>
      </c>
      <c r="D3682" s="5" t="str">
        <f t="shared" si="125"/>
        <v>02</v>
      </c>
      <c r="E3682" t="str">
        <f>VLOOKUP(B3682,'HOGARES-BASELINE'!$B:$I,8,FALSE)</f>
        <v>01031071</v>
      </c>
      <c r="F3682" s="6" t="str">
        <f t="shared" si="124"/>
        <v>0103107102</v>
      </c>
    </row>
    <row r="3683" spans="1:6" x14ac:dyDescent="0.3">
      <c r="A3683" s="6" t="s">
        <v>3683</v>
      </c>
      <c r="B3683">
        <v>72256249</v>
      </c>
      <c r="C3683" s="3">
        <v>3</v>
      </c>
      <c r="D3683" s="5" t="str">
        <f t="shared" si="125"/>
        <v>03</v>
      </c>
      <c r="E3683" t="str">
        <f>VLOOKUP(B3683,'HOGARES-BASELINE'!$B:$I,8,FALSE)</f>
        <v>00031072</v>
      </c>
      <c r="F3683" s="6" t="str">
        <f t="shared" si="124"/>
        <v>0003107203</v>
      </c>
    </row>
    <row r="3684" spans="1:6" x14ac:dyDescent="0.3">
      <c r="A3684" s="6" t="s">
        <v>3684</v>
      </c>
      <c r="B3684">
        <v>72256249</v>
      </c>
      <c r="C3684" s="3">
        <v>1</v>
      </c>
      <c r="D3684" s="5" t="str">
        <f t="shared" si="125"/>
        <v>01</v>
      </c>
      <c r="E3684" t="str">
        <f>VLOOKUP(B3684,'HOGARES-BASELINE'!$B:$I,8,FALSE)</f>
        <v>00031072</v>
      </c>
      <c r="F3684" s="6" t="str">
        <f t="shared" si="124"/>
        <v>0003107201</v>
      </c>
    </row>
    <row r="3685" spans="1:6" x14ac:dyDescent="0.3">
      <c r="A3685" s="6" t="s">
        <v>3685</v>
      </c>
      <c r="B3685">
        <v>72256249</v>
      </c>
      <c r="C3685" s="3">
        <v>2</v>
      </c>
      <c r="D3685" s="5" t="str">
        <f t="shared" si="125"/>
        <v>02</v>
      </c>
      <c r="E3685" t="str">
        <f>VLOOKUP(B3685,'HOGARES-BASELINE'!$B:$I,8,FALSE)</f>
        <v>00031072</v>
      </c>
      <c r="F3685" s="6" t="str">
        <f t="shared" si="124"/>
        <v>0003107202</v>
      </c>
    </row>
    <row r="3686" spans="1:6" x14ac:dyDescent="0.3">
      <c r="A3686" s="6" t="s">
        <v>3686</v>
      </c>
      <c r="B3686">
        <v>72256249</v>
      </c>
      <c r="C3686" s="3">
        <v>4</v>
      </c>
      <c r="D3686" s="5" t="str">
        <f t="shared" si="125"/>
        <v>04</v>
      </c>
      <c r="E3686" t="str">
        <f>VLOOKUP(B3686,'HOGARES-BASELINE'!$B:$I,8,FALSE)</f>
        <v>00031072</v>
      </c>
      <c r="F3686" s="6" t="str">
        <f t="shared" si="124"/>
        <v>0003107204</v>
      </c>
    </row>
    <row r="3687" spans="1:6" x14ac:dyDescent="0.3">
      <c r="A3687" s="6" t="s">
        <v>3687</v>
      </c>
      <c r="B3687">
        <v>72259355</v>
      </c>
      <c r="C3687" s="3">
        <v>1</v>
      </c>
      <c r="D3687" s="5" t="str">
        <f t="shared" si="125"/>
        <v>01</v>
      </c>
      <c r="E3687" t="str">
        <f>VLOOKUP(B3687,'HOGARES-BASELINE'!$B:$I,8,FALSE)</f>
        <v>00031073</v>
      </c>
      <c r="F3687" s="6" t="str">
        <f t="shared" si="124"/>
        <v>0003107301</v>
      </c>
    </row>
    <row r="3688" spans="1:6" x14ac:dyDescent="0.3">
      <c r="A3688" s="6" t="s">
        <v>3688</v>
      </c>
      <c r="B3688">
        <v>72259355</v>
      </c>
      <c r="C3688" s="3">
        <v>2</v>
      </c>
      <c r="D3688" s="5" t="str">
        <f t="shared" si="125"/>
        <v>02</v>
      </c>
      <c r="E3688" t="str">
        <f>VLOOKUP(B3688,'HOGARES-BASELINE'!$B:$I,8,FALSE)</f>
        <v>00031073</v>
      </c>
      <c r="F3688" s="6" t="str">
        <f t="shared" si="124"/>
        <v>0003107302</v>
      </c>
    </row>
    <row r="3689" spans="1:6" x14ac:dyDescent="0.3">
      <c r="A3689" s="6" t="s">
        <v>3689</v>
      </c>
      <c r="B3689">
        <v>72259355</v>
      </c>
      <c r="C3689" s="3">
        <v>3</v>
      </c>
      <c r="D3689" s="5" t="str">
        <f t="shared" si="125"/>
        <v>03</v>
      </c>
      <c r="E3689" t="str">
        <f>VLOOKUP(B3689,'HOGARES-BASELINE'!$B:$I,8,FALSE)</f>
        <v>00031073</v>
      </c>
      <c r="F3689" s="6" t="str">
        <f t="shared" si="124"/>
        <v>0003107303</v>
      </c>
    </row>
    <row r="3690" spans="1:6" x14ac:dyDescent="0.3">
      <c r="A3690" s="6" t="s">
        <v>3690</v>
      </c>
      <c r="B3690">
        <v>72261103</v>
      </c>
      <c r="C3690" s="3">
        <v>1</v>
      </c>
      <c r="D3690" s="5" t="str">
        <f t="shared" si="125"/>
        <v>01</v>
      </c>
      <c r="E3690" t="str">
        <f>VLOOKUP(B3690,'HOGARES-BASELINE'!$B:$I,8,FALSE)</f>
        <v>00031074</v>
      </c>
      <c r="F3690" s="6" t="str">
        <f t="shared" si="124"/>
        <v>0003107401</v>
      </c>
    </row>
    <row r="3691" spans="1:6" x14ac:dyDescent="0.3">
      <c r="A3691" s="6" t="s">
        <v>3691</v>
      </c>
      <c r="B3691">
        <v>72261103</v>
      </c>
      <c r="C3691" s="3">
        <v>3</v>
      </c>
      <c r="D3691" s="5" t="str">
        <f t="shared" si="125"/>
        <v>03</v>
      </c>
      <c r="E3691" t="str">
        <f>VLOOKUP(B3691,'HOGARES-BASELINE'!$B:$I,8,FALSE)</f>
        <v>00031074</v>
      </c>
      <c r="F3691" s="6" t="str">
        <f t="shared" si="124"/>
        <v>0003107403</v>
      </c>
    </row>
    <row r="3692" spans="1:6" x14ac:dyDescent="0.3">
      <c r="A3692" s="6" t="s">
        <v>3692</v>
      </c>
      <c r="B3692">
        <v>72261103</v>
      </c>
      <c r="C3692" s="3">
        <v>2</v>
      </c>
      <c r="D3692" s="5" t="str">
        <f t="shared" si="125"/>
        <v>02</v>
      </c>
      <c r="E3692" t="str">
        <f>VLOOKUP(B3692,'HOGARES-BASELINE'!$B:$I,8,FALSE)</f>
        <v>00031074</v>
      </c>
      <c r="F3692" s="6" t="str">
        <f t="shared" si="124"/>
        <v>0003107402</v>
      </c>
    </row>
    <row r="3693" spans="1:6" x14ac:dyDescent="0.3">
      <c r="A3693" s="6" t="s">
        <v>3693</v>
      </c>
      <c r="B3693">
        <v>72261103</v>
      </c>
      <c r="C3693" s="3">
        <v>4</v>
      </c>
      <c r="D3693" s="5" t="str">
        <f t="shared" si="125"/>
        <v>04</v>
      </c>
      <c r="E3693" t="str">
        <f>VLOOKUP(B3693,'HOGARES-BASELINE'!$B:$I,8,FALSE)</f>
        <v>00031074</v>
      </c>
      <c r="F3693" s="6" t="str">
        <f t="shared" si="124"/>
        <v>0003107404</v>
      </c>
    </row>
    <row r="3694" spans="1:6" x14ac:dyDescent="0.3">
      <c r="A3694" s="6" t="s">
        <v>3694</v>
      </c>
      <c r="B3694">
        <v>72264710</v>
      </c>
      <c r="C3694" s="3">
        <v>7</v>
      </c>
      <c r="D3694" s="5" t="str">
        <f t="shared" si="125"/>
        <v>07</v>
      </c>
      <c r="E3694" t="str">
        <f>VLOOKUP(B3694,'HOGARES-BASELINE'!$B:$I,8,FALSE)</f>
        <v>00031075</v>
      </c>
      <c r="F3694" s="6" t="str">
        <f t="shared" si="124"/>
        <v>0003107507</v>
      </c>
    </row>
    <row r="3695" spans="1:6" x14ac:dyDescent="0.3">
      <c r="A3695" s="6" t="s">
        <v>3695</v>
      </c>
      <c r="B3695">
        <v>72264710</v>
      </c>
      <c r="C3695" s="3">
        <v>1</v>
      </c>
      <c r="D3695" s="5" t="str">
        <f t="shared" si="125"/>
        <v>01</v>
      </c>
      <c r="E3695" t="str">
        <f>VLOOKUP(B3695,'HOGARES-BASELINE'!$B:$I,8,FALSE)</f>
        <v>00031075</v>
      </c>
      <c r="F3695" s="6" t="str">
        <f t="shared" si="124"/>
        <v>0003107501</v>
      </c>
    </row>
    <row r="3696" spans="1:6" x14ac:dyDescent="0.3">
      <c r="A3696" s="6" t="s">
        <v>3696</v>
      </c>
      <c r="B3696">
        <v>72264710</v>
      </c>
      <c r="C3696" s="3">
        <v>5</v>
      </c>
      <c r="D3696" s="5" t="str">
        <f t="shared" si="125"/>
        <v>05</v>
      </c>
      <c r="E3696" t="str">
        <f>VLOOKUP(B3696,'HOGARES-BASELINE'!$B:$I,8,FALSE)</f>
        <v>00031075</v>
      </c>
      <c r="F3696" s="6" t="str">
        <f t="shared" si="124"/>
        <v>0003107505</v>
      </c>
    </row>
    <row r="3697" spans="1:6" x14ac:dyDescent="0.3">
      <c r="A3697" s="6" t="s">
        <v>3697</v>
      </c>
      <c r="B3697">
        <v>72264710</v>
      </c>
      <c r="C3697" s="3">
        <v>2</v>
      </c>
      <c r="D3697" s="5" t="str">
        <f t="shared" si="125"/>
        <v>02</v>
      </c>
      <c r="E3697" t="str">
        <f>VLOOKUP(B3697,'HOGARES-BASELINE'!$B:$I,8,FALSE)</f>
        <v>00031075</v>
      </c>
      <c r="F3697" s="6" t="str">
        <f t="shared" si="124"/>
        <v>0003107502</v>
      </c>
    </row>
    <row r="3698" spans="1:6" x14ac:dyDescent="0.3">
      <c r="A3698" s="6" t="s">
        <v>3698</v>
      </c>
      <c r="B3698">
        <v>72264710</v>
      </c>
      <c r="C3698" s="3">
        <v>8</v>
      </c>
      <c r="D3698" s="5" t="str">
        <f t="shared" si="125"/>
        <v>08</v>
      </c>
      <c r="E3698" t="str">
        <f>VLOOKUP(B3698,'HOGARES-BASELINE'!$B:$I,8,FALSE)</f>
        <v>00031075</v>
      </c>
      <c r="F3698" s="6" t="str">
        <f t="shared" si="124"/>
        <v>0003107508</v>
      </c>
    </row>
    <row r="3699" spans="1:6" x14ac:dyDescent="0.3">
      <c r="A3699" s="6" t="s">
        <v>3699</v>
      </c>
      <c r="B3699">
        <v>72264710</v>
      </c>
      <c r="C3699" s="3">
        <v>6</v>
      </c>
      <c r="D3699" s="5" t="str">
        <f t="shared" si="125"/>
        <v>06</v>
      </c>
      <c r="E3699" t="str">
        <f>VLOOKUP(B3699,'HOGARES-BASELINE'!$B:$I,8,FALSE)</f>
        <v>00031075</v>
      </c>
      <c r="F3699" s="6" t="str">
        <f t="shared" si="124"/>
        <v>0003107506</v>
      </c>
    </row>
    <row r="3700" spans="1:6" x14ac:dyDescent="0.3">
      <c r="A3700" s="6" t="s">
        <v>3700</v>
      </c>
      <c r="B3700">
        <v>72264710</v>
      </c>
      <c r="C3700" s="3">
        <v>4</v>
      </c>
      <c r="D3700" s="5" t="str">
        <f t="shared" si="125"/>
        <v>04</v>
      </c>
      <c r="E3700" t="str">
        <f>VLOOKUP(B3700,'HOGARES-BASELINE'!$B:$I,8,FALSE)</f>
        <v>00031075</v>
      </c>
      <c r="F3700" s="6" t="str">
        <f t="shared" si="124"/>
        <v>0003107504</v>
      </c>
    </row>
    <row r="3701" spans="1:6" x14ac:dyDescent="0.3">
      <c r="A3701" s="6" t="s">
        <v>3701</v>
      </c>
      <c r="B3701">
        <v>72264710</v>
      </c>
      <c r="C3701" s="3">
        <v>3</v>
      </c>
      <c r="D3701" s="5" t="str">
        <f t="shared" si="125"/>
        <v>03</v>
      </c>
      <c r="E3701" t="str">
        <f>VLOOKUP(B3701,'HOGARES-BASELINE'!$B:$I,8,FALSE)</f>
        <v>00031075</v>
      </c>
      <c r="F3701" s="6" t="str">
        <f t="shared" si="124"/>
        <v>0003107503</v>
      </c>
    </row>
    <row r="3702" spans="1:6" x14ac:dyDescent="0.3">
      <c r="A3702" s="6" t="s">
        <v>3702</v>
      </c>
      <c r="B3702">
        <v>72265227</v>
      </c>
      <c r="C3702" s="3">
        <v>2</v>
      </c>
      <c r="D3702" s="5" t="str">
        <f t="shared" si="125"/>
        <v>02</v>
      </c>
      <c r="E3702" t="str">
        <f>VLOOKUP(B3702,'HOGARES-BASELINE'!$B:$I,8,FALSE)</f>
        <v>00031076</v>
      </c>
      <c r="F3702" s="6" t="str">
        <f t="shared" si="124"/>
        <v>0003107602</v>
      </c>
    </row>
    <row r="3703" spans="1:6" x14ac:dyDescent="0.3">
      <c r="A3703" s="6" t="s">
        <v>3703</v>
      </c>
      <c r="B3703">
        <v>72265227</v>
      </c>
      <c r="C3703" s="3">
        <v>3</v>
      </c>
      <c r="D3703" s="5" t="str">
        <f t="shared" si="125"/>
        <v>03</v>
      </c>
      <c r="E3703" t="str">
        <f>VLOOKUP(B3703,'HOGARES-BASELINE'!$B:$I,8,FALSE)</f>
        <v>00031076</v>
      </c>
      <c r="F3703" s="6" t="str">
        <f t="shared" si="124"/>
        <v>0003107603</v>
      </c>
    </row>
    <row r="3704" spans="1:6" x14ac:dyDescent="0.3">
      <c r="A3704" s="6" t="s">
        <v>3704</v>
      </c>
      <c r="B3704">
        <v>72265227</v>
      </c>
      <c r="C3704" s="3">
        <v>4</v>
      </c>
      <c r="D3704" s="5" t="str">
        <f t="shared" si="125"/>
        <v>04</v>
      </c>
      <c r="E3704" t="str">
        <f>VLOOKUP(B3704,'HOGARES-BASELINE'!$B:$I,8,FALSE)</f>
        <v>00031076</v>
      </c>
      <c r="F3704" s="6" t="str">
        <f t="shared" si="124"/>
        <v>0003107604</v>
      </c>
    </row>
    <row r="3705" spans="1:6" x14ac:dyDescent="0.3">
      <c r="A3705" s="6" t="s">
        <v>3705</v>
      </c>
      <c r="B3705">
        <v>72265227</v>
      </c>
      <c r="C3705" s="3">
        <v>1</v>
      </c>
      <c r="D3705" s="5" t="str">
        <f t="shared" si="125"/>
        <v>01</v>
      </c>
      <c r="E3705" t="str">
        <f>VLOOKUP(B3705,'HOGARES-BASELINE'!$B:$I,8,FALSE)</f>
        <v>00031076</v>
      </c>
      <c r="F3705" s="6" t="str">
        <f t="shared" si="124"/>
        <v>0003107601</v>
      </c>
    </row>
    <row r="3706" spans="1:6" x14ac:dyDescent="0.3">
      <c r="A3706" s="6" t="s">
        <v>3706</v>
      </c>
      <c r="B3706">
        <v>72298484</v>
      </c>
      <c r="C3706" s="3">
        <v>3</v>
      </c>
      <c r="D3706" s="5" t="str">
        <f t="shared" si="125"/>
        <v>03</v>
      </c>
      <c r="E3706" t="str">
        <f>VLOOKUP(B3706,'HOGARES-BASELINE'!$B:$I,8,FALSE)</f>
        <v>01031077</v>
      </c>
      <c r="F3706" s="6" t="str">
        <f t="shared" si="124"/>
        <v>0103107703</v>
      </c>
    </row>
    <row r="3707" spans="1:6" x14ac:dyDescent="0.3">
      <c r="A3707" s="6" t="s">
        <v>3707</v>
      </c>
      <c r="B3707">
        <v>72298484</v>
      </c>
      <c r="C3707" s="3">
        <v>2</v>
      </c>
      <c r="D3707" s="5" t="str">
        <f t="shared" si="125"/>
        <v>02</v>
      </c>
      <c r="E3707" t="str">
        <f>VLOOKUP(B3707,'HOGARES-BASELINE'!$B:$I,8,FALSE)</f>
        <v>01031077</v>
      </c>
      <c r="F3707" s="6" t="str">
        <f t="shared" si="124"/>
        <v>0103107702</v>
      </c>
    </row>
    <row r="3708" spans="1:6" x14ac:dyDescent="0.3">
      <c r="A3708" s="6" t="s">
        <v>3708</v>
      </c>
      <c r="B3708">
        <v>72298484</v>
      </c>
      <c r="C3708" s="3">
        <v>5</v>
      </c>
      <c r="D3708" s="5" t="str">
        <f t="shared" si="125"/>
        <v>05</v>
      </c>
      <c r="E3708" t="str">
        <f>VLOOKUP(B3708,'HOGARES-BASELINE'!$B:$I,8,FALSE)</f>
        <v>01031077</v>
      </c>
      <c r="F3708" s="6" t="str">
        <f t="shared" si="124"/>
        <v>0103107705</v>
      </c>
    </row>
    <row r="3709" spans="1:6" x14ac:dyDescent="0.3">
      <c r="A3709" s="6" t="s">
        <v>3709</v>
      </c>
      <c r="B3709">
        <v>72298484</v>
      </c>
      <c r="C3709" s="3">
        <v>1</v>
      </c>
      <c r="D3709" s="5" t="str">
        <f t="shared" si="125"/>
        <v>01</v>
      </c>
      <c r="E3709" t="str">
        <f>VLOOKUP(B3709,'HOGARES-BASELINE'!$B:$I,8,FALSE)</f>
        <v>01031077</v>
      </c>
      <c r="F3709" s="6" t="str">
        <f t="shared" si="124"/>
        <v>0103107701</v>
      </c>
    </row>
    <row r="3710" spans="1:6" x14ac:dyDescent="0.3">
      <c r="A3710" s="6" t="s">
        <v>3710</v>
      </c>
      <c r="B3710">
        <v>72298484</v>
      </c>
      <c r="C3710" s="3">
        <v>4</v>
      </c>
      <c r="D3710" s="5" t="str">
        <f t="shared" si="125"/>
        <v>04</v>
      </c>
      <c r="E3710" t="str">
        <f>VLOOKUP(B3710,'HOGARES-BASELINE'!$B:$I,8,FALSE)</f>
        <v>01031077</v>
      </c>
      <c r="F3710" s="6" t="str">
        <f t="shared" si="124"/>
        <v>0103107704</v>
      </c>
    </row>
    <row r="3711" spans="1:6" x14ac:dyDescent="0.3">
      <c r="A3711" s="6" t="s">
        <v>3711</v>
      </c>
      <c r="B3711">
        <v>72428031</v>
      </c>
      <c r="C3711" s="3">
        <v>1</v>
      </c>
      <c r="D3711" s="5" t="str">
        <f t="shared" si="125"/>
        <v>01</v>
      </c>
      <c r="E3711" t="str">
        <f>VLOOKUP(B3711,'HOGARES-BASELINE'!$B:$I,8,FALSE)</f>
        <v>00031078</v>
      </c>
      <c r="F3711" s="6" t="str">
        <f t="shared" si="124"/>
        <v>0003107801</v>
      </c>
    </row>
    <row r="3712" spans="1:6" x14ac:dyDescent="0.3">
      <c r="A3712" s="6" t="s">
        <v>3712</v>
      </c>
      <c r="B3712">
        <v>72428031</v>
      </c>
      <c r="C3712" s="3">
        <v>3</v>
      </c>
      <c r="D3712" s="5" t="str">
        <f t="shared" si="125"/>
        <v>03</v>
      </c>
      <c r="E3712" t="str">
        <f>VLOOKUP(B3712,'HOGARES-BASELINE'!$B:$I,8,FALSE)</f>
        <v>00031078</v>
      </c>
      <c r="F3712" s="6" t="str">
        <f t="shared" si="124"/>
        <v>0003107803</v>
      </c>
    </row>
    <row r="3713" spans="1:6" x14ac:dyDescent="0.3">
      <c r="A3713" s="6" t="s">
        <v>3713</v>
      </c>
      <c r="B3713">
        <v>72428031</v>
      </c>
      <c r="C3713" s="3">
        <v>2</v>
      </c>
      <c r="D3713" s="5" t="str">
        <f t="shared" si="125"/>
        <v>02</v>
      </c>
      <c r="E3713" t="str">
        <f>VLOOKUP(B3713,'HOGARES-BASELINE'!$B:$I,8,FALSE)</f>
        <v>00031078</v>
      </c>
      <c r="F3713" s="6" t="str">
        <f t="shared" si="124"/>
        <v>0003107802</v>
      </c>
    </row>
    <row r="3714" spans="1:6" x14ac:dyDescent="0.3">
      <c r="A3714" s="6" t="s">
        <v>3714</v>
      </c>
      <c r="B3714">
        <v>73153652</v>
      </c>
      <c r="C3714" s="3">
        <v>2</v>
      </c>
      <c r="D3714" s="5" t="str">
        <f t="shared" si="125"/>
        <v>02</v>
      </c>
      <c r="E3714" t="str">
        <f>VLOOKUP(B3714,'HOGARES-BASELINE'!$B:$I,8,FALSE)</f>
        <v>00031079</v>
      </c>
      <c r="F3714" s="6" t="str">
        <f t="shared" si="124"/>
        <v>0003107902</v>
      </c>
    </row>
    <row r="3715" spans="1:6" x14ac:dyDescent="0.3">
      <c r="A3715" s="6" t="s">
        <v>3715</v>
      </c>
      <c r="B3715">
        <v>73153652</v>
      </c>
      <c r="C3715" s="3">
        <v>3</v>
      </c>
      <c r="D3715" s="5" t="str">
        <f t="shared" si="125"/>
        <v>03</v>
      </c>
      <c r="E3715" t="str">
        <f>VLOOKUP(B3715,'HOGARES-BASELINE'!$B:$I,8,FALSE)</f>
        <v>00031079</v>
      </c>
      <c r="F3715" s="6" t="str">
        <f t="shared" ref="F3715:F3778" si="126">_xlfn.CONCAT(E3715,D3715)</f>
        <v>0003107903</v>
      </c>
    </row>
    <row r="3716" spans="1:6" x14ac:dyDescent="0.3">
      <c r="A3716" s="6" t="s">
        <v>3716</v>
      </c>
      <c r="B3716">
        <v>73153652</v>
      </c>
      <c r="C3716" s="3">
        <v>1</v>
      </c>
      <c r="D3716" s="5" t="str">
        <f t="shared" si="125"/>
        <v>01</v>
      </c>
      <c r="E3716" t="str">
        <f>VLOOKUP(B3716,'HOGARES-BASELINE'!$B:$I,8,FALSE)</f>
        <v>00031079</v>
      </c>
      <c r="F3716" s="6" t="str">
        <f t="shared" si="126"/>
        <v>0003107901</v>
      </c>
    </row>
    <row r="3717" spans="1:6" x14ac:dyDescent="0.3">
      <c r="A3717" s="6" t="s">
        <v>3717</v>
      </c>
      <c r="B3717">
        <v>73226383</v>
      </c>
      <c r="C3717" s="3">
        <v>2</v>
      </c>
      <c r="D3717" s="5" t="str">
        <f t="shared" si="125"/>
        <v>02</v>
      </c>
      <c r="E3717" t="str">
        <f>VLOOKUP(B3717,'HOGARES-BASELINE'!$B:$I,8,FALSE)</f>
        <v>01031080</v>
      </c>
      <c r="F3717" s="6" t="str">
        <f t="shared" si="126"/>
        <v>0103108002</v>
      </c>
    </row>
    <row r="3718" spans="1:6" x14ac:dyDescent="0.3">
      <c r="A3718" s="6" t="s">
        <v>3718</v>
      </c>
      <c r="B3718">
        <v>73226383</v>
      </c>
      <c r="C3718" s="3">
        <v>1</v>
      </c>
      <c r="D3718" s="5" t="str">
        <f t="shared" si="125"/>
        <v>01</v>
      </c>
      <c r="E3718" t="str">
        <f>VLOOKUP(B3718,'HOGARES-BASELINE'!$B:$I,8,FALSE)</f>
        <v>01031080</v>
      </c>
      <c r="F3718" s="6" t="str">
        <f t="shared" si="126"/>
        <v>0103108001</v>
      </c>
    </row>
    <row r="3719" spans="1:6" x14ac:dyDescent="0.3">
      <c r="A3719" s="6" t="s">
        <v>3719</v>
      </c>
      <c r="B3719">
        <v>7411480</v>
      </c>
      <c r="C3719" s="3">
        <v>1</v>
      </c>
      <c r="D3719" s="5" t="str">
        <f t="shared" ref="D3719:D3782" si="127">_xlfn.CONCAT(0,C3719)</f>
        <v>01</v>
      </c>
      <c r="E3719" t="str">
        <f>VLOOKUP(B3719,'HOGARES-BASELINE'!$B:$I,8,FALSE)</f>
        <v>00031081</v>
      </c>
      <c r="F3719" s="6" t="str">
        <f t="shared" si="126"/>
        <v>0003108101</v>
      </c>
    </row>
    <row r="3720" spans="1:6" x14ac:dyDescent="0.3">
      <c r="A3720" s="6" t="s">
        <v>3720</v>
      </c>
      <c r="B3720">
        <v>7411480</v>
      </c>
      <c r="C3720" s="3">
        <v>3</v>
      </c>
      <c r="D3720" s="5" t="str">
        <f t="shared" si="127"/>
        <v>03</v>
      </c>
      <c r="E3720" t="str">
        <f>VLOOKUP(B3720,'HOGARES-BASELINE'!$B:$I,8,FALSE)</f>
        <v>00031081</v>
      </c>
      <c r="F3720" s="6" t="str">
        <f t="shared" si="126"/>
        <v>0003108103</v>
      </c>
    </row>
    <row r="3721" spans="1:6" x14ac:dyDescent="0.3">
      <c r="A3721" s="6" t="s">
        <v>3721</v>
      </c>
      <c r="B3721">
        <v>7411480</v>
      </c>
      <c r="C3721" s="3">
        <v>2</v>
      </c>
      <c r="D3721" s="5" t="str">
        <f t="shared" si="127"/>
        <v>02</v>
      </c>
      <c r="E3721" t="str">
        <f>VLOOKUP(B3721,'HOGARES-BASELINE'!$B:$I,8,FALSE)</f>
        <v>00031081</v>
      </c>
      <c r="F3721" s="6" t="str">
        <f t="shared" si="126"/>
        <v>0003108102</v>
      </c>
    </row>
    <row r="3722" spans="1:6" x14ac:dyDescent="0.3">
      <c r="A3722" s="6" t="s">
        <v>3722</v>
      </c>
      <c r="B3722">
        <v>7420358</v>
      </c>
      <c r="C3722" s="3">
        <v>2</v>
      </c>
      <c r="D3722" s="5" t="str">
        <f t="shared" si="127"/>
        <v>02</v>
      </c>
      <c r="E3722" t="str">
        <f>VLOOKUP(B3722,'HOGARES-BASELINE'!$B:$I,8,FALSE)</f>
        <v>00031082</v>
      </c>
      <c r="F3722" s="6" t="str">
        <f t="shared" si="126"/>
        <v>0003108202</v>
      </c>
    </row>
    <row r="3723" spans="1:6" x14ac:dyDescent="0.3">
      <c r="A3723" s="6" t="s">
        <v>3723</v>
      </c>
      <c r="B3723">
        <v>7420358</v>
      </c>
      <c r="C3723" s="3">
        <v>1</v>
      </c>
      <c r="D3723" s="5" t="str">
        <f t="shared" si="127"/>
        <v>01</v>
      </c>
      <c r="E3723" t="str">
        <f>VLOOKUP(B3723,'HOGARES-BASELINE'!$B:$I,8,FALSE)</f>
        <v>00031082</v>
      </c>
      <c r="F3723" s="6" t="str">
        <f t="shared" si="126"/>
        <v>0003108201</v>
      </c>
    </row>
    <row r="3724" spans="1:6" x14ac:dyDescent="0.3">
      <c r="A3724" s="6" t="s">
        <v>3724</v>
      </c>
      <c r="B3724">
        <v>7420358</v>
      </c>
      <c r="C3724" s="3">
        <v>3</v>
      </c>
      <c r="D3724" s="5" t="str">
        <f t="shared" si="127"/>
        <v>03</v>
      </c>
      <c r="E3724" t="str">
        <f>VLOOKUP(B3724,'HOGARES-BASELINE'!$B:$I,8,FALSE)</f>
        <v>00031082</v>
      </c>
      <c r="F3724" s="6" t="str">
        <f t="shared" si="126"/>
        <v>0003108203</v>
      </c>
    </row>
    <row r="3725" spans="1:6" x14ac:dyDescent="0.3">
      <c r="A3725" s="6" t="s">
        <v>3725</v>
      </c>
      <c r="B3725">
        <v>7420358</v>
      </c>
      <c r="C3725" s="3">
        <v>4</v>
      </c>
      <c r="D3725" s="5" t="str">
        <f t="shared" si="127"/>
        <v>04</v>
      </c>
      <c r="E3725" t="str">
        <f>VLOOKUP(B3725,'HOGARES-BASELINE'!$B:$I,8,FALSE)</f>
        <v>00031082</v>
      </c>
      <c r="F3725" s="6" t="str">
        <f t="shared" si="126"/>
        <v>0003108204</v>
      </c>
    </row>
    <row r="3726" spans="1:6" x14ac:dyDescent="0.3">
      <c r="A3726" s="6" t="s">
        <v>3726</v>
      </c>
      <c r="B3726">
        <v>7435553</v>
      </c>
      <c r="C3726" s="3">
        <v>2</v>
      </c>
      <c r="D3726" s="5" t="str">
        <f t="shared" si="127"/>
        <v>02</v>
      </c>
      <c r="E3726" t="str">
        <f>VLOOKUP(B3726,'HOGARES-BASELINE'!$B:$I,8,FALSE)</f>
        <v>00031083</v>
      </c>
      <c r="F3726" s="6" t="str">
        <f t="shared" si="126"/>
        <v>0003108302</v>
      </c>
    </row>
    <row r="3727" spans="1:6" x14ac:dyDescent="0.3">
      <c r="A3727" s="6" t="s">
        <v>3727</v>
      </c>
      <c r="B3727">
        <v>7435553</v>
      </c>
      <c r="C3727" s="3">
        <v>3</v>
      </c>
      <c r="D3727" s="5" t="str">
        <f t="shared" si="127"/>
        <v>03</v>
      </c>
      <c r="E3727" t="str">
        <f>VLOOKUP(B3727,'HOGARES-BASELINE'!$B:$I,8,FALSE)</f>
        <v>00031083</v>
      </c>
      <c r="F3727" s="6" t="str">
        <f t="shared" si="126"/>
        <v>0003108303</v>
      </c>
    </row>
    <row r="3728" spans="1:6" x14ac:dyDescent="0.3">
      <c r="A3728" s="6" t="s">
        <v>3728</v>
      </c>
      <c r="B3728">
        <v>7435553</v>
      </c>
      <c r="C3728" s="3">
        <v>4</v>
      </c>
      <c r="D3728" s="5" t="str">
        <f t="shared" si="127"/>
        <v>04</v>
      </c>
      <c r="E3728" t="str">
        <f>VLOOKUP(B3728,'HOGARES-BASELINE'!$B:$I,8,FALSE)</f>
        <v>00031083</v>
      </c>
      <c r="F3728" s="6" t="str">
        <f t="shared" si="126"/>
        <v>0003108304</v>
      </c>
    </row>
    <row r="3729" spans="1:6" x14ac:dyDescent="0.3">
      <c r="A3729" s="6" t="s">
        <v>3729</v>
      </c>
      <c r="B3729">
        <v>7435553</v>
      </c>
      <c r="C3729" s="3">
        <v>1</v>
      </c>
      <c r="D3729" s="5" t="str">
        <f t="shared" si="127"/>
        <v>01</v>
      </c>
      <c r="E3729" t="str">
        <f>VLOOKUP(B3729,'HOGARES-BASELINE'!$B:$I,8,FALSE)</f>
        <v>00031083</v>
      </c>
      <c r="F3729" s="6" t="str">
        <f t="shared" si="126"/>
        <v>0003108301</v>
      </c>
    </row>
    <row r="3730" spans="1:6" x14ac:dyDescent="0.3">
      <c r="A3730" s="6" t="s">
        <v>3730</v>
      </c>
      <c r="B3730">
        <v>7435553</v>
      </c>
      <c r="C3730" s="3">
        <v>6</v>
      </c>
      <c r="D3730" s="5" t="str">
        <f t="shared" si="127"/>
        <v>06</v>
      </c>
      <c r="E3730" t="str">
        <f>VLOOKUP(B3730,'HOGARES-BASELINE'!$B:$I,8,FALSE)</f>
        <v>00031083</v>
      </c>
      <c r="F3730" s="6" t="str">
        <f t="shared" si="126"/>
        <v>0003108306</v>
      </c>
    </row>
    <row r="3731" spans="1:6" x14ac:dyDescent="0.3">
      <c r="A3731" s="6" t="s">
        <v>3731</v>
      </c>
      <c r="B3731">
        <v>7435553</v>
      </c>
      <c r="C3731" s="3">
        <v>5</v>
      </c>
      <c r="D3731" s="5" t="str">
        <f t="shared" si="127"/>
        <v>05</v>
      </c>
      <c r="E3731" t="str">
        <f>VLOOKUP(B3731,'HOGARES-BASELINE'!$B:$I,8,FALSE)</f>
        <v>00031083</v>
      </c>
      <c r="F3731" s="6" t="str">
        <f t="shared" si="126"/>
        <v>0003108305</v>
      </c>
    </row>
    <row r="3732" spans="1:6" x14ac:dyDescent="0.3">
      <c r="A3732" s="6" t="s">
        <v>3732</v>
      </c>
      <c r="B3732">
        <v>7438297</v>
      </c>
      <c r="C3732" s="3">
        <v>3</v>
      </c>
      <c r="D3732" s="5" t="str">
        <f t="shared" si="127"/>
        <v>03</v>
      </c>
      <c r="E3732" t="str">
        <f>VLOOKUP(B3732,'HOGARES-BASELINE'!$B:$I,8,FALSE)</f>
        <v>00031084</v>
      </c>
      <c r="F3732" s="6" t="str">
        <f t="shared" si="126"/>
        <v>0003108403</v>
      </c>
    </row>
    <row r="3733" spans="1:6" x14ac:dyDescent="0.3">
      <c r="A3733" s="6" t="s">
        <v>3733</v>
      </c>
      <c r="B3733">
        <v>7438297</v>
      </c>
      <c r="C3733" s="3">
        <v>2</v>
      </c>
      <c r="D3733" s="5" t="str">
        <f t="shared" si="127"/>
        <v>02</v>
      </c>
      <c r="E3733" t="str">
        <f>VLOOKUP(B3733,'HOGARES-BASELINE'!$B:$I,8,FALSE)</f>
        <v>00031084</v>
      </c>
      <c r="F3733" s="6" t="str">
        <f t="shared" si="126"/>
        <v>0003108402</v>
      </c>
    </row>
    <row r="3734" spans="1:6" x14ac:dyDescent="0.3">
      <c r="A3734" s="6" t="s">
        <v>3734</v>
      </c>
      <c r="B3734">
        <v>7438297</v>
      </c>
      <c r="C3734" s="3">
        <v>1</v>
      </c>
      <c r="D3734" s="5" t="str">
        <f t="shared" si="127"/>
        <v>01</v>
      </c>
      <c r="E3734" t="str">
        <f>VLOOKUP(B3734,'HOGARES-BASELINE'!$B:$I,8,FALSE)</f>
        <v>00031084</v>
      </c>
      <c r="F3734" s="6" t="str">
        <f t="shared" si="126"/>
        <v>0003108401</v>
      </c>
    </row>
    <row r="3735" spans="1:6" x14ac:dyDescent="0.3">
      <c r="A3735" s="6" t="s">
        <v>3735</v>
      </c>
      <c r="B3735">
        <v>7444585</v>
      </c>
      <c r="C3735" s="3">
        <v>1</v>
      </c>
      <c r="D3735" s="5" t="str">
        <f t="shared" si="127"/>
        <v>01</v>
      </c>
      <c r="E3735" t="str">
        <f>VLOOKUP(B3735,'HOGARES-BASELINE'!$B:$I,8,FALSE)</f>
        <v>01031085</v>
      </c>
      <c r="F3735" s="6" t="str">
        <f t="shared" si="126"/>
        <v>0103108501</v>
      </c>
    </row>
    <row r="3736" spans="1:6" x14ac:dyDescent="0.3">
      <c r="A3736" s="6" t="s">
        <v>3736</v>
      </c>
      <c r="B3736">
        <v>7444585</v>
      </c>
      <c r="C3736" s="3">
        <v>2</v>
      </c>
      <c r="D3736" s="5" t="str">
        <f t="shared" si="127"/>
        <v>02</v>
      </c>
      <c r="E3736" t="str">
        <f>VLOOKUP(B3736,'HOGARES-BASELINE'!$B:$I,8,FALSE)</f>
        <v>01031085</v>
      </c>
      <c r="F3736" s="6" t="str">
        <f t="shared" si="126"/>
        <v>0103108502</v>
      </c>
    </row>
    <row r="3737" spans="1:6" x14ac:dyDescent="0.3">
      <c r="A3737" s="6" t="s">
        <v>3737</v>
      </c>
      <c r="B3737">
        <v>7447628</v>
      </c>
      <c r="C3737" s="3">
        <v>1</v>
      </c>
      <c r="D3737" s="5" t="str">
        <f t="shared" si="127"/>
        <v>01</v>
      </c>
      <c r="E3737" t="str">
        <f>VLOOKUP(B3737,'HOGARES-BASELINE'!$B:$I,8,FALSE)</f>
        <v>00031086</v>
      </c>
      <c r="F3737" s="6" t="str">
        <f t="shared" si="126"/>
        <v>0003108601</v>
      </c>
    </row>
    <row r="3738" spans="1:6" x14ac:dyDescent="0.3">
      <c r="A3738" s="6" t="s">
        <v>3738</v>
      </c>
      <c r="B3738">
        <v>7454371</v>
      </c>
      <c r="C3738" s="3">
        <v>1</v>
      </c>
      <c r="D3738" s="5" t="str">
        <f t="shared" si="127"/>
        <v>01</v>
      </c>
      <c r="E3738" t="str">
        <f>VLOOKUP(B3738,'HOGARES-BASELINE'!$B:$I,8,FALSE)</f>
        <v>01031087</v>
      </c>
      <c r="F3738" s="6" t="str">
        <f t="shared" si="126"/>
        <v>0103108701</v>
      </c>
    </row>
    <row r="3739" spans="1:6" x14ac:dyDescent="0.3">
      <c r="A3739" s="6" t="s">
        <v>3739</v>
      </c>
      <c r="B3739">
        <v>7459447</v>
      </c>
      <c r="C3739" s="3">
        <v>1</v>
      </c>
      <c r="D3739" s="5" t="str">
        <f t="shared" si="127"/>
        <v>01</v>
      </c>
      <c r="E3739" t="str">
        <f>VLOOKUP(B3739,'HOGARES-BASELINE'!$B:$I,8,FALSE)</f>
        <v>00031088</v>
      </c>
      <c r="F3739" s="6" t="str">
        <f t="shared" si="126"/>
        <v>0003108801</v>
      </c>
    </row>
    <row r="3740" spans="1:6" x14ac:dyDescent="0.3">
      <c r="A3740" s="6" t="s">
        <v>3740</v>
      </c>
      <c r="B3740">
        <v>7459447</v>
      </c>
      <c r="C3740" s="3">
        <v>4</v>
      </c>
      <c r="D3740" s="5" t="str">
        <f t="shared" si="127"/>
        <v>04</v>
      </c>
      <c r="E3740" t="str">
        <f>VLOOKUP(B3740,'HOGARES-BASELINE'!$B:$I,8,FALSE)</f>
        <v>00031088</v>
      </c>
      <c r="F3740" s="6" t="str">
        <f t="shared" si="126"/>
        <v>0003108804</v>
      </c>
    </row>
    <row r="3741" spans="1:6" x14ac:dyDescent="0.3">
      <c r="A3741" s="6" t="s">
        <v>3741</v>
      </c>
      <c r="B3741">
        <v>7459447</v>
      </c>
      <c r="C3741" s="3">
        <v>2</v>
      </c>
      <c r="D3741" s="5" t="str">
        <f t="shared" si="127"/>
        <v>02</v>
      </c>
      <c r="E3741" t="str">
        <f>VLOOKUP(B3741,'HOGARES-BASELINE'!$B:$I,8,FALSE)</f>
        <v>00031088</v>
      </c>
      <c r="F3741" s="6" t="str">
        <f t="shared" si="126"/>
        <v>0003108802</v>
      </c>
    </row>
    <row r="3742" spans="1:6" x14ac:dyDescent="0.3">
      <c r="A3742" s="6" t="s">
        <v>3742</v>
      </c>
      <c r="B3742">
        <v>7459447</v>
      </c>
      <c r="C3742" s="3">
        <v>3</v>
      </c>
      <c r="D3742" s="5" t="str">
        <f t="shared" si="127"/>
        <v>03</v>
      </c>
      <c r="E3742" t="str">
        <f>VLOOKUP(B3742,'HOGARES-BASELINE'!$B:$I,8,FALSE)</f>
        <v>00031088</v>
      </c>
      <c r="F3742" s="6" t="str">
        <f t="shared" si="126"/>
        <v>0003108803</v>
      </c>
    </row>
    <row r="3743" spans="1:6" x14ac:dyDescent="0.3">
      <c r="A3743" s="6" t="s">
        <v>3743</v>
      </c>
      <c r="B3743">
        <v>7459447</v>
      </c>
      <c r="C3743" s="3">
        <v>5</v>
      </c>
      <c r="D3743" s="5" t="str">
        <f t="shared" si="127"/>
        <v>05</v>
      </c>
      <c r="E3743" t="str">
        <f>VLOOKUP(B3743,'HOGARES-BASELINE'!$B:$I,8,FALSE)</f>
        <v>00031088</v>
      </c>
      <c r="F3743" s="6" t="str">
        <f t="shared" si="126"/>
        <v>0003108805</v>
      </c>
    </row>
    <row r="3744" spans="1:6" x14ac:dyDescent="0.3">
      <c r="A3744" s="6" t="s">
        <v>3744</v>
      </c>
      <c r="B3744">
        <v>7460942</v>
      </c>
      <c r="C3744" s="3">
        <v>4</v>
      </c>
      <c r="D3744" s="5" t="str">
        <f t="shared" si="127"/>
        <v>04</v>
      </c>
      <c r="E3744" t="str">
        <f>VLOOKUP(B3744,'HOGARES-BASELINE'!$B:$I,8,FALSE)</f>
        <v>00031089</v>
      </c>
      <c r="F3744" s="6" t="str">
        <f t="shared" si="126"/>
        <v>0003108904</v>
      </c>
    </row>
    <row r="3745" spans="1:6" x14ac:dyDescent="0.3">
      <c r="A3745" s="6" t="s">
        <v>3745</v>
      </c>
      <c r="B3745">
        <v>7460942</v>
      </c>
      <c r="C3745" s="3">
        <v>1</v>
      </c>
      <c r="D3745" s="5" t="str">
        <f t="shared" si="127"/>
        <v>01</v>
      </c>
      <c r="E3745" t="str">
        <f>VLOOKUP(B3745,'HOGARES-BASELINE'!$B:$I,8,FALSE)</f>
        <v>00031089</v>
      </c>
      <c r="F3745" s="6" t="str">
        <f t="shared" si="126"/>
        <v>0003108901</v>
      </c>
    </row>
    <row r="3746" spans="1:6" x14ac:dyDescent="0.3">
      <c r="A3746" s="6" t="s">
        <v>3746</v>
      </c>
      <c r="B3746">
        <v>7460942</v>
      </c>
      <c r="C3746" s="3">
        <v>3</v>
      </c>
      <c r="D3746" s="5" t="str">
        <f t="shared" si="127"/>
        <v>03</v>
      </c>
      <c r="E3746" t="str">
        <f>VLOOKUP(B3746,'HOGARES-BASELINE'!$B:$I,8,FALSE)</f>
        <v>00031089</v>
      </c>
      <c r="F3746" s="6" t="str">
        <f t="shared" si="126"/>
        <v>0003108903</v>
      </c>
    </row>
    <row r="3747" spans="1:6" x14ac:dyDescent="0.3">
      <c r="A3747" s="6" t="s">
        <v>3747</v>
      </c>
      <c r="B3747">
        <v>7460942</v>
      </c>
      <c r="C3747" s="3">
        <v>2</v>
      </c>
      <c r="D3747" s="5" t="str">
        <f t="shared" si="127"/>
        <v>02</v>
      </c>
      <c r="E3747" t="str">
        <f>VLOOKUP(B3747,'HOGARES-BASELINE'!$B:$I,8,FALSE)</f>
        <v>00031089</v>
      </c>
      <c r="F3747" s="6" t="str">
        <f t="shared" si="126"/>
        <v>0003108902</v>
      </c>
    </row>
    <row r="3748" spans="1:6" x14ac:dyDescent="0.3">
      <c r="A3748" s="6" t="s">
        <v>3748</v>
      </c>
      <c r="B3748">
        <v>7460942</v>
      </c>
      <c r="C3748" s="3">
        <v>5</v>
      </c>
      <c r="D3748" s="5" t="str">
        <f t="shared" si="127"/>
        <v>05</v>
      </c>
      <c r="E3748" t="str">
        <f>VLOOKUP(B3748,'HOGARES-BASELINE'!$B:$I,8,FALSE)</f>
        <v>00031089</v>
      </c>
      <c r="F3748" s="6" t="str">
        <f t="shared" si="126"/>
        <v>0003108905</v>
      </c>
    </row>
    <row r="3749" spans="1:6" x14ac:dyDescent="0.3">
      <c r="A3749" s="6" t="s">
        <v>3749</v>
      </c>
      <c r="B3749">
        <v>7471998</v>
      </c>
      <c r="C3749" s="3">
        <v>5</v>
      </c>
      <c r="D3749" s="5" t="str">
        <f t="shared" si="127"/>
        <v>05</v>
      </c>
      <c r="E3749" t="str">
        <f>VLOOKUP(B3749,'HOGARES-BASELINE'!$B:$I,8,FALSE)</f>
        <v>00031090</v>
      </c>
      <c r="F3749" s="6" t="str">
        <f t="shared" si="126"/>
        <v>0003109005</v>
      </c>
    </row>
    <row r="3750" spans="1:6" x14ac:dyDescent="0.3">
      <c r="A3750" s="6" t="s">
        <v>3750</v>
      </c>
      <c r="B3750">
        <v>7471998</v>
      </c>
      <c r="C3750" s="3">
        <v>4</v>
      </c>
      <c r="D3750" s="5" t="str">
        <f t="shared" si="127"/>
        <v>04</v>
      </c>
      <c r="E3750" t="str">
        <f>VLOOKUP(B3750,'HOGARES-BASELINE'!$B:$I,8,FALSE)</f>
        <v>00031090</v>
      </c>
      <c r="F3750" s="6" t="str">
        <f t="shared" si="126"/>
        <v>0003109004</v>
      </c>
    </row>
    <row r="3751" spans="1:6" x14ac:dyDescent="0.3">
      <c r="A3751" s="6" t="s">
        <v>3751</v>
      </c>
      <c r="B3751">
        <v>7471998</v>
      </c>
      <c r="C3751" s="3">
        <v>1</v>
      </c>
      <c r="D3751" s="5" t="str">
        <f t="shared" si="127"/>
        <v>01</v>
      </c>
      <c r="E3751" t="str">
        <f>VLOOKUP(B3751,'HOGARES-BASELINE'!$B:$I,8,FALSE)</f>
        <v>00031090</v>
      </c>
      <c r="F3751" s="6" t="str">
        <f t="shared" si="126"/>
        <v>0003109001</v>
      </c>
    </row>
    <row r="3752" spans="1:6" x14ac:dyDescent="0.3">
      <c r="A3752" s="6" t="s">
        <v>3752</v>
      </c>
      <c r="B3752">
        <v>7471998</v>
      </c>
      <c r="C3752" s="3">
        <v>2</v>
      </c>
      <c r="D3752" s="5" t="str">
        <f t="shared" si="127"/>
        <v>02</v>
      </c>
      <c r="E3752" t="str">
        <f>VLOOKUP(B3752,'HOGARES-BASELINE'!$B:$I,8,FALSE)</f>
        <v>00031090</v>
      </c>
      <c r="F3752" s="6" t="str">
        <f t="shared" si="126"/>
        <v>0003109002</v>
      </c>
    </row>
    <row r="3753" spans="1:6" x14ac:dyDescent="0.3">
      <c r="A3753" s="6" t="s">
        <v>3753</v>
      </c>
      <c r="B3753">
        <v>7471998</v>
      </c>
      <c r="C3753" s="3">
        <v>3</v>
      </c>
      <c r="D3753" s="5" t="str">
        <f t="shared" si="127"/>
        <v>03</v>
      </c>
      <c r="E3753" t="str">
        <f>VLOOKUP(B3753,'HOGARES-BASELINE'!$B:$I,8,FALSE)</f>
        <v>00031090</v>
      </c>
      <c r="F3753" s="6" t="str">
        <f t="shared" si="126"/>
        <v>0003109003</v>
      </c>
    </row>
    <row r="3754" spans="1:6" x14ac:dyDescent="0.3">
      <c r="A3754" s="6" t="s">
        <v>3754</v>
      </c>
      <c r="B3754">
        <v>7473926</v>
      </c>
      <c r="C3754" s="3">
        <v>2</v>
      </c>
      <c r="D3754" s="5" t="str">
        <f t="shared" si="127"/>
        <v>02</v>
      </c>
      <c r="E3754" t="str">
        <f>VLOOKUP(B3754,'HOGARES-BASELINE'!$B:$I,8,FALSE)</f>
        <v>00031091</v>
      </c>
      <c r="F3754" s="6" t="str">
        <f t="shared" si="126"/>
        <v>0003109102</v>
      </c>
    </row>
    <row r="3755" spans="1:6" x14ac:dyDescent="0.3">
      <c r="A3755" s="6" t="s">
        <v>3755</v>
      </c>
      <c r="B3755">
        <v>7473926</v>
      </c>
      <c r="C3755" s="3">
        <v>1</v>
      </c>
      <c r="D3755" s="5" t="str">
        <f t="shared" si="127"/>
        <v>01</v>
      </c>
      <c r="E3755" t="str">
        <f>VLOOKUP(B3755,'HOGARES-BASELINE'!$B:$I,8,FALSE)</f>
        <v>00031091</v>
      </c>
      <c r="F3755" s="6" t="str">
        <f t="shared" si="126"/>
        <v>0003109101</v>
      </c>
    </row>
    <row r="3756" spans="1:6" x14ac:dyDescent="0.3">
      <c r="A3756" s="6" t="s">
        <v>3756</v>
      </c>
      <c r="B3756">
        <v>7473926</v>
      </c>
      <c r="C3756" s="3">
        <v>5</v>
      </c>
      <c r="D3756" s="5" t="str">
        <f t="shared" si="127"/>
        <v>05</v>
      </c>
      <c r="E3756" t="str">
        <f>VLOOKUP(B3756,'HOGARES-BASELINE'!$B:$I,8,FALSE)</f>
        <v>00031091</v>
      </c>
      <c r="F3756" s="6" t="str">
        <f t="shared" si="126"/>
        <v>0003109105</v>
      </c>
    </row>
    <row r="3757" spans="1:6" x14ac:dyDescent="0.3">
      <c r="A3757" s="6" t="s">
        <v>3757</v>
      </c>
      <c r="B3757">
        <v>7473926</v>
      </c>
      <c r="C3757" s="3">
        <v>6</v>
      </c>
      <c r="D3757" s="5" t="str">
        <f t="shared" si="127"/>
        <v>06</v>
      </c>
      <c r="E3757" t="str">
        <f>VLOOKUP(B3757,'HOGARES-BASELINE'!$B:$I,8,FALSE)</f>
        <v>00031091</v>
      </c>
      <c r="F3757" s="6" t="str">
        <f t="shared" si="126"/>
        <v>0003109106</v>
      </c>
    </row>
    <row r="3758" spans="1:6" x14ac:dyDescent="0.3">
      <c r="A3758" s="6" t="s">
        <v>3758</v>
      </c>
      <c r="B3758">
        <v>7473926</v>
      </c>
      <c r="C3758" s="3">
        <v>4</v>
      </c>
      <c r="D3758" s="5" t="str">
        <f t="shared" si="127"/>
        <v>04</v>
      </c>
      <c r="E3758" t="str">
        <f>VLOOKUP(B3758,'HOGARES-BASELINE'!$B:$I,8,FALSE)</f>
        <v>00031091</v>
      </c>
      <c r="F3758" s="6" t="str">
        <f t="shared" si="126"/>
        <v>0003109104</v>
      </c>
    </row>
    <row r="3759" spans="1:6" x14ac:dyDescent="0.3">
      <c r="A3759" s="6" t="s">
        <v>3759</v>
      </c>
      <c r="B3759">
        <v>7473926</v>
      </c>
      <c r="C3759" s="3">
        <v>3</v>
      </c>
      <c r="D3759" s="5" t="str">
        <f t="shared" si="127"/>
        <v>03</v>
      </c>
      <c r="E3759" t="str">
        <f>VLOOKUP(B3759,'HOGARES-BASELINE'!$B:$I,8,FALSE)</f>
        <v>00031091</v>
      </c>
      <c r="F3759" s="6" t="str">
        <f t="shared" si="126"/>
        <v>0003109103</v>
      </c>
    </row>
    <row r="3760" spans="1:6" x14ac:dyDescent="0.3">
      <c r="A3760" s="6" t="s">
        <v>3760</v>
      </c>
      <c r="B3760">
        <v>7474428</v>
      </c>
      <c r="C3760" s="3">
        <v>2</v>
      </c>
      <c r="D3760" s="5" t="str">
        <f t="shared" si="127"/>
        <v>02</v>
      </c>
      <c r="E3760" t="str">
        <f>VLOOKUP(B3760,'HOGARES-BASELINE'!$B:$I,8,FALSE)</f>
        <v>01031092</v>
      </c>
      <c r="F3760" s="6" t="str">
        <f t="shared" si="126"/>
        <v>0103109202</v>
      </c>
    </row>
    <row r="3761" spans="1:6" x14ac:dyDescent="0.3">
      <c r="A3761" s="6" t="s">
        <v>3761</v>
      </c>
      <c r="B3761">
        <v>7474428</v>
      </c>
      <c r="C3761" s="3">
        <v>1</v>
      </c>
      <c r="D3761" s="5" t="str">
        <f t="shared" si="127"/>
        <v>01</v>
      </c>
      <c r="E3761" t="str">
        <f>VLOOKUP(B3761,'HOGARES-BASELINE'!$B:$I,8,FALSE)</f>
        <v>01031092</v>
      </c>
      <c r="F3761" s="6" t="str">
        <f t="shared" si="126"/>
        <v>0103109201</v>
      </c>
    </row>
    <row r="3762" spans="1:6" x14ac:dyDescent="0.3">
      <c r="A3762" s="6" t="s">
        <v>3762</v>
      </c>
      <c r="B3762">
        <v>7476537</v>
      </c>
      <c r="C3762" s="3">
        <v>1</v>
      </c>
      <c r="D3762" s="5" t="str">
        <f t="shared" si="127"/>
        <v>01</v>
      </c>
      <c r="E3762" t="str">
        <f>VLOOKUP(B3762,'HOGARES-BASELINE'!$B:$I,8,FALSE)</f>
        <v>01031093</v>
      </c>
      <c r="F3762" s="6" t="str">
        <f t="shared" si="126"/>
        <v>0103109301</v>
      </c>
    </row>
    <row r="3763" spans="1:6" x14ac:dyDescent="0.3">
      <c r="A3763" s="6" t="s">
        <v>3763</v>
      </c>
      <c r="B3763">
        <v>7476537</v>
      </c>
      <c r="C3763" s="3">
        <v>2</v>
      </c>
      <c r="D3763" s="5" t="str">
        <f t="shared" si="127"/>
        <v>02</v>
      </c>
      <c r="E3763" t="str">
        <f>VLOOKUP(B3763,'HOGARES-BASELINE'!$B:$I,8,FALSE)</f>
        <v>01031093</v>
      </c>
      <c r="F3763" s="6" t="str">
        <f t="shared" si="126"/>
        <v>0103109302</v>
      </c>
    </row>
    <row r="3764" spans="1:6" x14ac:dyDescent="0.3">
      <c r="A3764" s="6" t="s">
        <v>3764</v>
      </c>
      <c r="B3764">
        <v>7476784</v>
      </c>
      <c r="C3764" s="3">
        <v>1</v>
      </c>
      <c r="D3764" s="5" t="str">
        <f t="shared" si="127"/>
        <v>01</v>
      </c>
      <c r="E3764" t="str">
        <f>VLOOKUP(B3764,'HOGARES-BASELINE'!$B:$I,8,FALSE)</f>
        <v>01031094</v>
      </c>
      <c r="F3764" s="6" t="str">
        <f t="shared" si="126"/>
        <v>0103109401</v>
      </c>
    </row>
    <row r="3765" spans="1:6" x14ac:dyDescent="0.3">
      <c r="A3765" s="6" t="s">
        <v>3765</v>
      </c>
      <c r="B3765">
        <v>76047511</v>
      </c>
      <c r="C3765" s="3">
        <v>4</v>
      </c>
      <c r="D3765" s="5" t="str">
        <f t="shared" si="127"/>
        <v>04</v>
      </c>
      <c r="E3765" t="str">
        <f>VLOOKUP(B3765,'HOGARES-BASELINE'!$B:$I,8,FALSE)</f>
        <v>01021095</v>
      </c>
      <c r="F3765" s="6" t="str">
        <f t="shared" si="126"/>
        <v>0102109504</v>
      </c>
    </row>
    <row r="3766" spans="1:6" x14ac:dyDescent="0.3">
      <c r="A3766" s="6" t="s">
        <v>3766</v>
      </c>
      <c r="B3766">
        <v>76047511</v>
      </c>
      <c r="C3766" s="3">
        <v>5</v>
      </c>
      <c r="D3766" s="5" t="str">
        <f t="shared" si="127"/>
        <v>05</v>
      </c>
      <c r="E3766" t="str">
        <f>VLOOKUP(B3766,'HOGARES-BASELINE'!$B:$I,8,FALSE)</f>
        <v>01021095</v>
      </c>
      <c r="F3766" s="6" t="str">
        <f t="shared" si="126"/>
        <v>0102109505</v>
      </c>
    </row>
    <row r="3767" spans="1:6" x14ac:dyDescent="0.3">
      <c r="A3767" s="6" t="s">
        <v>3767</v>
      </c>
      <c r="B3767">
        <v>76047511</v>
      </c>
      <c r="C3767" s="3">
        <v>1</v>
      </c>
      <c r="D3767" s="5" t="str">
        <f t="shared" si="127"/>
        <v>01</v>
      </c>
      <c r="E3767" t="str">
        <f>VLOOKUP(B3767,'HOGARES-BASELINE'!$B:$I,8,FALSE)</f>
        <v>01021095</v>
      </c>
      <c r="F3767" s="6" t="str">
        <f t="shared" si="126"/>
        <v>0102109501</v>
      </c>
    </row>
    <row r="3768" spans="1:6" x14ac:dyDescent="0.3">
      <c r="A3768" s="6" t="s">
        <v>3768</v>
      </c>
      <c r="B3768">
        <v>76047511</v>
      </c>
      <c r="C3768" s="3">
        <v>2</v>
      </c>
      <c r="D3768" s="5" t="str">
        <f t="shared" si="127"/>
        <v>02</v>
      </c>
      <c r="E3768" t="str">
        <f>VLOOKUP(B3768,'HOGARES-BASELINE'!$B:$I,8,FALSE)</f>
        <v>01021095</v>
      </c>
      <c r="F3768" s="6" t="str">
        <f t="shared" si="126"/>
        <v>0102109502</v>
      </c>
    </row>
    <row r="3769" spans="1:6" x14ac:dyDescent="0.3">
      <c r="A3769" s="6" t="s">
        <v>3769</v>
      </c>
      <c r="B3769">
        <v>76047511</v>
      </c>
      <c r="C3769" s="3">
        <v>3</v>
      </c>
      <c r="D3769" s="5" t="str">
        <f t="shared" si="127"/>
        <v>03</v>
      </c>
      <c r="E3769" t="str">
        <f>VLOOKUP(B3769,'HOGARES-BASELINE'!$B:$I,8,FALSE)</f>
        <v>01021095</v>
      </c>
      <c r="F3769" s="6" t="str">
        <f t="shared" si="126"/>
        <v>0102109503</v>
      </c>
    </row>
    <row r="3770" spans="1:6" x14ac:dyDescent="0.3">
      <c r="A3770" s="6" t="s">
        <v>3770</v>
      </c>
      <c r="B3770">
        <v>761321</v>
      </c>
      <c r="C3770" s="3">
        <v>1</v>
      </c>
      <c r="D3770" s="5" t="str">
        <f t="shared" si="127"/>
        <v>01</v>
      </c>
      <c r="E3770" t="str">
        <f>VLOOKUP(B3770,'HOGARES-BASELINE'!$B:$I,8,FALSE)</f>
        <v>01011096</v>
      </c>
      <c r="F3770" s="6" t="str">
        <f t="shared" si="126"/>
        <v>0101109601</v>
      </c>
    </row>
    <row r="3771" spans="1:6" x14ac:dyDescent="0.3">
      <c r="A3771" s="6" t="s">
        <v>3771</v>
      </c>
      <c r="B3771">
        <v>76268499</v>
      </c>
      <c r="C3771" s="3">
        <v>1</v>
      </c>
      <c r="D3771" s="5" t="str">
        <f t="shared" si="127"/>
        <v>01</v>
      </c>
      <c r="E3771" t="str">
        <f>VLOOKUP(B3771,'HOGARES-BASELINE'!$B:$I,8,FALSE)</f>
        <v>00021097</v>
      </c>
      <c r="F3771" s="6" t="str">
        <f t="shared" si="126"/>
        <v>0002109701</v>
      </c>
    </row>
    <row r="3772" spans="1:6" x14ac:dyDescent="0.3">
      <c r="A3772" s="6" t="s">
        <v>3772</v>
      </c>
      <c r="B3772">
        <v>76268499</v>
      </c>
      <c r="C3772" s="3">
        <v>5</v>
      </c>
      <c r="D3772" s="5" t="str">
        <f t="shared" si="127"/>
        <v>05</v>
      </c>
      <c r="E3772" t="str">
        <f>VLOOKUP(B3772,'HOGARES-BASELINE'!$B:$I,8,FALSE)</f>
        <v>00021097</v>
      </c>
      <c r="F3772" s="6" t="str">
        <f t="shared" si="126"/>
        <v>0002109705</v>
      </c>
    </row>
    <row r="3773" spans="1:6" x14ac:dyDescent="0.3">
      <c r="A3773" s="6" t="s">
        <v>3773</v>
      </c>
      <c r="B3773">
        <v>76268499</v>
      </c>
      <c r="C3773" s="3">
        <v>2</v>
      </c>
      <c r="D3773" s="5" t="str">
        <f t="shared" si="127"/>
        <v>02</v>
      </c>
      <c r="E3773" t="str">
        <f>VLOOKUP(B3773,'HOGARES-BASELINE'!$B:$I,8,FALSE)</f>
        <v>00021097</v>
      </c>
      <c r="F3773" s="6" t="str">
        <f t="shared" si="126"/>
        <v>0002109702</v>
      </c>
    </row>
    <row r="3774" spans="1:6" x14ac:dyDescent="0.3">
      <c r="A3774" s="6" t="s">
        <v>3774</v>
      </c>
      <c r="B3774">
        <v>76268499</v>
      </c>
      <c r="C3774" s="3">
        <v>4</v>
      </c>
      <c r="D3774" s="5" t="str">
        <f t="shared" si="127"/>
        <v>04</v>
      </c>
      <c r="E3774" t="str">
        <f>VLOOKUP(B3774,'HOGARES-BASELINE'!$B:$I,8,FALSE)</f>
        <v>00021097</v>
      </c>
      <c r="F3774" s="6" t="str">
        <f t="shared" si="126"/>
        <v>0002109704</v>
      </c>
    </row>
    <row r="3775" spans="1:6" x14ac:dyDescent="0.3">
      <c r="A3775" s="6" t="s">
        <v>3775</v>
      </c>
      <c r="B3775">
        <v>76268499</v>
      </c>
      <c r="C3775" s="3">
        <v>3</v>
      </c>
      <c r="D3775" s="5" t="str">
        <f t="shared" si="127"/>
        <v>03</v>
      </c>
      <c r="E3775" t="str">
        <f>VLOOKUP(B3775,'HOGARES-BASELINE'!$B:$I,8,FALSE)</f>
        <v>00021097</v>
      </c>
      <c r="F3775" s="6" t="str">
        <f t="shared" si="126"/>
        <v>0002109703</v>
      </c>
    </row>
    <row r="3776" spans="1:6" x14ac:dyDescent="0.3">
      <c r="A3776" s="6" t="s">
        <v>3776</v>
      </c>
      <c r="B3776">
        <v>76290401</v>
      </c>
      <c r="C3776" s="3">
        <v>2</v>
      </c>
      <c r="D3776" s="5" t="str">
        <f t="shared" si="127"/>
        <v>02</v>
      </c>
      <c r="E3776" t="str">
        <f>VLOOKUP(B3776,'HOGARES-BASELINE'!$B:$I,8,FALSE)</f>
        <v>00021098</v>
      </c>
      <c r="F3776" s="6" t="str">
        <f t="shared" si="126"/>
        <v>0002109802</v>
      </c>
    </row>
    <row r="3777" spans="1:6" x14ac:dyDescent="0.3">
      <c r="A3777" s="6" t="s">
        <v>3777</v>
      </c>
      <c r="B3777">
        <v>76290401</v>
      </c>
      <c r="C3777" s="3">
        <v>1</v>
      </c>
      <c r="D3777" s="5" t="str">
        <f t="shared" si="127"/>
        <v>01</v>
      </c>
      <c r="E3777" t="str">
        <f>VLOOKUP(B3777,'HOGARES-BASELINE'!$B:$I,8,FALSE)</f>
        <v>00021098</v>
      </c>
      <c r="F3777" s="6" t="str">
        <f t="shared" si="126"/>
        <v>0002109801</v>
      </c>
    </row>
    <row r="3778" spans="1:6" x14ac:dyDescent="0.3">
      <c r="A3778" s="6" t="s">
        <v>3778</v>
      </c>
      <c r="B3778">
        <v>76324402</v>
      </c>
      <c r="C3778" s="3">
        <v>2</v>
      </c>
      <c r="D3778" s="5" t="str">
        <f t="shared" si="127"/>
        <v>02</v>
      </c>
      <c r="E3778" t="str">
        <f>VLOOKUP(B3778,'HOGARES-BASELINE'!$B:$I,8,FALSE)</f>
        <v>01021099</v>
      </c>
      <c r="F3778" s="6" t="str">
        <f t="shared" si="126"/>
        <v>0102109902</v>
      </c>
    </row>
    <row r="3779" spans="1:6" x14ac:dyDescent="0.3">
      <c r="A3779" s="6" t="s">
        <v>3779</v>
      </c>
      <c r="B3779">
        <v>76324402</v>
      </c>
      <c r="C3779" s="3">
        <v>1</v>
      </c>
      <c r="D3779" s="5" t="str">
        <f t="shared" si="127"/>
        <v>01</v>
      </c>
      <c r="E3779" t="str">
        <f>VLOOKUP(B3779,'HOGARES-BASELINE'!$B:$I,8,FALSE)</f>
        <v>01021099</v>
      </c>
      <c r="F3779" s="6" t="str">
        <f t="shared" ref="F3779:F3842" si="128">_xlfn.CONCAT(E3779,D3779)</f>
        <v>0102109901</v>
      </c>
    </row>
    <row r="3780" spans="1:6" x14ac:dyDescent="0.3">
      <c r="A3780" s="6" t="s">
        <v>3780</v>
      </c>
      <c r="B3780">
        <v>76324402</v>
      </c>
      <c r="C3780" s="3">
        <v>4</v>
      </c>
      <c r="D3780" s="5" t="str">
        <f t="shared" si="127"/>
        <v>04</v>
      </c>
      <c r="E3780" t="str">
        <f>VLOOKUP(B3780,'HOGARES-BASELINE'!$B:$I,8,FALSE)</f>
        <v>01021099</v>
      </c>
      <c r="F3780" s="6" t="str">
        <f t="shared" si="128"/>
        <v>0102109904</v>
      </c>
    </row>
    <row r="3781" spans="1:6" x14ac:dyDescent="0.3">
      <c r="A3781" s="6" t="s">
        <v>3781</v>
      </c>
      <c r="B3781">
        <v>76324402</v>
      </c>
      <c r="C3781" s="3">
        <v>3</v>
      </c>
      <c r="D3781" s="5" t="str">
        <f t="shared" si="127"/>
        <v>03</v>
      </c>
      <c r="E3781" t="str">
        <f>VLOOKUP(B3781,'HOGARES-BASELINE'!$B:$I,8,FALSE)</f>
        <v>01021099</v>
      </c>
      <c r="F3781" s="6" t="str">
        <f t="shared" si="128"/>
        <v>0102109903</v>
      </c>
    </row>
    <row r="3782" spans="1:6" x14ac:dyDescent="0.3">
      <c r="A3782" s="6" t="s">
        <v>3782</v>
      </c>
      <c r="B3782">
        <v>76336138</v>
      </c>
      <c r="C3782" s="3">
        <v>2</v>
      </c>
      <c r="D3782" s="5" t="str">
        <f t="shared" si="127"/>
        <v>02</v>
      </c>
      <c r="E3782" t="str">
        <f>VLOOKUP(B3782,'HOGARES-BASELINE'!$B:$I,8,FALSE)</f>
        <v>01021100</v>
      </c>
      <c r="F3782" s="6" t="str">
        <f t="shared" si="128"/>
        <v>0102110002</v>
      </c>
    </row>
    <row r="3783" spans="1:6" x14ac:dyDescent="0.3">
      <c r="A3783" s="6" t="s">
        <v>3783</v>
      </c>
      <c r="B3783">
        <v>76336138</v>
      </c>
      <c r="C3783" s="3">
        <v>4</v>
      </c>
      <c r="D3783" s="5" t="str">
        <f t="shared" ref="D3783:D3846" si="129">_xlfn.CONCAT(0,C3783)</f>
        <v>04</v>
      </c>
      <c r="E3783" t="str">
        <f>VLOOKUP(B3783,'HOGARES-BASELINE'!$B:$I,8,FALSE)</f>
        <v>01021100</v>
      </c>
      <c r="F3783" s="6" t="str">
        <f t="shared" si="128"/>
        <v>0102110004</v>
      </c>
    </row>
    <row r="3784" spans="1:6" x14ac:dyDescent="0.3">
      <c r="A3784" s="6" t="s">
        <v>3784</v>
      </c>
      <c r="B3784">
        <v>76336138</v>
      </c>
      <c r="C3784" s="3">
        <v>1</v>
      </c>
      <c r="D3784" s="5" t="str">
        <f t="shared" si="129"/>
        <v>01</v>
      </c>
      <c r="E3784" t="str">
        <f>VLOOKUP(B3784,'HOGARES-BASELINE'!$B:$I,8,FALSE)</f>
        <v>01021100</v>
      </c>
      <c r="F3784" s="6" t="str">
        <f t="shared" si="128"/>
        <v>0102110001</v>
      </c>
    </row>
    <row r="3785" spans="1:6" x14ac:dyDescent="0.3">
      <c r="A3785" s="6" t="s">
        <v>3785</v>
      </c>
      <c r="B3785">
        <v>76336138</v>
      </c>
      <c r="C3785" s="3">
        <v>3</v>
      </c>
      <c r="D3785" s="5" t="str">
        <f t="shared" si="129"/>
        <v>03</v>
      </c>
      <c r="E3785" t="str">
        <f>VLOOKUP(B3785,'HOGARES-BASELINE'!$B:$I,8,FALSE)</f>
        <v>01021100</v>
      </c>
      <c r="F3785" s="6" t="str">
        <f t="shared" si="128"/>
        <v>0102110003</v>
      </c>
    </row>
    <row r="3786" spans="1:6" x14ac:dyDescent="0.3">
      <c r="A3786" s="6" t="s">
        <v>3786</v>
      </c>
      <c r="B3786">
        <v>76337278</v>
      </c>
      <c r="C3786" s="3">
        <v>1</v>
      </c>
      <c r="D3786" s="5" t="str">
        <f t="shared" si="129"/>
        <v>01</v>
      </c>
      <c r="E3786" t="str">
        <f>VLOOKUP(B3786,'HOGARES-BASELINE'!$B:$I,8,FALSE)</f>
        <v>00021101</v>
      </c>
      <c r="F3786" s="6" t="str">
        <f t="shared" si="128"/>
        <v>0002110101</v>
      </c>
    </row>
    <row r="3787" spans="1:6" x14ac:dyDescent="0.3">
      <c r="A3787" s="6" t="s">
        <v>3787</v>
      </c>
      <c r="B3787">
        <v>77020562</v>
      </c>
      <c r="C3787" s="3">
        <v>5</v>
      </c>
      <c r="D3787" s="5" t="str">
        <f t="shared" si="129"/>
        <v>05</v>
      </c>
      <c r="E3787" t="str">
        <f>VLOOKUP(B3787,'HOGARES-BASELINE'!$B:$I,8,FALSE)</f>
        <v>00031102</v>
      </c>
      <c r="F3787" s="6" t="str">
        <f t="shared" si="128"/>
        <v>0003110205</v>
      </c>
    </row>
    <row r="3788" spans="1:6" x14ac:dyDescent="0.3">
      <c r="A3788" s="6" t="s">
        <v>3788</v>
      </c>
      <c r="B3788">
        <v>77020562</v>
      </c>
      <c r="C3788" s="3">
        <v>1</v>
      </c>
      <c r="D3788" s="5" t="str">
        <f t="shared" si="129"/>
        <v>01</v>
      </c>
      <c r="E3788" t="str">
        <f>VLOOKUP(B3788,'HOGARES-BASELINE'!$B:$I,8,FALSE)</f>
        <v>00031102</v>
      </c>
      <c r="F3788" s="6" t="str">
        <f t="shared" si="128"/>
        <v>0003110201</v>
      </c>
    </row>
    <row r="3789" spans="1:6" x14ac:dyDescent="0.3">
      <c r="A3789" s="6" t="s">
        <v>3789</v>
      </c>
      <c r="B3789">
        <v>77020562</v>
      </c>
      <c r="C3789" s="3">
        <v>4</v>
      </c>
      <c r="D3789" s="5" t="str">
        <f t="shared" si="129"/>
        <v>04</v>
      </c>
      <c r="E3789" t="str">
        <f>VLOOKUP(B3789,'HOGARES-BASELINE'!$B:$I,8,FALSE)</f>
        <v>00031102</v>
      </c>
      <c r="F3789" s="6" t="str">
        <f t="shared" si="128"/>
        <v>0003110204</v>
      </c>
    </row>
    <row r="3790" spans="1:6" x14ac:dyDescent="0.3">
      <c r="A3790" s="6" t="s">
        <v>3790</v>
      </c>
      <c r="B3790">
        <v>77020562</v>
      </c>
      <c r="C3790" s="3">
        <v>2</v>
      </c>
      <c r="D3790" s="5" t="str">
        <f t="shared" si="129"/>
        <v>02</v>
      </c>
      <c r="E3790" t="str">
        <f>VLOOKUP(B3790,'HOGARES-BASELINE'!$B:$I,8,FALSE)</f>
        <v>00031102</v>
      </c>
      <c r="F3790" s="6" t="str">
        <f t="shared" si="128"/>
        <v>0003110202</v>
      </c>
    </row>
    <row r="3791" spans="1:6" x14ac:dyDescent="0.3">
      <c r="A3791" s="6" t="s">
        <v>3791</v>
      </c>
      <c r="B3791">
        <v>77020562</v>
      </c>
      <c r="C3791" s="3">
        <v>3</v>
      </c>
      <c r="D3791" s="5" t="str">
        <f t="shared" si="129"/>
        <v>03</v>
      </c>
      <c r="E3791" t="str">
        <f>VLOOKUP(B3791,'HOGARES-BASELINE'!$B:$I,8,FALSE)</f>
        <v>00031102</v>
      </c>
      <c r="F3791" s="6" t="str">
        <f t="shared" si="128"/>
        <v>0003110203</v>
      </c>
    </row>
    <row r="3792" spans="1:6" x14ac:dyDescent="0.3">
      <c r="A3792" s="6" t="s">
        <v>3792</v>
      </c>
      <c r="B3792">
        <v>7884262</v>
      </c>
      <c r="C3792" s="3">
        <v>3</v>
      </c>
      <c r="D3792" s="5" t="str">
        <f t="shared" si="129"/>
        <v>03</v>
      </c>
      <c r="E3792" t="str">
        <f>VLOOKUP(B3792,'HOGARES-BASELINE'!$B:$I,8,FALSE)</f>
        <v>00011103</v>
      </c>
      <c r="F3792" s="6" t="str">
        <f t="shared" si="128"/>
        <v>0001110303</v>
      </c>
    </row>
    <row r="3793" spans="1:6" x14ac:dyDescent="0.3">
      <c r="A3793" s="6" t="s">
        <v>3793</v>
      </c>
      <c r="B3793">
        <v>7884262</v>
      </c>
      <c r="C3793" s="3">
        <v>4</v>
      </c>
      <c r="D3793" s="5" t="str">
        <f t="shared" si="129"/>
        <v>04</v>
      </c>
      <c r="E3793" t="str">
        <f>VLOOKUP(B3793,'HOGARES-BASELINE'!$B:$I,8,FALSE)</f>
        <v>00011103</v>
      </c>
      <c r="F3793" s="6" t="str">
        <f t="shared" si="128"/>
        <v>0001110304</v>
      </c>
    </row>
    <row r="3794" spans="1:6" x14ac:dyDescent="0.3">
      <c r="A3794" s="6" t="s">
        <v>3794</v>
      </c>
      <c r="B3794">
        <v>7884262</v>
      </c>
      <c r="C3794" s="3">
        <v>5</v>
      </c>
      <c r="D3794" s="5" t="str">
        <f t="shared" si="129"/>
        <v>05</v>
      </c>
      <c r="E3794" t="str">
        <f>VLOOKUP(B3794,'HOGARES-BASELINE'!$B:$I,8,FALSE)</f>
        <v>00011103</v>
      </c>
      <c r="F3794" s="6" t="str">
        <f t="shared" si="128"/>
        <v>0001110305</v>
      </c>
    </row>
    <row r="3795" spans="1:6" x14ac:dyDescent="0.3">
      <c r="A3795" s="6" t="s">
        <v>3795</v>
      </c>
      <c r="B3795">
        <v>7884262</v>
      </c>
      <c r="C3795" s="3">
        <v>1</v>
      </c>
      <c r="D3795" s="5" t="str">
        <f t="shared" si="129"/>
        <v>01</v>
      </c>
      <c r="E3795" t="str">
        <f>VLOOKUP(B3795,'HOGARES-BASELINE'!$B:$I,8,FALSE)</f>
        <v>00011103</v>
      </c>
      <c r="F3795" s="6" t="str">
        <f t="shared" si="128"/>
        <v>0001110301</v>
      </c>
    </row>
    <row r="3796" spans="1:6" x14ac:dyDescent="0.3">
      <c r="A3796" s="6" t="s">
        <v>3796</v>
      </c>
      <c r="B3796">
        <v>7884262</v>
      </c>
      <c r="C3796" s="3">
        <v>2</v>
      </c>
      <c r="D3796" s="5" t="str">
        <f t="shared" si="129"/>
        <v>02</v>
      </c>
      <c r="E3796" t="str">
        <f>VLOOKUP(B3796,'HOGARES-BASELINE'!$B:$I,8,FALSE)</f>
        <v>00011103</v>
      </c>
      <c r="F3796" s="6" t="str">
        <f t="shared" si="128"/>
        <v>0001110302</v>
      </c>
    </row>
    <row r="3797" spans="1:6" x14ac:dyDescent="0.3">
      <c r="A3797" s="6" t="s">
        <v>3797</v>
      </c>
      <c r="B3797">
        <v>8279530</v>
      </c>
      <c r="C3797" s="3">
        <v>1</v>
      </c>
      <c r="D3797" s="5" t="str">
        <f t="shared" si="129"/>
        <v>01</v>
      </c>
      <c r="E3797" t="str">
        <f>VLOOKUP(B3797,'HOGARES-BASELINE'!$B:$I,8,FALSE)</f>
        <v>00011104</v>
      </c>
      <c r="F3797" s="6" t="str">
        <f t="shared" si="128"/>
        <v>0001110401</v>
      </c>
    </row>
    <row r="3798" spans="1:6" x14ac:dyDescent="0.3">
      <c r="A3798" s="6" t="s">
        <v>3798</v>
      </c>
      <c r="B3798">
        <v>8299054</v>
      </c>
      <c r="C3798" s="3">
        <v>1</v>
      </c>
      <c r="D3798" s="5" t="str">
        <f t="shared" si="129"/>
        <v>01</v>
      </c>
      <c r="E3798" t="str">
        <f>VLOOKUP(B3798,'HOGARES-BASELINE'!$B:$I,8,FALSE)</f>
        <v>00011105</v>
      </c>
      <c r="F3798" s="6" t="str">
        <f t="shared" si="128"/>
        <v>0001110501</v>
      </c>
    </row>
    <row r="3799" spans="1:6" x14ac:dyDescent="0.3">
      <c r="A3799" s="6" t="s">
        <v>3799</v>
      </c>
      <c r="B3799">
        <v>8306303</v>
      </c>
      <c r="C3799" s="3">
        <v>1</v>
      </c>
      <c r="D3799" s="5" t="str">
        <f t="shared" si="129"/>
        <v>01</v>
      </c>
      <c r="E3799" t="str">
        <f>VLOOKUP(B3799,'HOGARES-BASELINE'!$B:$I,8,FALSE)</f>
        <v>00011106</v>
      </c>
      <c r="F3799" s="6" t="str">
        <f t="shared" si="128"/>
        <v>0001110601</v>
      </c>
    </row>
    <row r="3800" spans="1:6" x14ac:dyDescent="0.3">
      <c r="A3800" s="6" t="s">
        <v>3800</v>
      </c>
      <c r="B3800">
        <v>8316734</v>
      </c>
      <c r="C3800" s="3">
        <v>1</v>
      </c>
      <c r="D3800" s="5" t="str">
        <f t="shared" si="129"/>
        <v>01</v>
      </c>
      <c r="E3800" t="str">
        <f>VLOOKUP(B3800,'HOGARES-BASELINE'!$B:$I,8,FALSE)</f>
        <v>00011107</v>
      </c>
      <c r="F3800" s="6" t="str">
        <f t="shared" si="128"/>
        <v>0001110701</v>
      </c>
    </row>
    <row r="3801" spans="1:6" x14ac:dyDescent="0.3">
      <c r="A3801" s="6" t="s">
        <v>3801</v>
      </c>
      <c r="B3801">
        <v>8316734</v>
      </c>
      <c r="C3801" s="3">
        <v>2</v>
      </c>
      <c r="D3801" s="5" t="str">
        <f t="shared" si="129"/>
        <v>02</v>
      </c>
      <c r="E3801" t="str">
        <f>VLOOKUP(B3801,'HOGARES-BASELINE'!$B:$I,8,FALSE)</f>
        <v>00011107</v>
      </c>
      <c r="F3801" s="6" t="str">
        <f t="shared" si="128"/>
        <v>0001110702</v>
      </c>
    </row>
    <row r="3802" spans="1:6" x14ac:dyDescent="0.3">
      <c r="A3802" s="6" t="s">
        <v>3802</v>
      </c>
      <c r="B3802">
        <v>8316734</v>
      </c>
      <c r="C3802" s="3">
        <v>3</v>
      </c>
      <c r="D3802" s="5" t="str">
        <f t="shared" si="129"/>
        <v>03</v>
      </c>
      <c r="E3802" t="str">
        <f>VLOOKUP(B3802,'HOGARES-BASELINE'!$B:$I,8,FALSE)</f>
        <v>00011107</v>
      </c>
      <c r="F3802" s="6" t="str">
        <f t="shared" si="128"/>
        <v>0001110703</v>
      </c>
    </row>
    <row r="3803" spans="1:6" x14ac:dyDescent="0.3">
      <c r="A3803" s="6" t="s">
        <v>3803</v>
      </c>
      <c r="B3803">
        <v>832608</v>
      </c>
      <c r="C3803" s="3">
        <v>3</v>
      </c>
      <c r="D3803" s="5" t="str">
        <f t="shared" si="129"/>
        <v>03</v>
      </c>
      <c r="E3803" t="str">
        <f>VLOOKUP(B3803,'HOGARES-BASELINE'!$B:$I,8,FALSE)</f>
        <v>01031108</v>
      </c>
      <c r="F3803" s="6" t="str">
        <f t="shared" si="128"/>
        <v>0103110803</v>
      </c>
    </row>
    <row r="3804" spans="1:6" x14ac:dyDescent="0.3">
      <c r="A3804" s="6" t="s">
        <v>3804</v>
      </c>
      <c r="B3804">
        <v>832608</v>
      </c>
      <c r="C3804" s="3">
        <v>2</v>
      </c>
      <c r="D3804" s="5" t="str">
        <f t="shared" si="129"/>
        <v>02</v>
      </c>
      <c r="E3804" t="str">
        <f>VLOOKUP(B3804,'HOGARES-BASELINE'!$B:$I,8,FALSE)</f>
        <v>01031108</v>
      </c>
      <c r="F3804" s="6" t="str">
        <f t="shared" si="128"/>
        <v>0103110802</v>
      </c>
    </row>
    <row r="3805" spans="1:6" x14ac:dyDescent="0.3">
      <c r="A3805" s="6" t="s">
        <v>3805</v>
      </c>
      <c r="B3805">
        <v>832608</v>
      </c>
      <c r="C3805" s="3">
        <v>4</v>
      </c>
      <c r="D3805" s="5" t="str">
        <f t="shared" si="129"/>
        <v>04</v>
      </c>
      <c r="E3805" t="str">
        <f>VLOOKUP(B3805,'HOGARES-BASELINE'!$B:$I,8,FALSE)</f>
        <v>01031108</v>
      </c>
      <c r="F3805" s="6" t="str">
        <f t="shared" si="128"/>
        <v>0103110804</v>
      </c>
    </row>
    <row r="3806" spans="1:6" x14ac:dyDescent="0.3">
      <c r="A3806" s="6" t="s">
        <v>3806</v>
      </c>
      <c r="B3806">
        <v>832608</v>
      </c>
      <c r="C3806" s="3">
        <v>1</v>
      </c>
      <c r="D3806" s="5" t="str">
        <f t="shared" si="129"/>
        <v>01</v>
      </c>
      <c r="E3806" t="str">
        <f>VLOOKUP(B3806,'HOGARES-BASELINE'!$B:$I,8,FALSE)</f>
        <v>01031108</v>
      </c>
      <c r="F3806" s="6" t="str">
        <f t="shared" si="128"/>
        <v>0103110801</v>
      </c>
    </row>
    <row r="3807" spans="1:6" x14ac:dyDescent="0.3">
      <c r="A3807" s="6" t="s">
        <v>3807</v>
      </c>
      <c r="B3807">
        <v>8371433</v>
      </c>
      <c r="C3807" s="3">
        <v>2</v>
      </c>
      <c r="D3807" s="5" t="str">
        <f t="shared" si="129"/>
        <v>02</v>
      </c>
      <c r="E3807" t="str">
        <f>VLOOKUP(B3807,'HOGARES-BASELINE'!$B:$I,8,FALSE)</f>
        <v>00011109</v>
      </c>
      <c r="F3807" s="6" t="str">
        <f t="shared" si="128"/>
        <v>0001110902</v>
      </c>
    </row>
    <row r="3808" spans="1:6" x14ac:dyDescent="0.3">
      <c r="A3808" s="6" t="s">
        <v>3808</v>
      </c>
      <c r="B3808">
        <v>8371433</v>
      </c>
      <c r="C3808" s="3">
        <v>1</v>
      </c>
      <c r="D3808" s="5" t="str">
        <f t="shared" si="129"/>
        <v>01</v>
      </c>
      <c r="E3808" t="str">
        <f>VLOOKUP(B3808,'HOGARES-BASELINE'!$B:$I,8,FALSE)</f>
        <v>00011109</v>
      </c>
      <c r="F3808" s="6" t="str">
        <f t="shared" si="128"/>
        <v>0001110901</v>
      </c>
    </row>
    <row r="3809" spans="1:6" x14ac:dyDescent="0.3">
      <c r="A3809" s="6" t="s">
        <v>3809</v>
      </c>
      <c r="B3809">
        <v>8538228</v>
      </c>
      <c r="C3809" s="3">
        <v>1</v>
      </c>
      <c r="D3809" s="5" t="str">
        <f t="shared" si="129"/>
        <v>01</v>
      </c>
      <c r="E3809" t="str">
        <f>VLOOKUP(B3809,'HOGARES-BASELINE'!$B:$I,8,FALSE)</f>
        <v>00031110</v>
      </c>
      <c r="F3809" s="6" t="str">
        <f t="shared" si="128"/>
        <v>0003111001</v>
      </c>
    </row>
    <row r="3810" spans="1:6" x14ac:dyDescent="0.3">
      <c r="A3810" s="6" t="s">
        <v>3810</v>
      </c>
      <c r="B3810">
        <v>8661897</v>
      </c>
      <c r="C3810" s="3">
        <v>3</v>
      </c>
      <c r="D3810" s="5" t="str">
        <f t="shared" si="129"/>
        <v>03</v>
      </c>
      <c r="E3810" t="str">
        <f>VLOOKUP(B3810,'HOGARES-BASELINE'!$B:$I,8,FALSE)</f>
        <v>00031111</v>
      </c>
      <c r="F3810" s="6" t="str">
        <f t="shared" si="128"/>
        <v>0003111103</v>
      </c>
    </row>
    <row r="3811" spans="1:6" x14ac:dyDescent="0.3">
      <c r="A3811" s="6" t="s">
        <v>3811</v>
      </c>
      <c r="B3811">
        <v>8661897</v>
      </c>
      <c r="C3811" s="3">
        <v>1</v>
      </c>
      <c r="D3811" s="5" t="str">
        <f t="shared" si="129"/>
        <v>01</v>
      </c>
      <c r="E3811" t="str">
        <f>VLOOKUP(B3811,'HOGARES-BASELINE'!$B:$I,8,FALSE)</f>
        <v>00031111</v>
      </c>
      <c r="F3811" s="6" t="str">
        <f t="shared" si="128"/>
        <v>0003111101</v>
      </c>
    </row>
    <row r="3812" spans="1:6" x14ac:dyDescent="0.3">
      <c r="A3812" s="6" t="s">
        <v>3812</v>
      </c>
      <c r="B3812">
        <v>8661897</v>
      </c>
      <c r="C3812" s="3">
        <v>2</v>
      </c>
      <c r="D3812" s="5" t="str">
        <f t="shared" si="129"/>
        <v>02</v>
      </c>
      <c r="E3812" t="str">
        <f>VLOOKUP(B3812,'HOGARES-BASELINE'!$B:$I,8,FALSE)</f>
        <v>00031111</v>
      </c>
      <c r="F3812" s="6" t="str">
        <f t="shared" si="128"/>
        <v>0003111102</v>
      </c>
    </row>
    <row r="3813" spans="1:6" x14ac:dyDescent="0.3">
      <c r="A3813" s="6" t="s">
        <v>3813</v>
      </c>
      <c r="B3813">
        <v>8663792</v>
      </c>
      <c r="C3813" s="3">
        <v>2</v>
      </c>
      <c r="D3813" s="5" t="str">
        <f t="shared" si="129"/>
        <v>02</v>
      </c>
      <c r="E3813" t="str">
        <f>VLOOKUP(B3813,'HOGARES-BASELINE'!$B:$I,8,FALSE)</f>
        <v>00031112</v>
      </c>
      <c r="F3813" s="6" t="str">
        <f t="shared" si="128"/>
        <v>0003111202</v>
      </c>
    </row>
    <row r="3814" spans="1:6" x14ac:dyDescent="0.3">
      <c r="A3814" s="6" t="s">
        <v>3814</v>
      </c>
      <c r="B3814">
        <v>8663792</v>
      </c>
      <c r="C3814" s="3">
        <v>1</v>
      </c>
      <c r="D3814" s="5" t="str">
        <f t="shared" si="129"/>
        <v>01</v>
      </c>
      <c r="E3814" t="str">
        <f>VLOOKUP(B3814,'HOGARES-BASELINE'!$B:$I,8,FALSE)</f>
        <v>00031112</v>
      </c>
      <c r="F3814" s="6" t="str">
        <f t="shared" si="128"/>
        <v>0003111201</v>
      </c>
    </row>
    <row r="3815" spans="1:6" x14ac:dyDescent="0.3">
      <c r="A3815" s="6" t="s">
        <v>3815</v>
      </c>
      <c r="B3815">
        <v>8663792</v>
      </c>
      <c r="C3815" s="3">
        <v>3</v>
      </c>
      <c r="D3815" s="5" t="str">
        <f t="shared" si="129"/>
        <v>03</v>
      </c>
      <c r="E3815" t="str">
        <f>VLOOKUP(B3815,'HOGARES-BASELINE'!$B:$I,8,FALSE)</f>
        <v>00031112</v>
      </c>
      <c r="F3815" s="6" t="str">
        <f t="shared" si="128"/>
        <v>0003111203</v>
      </c>
    </row>
    <row r="3816" spans="1:6" x14ac:dyDescent="0.3">
      <c r="A3816" s="6" t="s">
        <v>3816</v>
      </c>
      <c r="B3816">
        <v>8664032</v>
      </c>
      <c r="C3816" s="3">
        <v>1</v>
      </c>
      <c r="D3816" s="5" t="str">
        <f t="shared" si="129"/>
        <v>01</v>
      </c>
      <c r="E3816" t="str">
        <f>VLOOKUP(B3816,'HOGARES-BASELINE'!$B:$I,8,FALSE)</f>
        <v>01031113</v>
      </c>
      <c r="F3816" s="6" t="str">
        <f t="shared" si="128"/>
        <v>0103111301</v>
      </c>
    </row>
    <row r="3817" spans="1:6" x14ac:dyDescent="0.3">
      <c r="A3817" s="6" t="s">
        <v>3817</v>
      </c>
      <c r="B3817">
        <v>8668925</v>
      </c>
      <c r="C3817" s="3">
        <v>5</v>
      </c>
      <c r="D3817" s="5" t="str">
        <f t="shared" si="129"/>
        <v>05</v>
      </c>
      <c r="E3817" t="str">
        <f>VLOOKUP(B3817,'HOGARES-BASELINE'!$B:$I,8,FALSE)</f>
        <v>00031114</v>
      </c>
      <c r="F3817" s="6" t="str">
        <f t="shared" si="128"/>
        <v>0003111405</v>
      </c>
    </row>
    <row r="3818" spans="1:6" x14ac:dyDescent="0.3">
      <c r="A3818" s="6" t="s">
        <v>3818</v>
      </c>
      <c r="B3818">
        <v>8668925</v>
      </c>
      <c r="C3818" s="3">
        <v>3</v>
      </c>
      <c r="D3818" s="5" t="str">
        <f t="shared" si="129"/>
        <v>03</v>
      </c>
      <c r="E3818" t="str">
        <f>VLOOKUP(B3818,'HOGARES-BASELINE'!$B:$I,8,FALSE)</f>
        <v>00031114</v>
      </c>
      <c r="F3818" s="6" t="str">
        <f t="shared" si="128"/>
        <v>0003111403</v>
      </c>
    </row>
    <row r="3819" spans="1:6" x14ac:dyDescent="0.3">
      <c r="A3819" s="6" t="s">
        <v>3819</v>
      </c>
      <c r="B3819">
        <v>8668925</v>
      </c>
      <c r="C3819" s="3">
        <v>4</v>
      </c>
      <c r="D3819" s="5" t="str">
        <f t="shared" si="129"/>
        <v>04</v>
      </c>
      <c r="E3819" t="str">
        <f>VLOOKUP(B3819,'HOGARES-BASELINE'!$B:$I,8,FALSE)</f>
        <v>00031114</v>
      </c>
      <c r="F3819" s="6" t="str">
        <f t="shared" si="128"/>
        <v>0003111404</v>
      </c>
    </row>
    <row r="3820" spans="1:6" x14ac:dyDescent="0.3">
      <c r="A3820" s="6" t="s">
        <v>3820</v>
      </c>
      <c r="B3820">
        <v>8668925</v>
      </c>
      <c r="C3820" s="3">
        <v>2</v>
      </c>
      <c r="D3820" s="5" t="str">
        <f t="shared" si="129"/>
        <v>02</v>
      </c>
      <c r="E3820" t="str">
        <f>VLOOKUP(B3820,'HOGARES-BASELINE'!$B:$I,8,FALSE)</f>
        <v>00031114</v>
      </c>
      <c r="F3820" s="6" t="str">
        <f t="shared" si="128"/>
        <v>0003111402</v>
      </c>
    </row>
    <row r="3821" spans="1:6" x14ac:dyDescent="0.3">
      <c r="A3821" s="6" t="s">
        <v>3821</v>
      </c>
      <c r="B3821">
        <v>8668925</v>
      </c>
      <c r="C3821" s="3">
        <v>1</v>
      </c>
      <c r="D3821" s="5" t="str">
        <f t="shared" si="129"/>
        <v>01</v>
      </c>
      <c r="E3821" t="str">
        <f>VLOOKUP(B3821,'HOGARES-BASELINE'!$B:$I,8,FALSE)</f>
        <v>00031114</v>
      </c>
      <c r="F3821" s="6" t="str">
        <f t="shared" si="128"/>
        <v>0003111401</v>
      </c>
    </row>
    <row r="3822" spans="1:6" x14ac:dyDescent="0.3">
      <c r="A3822" s="6" t="s">
        <v>3822</v>
      </c>
      <c r="B3822">
        <v>8672765</v>
      </c>
      <c r="C3822" s="3">
        <v>1</v>
      </c>
      <c r="D3822" s="5" t="str">
        <f t="shared" si="129"/>
        <v>01</v>
      </c>
      <c r="E3822" t="str">
        <f>VLOOKUP(B3822,'HOGARES-BASELINE'!$B:$I,8,FALSE)</f>
        <v>01031115</v>
      </c>
      <c r="F3822" s="6" t="str">
        <f t="shared" si="128"/>
        <v>0103111501</v>
      </c>
    </row>
    <row r="3823" spans="1:6" x14ac:dyDescent="0.3">
      <c r="A3823" s="6" t="s">
        <v>3823</v>
      </c>
      <c r="B3823">
        <v>8672765</v>
      </c>
      <c r="C3823" s="3">
        <v>4</v>
      </c>
      <c r="D3823" s="5" t="str">
        <f t="shared" si="129"/>
        <v>04</v>
      </c>
      <c r="E3823" t="str">
        <f>VLOOKUP(B3823,'HOGARES-BASELINE'!$B:$I,8,FALSE)</f>
        <v>01031115</v>
      </c>
      <c r="F3823" s="6" t="str">
        <f t="shared" si="128"/>
        <v>0103111504</v>
      </c>
    </row>
    <row r="3824" spans="1:6" x14ac:dyDescent="0.3">
      <c r="A3824" s="6" t="s">
        <v>3824</v>
      </c>
      <c r="B3824">
        <v>8672765</v>
      </c>
      <c r="C3824" s="3">
        <v>3</v>
      </c>
      <c r="D3824" s="5" t="str">
        <f t="shared" si="129"/>
        <v>03</v>
      </c>
      <c r="E3824" t="str">
        <f>VLOOKUP(B3824,'HOGARES-BASELINE'!$B:$I,8,FALSE)</f>
        <v>01031115</v>
      </c>
      <c r="F3824" s="6" t="str">
        <f t="shared" si="128"/>
        <v>0103111503</v>
      </c>
    </row>
    <row r="3825" spans="1:6" x14ac:dyDescent="0.3">
      <c r="A3825" s="6" t="s">
        <v>3825</v>
      </c>
      <c r="B3825">
        <v>8672765</v>
      </c>
      <c r="C3825" s="3">
        <v>2</v>
      </c>
      <c r="D3825" s="5" t="str">
        <f t="shared" si="129"/>
        <v>02</v>
      </c>
      <c r="E3825" t="str">
        <f>VLOOKUP(B3825,'HOGARES-BASELINE'!$B:$I,8,FALSE)</f>
        <v>01031115</v>
      </c>
      <c r="F3825" s="6" t="str">
        <f t="shared" si="128"/>
        <v>0103111502</v>
      </c>
    </row>
    <row r="3826" spans="1:6" x14ac:dyDescent="0.3">
      <c r="A3826" s="6" t="s">
        <v>3826</v>
      </c>
      <c r="B3826">
        <v>8675682</v>
      </c>
      <c r="C3826" s="3">
        <v>2</v>
      </c>
      <c r="D3826" s="5" t="str">
        <f t="shared" si="129"/>
        <v>02</v>
      </c>
      <c r="E3826" t="str">
        <f>VLOOKUP(B3826,'HOGARES-BASELINE'!$B:$I,8,FALSE)</f>
        <v>00031116</v>
      </c>
      <c r="F3826" s="6" t="str">
        <f t="shared" si="128"/>
        <v>0003111602</v>
      </c>
    </row>
    <row r="3827" spans="1:6" x14ac:dyDescent="0.3">
      <c r="A3827" s="6" t="s">
        <v>3827</v>
      </c>
      <c r="B3827">
        <v>8675682</v>
      </c>
      <c r="C3827" s="3">
        <v>1</v>
      </c>
      <c r="D3827" s="5" t="str">
        <f t="shared" si="129"/>
        <v>01</v>
      </c>
      <c r="E3827" t="str">
        <f>VLOOKUP(B3827,'HOGARES-BASELINE'!$B:$I,8,FALSE)</f>
        <v>00031116</v>
      </c>
      <c r="F3827" s="6" t="str">
        <f t="shared" si="128"/>
        <v>0003111601</v>
      </c>
    </row>
    <row r="3828" spans="1:6" x14ac:dyDescent="0.3">
      <c r="A3828" s="6" t="s">
        <v>3828</v>
      </c>
      <c r="B3828">
        <v>8675682</v>
      </c>
      <c r="C3828" s="3">
        <v>3</v>
      </c>
      <c r="D3828" s="5" t="str">
        <f t="shared" si="129"/>
        <v>03</v>
      </c>
      <c r="E3828" t="str">
        <f>VLOOKUP(B3828,'HOGARES-BASELINE'!$B:$I,8,FALSE)</f>
        <v>00031116</v>
      </c>
      <c r="F3828" s="6" t="str">
        <f t="shared" si="128"/>
        <v>0003111603</v>
      </c>
    </row>
    <row r="3829" spans="1:6" x14ac:dyDescent="0.3">
      <c r="A3829" s="6" t="s">
        <v>3829</v>
      </c>
      <c r="B3829">
        <v>8681506</v>
      </c>
      <c r="C3829" s="3">
        <v>2</v>
      </c>
      <c r="D3829" s="5" t="str">
        <f t="shared" si="129"/>
        <v>02</v>
      </c>
      <c r="E3829" t="str">
        <f>VLOOKUP(B3829,'HOGARES-BASELINE'!$B:$I,8,FALSE)</f>
        <v>01031117</v>
      </c>
      <c r="F3829" s="6" t="str">
        <f t="shared" si="128"/>
        <v>0103111702</v>
      </c>
    </row>
    <row r="3830" spans="1:6" x14ac:dyDescent="0.3">
      <c r="A3830" s="6" t="s">
        <v>3830</v>
      </c>
      <c r="B3830">
        <v>8681506</v>
      </c>
      <c r="C3830" s="3">
        <v>3</v>
      </c>
      <c r="D3830" s="5" t="str">
        <f t="shared" si="129"/>
        <v>03</v>
      </c>
      <c r="E3830" t="str">
        <f>VLOOKUP(B3830,'HOGARES-BASELINE'!$B:$I,8,FALSE)</f>
        <v>01031117</v>
      </c>
      <c r="F3830" s="6" t="str">
        <f t="shared" si="128"/>
        <v>0103111703</v>
      </c>
    </row>
    <row r="3831" spans="1:6" x14ac:dyDescent="0.3">
      <c r="A3831" s="6" t="s">
        <v>3831</v>
      </c>
      <c r="B3831">
        <v>8681506</v>
      </c>
      <c r="C3831" s="3">
        <v>1</v>
      </c>
      <c r="D3831" s="5" t="str">
        <f t="shared" si="129"/>
        <v>01</v>
      </c>
      <c r="E3831" t="str">
        <f>VLOOKUP(B3831,'HOGARES-BASELINE'!$B:$I,8,FALSE)</f>
        <v>01031117</v>
      </c>
      <c r="F3831" s="6" t="str">
        <f t="shared" si="128"/>
        <v>0103111701</v>
      </c>
    </row>
    <row r="3832" spans="1:6" x14ac:dyDescent="0.3">
      <c r="A3832" s="6" t="s">
        <v>3832</v>
      </c>
      <c r="B3832">
        <v>8681506</v>
      </c>
      <c r="C3832" s="3">
        <v>4</v>
      </c>
      <c r="D3832" s="5" t="str">
        <f t="shared" si="129"/>
        <v>04</v>
      </c>
      <c r="E3832" t="str">
        <f>VLOOKUP(B3832,'HOGARES-BASELINE'!$B:$I,8,FALSE)</f>
        <v>01031117</v>
      </c>
      <c r="F3832" s="6" t="str">
        <f t="shared" si="128"/>
        <v>0103111704</v>
      </c>
    </row>
    <row r="3833" spans="1:6" x14ac:dyDescent="0.3">
      <c r="A3833" s="6" t="s">
        <v>3833</v>
      </c>
      <c r="B3833">
        <v>8681506</v>
      </c>
      <c r="C3833" s="3">
        <v>5</v>
      </c>
      <c r="D3833" s="5" t="str">
        <f t="shared" si="129"/>
        <v>05</v>
      </c>
      <c r="E3833" t="str">
        <f>VLOOKUP(B3833,'HOGARES-BASELINE'!$B:$I,8,FALSE)</f>
        <v>01031117</v>
      </c>
      <c r="F3833" s="6" t="str">
        <f t="shared" si="128"/>
        <v>0103111705</v>
      </c>
    </row>
    <row r="3834" spans="1:6" x14ac:dyDescent="0.3">
      <c r="A3834" s="6" t="s">
        <v>3834</v>
      </c>
      <c r="B3834">
        <v>8686374</v>
      </c>
      <c r="C3834" s="3">
        <v>1</v>
      </c>
      <c r="D3834" s="5" t="str">
        <f t="shared" si="129"/>
        <v>01</v>
      </c>
      <c r="E3834" t="str">
        <f>VLOOKUP(B3834,'HOGARES-BASELINE'!$B:$I,8,FALSE)</f>
        <v>01031118</v>
      </c>
      <c r="F3834" s="6" t="str">
        <f t="shared" si="128"/>
        <v>0103111801</v>
      </c>
    </row>
    <row r="3835" spans="1:6" x14ac:dyDescent="0.3">
      <c r="A3835" s="6" t="s">
        <v>3835</v>
      </c>
      <c r="B3835">
        <v>8686374</v>
      </c>
      <c r="C3835" s="3">
        <v>2</v>
      </c>
      <c r="D3835" s="5" t="str">
        <f t="shared" si="129"/>
        <v>02</v>
      </c>
      <c r="E3835" t="str">
        <f>VLOOKUP(B3835,'HOGARES-BASELINE'!$B:$I,8,FALSE)</f>
        <v>01031118</v>
      </c>
      <c r="F3835" s="6" t="str">
        <f t="shared" si="128"/>
        <v>0103111802</v>
      </c>
    </row>
    <row r="3836" spans="1:6" x14ac:dyDescent="0.3">
      <c r="A3836" s="6" t="s">
        <v>3836</v>
      </c>
      <c r="B3836">
        <v>8686374</v>
      </c>
      <c r="C3836" s="3">
        <v>3</v>
      </c>
      <c r="D3836" s="5" t="str">
        <f t="shared" si="129"/>
        <v>03</v>
      </c>
      <c r="E3836" t="str">
        <f>VLOOKUP(B3836,'HOGARES-BASELINE'!$B:$I,8,FALSE)</f>
        <v>01031118</v>
      </c>
      <c r="F3836" s="6" t="str">
        <f t="shared" si="128"/>
        <v>0103111803</v>
      </c>
    </row>
    <row r="3837" spans="1:6" x14ac:dyDescent="0.3">
      <c r="A3837" s="6" t="s">
        <v>3837</v>
      </c>
      <c r="B3837">
        <v>8686397</v>
      </c>
      <c r="C3837" s="3">
        <v>1</v>
      </c>
      <c r="D3837" s="5" t="str">
        <f t="shared" si="129"/>
        <v>01</v>
      </c>
      <c r="E3837" t="str">
        <f>VLOOKUP(B3837,'HOGARES-BASELINE'!$B:$I,8,FALSE)</f>
        <v>00031119</v>
      </c>
      <c r="F3837" s="6" t="str">
        <f t="shared" si="128"/>
        <v>0003111901</v>
      </c>
    </row>
    <row r="3838" spans="1:6" x14ac:dyDescent="0.3">
      <c r="A3838" s="6" t="s">
        <v>3838</v>
      </c>
      <c r="B3838">
        <v>8688105</v>
      </c>
      <c r="C3838" s="3">
        <v>6</v>
      </c>
      <c r="D3838" s="5" t="str">
        <f t="shared" si="129"/>
        <v>06</v>
      </c>
      <c r="E3838" t="str">
        <f>VLOOKUP(B3838,'HOGARES-BASELINE'!$B:$I,8,FALSE)</f>
        <v>00031120</v>
      </c>
      <c r="F3838" s="6" t="str">
        <f t="shared" si="128"/>
        <v>0003112006</v>
      </c>
    </row>
    <row r="3839" spans="1:6" x14ac:dyDescent="0.3">
      <c r="A3839" s="6" t="s">
        <v>3839</v>
      </c>
      <c r="B3839">
        <v>8688105</v>
      </c>
      <c r="C3839" s="3">
        <v>2</v>
      </c>
      <c r="D3839" s="5" t="str">
        <f t="shared" si="129"/>
        <v>02</v>
      </c>
      <c r="E3839" t="str">
        <f>VLOOKUP(B3839,'HOGARES-BASELINE'!$B:$I,8,FALSE)</f>
        <v>00031120</v>
      </c>
      <c r="F3839" s="6" t="str">
        <f t="shared" si="128"/>
        <v>0003112002</v>
      </c>
    </row>
    <row r="3840" spans="1:6" x14ac:dyDescent="0.3">
      <c r="A3840" s="6" t="s">
        <v>3840</v>
      </c>
      <c r="B3840">
        <v>8688105</v>
      </c>
      <c r="C3840" s="3">
        <v>4</v>
      </c>
      <c r="D3840" s="5" t="str">
        <f t="shared" si="129"/>
        <v>04</v>
      </c>
      <c r="E3840" t="str">
        <f>VLOOKUP(B3840,'HOGARES-BASELINE'!$B:$I,8,FALSE)</f>
        <v>00031120</v>
      </c>
      <c r="F3840" s="6" t="str">
        <f t="shared" si="128"/>
        <v>0003112004</v>
      </c>
    </row>
    <row r="3841" spans="1:6" x14ac:dyDescent="0.3">
      <c r="A3841" s="6" t="s">
        <v>3841</v>
      </c>
      <c r="B3841">
        <v>8688105</v>
      </c>
      <c r="C3841" s="3">
        <v>3</v>
      </c>
      <c r="D3841" s="5" t="str">
        <f t="shared" si="129"/>
        <v>03</v>
      </c>
      <c r="E3841" t="str">
        <f>VLOOKUP(B3841,'HOGARES-BASELINE'!$B:$I,8,FALSE)</f>
        <v>00031120</v>
      </c>
      <c r="F3841" s="6" t="str">
        <f t="shared" si="128"/>
        <v>0003112003</v>
      </c>
    </row>
    <row r="3842" spans="1:6" x14ac:dyDescent="0.3">
      <c r="A3842" s="6" t="s">
        <v>3842</v>
      </c>
      <c r="B3842">
        <v>8688105</v>
      </c>
      <c r="C3842" s="3">
        <v>1</v>
      </c>
      <c r="D3842" s="5" t="str">
        <f t="shared" si="129"/>
        <v>01</v>
      </c>
      <c r="E3842" t="str">
        <f>VLOOKUP(B3842,'HOGARES-BASELINE'!$B:$I,8,FALSE)</f>
        <v>00031120</v>
      </c>
      <c r="F3842" s="6" t="str">
        <f t="shared" si="128"/>
        <v>0003112001</v>
      </c>
    </row>
    <row r="3843" spans="1:6" x14ac:dyDescent="0.3">
      <c r="A3843" s="6" t="s">
        <v>3843</v>
      </c>
      <c r="B3843">
        <v>8688105</v>
      </c>
      <c r="C3843" s="3">
        <v>5</v>
      </c>
      <c r="D3843" s="5" t="str">
        <f t="shared" si="129"/>
        <v>05</v>
      </c>
      <c r="E3843" t="str">
        <f>VLOOKUP(B3843,'HOGARES-BASELINE'!$B:$I,8,FALSE)</f>
        <v>00031120</v>
      </c>
      <c r="F3843" s="6" t="str">
        <f t="shared" ref="F3843:F3906" si="130">_xlfn.CONCAT(E3843,D3843)</f>
        <v>0003112005</v>
      </c>
    </row>
    <row r="3844" spans="1:6" x14ac:dyDescent="0.3">
      <c r="A3844" s="6" t="s">
        <v>3844</v>
      </c>
      <c r="B3844">
        <v>8695283</v>
      </c>
      <c r="C3844" s="3">
        <v>3</v>
      </c>
      <c r="D3844" s="5" t="str">
        <f t="shared" si="129"/>
        <v>03</v>
      </c>
      <c r="E3844" t="str">
        <f>VLOOKUP(B3844,'HOGARES-BASELINE'!$B:$I,8,FALSE)</f>
        <v>00031121</v>
      </c>
      <c r="F3844" s="6" t="str">
        <f t="shared" si="130"/>
        <v>0003112103</v>
      </c>
    </row>
    <row r="3845" spans="1:6" x14ac:dyDescent="0.3">
      <c r="A3845" s="6" t="s">
        <v>3845</v>
      </c>
      <c r="B3845">
        <v>8695283</v>
      </c>
      <c r="C3845" s="3">
        <v>1</v>
      </c>
      <c r="D3845" s="5" t="str">
        <f t="shared" si="129"/>
        <v>01</v>
      </c>
      <c r="E3845" t="str">
        <f>VLOOKUP(B3845,'HOGARES-BASELINE'!$B:$I,8,FALSE)</f>
        <v>00031121</v>
      </c>
      <c r="F3845" s="6" t="str">
        <f t="shared" si="130"/>
        <v>0003112101</v>
      </c>
    </row>
    <row r="3846" spans="1:6" x14ac:dyDescent="0.3">
      <c r="A3846" s="6" t="s">
        <v>3846</v>
      </c>
      <c r="B3846">
        <v>8695283</v>
      </c>
      <c r="C3846" s="3">
        <v>2</v>
      </c>
      <c r="D3846" s="5" t="str">
        <f t="shared" si="129"/>
        <v>02</v>
      </c>
      <c r="E3846" t="str">
        <f>VLOOKUP(B3846,'HOGARES-BASELINE'!$B:$I,8,FALSE)</f>
        <v>00031121</v>
      </c>
      <c r="F3846" s="6" t="str">
        <f t="shared" si="130"/>
        <v>0003112102</v>
      </c>
    </row>
    <row r="3847" spans="1:6" x14ac:dyDescent="0.3">
      <c r="A3847" s="6" t="s">
        <v>3847</v>
      </c>
      <c r="B3847">
        <v>8696703</v>
      </c>
      <c r="C3847" s="3">
        <v>3</v>
      </c>
      <c r="D3847" s="5" t="str">
        <f t="shared" ref="D3847:D3910" si="131">_xlfn.CONCAT(0,C3847)</f>
        <v>03</v>
      </c>
      <c r="E3847" t="str">
        <f>VLOOKUP(B3847,'HOGARES-BASELINE'!$B:$I,8,FALSE)</f>
        <v>00031122</v>
      </c>
      <c r="F3847" s="6" t="str">
        <f t="shared" si="130"/>
        <v>0003112203</v>
      </c>
    </row>
    <row r="3848" spans="1:6" x14ac:dyDescent="0.3">
      <c r="A3848" s="6" t="s">
        <v>3848</v>
      </c>
      <c r="B3848">
        <v>8696703</v>
      </c>
      <c r="C3848" s="3">
        <v>5</v>
      </c>
      <c r="D3848" s="5" t="str">
        <f t="shared" si="131"/>
        <v>05</v>
      </c>
      <c r="E3848" t="str">
        <f>VLOOKUP(B3848,'HOGARES-BASELINE'!$B:$I,8,FALSE)</f>
        <v>00031122</v>
      </c>
      <c r="F3848" s="6" t="str">
        <f t="shared" si="130"/>
        <v>0003112205</v>
      </c>
    </row>
    <row r="3849" spans="1:6" x14ac:dyDescent="0.3">
      <c r="A3849" s="6" t="s">
        <v>3849</v>
      </c>
      <c r="B3849">
        <v>8696703</v>
      </c>
      <c r="C3849" s="3">
        <v>7</v>
      </c>
      <c r="D3849" s="5" t="str">
        <f t="shared" si="131"/>
        <v>07</v>
      </c>
      <c r="E3849" t="str">
        <f>VLOOKUP(B3849,'HOGARES-BASELINE'!$B:$I,8,FALSE)</f>
        <v>00031122</v>
      </c>
      <c r="F3849" s="6" t="str">
        <f t="shared" si="130"/>
        <v>0003112207</v>
      </c>
    </row>
    <row r="3850" spans="1:6" x14ac:dyDescent="0.3">
      <c r="A3850" s="6" t="s">
        <v>3850</v>
      </c>
      <c r="B3850">
        <v>8696703</v>
      </c>
      <c r="C3850" s="3">
        <v>2</v>
      </c>
      <c r="D3850" s="5" t="str">
        <f t="shared" si="131"/>
        <v>02</v>
      </c>
      <c r="E3850" t="str">
        <f>VLOOKUP(B3850,'HOGARES-BASELINE'!$B:$I,8,FALSE)</f>
        <v>00031122</v>
      </c>
      <c r="F3850" s="6" t="str">
        <f t="shared" si="130"/>
        <v>0003112202</v>
      </c>
    </row>
    <row r="3851" spans="1:6" x14ac:dyDescent="0.3">
      <c r="A3851" s="6" t="s">
        <v>3851</v>
      </c>
      <c r="B3851">
        <v>8696703</v>
      </c>
      <c r="C3851" s="3">
        <v>6</v>
      </c>
      <c r="D3851" s="5" t="str">
        <f t="shared" si="131"/>
        <v>06</v>
      </c>
      <c r="E3851" t="str">
        <f>VLOOKUP(B3851,'HOGARES-BASELINE'!$B:$I,8,FALSE)</f>
        <v>00031122</v>
      </c>
      <c r="F3851" s="6" t="str">
        <f t="shared" si="130"/>
        <v>0003112206</v>
      </c>
    </row>
    <row r="3852" spans="1:6" x14ac:dyDescent="0.3">
      <c r="A3852" s="6" t="s">
        <v>3852</v>
      </c>
      <c r="B3852">
        <v>8696703</v>
      </c>
      <c r="C3852" s="3">
        <v>4</v>
      </c>
      <c r="D3852" s="5" t="str">
        <f t="shared" si="131"/>
        <v>04</v>
      </c>
      <c r="E3852" t="str">
        <f>VLOOKUP(B3852,'HOGARES-BASELINE'!$B:$I,8,FALSE)</f>
        <v>00031122</v>
      </c>
      <c r="F3852" s="6" t="str">
        <f t="shared" si="130"/>
        <v>0003112204</v>
      </c>
    </row>
    <row r="3853" spans="1:6" x14ac:dyDescent="0.3">
      <c r="A3853" s="6" t="s">
        <v>3853</v>
      </c>
      <c r="B3853">
        <v>8696703</v>
      </c>
      <c r="C3853" s="3">
        <v>1</v>
      </c>
      <c r="D3853" s="5" t="str">
        <f t="shared" si="131"/>
        <v>01</v>
      </c>
      <c r="E3853" t="str">
        <f>VLOOKUP(B3853,'HOGARES-BASELINE'!$B:$I,8,FALSE)</f>
        <v>00031122</v>
      </c>
      <c r="F3853" s="6" t="str">
        <f t="shared" si="130"/>
        <v>0003112201</v>
      </c>
    </row>
    <row r="3854" spans="1:6" x14ac:dyDescent="0.3">
      <c r="A3854" s="6" t="s">
        <v>3854</v>
      </c>
      <c r="B3854">
        <v>8704553</v>
      </c>
      <c r="C3854" s="3">
        <v>1</v>
      </c>
      <c r="D3854" s="5" t="str">
        <f t="shared" si="131"/>
        <v>01</v>
      </c>
      <c r="E3854" t="str">
        <f>VLOOKUP(B3854,'HOGARES-BASELINE'!$B:$I,8,FALSE)</f>
        <v>00031123</v>
      </c>
      <c r="F3854" s="6" t="str">
        <f t="shared" si="130"/>
        <v>0003112301</v>
      </c>
    </row>
    <row r="3855" spans="1:6" x14ac:dyDescent="0.3">
      <c r="A3855" s="6" t="s">
        <v>3855</v>
      </c>
      <c r="B3855">
        <v>8706854</v>
      </c>
      <c r="C3855" s="3">
        <v>2</v>
      </c>
      <c r="D3855" s="5" t="str">
        <f t="shared" si="131"/>
        <v>02</v>
      </c>
      <c r="E3855" t="str">
        <f>VLOOKUP(B3855,'HOGARES-BASELINE'!$B:$I,8,FALSE)</f>
        <v>00031124</v>
      </c>
      <c r="F3855" s="6" t="str">
        <f t="shared" si="130"/>
        <v>0003112402</v>
      </c>
    </row>
    <row r="3856" spans="1:6" x14ac:dyDescent="0.3">
      <c r="A3856" s="6" t="s">
        <v>3856</v>
      </c>
      <c r="B3856">
        <v>8706854</v>
      </c>
      <c r="C3856" s="3">
        <v>1</v>
      </c>
      <c r="D3856" s="5" t="str">
        <f t="shared" si="131"/>
        <v>01</v>
      </c>
      <c r="E3856" t="str">
        <f>VLOOKUP(B3856,'HOGARES-BASELINE'!$B:$I,8,FALSE)</f>
        <v>00031124</v>
      </c>
      <c r="F3856" s="6" t="str">
        <f t="shared" si="130"/>
        <v>0003112401</v>
      </c>
    </row>
    <row r="3857" spans="1:6" x14ac:dyDescent="0.3">
      <c r="A3857" s="6" t="s">
        <v>3857</v>
      </c>
      <c r="B3857">
        <v>8706854</v>
      </c>
      <c r="C3857" s="3">
        <v>3</v>
      </c>
      <c r="D3857" s="5" t="str">
        <f t="shared" si="131"/>
        <v>03</v>
      </c>
      <c r="E3857" t="str">
        <f>VLOOKUP(B3857,'HOGARES-BASELINE'!$B:$I,8,FALSE)</f>
        <v>00031124</v>
      </c>
      <c r="F3857" s="6" t="str">
        <f t="shared" si="130"/>
        <v>0003112403</v>
      </c>
    </row>
    <row r="3858" spans="1:6" x14ac:dyDescent="0.3">
      <c r="A3858" s="6" t="s">
        <v>3858</v>
      </c>
      <c r="B3858">
        <v>87085002</v>
      </c>
      <c r="C3858" s="3">
        <v>3</v>
      </c>
      <c r="D3858" s="5" t="str">
        <f t="shared" si="131"/>
        <v>03</v>
      </c>
      <c r="E3858" t="str">
        <f>VLOOKUP(B3858,'HOGARES-BASELINE'!$B:$I,8,FALSE)</f>
        <v>00021125</v>
      </c>
      <c r="F3858" s="6" t="str">
        <f t="shared" si="130"/>
        <v>0002112503</v>
      </c>
    </row>
    <row r="3859" spans="1:6" x14ac:dyDescent="0.3">
      <c r="A3859" s="6" t="s">
        <v>3859</v>
      </c>
      <c r="B3859">
        <v>87085002</v>
      </c>
      <c r="C3859" s="3">
        <v>1</v>
      </c>
      <c r="D3859" s="5" t="str">
        <f t="shared" si="131"/>
        <v>01</v>
      </c>
      <c r="E3859" t="str">
        <f>VLOOKUP(B3859,'HOGARES-BASELINE'!$B:$I,8,FALSE)</f>
        <v>00021125</v>
      </c>
      <c r="F3859" s="6" t="str">
        <f t="shared" si="130"/>
        <v>0002112501</v>
      </c>
    </row>
    <row r="3860" spans="1:6" x14ac:dyDescent="0.3">
      <c r="A3860" s="6" t="s">
        <v>3860</v>
      </c>
      <c r="B3860">
        <v>87085002</v>
      </c>
      <c r="C3860" s="3">
        <v>2</v>
      </c>
      <c r="D3860" s="5" t="str">
        <f t="shared" si="131"/>
        <v>02</v>
      </c>
      <c r="E3860" t="str">
        <f>VLOOKUP(B3860,'HOGARES-BASELINE'!$B:$I,8,FALSE)</f>
        <v>00021125</v>
      </c>
      <c r="F3860" s="6" t="str">
        <f t="shared" si="130"/>
        <v>0002112502</v>
      </c>
    </row>
    <row r="3861" spans="1:6" x14ac:dyDescent="0.3">
      <c r="A3861" s="6" t="s">
        <v>3861</v>
      </c>
      <c r="B3861">
        <v>8719594</v>
      </c>
      <c r="C3861" s="3">
        <v>1</v>
      </c>
      <c r="D3861" s="5" t="str">
        <f t="shared" si="131"/>
        <v>01</v>
      </c>
      <c r="E3861" t="str">
        <f>VLOOKUP(B3861,'HOGARES-BASELINE'!$B:$I,8,FALSE)</f>
        <v>01031126</v>
      </c>
      <c r="F3861" s="6" t="str">
        <f t="shared" si="130"/>
        <v>0103112601</v>
      </c>
    </row>
    <row r="3862" spans="1:6" x14ac:dyDescent="0.3">
      <c r="A3862" s="6" t="s">
        <v>3862</v>
      </c>
      <c r="B3862">
        <v>8722562</v>
      </c>
      <c r="C3862" s="3">
        <v>1</v>
      </c>
      <c r="D3862" s="5" t="str">
        <f t="shared" si="131"/>
        <v>01</v>
      </c>
      <c r="E3862" t="str">
        <f>VLOOKUP(B3862,'HOGARES-BASELINE'!$B:$I,8,FALSE)</f>
        <v>00031127</v>
      </c>
      <c r="F3862" s="6" t="str">
        <f t="shared" si="130"/>
        <v>0003112701</v>
      </c>
    </row>
    <row r="3863" spans="1:6" x14ac:dyDescent="0.3">
      <c r="A3863" s="6" t="s">
        <v>3863</v>
      </c>
      <c r="B3863">
        <v>8724214</v>
      </c>
      <c r="C3863" s="3">
        <v>1</v>
      </c>
      <c r="D3863" s="5" t="str">
        <f t="shared" si="131"/>
        <v>01</v>
      </c>
      <c r="E3863" t="str">
        <f>VLOOKUP(B3863,'HOGARES-BASELINE'!$B:$I,8,FALSE)</f>
        <v>01031128</v>
      </c>
      <c r="F3863" s="6" t="str">
        <f t="shared" si="130"/>
        <v>0103112801</v>
      </c>
    </row>
    <row r="3864" spans="1:6" x14ac:dyDescent="0.3">
      <c r="A3864" s="6" t="s">
        <v>3864</v>
      </c>
      <c r="B3864">
        <v>8732595</v>
      </c>
      <c r="C3864" s="3">
        <v>2</v>
      </c>
      <c r="D3864" s="5" t="str">
        <f t="shared" si="131"/>
        <v>02</v>
      </c>
      <c r="E3864" t="str">
        <f>VLOOKUP(B3864,'HOGARES-BASELINE'!$B:$I,8,FALSE)</f>
        <v>00031129</v>
      </c>
      <c r="F3864" s="6" t="str">
        <f t="shared" si="130"/>
        <v>0003112902</v>
      </c>
    </row>
    <row r="3865" spans="1:6" x14ac:dyDescent="0.3">
      <c r="A3865" s="6" t="s">
        <v>3865</v>
      </c>
      <c r="B3865">
        <v>8732595</v>
      </c>
      <c r="C3865" s="3">
        <v>1</v>
      </c>
      <c r="D3865" s="5" t="str">
        <f t="shared" si="131"/>
        <v>01</v>
      </c>
      <c r="E3865" t="str">
        <f>VLOOKUP(B3865,'HOGARES-BASELINE'!$B:$I,8,FALSE)</f>
        <v>00031129</v>
      </c>
      <c r="F3865" s="6" t="str">
        <f t="shared" si="130"/>
        <v>0003112901</v>
      </c>
    </row>
    <row r="3866" spans="1:6" x14ac:dyDescent="0.3">
      <c r="A3866" s="6" t="s">
        <v>3866</v>
      </c>
      <c r="B3866">
        <v>8734568</v>
      </c>
      <c r="C3866" s="3">
        <v>2</v>
      </c>
      <c r="D3866" s="5" t="str">
        <f t="shared" si="131"/>
        <v>02</v>
      </c>
      <c r="E3866" t="str">
        <f>VLOOKUP(B3866,'HOGARES-BASELINE'!$B:$I,8,FALSE)</f>
        <v>01031130</v>
      </c>
      <c r="F3866" s="6" t="str">
        <f t="shared" si="130"/>
        <v>0103113002</v>
      </c>
    </row>
    <row r="3867" spans="1:6" x14ac:dyDescent="0.3">
      <c r="A3867" s="6" t="s">
        <v>3867</v>
      </c>
      <c r="B3867">
        <v>8734568</v>
      </c>
      <c r="C3867" s="3">
        <v>1</v>
      </c>
      <c r="D3867" s="5" t="str">
        <f t="shared" si="131"/>
        <v>01</v>
      </c>
      <c r="E3867" t="str">
        <f>VLOOKUP(B3867,'HOGARES-BASELINE'!$B:$I,8,FALSE)</f>
        <v>01031130</v>
      </c>
      <c r="F3867" s="6" t="str">
        <f t="shared" si="130"/>
        <v>0103113001</v>
      </c>
    </row>
    <row r="3868" spans="1:6" x14ac:dyDescent="0.3">
      <c r="A3868" s="6" t="s">
        <v>3868</v>
      </c>
      <c r="B3868">
        <v>8734568</v>
      </c>
      <c r="C3868" s="3">
        <v>3</v>
      </c>
      <c r="D3868" s="5" t="str">
        <f t="shared" si="131"/>
        <v>03</v>
      </c>
      <c r="E3868" t="str">
        <f>VLOOKUP(B3868,'HOGARES-BASELINE'!$B:$I,8,FALSE)</f>
        <v>01031130</v>
      </c>
      <c r="F3868" s="6" t="str">
        <f t="shared" si="130"/>
        <v>0103113003</v>
      </c>
    </row>
    <row r="3869" spans="1:6" x14ac:dyDescent="0.3">
      <c r="A3869" s="6" t="s">
        <v>3869</v>
      </c>
      <c r="B3869">
        <v>8737489</v>
      </c>
      <c r="C3869" s="3">
        <v>1</v>
      </c>
      <c r="D3869" s="5" t="str">
        <f t="shared" si="131"/>
        <v>01</v>
      </c>
      <c r="E3869" t="str">
        <f>VLOOKUP(B3869,'HOGARES-BASELINE'!$B:$I,8,FALSE)</f>
        <v>01031131</v>
      </c>
      <c r="F3869" s="6" t="str">
        <f t="shared" si="130"/>
        <v>0103113101</v>
      </c>
    </row>
    <row r="3870" spans="1:6" x14ac:dyDescent="0.3">
      <c r="A3870" s="6" t="s">
        <v>3870</v>
      </c>
      <c r="B3870">
        <v>8739487</v>
      </c>
      <c r="C3870" s="3">
        <v>1</v>
      </c>
      <c r="D3870" s="5" t="str">
        <f t="shared" si="131"/>
        <v>01</v>
      </c>
      <c r="E3870" t="str">
        <f>VLOOKUP(B3870,'HOGARES-BASELINE'!$B:$I,8,FALSE)</f>
        <v>00031132</v>
      </c>
      <c r="F3870" s="6" t="str">
        <f t="shared" si="130"/>
        <v>0003113201</v>
      </c>
    </row>
    <row r="3871" spans="1:6" x14ac:dyDescent="0.3">
      <c r="A3871" s="6" t="s">
        <v>3871</v>
      </c>
      <c r="B3871">
        <v>8739487</v>
      </c>
      <c r="C3871" s="3">
        <v>2</v>
      </c>
      <c r="D3871" s="5" t="str">
        <f t="shared" si="131"/>
        <v>02</v>
      </c>
      <c r="E3871" t="str">
        <f>VLOOKUP(B3871,'HOGARES-BASELINE'!$B:$I,8,FALSE)</f>
        <v>00031132</v>
      </c>
      <c r="F3871" s="6" t="str">
        <f t="shared" si="130"/>
        <v>0003113202</v>
      </c>
    </row>
    <row r="3872" spans="1:6" x14ac:dyDescent="0.3">
      <c r="A3872" s="6" t="s">
        <v>3872</v>
      </c>
      <c r="B3872">
        <v>87430106</v>
      </c>
      <c r="C3872" s="3">
        <v>1</v>
      </c>
      <c r="D3872" s="5" t="str">
        <f t="shared" si="131"/>
        <v>01</v>
      </c>
      <c r="E3872" t="str">
        <f>VLOOKUP(B3872,'HOGARES-BASELINE'!$B:$I,8,FALSE)</f>
        <v>01021133</v>
      </c>
      <c r="F3872" s="6" t="str">
        <f t="shared" si="130"/>
        <v>0102113301</v>
      </c>
    </row>
    <row r="3873" spans="1:6" x14ac:dyDescent="0.3">
      <c r="A3873" s="6" t="s">
        <v>3873</v>
      </c>
      <c r="B3873">
        <v>8754897</v>
      </c>
      <c r="C3873" s="3">
        <v>1</v>
      </c>
      <c r="D3873" s="5" t="str">
        <f t="shared" si="131"/>
        <v>01</v>
      </c>
      <c r="E3873" t="str">
        <f>VLOOKUP(B3873,'HOGARES-BASELINE'!$B:$I,8,FALSE)</f>
        <v>01031134</v>
      </c>
      <c r="F3873" s="6" t="str">
        <f t="shared" si="130"/>
        <v>0103113401</v>
      </c>
    </row>
    <row r="3874" spans="1:6" x14ac:dyDescent="0.3">
      <c r="A3874" s="6" t="s">
        <v>3874</v>
      </c>
      <c r="B3874">
        <v>8754897</v>
      </c>
      <c r="C3874" s="3">
        <v>2</v>
      </c>
      <c r="D3874" s="5" t="str">
        <f t="shared" si="131"/>
        <v>02</v>
      </c>
      <c r="E3874" t="str">
        <f>VLOOKUP(B3874,'HOGARES-BASELINE'!$B:$I,8,FALSE)</f>
        <v>01031134</v>
      </c>
      <c r="F3874" s="6" t="str">
        <f t="shared" si="130"/>
        <v>0103113402</v>
      </c>
    </row>
    <row r="3875" spans="1:6" x14ac:dyDescent="0.3">
      <c r="A3875" s="6" t="s">
        <v>3875</v>
      </c>
      <c r="B3875">
        <v>87571430</v>
      </c>
      <c r="C3875" s="3">
        <v>1</v>
      </c>
      <c r="D3875" s="5" t="str">
        <f t="shared" si="131"/>
        <v>01</v>
      </c>
      <c r="E3875" t="str">
        <f>VLOOKUP(B3875,'HOGARES-BASELINE'!$B:$I,8,FALSE)</f>
        <v>00021135</v>
      </c>
      <c r="F3875" s="6" t="str">
        <f t="shared" si="130"/>
        <v>0002113501</v>
      </c>
    </row>
    <row r="3876" spans="1:6" x14ac:dyDescent="0.3">
      <c r="A3876" s="6" t="s">
        <v>3876</v>
      </c>
      <c r="B3876">
        <v>8758157</v>
      </c>
      <c r="C3876" s="3">
        <v>5</v>
      </c>
      <c r="D3876" s="5" t="str">
        <f t="shared" si="131"/>
        <v>05</v>
      </c>
      <c r="E3876" t="str">
        <f>VLOOKUP(B3876,'HOGARES-BASELINE'!$B:$I,8,FALSE)</f>
        <v>01031136</v>
      </c>
      <c r="F3876" s="6" t="str">
        <f t="shared" si="130"/>
        <v>0103113605</v>
      </c>
    </row>
    <row r="3877" spans="1:6" x14ac:dyDescent="0.3">
      <c r="A3877" s="6" t="s">
        <v>3877</v>
      </c>
      <c r="B3877">
        <v>8758157</v>
      </c>
      <c r="C3877" s="3">
        <v>3</v>
      </c>
      <c r="D3877" s="5" t="str">
        <f t="shared" si="131"/>
        <v>03</v>
      </c>
      <c r="E3877" t="str">
        <f>VLOOKUP(B3877,'HOGARES-BASELINE'!$B:$I,8,FALSE)</f>
        <v>01031136</v>
      </c>
      <c r="F3877" s="6" t="str">
        <f t="shared" si="130"/>
        <v>0103113603</v>
      </c>
    </row>
    <row r="3878" spans="1:6" x14ac:dyDescent="0.3">
      <c r="A3878" s="6" t="s">
        <v>3878</v>
      </c>
      <c r="B3878">
        <v>8758157</v>
      </c>
      <c r="C3878" s="3">
        <v>4</v>
      </c>
      <c r="D3878" s="5" t="str">
        <f t="shared" si="131"/>
        <v>04</v>
      </c>
      <c r="E3878" t="str">
        <f>VLOOKUP(B3878,'HOGARES-BASELINE'!$B:$I,8,FALSE)</f>
        <v>01031136</v>
      </c>
      <c r="F3878" s="6" t="str">
        <f t="shared" si="130"/>
        <v>0103113604</v>
      </c>
    </row>
    <row r="3879" spans="1:6" x14ac:dyDescent="0.3">
      <c r="A3879" s="6" t="s">
        <v>3879</v>
      </c>
      <c r="B3879">
        <v>8758157</v>
      </c>
      <c r="C3879" s="3">
        <v>2</v>
      </c>
      <c r="D3879" s="5" t="str">
        <f t="shared" si="131"/>
        <v>02</v>
      </c>
      <c r="E3879" t="str">
        <f>VLOOKUP(B3879,'HOGARES-BASELINE'!$B:$I,8,FALSE)</f>
        <v>01031136</v>
      </c>
      <c r="F3879" s="6" t="str">
        <f t="shared" si="130"/>
        <v>0103113602</v>
      </c>
    </row>
    <row r="3880" spans="1:6" x14ac:dyDescent="0.3">
      <c r="A3880" s="6" t="s">
        <v>3880</v>
      </c>
      <c r="B3880">
        <v>8758157</v>
      </c>
      <c r="C3880" s="3">
        <v>1</v>
      </c>
      <c r="D3880" s="5" t="str">
        <f t="shared" si="131"/>
        <v>01</v>
      </c>
      <c r="E3880" t="str">
        <f>VLOOKUP(B3880,'HOGARES-BASELINE'!$B:$I,8,FALSE)</f>
        <v>01031136</v>
      </c>
      <c r="F3880" s="6" t="str">
        <f t="shared" si="130"/>
        <v>0103113601</v>
      </c>
    </row>
    <row r="3881" spans="1:6" x14ac:dyDescent="0.3">
      <c r="A3881" s="6" t="s">
        <v>3881</v>
      </c>
      <c r="B3881">
        <v>8775124</v>
      </c>
      <c r="C3881" s="3">
        <v>2</v>
      </c>
      <c r="D3881" s="5" t="str">
        <f t="shared" si="131"/>
        <v>02</v>
      </c>
      <c r="E3881" t="str">
        <f>VLOOKUP(B3881,'HOGARES-BASELINE'!$B:$I,8,FALSE)</f>
        <v>00031137</v>
      </c>
      <c r="F3881" s="6" t="str">
        <f t="shared" si="130"/>
        <v>0003113702</v>
      </c>
    </row>
    <row r="3882" spans="1:6" x14ac:dyDescent="0.3">
      <c r="A3882" s="6" t="s">
        <v>3882</v>
      </c>
      <c r="B3882">
        <v>8775124</v>
      </c>
      <c r="C3882" s="3">
        <v>3</v>
      </c>
      <c r="D3882" s="5" t="str">
        <f t="shared" si="131"/>
        <v>03</v>
      </c>
      <c r="E3882" t="str">
        <f>VLOOKUP(B3882,'HOGARES-BASELINE'!$B:$I,8,FALSE)</f>
        <v>00031137</v>
      </c>
      <c r="F3882" s="6" t="str">
        <f t="shared" si="130"/>
        <v>0003113703</v>
      </c>
    </row>
    <row r="3883" spans="1:6" x14ac:dyDescent="0.3">
      <c r="A3883" s="6" t="s">
        <v>3883</v>
      </c>
      <c r="B3883">
        <v>8775124</v>
      </c>
      <c r="C3883" s="3">
        <v>1</v>
      </c>
      <c r="D3883" s="5" t="str">
        <f t="shared" si="131"/>
        <v>01</v>
      </c>
      <c r="E3883" t="str">
        <f>VLOOKUP(B3883,'HOGARES-BASELINE'!$B:$I,8,FALSE)</f>
        <v>00031137</v>
      </c>
      <c r="F3883" s="6" t="str">
        <f t="shared" si="130"/>
        <v>0003113701</v>
      </c>
    </row>
    <row r="3884" spans="1:6" x14ac:dyDescent="0.3">
      <c r="A3884" s="6" t="s">
        <v>3884</v>
      </c>
      <c r="B3884">
        <v>8779085</v>
      </c>
      <c r="C3884" s="3">
        <v>1</v>
      </c>
      <c r="D3884" s="5" t="str">
        <f t="shared" si="131"/>
        <v>01</v>
      </c>
      <c r="E3884" t="str">
        <f>VLOOKUP(B3884,'HOGARES-BASELINE'!$B:$I,8,FALSE)</f>
        <v>01031138</v>
      </c>
      <c r="F3884" s="6" t="str">
        <f t="shared" si="130"/>
        <v>0103113801</v>
      </c>
    </row>
    <row r="3885" spans="1:6" x14ac:dyDescent="0.3">
      <c r="A3885" s="6" t="s">
        <v>3885</v>
      </c>
      <c r="B3885">
        <v>8793580</v>
      </c>
      <c r="C3885" s="3">
        <v>5</v>
      </c>
      <c r="D3885" s="5" t="str">
        <f t="shared" si="131"/>
        <v>05</v>
      </c>
      <c r="E3885" t="str">
        <f>VLOOKUP(B3885,'HOGARES-BASELINE'!$B:$I,8,FALSE)</f>
        <v>00031139</v>
      </c>
      <c r="F3885" s="6" t="str">
        <f t="shared" si="130"/>
        <v>0003113905</v>
      </c>
    </row>
    <row r="3886" spans="1:6" x14ac:dyDescent="0.3">
      <c r="A3886" s="6" t="s">
        <v>3886</v>
      </c>
      <c r="B3886">
        <v>8793580</v>
      </c>
      <c r="C3886" s="3">
        <v>1</v>
      </c>
      <c r="D3886" s="5" t="str">
        <f t="shared" si="131"/>
        <v>01</v>
      </c>
      <c r="E3886" t="str">
        <f>VLOOKUP(B3886,'HOGARES-BASELINE'!$B:$I,8,FALSE)</f>
        <v>00031139</v>
      </c>
      <c r="F3886" s="6" t="str">
        <f t="shared" si="130"/>
        <v>0003113901</v>
      </c>
    </row>
    <row r="3887" spans="1:6" x14ac:dyDescent="0.3">
      <c r="A3887" s="6" t="s">
        <v>3887</v>
      </c>
      <c r="B3887">
        <v>8793580</v>
      </c>
      <c r="C3887" s="3">
        <v>2</v>
      </c>
      <c r="D3887" s="5" t="str">
        <f t="shared" si="131"/>
        <v>02</v>
      </c>
      <c r="E3887" t="str">
        <f>VLOOKUP(B3887,'HOGARES-BASELINE'!$B:$I,8,FALSE)</f>
        <v>00031139</v>
      </c>
      <c r="F3887" s="6" t="str">
        <f t="shared" si="130"/>
        <v>0003113902</v>
      </c>
    </row>
    <row r="3888" spans="1:6" x14ac:dyDescent="0.3">
      <c r="A3888" s="6" t="s">
        <v>3888</v>
      </c>
      <c r="B3888">
        <v>8793580</v>
      </c>
      <c r="C3888" s="3">
        <v>3</v>
      </c>
      <c r="D3888" s="5" t="str">
        <f t="shared" si="131"/>
        <v>03</v>
      </c>
      <c r="E3888" t="str">
        <f>VLOOKUP(B3888,'HOGARES-BASELINE'!$B:$I,8,FALSE)</f>
        <v>00031139</v>
      </c>
      <c r="F3888" s="6" t="str">
        <f t="shared" si="130"/>
        <v>0003113903</v>
      </c>
    </row>
    <row r="3889" spans="1:6" x14ac:dyDescent="0.3">
      <c r="A3889" s="6" t="s">
        <v>3889</v>
      </c>
      <c r="B3889">
        <v>8793580</v>
      </c>
      <c r="C3889" s="3">
        <v>4</v>
      </c>
      <c r="D3889" s="5" t="str">
        <f t="shared" si="131"/>
        <v>04</v>
      </c>
      <c r="E3889" t="str">
        <f>VLOOKUP(B3889,'HOGARES-BASELINE'!$B:$I,8,FALSE)</f>
        <v>00031139</v>
      </c>
      <c r="F3889" s="6" t="str">
        <f t="shared" si="130"/>
        <v>0003113904</v>
      </c>
    </row>
    <row r="3890" spans="1:6" x14ac:dyDescent="0.3">
      <c r="A3890" s="6" t="s">
        <v>3890</v>
      </c>
      <c r="B3890">
        <v>8799243</v>
      </c>
      <c r="C3890" s="3">
        <v>3</v>
      </c>
      <c r="D3890" s="5" t="str">
        <f t="shared" si="131"/>
        <v>03</v>
      </c>
      <c r="E3890" t="str">
        <f>VLOOKUP(B3890,'HOGARES-BASELINE'!$B:$I,8,FALSE)</f>
        <v>01031140</v>
      </c>
      <c r="F3890" s="6" t="str">
        <f t="shared" si="130"/>
        <v>0103114003</v>
      </c>
    </row>
    <row r="3891" spans="1:6" x14ac:dyDescent="0.3">
      <c r="A3891" s="6" t="s">
        <v>3891</v>
      </c>
      <c r="B3891">
        <v>8799243</v>
      </c>
      <c r="C3891" s="3">
        <v>2</v>
      </c>
      <c r="D3891" s="5" t="str">
        <f t="shared" si="131"/>
        <v>02</v>
      </c>
      <c r="E3891" t="str">
        <f>VLOOKUP(B3891,'HOGARES-BASELINE'!$B:$I,8,FALSE)</f>
        <v>01031140</v>
      </c>
      <c r="F3891" s="6" t="str">
        <f t="shared" si="130"/>
        <v>0103114002</v>
      </c>
    </row>
    <row r="3892" spans="1:6" x14ac:dyDescent="0.3">
      <c r="A3892" s="6" t="s">
        <v>3892</v>
      </c>
      <c r="B3892">
        <v>8799243</v>
      </c>
      <c r="C3892" s="3">
        <v>1</v>
      </c>
      <c r="D3892" s="5" t="str">
        <f t="shared" si="131"/>
        <v>01</v>
      </c>
      <c r="E3892" t="str">
        <f>VLOOKUP(B3892,'HOGARES-BASELINE'!$B:$I,8,FALSE)</f>
        <v>01031140</v>
      </c>
      <c r="F3892" s="6" t="str">
        <f t="shared" si="130"/>
        <v>0103114001</v>
      </c>
    </row>
    <row r="3893" spans="1:6" x14ac:dyDescent="0.3">
      <c r="A3893" s="6" t="s">
        <v>3893</v>
      </c>
      <c r="B3893">
        <v>8799243</v>
      </c>
      <c r="C3893" s="3">
        <v>4</v>
      </c>
      <c r="D3893" s="5" t="str">
        <f t="shared" si="131"/>
        <v>04</v>
      </c>
      <c r="E3893" t="str">
        <f>VLOOKUP(B3893,'HOGARES-BASELINE'!$B:$I,8,FALSE)</f>
        <v>01031140</v>
      </c>
      <c r="F3893" s="6" t="str">
        <f t="shared" si="130"/>
        <v>0103114004</v>
      </c>
    </row>
    <row r="3894" spans="1:6" x14ac:dyDescent="0.3">
      <c r="A3894" s="6" t="s">
        <v>3894</v>
      </c>
      <c r="B3894">
        <v>9110860</v>
      </c>
      <c r="C3894" s="3">
        <v>1</v>
      </c>
      <c r="D3894" s="5" t="str">
        <f t="shared" si="131"/>
        <v>01</v>
      </c>
      <c r="E3894" t="str">
        <f>VLOOKUP(B3894,'HOGARES-BASELINE'!$B:$I,8,FALSE)</f>
        <v>00011141</v>
      </c>
      <c r="F3894" s="6" t="str">
        <f t="shared" si="130"/>
        <v>0001114101</v>
      </c>
    </row>
    <row r="3895" spans="1:6" x14ac:dyDescent="0.3">
      <c r="A3895" s="6" t="s">
        <v>3895</v>
      </c>
      <c r="B3895">
        <v>9142652</v>
      </c>
      <c r="C3895" s="3">
        <v>3</v>
      </c>
      <c r="D3895" s="5" t="str">
        <f t="shared" si="131"/>
        <v>03</v>
      </c>
      <c r="E3895" t="str">
        <f>VLOOKUP(B3895,'HOGARES-BASELINE'!$B:$I,8,FALSE)</f>
        <v>00011142</v>
      </c>
      <c r="F3895" s="6" t="str">
        <f t="shared" si="130"/>
        <v>0001114203</v>
      </c>
    </row>
    <row r="3896" spans="1:6" x14ac:dyDescent="0.3">
      <c r="A3896" s="6" t="s">
        <v>3896</v>
      </c>
      <c r="B3896">
        <v>9142652</v>
      </c>
      <c r="C3896" s="3">
        <v>1</v>
      </c>
      <c r="D3896" s="5" t="str">
        <f t="shared" si="131"/>
        <v>01</v>
      </c>
      <c r="E3896" t="str">
        <f>VLOOKUP(B3896,'HOGARES-BASELINE'!$B:$I,8,FALSE)</f>
        <v>00011142</v>
      </c>
      <c r="F3896" s="6" t="str">
        <f t="shared" si="130"/>
        <v>0001114201</v>
      </c>
    </row>
    <row r="3897" spans="1:6" x14ac:dyDescent="0.3">
      <c r="A3897" s="6" t="s">
        <v>3897</v>
      </c>
      <c r="B3897">
        <v>9142652</v>
      </c>
      <c r="C3897" s="3">
        <v>2</v>
      </c>
      <c r="D3897" s="5" t="str">
        <f t="shared" si="131"/>
        <v>02</v>
      </c>
      <c r="E3897" t="str">
        <f>VLOOKUP(B3897,'HOGARES-BASELINE'!$B:$I,8,FALSE)</f>
        <v>00011142</v>
      </c>
      <c r="F3897" s="6" t="str">
        <f t="shared" si="130"/>
        <v>0001114202</v>
      </c>
    </row>
    <row r="3898" spans="1:6" x14ac:dyDescent="0.3">
      <c r="A3898" s="6" t="s">
        <v>3898</v>
      </c>
      <c r="B3898">
        <v>94061999</v>
      </c>
      <c r="C3898" s="3">
        <v>2</v>
      </c>
      <c r="D3898" s="5" t="str">
        <f t="shared" si="131"/>
        <v>02</v>
      </c>
      <c r="E3898" t="str">
        <f>VLOOKUP(B3898,'HOGARES-BASELINE'!$B:$I,8,FALSE)</f>
        <v>00021143</v>
      </c>
      <c r="F3898" s="6" t="str">
        <f t="shared" si="130"/>
        <v>0002114302</v>
      </c>
    </row>
    <row r="3899" spans="1:6" x14ac:dyDescent="0.3">
      <c r="A3899" s="6" t="s">
        <v>3899</v>
      </c>
      <c r="B3899">
        <v>94061999</v>
      </c>
      <c r="C3899" s="3">
        <v>1</v>
      </c>
      <c r="D3899" s="5" t="str">
        <f t="shared" si="131"/>
        <v>01</v>
      </c>
      <c r="E3899" t="str">
        <f>VLOOKUP(B3899,'HOGARES-BASELINE'!$B:$I,8,FALSE)</f>
        <v>00021143</v>
      </c>
      <c r="F3899" s="6" t="str">
        <f t="shared" si="130"/>
        <v>0002114301</v>
      </c>
    </row>
    <row r="3900" spans="1:6" x14ac:dyDescent="0.3">
      <c r="A3900" s="6" t="s">
        <v>3900</v>
      </c>
      <c r="B3900">
        <v>94063123</v>
      </c>
      <c r="C3900" s="3">
        <v>1</v>
      </c>
      <c r="D3900" s="5" t="str">
        <f t="shared" si="131"/>
        <v>01</v>
      </c>
      <c r="E3900" t="str">
        <f>VLOOKUP(B3900,'HOGARES-BASELINE'!$B:$I,8,FALSE)</f>
        <v>00021144</v>
      </c>
      <c r="F3900" s="6" t="str">
        <f t="shared" si="130"/>
        <v>0002114401</v>
      </c>
    </row>
    <row r="3901" spans="1:6" x14ac:dyDescent="0.3">
      <c r="A3901" s="6" t="s">
        <v>3901</v>
      </c>
      <c r="B3901">
        <v>94191300</v>
      </c>
      <c r="C3901" s="3">
        <v>3</v>
      </c>
      <c r="D3901" s="5" t="str">
        <f t="shared" si="131"/>
        <v>03</v>
      </c>
      <c r="E3901" t="str">
        <f>VLOOKUP(B3901,'HOGARES-BASELINE'!$B:$I,8,FALSE)</f>
        <v>00021145</v>
      </c>
      <c r="F3901" s="6" t="str">
        <f t="shared" si="130"/>
        <v>0002114503</v>
      </c>
    </row>
    <row r="3902" spans="1:6" x14ac:dyDescent="0.3">
      <c r="A3902" s="6" t="s">
        <v>3902</v>
      </c>
      <c r="B3902">
        <v>94191300</v>
      </c>
      <c r="C3902" s="3">
        <v>1</v>
      </c>
      <c r="D3902" s="5" t="str">
        <f t="shared" si="131"/>
        <v>01</v>
      </c>
      <c r="E3902" t="str">
        <f>VLOOKUP(B3902,'HOGARES-BASELINE'!$B:$I,8,FALSE)</f>
        <v>00021145</v>
      </c>
      <c r="F3902" s="6" t="str">
        <f t="shared" si="130"/>
        <v>0002114501</v>
      </c>
    </row>
    <row r="3903" spans="1:6" x14ac:dyDescent="0.3">
      <c r="A3903" s="6" t="s">
        <v>3903</v>
      </c>
      <c r="B3903">
        <v>94191300</v>
      </c>
      <c r="C3903" s="3">
        <v>2</v>
      </c>
      <c r="D3903" s="5" t="str">
        <f t="shared" si="131"/>
        <v>02</v>
      </c>
      <c r="E3903" t="str">
        <f>VLOOKUP(B3903,'HOGARES-BASELINE'!$B:$I,8,FALSE)</f>
        <v>00021145</v>
      </c>
      <c r="F3903" s="6" t="str">
        <f t="shared" si="130"/>
        <v>0002114502</v>
      </c>
    </row>
    <row r="3904" spans="1:6" x14ac:dyDescent="0.3">
      <c r="A3904" s="6" t="s">
        <v>3904</v>
      </c>
      <c r="B3904">
        <v>94225090</v>
      </c>
      <c r="C3904" s="3">
        <v>3</v>
      </c>
      <c r="D3904" s="5" t="str">
        <f t="shared" si="131"/>
        <v>03</v>
      </c>
      <c r="E3904" t="str">
        <f>VLOOKUP(B3904,'HOGARES-BASELINE'!$B:$I,8,FALSE)</f>
        <v>01021146</v>
      </c>
      <c r="F3904" s="6" t="str">
        <f t="shared" si="130"/>
        <v>0102114603</v>
      </c>
    </row>
    <row r="3905" spans="1:6" x14ac:dyDescent="0.3">
      <c r="A3905" s="6" t="s">
        <v>3905</v>
      </c>
      <c r="B3905">
        <v>94225090</v>
      </c>
      <c r="C3905" s="3">
        <v>1</v>
      </c>
      <c r="D3905" s="5" t="str">
        <f t="shared" si="131"/>
        <v>01</v>
      </c>
      <c r="E3905" t="str">
        <f>VLOOKUP(B3905,'HOGARES-BASELINE'!$B:$I,8,FALSE)</f>
        <v>01021146</v>
      </c>
      <c r="F3905" s="6" t="str">
        <f t="shared" si="130"/>
        <v>0102114601</v>
      </c>
    </row>
    <row r="3906" spans="1:6" x14ac:dyDescent="0.3">
      <c r="A3906" s="6" t="s">
        <v>3906</v>
      </c>
      <c r="B3906">
        <v>94225090</v>
      </c>
      <c r="C3906" s="3">
        <v>2</v>
      </c>
      <c r="D3906" s="5" t="str">
        <f t="shared" si="131"/>
        <v>02</v>
      </c>
      <c r="E3906" t="str">
        <f>VLOOKUP(B3906,'HOGARES-BASELINE'!$B:$I,8,FALSE)</f>
        <v>01021146</v>
      </c>
      <c r="F3906" s="6" t="str">
        <f t="shared" si="130"/>
        <v>0102114602</v>
      </c>
    </row>
    <row r="3907" spans="1:6" x14ac:dyDescent="0.3">
      <c r="A3907" s="6" t="s">
        <v>3907</v>
      </c>
      <c r="B3907">
        <v>94374533</v>
      </c>
      <c r="C3907" s="3">
        <v>1</v>
      </c>
      <c r="D3907" s="5" t="str">
        <f t="shared" si="131"/>
        <v>01</v>
      </c>
      <c r="E3907" t="str">
        <f>VLOOKUP(B3907,'HOGARES-BASELINE'!$B:$I,8,FALSE)</f>
        <v>00021147</v>
      </c>
      <c r="F3907" s="6" t="str">
        <f t="shared" ref="F3907:F3945" si="132">_xlfn.CONCAT(E3907,D3907)</f>
        <v>0002114701</v>
      </c>
    </row>
    <row r="3908" spans="1:6" x14ac:dyDescent="0.3">
      <c r="A3908" s="6" t="s">
        <v>3908</v>
      </c>
      <c r="B3908">
        <v>94402421</v>
      </c>
      <c r="C3908" s="3">
        <v>1</v>
      </c>
      <c r="D3908" s="5" t="str">
        <f t="shared" si="131"/>
        <v>01</v>
      </c>
      <c r="E3908" t="str">
        <f>VLOOKUP(B3908,'HOGARES-BASELINE'!$B:$I,8,FALSE)</f>
        <v>00021148</v>
      </c>
      <c r="F3908" s="6" t="str">
        <f t="shared" si="132"/>
        <v>0002114801</v>
      </c>
    </row>
    <row r="3909" spans="1:6" x14ac:dyDescent="0.3">
      <c r="A3909" s="6" t="s">
        <v>3909</v>
      </c>
      <c r="B3909">
        <v>94403143</v>
      </c>
      <c r="C3909" s="3">
        <v>1</v>
      </c>
      <c r="D3909" s="5" t="str">
        <f t="shared" si="131"/>
        <v>01</v>
      </c>
      <c r="E3909" t="str">
        <f>VLOOKUP(B3909,'HOGARES-BASELINE'!$B:$I,8,FALSE)</f>
        <v>00021149</v>
      </c>
      <c r="F3909" s="6" t="str">
        <f t="shared" si="132"/>
        <v>0002114901</v>
      </c>
    </row>
    <row r="3910" spans="1:6" x14ac:dyDescent="0.3">
      <c r="A3910" s="6" t="s">
        <v>3910</v>
      </c>
      <c r="B3910">
        <v>94403143</v>
      </c>
      <c r="C3910" s="3">
        <v>2</v>
      </c>
      <c r="D3910" s="5" t="str">
        <f t="shared" si="131"/>
        <v>02</v>
      </c>
      <c r="E3910" t="str">
        <f>VLOOKUP(B3910,'HOGARES-BASELINE'!$B:$I,8,FALSE)</f>
        <v>00021149</v>
      </c>
      <c r="F3910" s="6" t="str">
        <f t="shared" si="132"/>
        <v>0002114902</v>
      </c>
    </row>
    <row r="3911" spans="1:6" x14ac:dyDescent="0.3">
      <c r="A3911" s="6" t="s">
        <v>3911</v>
      </c>
      <c r="B3911">
        <v>94427227</v>
      </c>
      <c r="C3911" s="3">
        <v>5</v>
      </c>
      <c r="D3911" s="5" t="str">
        <f t="shared" ref="D3911:D3945" si="133">_xlfn.CONCAT(0,C3911)</f>
        <v>05</v>
      </c>
      <c r="E3911" t="str">
        <f>VLOOKUP(B3911,'HOGARES-BASELINE'!$B:$I,8,FALSE)</f>
        <v>00021150</v>
      </c>
      <c r="F3911" s="6" t="str">
        <f t="shared" si="132"/>
        <v>0002115005</v>
      </c>
    </row>
    <row r="3912" spans="1:6" x14ac:dyDescent="0.3">
      <c r="A3912" s="6" t="s">
        <v>3912</v>
      </c>
      <c r="B3912">
        <v>94427227</v>
      </c>
      <c r="C3912" s="3">
        <v>4</v>
      </c>
      <c r="D3912" s="5" t="str">
        <f t="shared" si="133"/>
        <v>04</v>
      </c>
      <c r="E3912" t="str">
        <f>VLOOKUP(B3912,'HOGARES-BASELINE'!$B:$I,8,FALSE)</f>
        <v>00021150</v>
      </c>
      <c r="F3912" s="6" t="str">
        <f t="shared" si="132"/>
        <v>0002115004</v>
      </c>
    </row>
    <row r="3913" spans="1:6" x14ac:dyDescent="0.3">
      <c r="A3913" s="6" t="s">
        <v>3913</v>
      </c>
      <c r="B3913">
        <v>94427227</v>
      </c>
      <c r="C3913" s="3">
        <v>2</v>
      </c>
      <c r="D3913" s="5" t="str">
        <f t="shared" si="133"/>
        <v>02</v>
      </c>
      <c r="E3913" t="str">
        <f>VLOOKUP(B3913,'HOGARES-BASELINE'!$B:$I,8,FALSE)</f>
        <v>00021150</v>
      </c>
      <c r="F3913" s="6" t="str">
        <f t="shared" si="132"/>
        <v>0002115002</v>
      </c>
    </row>
    <row r="3914" spans="1:6" x14ac:dyDescent="0.3">
      <c r="A3914" s="6" t="s">
        <v>3914</v>
      </c>
      <c r="B3914">
        <v>94427227</v>
      </c>
      <c r="C3914" s="3">
        <v>1</v>
      </c>
      <c r="D3914" s="5" t="str">
        <f t="shared" si="133"/>
        <v>01</v>
      </c>
      <c r="E3914" t="str">
        <f>VLOOKUP(B3914,'HOGARES-BASELINE'!$B:$I,8,FALSE)</f>
        <v>00021150</v>
      </c>
      <c r="F3914" s="6" t="str">
        <f t="shared" si="132"/>
        <v>0002115001</v>
      </c>
    </row>
    <row r="3915" spans="1:6" x14ac:dyDescent="0.3">
      <c r="A3915" s="6" t="s">
        <v>3915</v>
      </c>
      <c r="B3915">
        <v>94427227</v>
      </c>
      <c r="C3915" s="3">
        <v>3</v>
      </c>
      <c r="D3915" s="5" t="str">
        <f t="shared" si="133"/>
        <v>03</v>
      </c>
      <c r="E3915" t="str">
        <f>VLOOKUP(B3915,'HOGARES-BASELINE'!$B:$I,8,FALSE)</f>
        <v>00021150</v>
      </c>
      <c r="F3915" s="6" t="str">
        <f t="shared" si="132"/>
        <v>0002115003</v>
      </c>
    </row>
    <row r="3916" spans="1:6" x14ac:dyDescent="0.3">
      <c r="A3916" s="6" t="s">
        <v>3916</v>
      </c>
      <c r="B3916">
        <v>94459917</v>
      </c>
      <c r="C3916" s="3">
        <v>4</v>
      </c>
      <c r="D3916" s="5" t="str">
        <f t="shared" si="133"/>
        <v>04</v>
      </c>
      <c r="E3916" t="str">
        <f>VLOOKUP(B3916,'HOGARES-BASELINE'!$B:$I,8,FALSE)</f>
        <v>01021151</v>
      </c>
      <c r="F3916" s="6" t="str">
        <f t="shared" si="132"/>
        <v>0102115104</v>
      </c>
    </row>
    <row r="3917" spans="1:6" x14ac:dyDescent="0.3">
      <c r="A3917" s="6" t="s">
        <v>3917</v>
      </c>
      <c r="B3917">
        <v>94459917</v>
      </c>
      <c r="C3917" s="3">
        <v>2</v>
      </c>
      <c r="D3917" s="5" t="str">
        <f t="shared" si="133"/>
        <v>02</v>
      </c>
      <c r="E3917" t="str">
        <f>VLOOKUP(B3917,'HOGARES-BASELINE'!$B:$I,8,FALSE)</f>
        <v>01021151</v>
      </c>
      <c r="F3917" s="6" t="str">
        <f t="shared" si="132"/>
        <v>0102115102</v>
      </c>
    </row>
    <row r="3918" spans="1:6" x14ac:dyDescent="0.3">
      <c r="A3918" s="6" t="s">
        <v>3918</v>
      </c>
      <c r="B3918">
        <v>94459917</v>
      </c>
      <c r="C3918" s="3">
        <v>3</v>
      </c>
      <c r="D3918" s="5" t="str">
        <f t="shared" si="133"/>
        <v>03</v>
      </c>
      <c r="E3918" t="str">
        <f>VLOOKUP(B3918,'HOGARES-BASELINE'!$B:$I,8,FALSE)</f>
        <v>01021151</v>
      </c>
      <c r="F3918" s="6" t="str">
        <f t="shared" si="132"/>
        <v>0102115103</v>
      </c>
    </row>
    <row r="3919" spans="1:6" x14ac:dyDescent="0.3">
      <c r="A3919" s="6" t="s">
        <v>3919</v>
      </c>
      <c r="B3919">
        <v>94459917</v>
      </c>
      <c r="C3919" s="3">
        <v>1</v>
      </c>
      <c r="D3919" s="5" t="str">
        <f t="shared" si="133"/>
        <v>01</v>
      </c>
      <c r="E3919" t="str">
        <f>VLOOKUP(B3919,'HOGARES-BASELINE'!$B:$I,8,FALSE)</f>
        <v>01021151</v>
      </c>
      <c r="F3919" s="6" t="str">
        <f t="shared" si="132"/>
        <v>0102115101</v>
      </c>
    </row>
    <row r="3920" spans="1:6" x14ac:dyDescent="0.3">
      <c r="A3920" s="6" t="s">
        <v>3920</v>
      </c>
      <c r="B3920">
        <v>94494784</v>
      </c>
      <c r="C3920" s="3">
        <v>1</v>
      </c>
      <c r="D3920" s="5" t="str">
        <f t="shared" si="133"/>
        <v>01</v>
      </c>
      <c r="E3920" t="str">
        <f>VLOOKUP(B3920,'HOGARES-BASELINE'!$B:$I,8,FALSE)</f>
        <v>01021152</v>
      </c>
      <c r="F3920" s="6" t="str">
        <f t="shared" si="132"/>
        <v>0102115201</v>
      </c>
    </row>
    <row r="3921" spans="1:6" x14ac:dyDescent="0.3">
      <c r="A3921" s="6" t="s">
        <v>3921</v>
      </c>
      <c r="B3921">
        <v>94501681</v>
      </c>
      <c r="C3921" s="3">
        <v>1</v>
      </c>
      <c r="D3921" s="5" t="str">
        <f t="shared" si="133"/>
        <v>01</v>
      </c>
      <c r="E3921" t="str">
        <f>VLOOKUP(B3921,'HOGARES-BASELINE'!$B:$I,8,FALSE)</f>
        <v>00021153</v>
      </c>
      <c r="F3921" s="6" t="str">
        <f t="shared" si="132"/>
        <v>0002115301</v>
      </c>
    </row>
    <row r="3922" spans="1:6" x14ac:dyDescent="0.3">
      <c r="A3922" s="6" t="s">
        <v>3922</v>
      </c>
      <c r="B3922">
        <v>94503264</v>
      </c>
      <c r="C3922" s="3">
        <v>2</v>
      </c>
      <c r="D3922" s="5" t="str">
        <f t="shared" si="133"/>
        <v>02</v>
      </c>
      <c r="E3922" t="str">
        <f>VLOOKUP(B3922,'HOGARES-BASELINE'!$B:$I,8,FALSE)</f>
        <v>00021154</v>
      </c>
      <c r="F3922" s="6" t="str">
        <f t="shared" si="132"/>
        <v>0002115402</v>
      </c>
    </row>
    <row r="3923" spans="1:6" x14ac:dyDescent="0.3">
      <c r="A3923" s="6" t="s">
        <v>3923</v>
      </c>
      <c r="B3923">
        <v>94503264</v>
      </c>
      <c r="C3923" s="3">
        <v>1</v>
      </c>
      <c r="D3923" s="5" t="str">
        <f t="shared" si="133"/>
        <v>01</v>
      </c>
      <c r="E3923" t="str">
        <f>VLOOKUP(B3923,'HOGARES-BASELINE'!$B:$I,8,FALSE)</f>
        <v>00021154</v>
      </c>
      <c r="F3923" s="6" t="str">
        <f t="shared" si="132"/>
        <v>0002115401</v>
      </c>
    </row>
    <row r="3924" spans="1:6" x14ac:dyDescent="0.3">
      <c r="A3924" s="6" t="s">
        <v>3924</v>
      </c>
      <c r="B3924">
        <v>94513261</v>
      </c>
      <c r="C3924" s="3">
        <v>1</v>
      </c>
      <c r="D3924" s="5" t="str">
        <f t="shared" si="133"/>
        <v>01</v>
      </c>
      <c r="E3924" t="str">
        <f>VLOOKUP(B3924,'HOGARES-BASELINE'!$B:$I,8,FALSE)</f>
        <v>01021155</v>
      </c>
      <c r="F3924" s="6" t="str">
        <f t="shared" si="132"/>
        <v>0102115501</v>
      </c>
    </row>
    <row r="3925" spans="1:6" x14ac:dyDescent="0.3">
      <c r="A3925" s="6" t="s">
        <v>3925</v>
      </c>
      <c r="B3925">
        <v>94528503</v>
      </c>
      <c r="C3925" s="3">
        <v>1</v>
      </c>
      <c r="D3925" s="5" t="str">
        <f t="shared" si="133"/>
        <v>01</v>
      </c>
      <c r="E3925" t="str">
        <f>VLOOKUP(B3925,'HOGARES-BASELINE'!$B:$I,8,FALSE)</f>
        <v>00021156</v>
      </c>
      <c r="F3925" s="6" t="str">
        <f t="shared" si="132"/>
        <v>0002115601</v>
      </c>
    </row>
    <row r="3926" spans="1:6" x14ac:dyDescent="0.3">
      <c r="A3926" s="6" t="s">
        <v>3926</v>
      </c>
      <c r="B3926">
        <v>94528503</v>
      </c>
      <c r="C3926" s="3">
        <v>3</v>
      </c>
      <c r="D3926" s="5" t="str">
        <f t="shared" si="133"/>
        <v>03</v>
      </c>
      <c r="E3926" t="str">
        <f>VLOOKUP(B3926,'HOGARES-BASELINE'!$B:$I,8,FALSE)</f>
        <v>00021156</v>
      </c>
      <c r="F3926" s="6" t="str">
        <f t="shared" si="132"/>
        <v>0002115603</v>
      </c>
    </row>
    <row r="3927" spans="1:6" x14ac:dyDescent="0.3">
      <c r="A3927" s="6" t="s">
        <v>3927</v>
      </c>
      <c r="B3927">
        <v>94528503</v>
      </c>
      <c r="C3927" s="3">
        <v>2</v>
      </c>
      <c r="D3927" s="5" t="str">
        <f t="shared" si="133"/>
        <v>02</v>
      </c>
      <c r="E3927" t="str">
        <f>VLOOKUP(B3927,'HOGARES-BASELINE'!$B:$I,8,FALSE)</f>
        <v>00021156</v>
      </c>
      <c r="F3927" s="6" t="str">
        <f t="shared" si="132"/>
        <v>0002115602</v>
      </c>
    </row>
    <row r="3928" spans="1:6" x14ac:dyDescent="0.3">
      <c r="A3928" s="6" t="s">
        <v>3928</v>
      </c>
      <c r="B3928">
        <v>94534343</v>
      </c>
      <c r="C3928" s="3">
        <v>1</v>
      </c>
      <c r="D3928" s="5" t="str">
        <f t="shared" si="133"/>
        <v>01</v>
      </c>
      <c r="E3928" t="str">
        <f>VLOOKUP(B3928,'HOGARES-BASELINE'!$B:$I,8,FALSE)</f>
        <v>00021157</v>
      </c>
      <c r="F3928" s="6" t="str">
        <f t="shared" si="132"/>
        <v>0002115701</v>
      </c>
    </row>
    <row r="3929" spans="1:6" x14ac:dyDescent="0.3">
      <c r="A3929" s="6" t="s">
        <v>3929</v>
      </c>
      <c r="B3929">
        <v>94534343</v>
      </c>
      <c r="C3929" s="3">
        <v>2</v>
      </c>
      <c r="D3929" s="5" t="str">
        <f t="shared" si="133"/>
        <v>02</v>
      </c>
      <c r="E3929" t="str">
        <f>VLOOKUP(B3929,'HOGARES-BASELINE'!$B:$I,8,FALSE)</f>
        <v>00021157</v>
      </c>
      <c r="F3929" s="6" t="str">
        <f t="shared" si="132"/>
        <v>0002115702</v>
      </c>
    </row>
    <row r="3930" spans="1:6" x14ac:dyDescent="0.3">
      <c r="A3930" s="6" t="s">
        <v>3930</v>
      </c>
      <c r="B3930">
        <v>94537823</v>
      </c>
      <c r="C3930" s="3">
        <v>4</v>
      </c>
      <c r="D3930" s="5" t="str">
        <f t="shared" si="133"/>
        <v>04</v>
      </c>
      <c r="E3930" t="str">
        <f>VLOOKUP(B3930,'HOGARES-BASELINE'!$B:$I,8,FALSE)</f>
        <v>00021158</v>
      </c>
      <c r="F3930" s="6" t="str">
        <f t="shared" si="132"/>
        <v>0002115804</v>
      </c>
    </row>
    <row r="3931" spans="1:6" x14ac:dyDescent="0.3">
      <c r="A3931" s="6" t="s">
        <v>3931</v>
      </c>
      <c r="B3931">
        <v>94537823</v>
      </c>
      <c r="C3931" s="3">
        <v>1</v>
      </c>
      <c r="D3931" s="5" t="str">
        <f t="shared" si="133"/>
        <v>01</v>
      </c>
      <c r="E3931" t="str">
        <f>VLOOKUP(B3931,'HOGARES-BASELINE'!$B:$I,8,FALSE)</f>
        <v>00021158</v>
      </c>
      <c r="F3931" s="6" t="str">
        <f t="shared" si="132"/>
        <v>0002115801</v>
      </c>
    </row>
    <row r="3932" spans="1:6" x14ac:dyDescent="0.3">
      <c r="A3932" s="6" t="s">
        <v>3932</v>
      </c>
      <c r="B3932">
        <v>94537823</v>
      </c>
      <c r="C3932" s="3">
        <v>2</v>
      </c>
      <c r="D3932" s="5" t="str">
        <f t="shared" si="133"/>
        <v>02</v>
      </c>
      <c r="E3932" t="str">
        <f>VLOOKUP(B3932,'HOGARES-BASELINE'!$B:$I,8,FALSE)</f>
        <v>00021158</v>
      </c>
      <c r="F3932" s="6" t="str">
        <f t="shared" si="132"/>
        <v>0002115802</v>
      </c>
    </row>
    <row r="3933" spans="1:6" x14ac:dyDescent="0.3">
      <c r="A3933" s="6" t="s">
        <v>3933</v>
      </c>
      <c r="B3933">
        <v>94537823</v>
      </c>
      <c r="C3933" s="3">
        <v>5</v>
      </c>
      <c r="D3933" s="5" t="str">
        <f t="shared" si="133"/>
        <v>05</v>
      </c>
      <c r="E3933" t="str">
        <f>VLOOKUP(B3933,'HOGARES-BASELINE'!$B:$I,8,FALSE)</f>
        <v>00021158</v>
      </c>
      <c r="F3933" s="6" t="str">
        <f t="shared" si="132"/>
        <v>0002115805</v>
      </c>
    </row>
    <row r="3934" spans="1:6" x14ac:dyDescent="0.3">
      <c r="A3934" s="6" t="s">
        <v>3934</v>
      </c>
      <c r="B3934">
        <v>94537823</v>
      </c>
      <c r="C3934" s="3">
        <v>3</v>
      </c>
      <c r="D3934" s="5" t="str">
        <f t="shared" si="133"/>
        <v>03</v>
      </c>
      <c r="E3934" t="str">
        <f>VLOOKUP(B3934,'HOGARES-BASELINE'!$B:$I,8,FALSE)</f>
        <v>00021158</v>
      </c>
      <c r="F3934" s="6" t="str">
        <f t="shared" si="132"/>
        <v>0002115803</v>
      </c>
    </row>
    <row r="3935" spans="1:6" x14ac:dyDescent="0.3">
      <c r="A3935" s="6" t="s">
        <v>3935</v>
      </c>
      <c r="B3935">
        <v>94540935</v>
      </c>
      <c r="C3935" s="3">
        <v>1</v>
      </c>
      <c r="D3935" s="5" t="str">
        <f t="shared" si="133"/>
        <v>01</v>
      </c>
      <c r="E3935" t="str">
        <f>VLOOKUP(B3935,'HOGARES-BASELINE'!$B:$I,8,FALSE)</f>
        <v>01021159</v>
      </c>
      <c r="F3935" s="6" t="str">
        <f t="shared" si="132"/>
        <v>0102115901</v>
      </c>
    </row>
    <row r="3936" spans="1:6" x14ac:dyDescent="0.3">
      <c r="A3936" s="6" t="s">
        <v>3936</v>
      </c>
      <c r="B3936">
        <v>94540935</v>
      </c>
      <c r="C3936" s="3">
        <v>2</v>
      </c>
      <c r="D3936" s="5" t="str">
        <f t="shared" si="133"/>
        <v>02</v>
      </c>
      <c r="E3936" t="str">
        <f>VLOOKUP(B3936,'HOGARES-BASELINE'!$B:$I,8,FALSE)</f>
        <v>01021159</v>
      </c>
      <c r="F3936" s="6" t="str">
        <f t="shared" si="132"/>
        <v>0102115902</v>
      </c>
    </row>
    <row r="3937" spans="1:6" x14ac:dyDescent="0.3">
      <c r="A3937" s="6" t="s">
        <v>3937</v>
      </c>
      <c r="B3937">
        <v>94550202</v>
      </c>
      <c r="C3937" s="3">
        <v>3</v>
      </c>
      <c r="D3937" s="5" t="str">
        <f t="shared" si="133"/>
        <v>03</v>
      </c>
      <c r="E3937" t="str">
        <f>VLOOKUP(B3937,'HOGARES-BASELINE'!$B:$I,8,FALSE)</f>
        <v>01021160</v>
      </c>
      <c r="F3937" s="6" t="str">
        <f t="shared" si="132"/>
        <v>0102116003</v>
      </c>
    </row>
    <row r="3938" spans="1:6" x14ac:dyDescent="0.3">
      <c r="A3938" s="6" t="s">
        <v>3938</v>
      </c>
      <c r="B3938">
        <v>94550202</v>
      </c>
      <c r="C3938" s="3">
        <v>1</v>
      </c>
      <c r="D3938" s="5" t="str">
        <f t="shared" si="133"/>
        <v>01</v>
      </c>
      <c r="E3938" t="str">
        <f>VLOOKUP(B3938,'HOGARES-BASELINE'!$B:$I,8,FALSE)</f>
        <v>01021160</v>
      </c>
      <c r="F3938" s="6" t="str">
        <f t="shared" si="132"/>
        <v>0102116001</v>
      </c>
    </row>
    <row r="3939" spans="1:6" x14ac:dyDescent="0.3">
      <c r="A3939" s="6" t="s">
        <v>3939</v>
      </c>
      <c r="B3939">
        <v>94550202</v>
      </c>
      <c r="C3939" s="3">
        <v>2</v>
      </c>
      <c r="D3939" s="5" t="str">
        <f t="shared" si="133"/>
        <v>02</v>
      </c>
      <c r="E3939" t="str">
        <f>VLOOKUP(B3939,'HOGARES-BASELINE'!$B:$I,8,FALSE)</f>
        <v>01021160</v>
      </c>
      <c r="F3939" s="6" t="str">
        <f t="shared" si="132"/>
        <v>0102116002</v>
      </c>
    </row>
    <row r="3940" spans="1:6" x14ac:dyDescent="0.3">
      <c r="A3940" s="6" t="s">
        <v>3940</v>
      </c>
      <c r="B3940">
        <v>9825002</v>
      </c>
      <c r="C3940" s="3">
        <v>1</v>
      </c>
      <c r="D3940" s="5" t="str">
        <f t="shared" si="133"/>
        <v>01</v>
      </c>
      <c r="E3940" t="str">
        <f>VLOOKUP(B3940,'HOGARES-BASELINE'!$B:$I,8,FALSE)</f>
        <v>00021161</v>
      </c>
      <c r="F3940" s="6" t="str">
        <f t="shared" si="132"/>
        <v>0002116101</v>
      </c>
    </row>
    <row r="3941" spans="1:6" x14ac:dyDescent="0.3">
      <c r="A3941" s="6" t="s">
        <v>3941</v>
      </c>
      <c r="B3941">
        <v>9825002</v>
      </c>
      <c r="C3941" s="3">
        <v>2</v>
      </c>
      <c r="D3941" s="5" t="str">
        <f t="shared" si="133"/>
        <v>02</v>
      </c>
      <c r="E3941" t="str">
        <f>VLOOKUP(B3941,'HOGARES-BASELINE'!$B:$I,8,FALSE)</f>
        <v>00021161</v>
      </c>
      <c r="F3941" s="6" t="str">
        <f t="shared" si="132"/>
        <v>0002116102</v>
      </c>
    </row>
    <row r="3942" spans="1:6" x14ac:dyDescent="0.3">
      <c r="A3942" s="6" t="s">
        <v>3942</v>
      </c>
      <c r="B3942">
        <v>98638636</v>
      </c>
      <c r="C3942" s="3">
        <v>2</v>
      </c>
      <c r="D3942" s="5" t="str">
        <f t="shared" si="133"/>
        <v>02</v>
      </c>
      <c r="E3942" t="str">
        <f>VLOOKUP(B3942,'HOGARES-BASELINE'!$B:$I,8,FALSE)</f>
        <v>01011162</v>
      </c>
      <c r="F3942" s="6" t="str">
        <f t="shared" si="132"/>
        <v>0101116202</v>
      </c>
    </row>
    <row r="3943" spans="1:6" x14ac:dyDescent="0.3">
      <c r="A3943" s="6" t="s">
        <v>3943</v>
      </c>
      <c r="B3943">
        <v>98638636</v>
      </c>
      <c r="C3943" s="3">
        <v>3</v>
      </c>
      <c r="D3943" s="5" t="str">
        <f t="shared" si="133"/>
        <v>03</v>
      </c>
      <c r="E3943" t="str">
        <f>VLOOKUP(B3943,'HOGARES-BASELINE'!$B:$I,8,FALSE)</f>
        <v>01011162</v>
      </c>
      <c r="F3943" s="6" t="str">
        <f t="shared" si="132"/>
        <v>0101116203</v>
      </c>
    </row>
    <row r="3944" spans="1:6" x14ac:dyDescent="0.3">
      <c r="A3944" s="6" t="s">
        <v>3944</v>
      </c>
      <c r="B3944">
        <v>98638636</v>
      </c>
      <c r="C3944" s="3">
        <v>1</v>
      </c>
      <c r="D3944" s="5" t="str">
        <f t="shared" si="133"/>
        <v>01</v>
      </c>
      <c r="E3944" t="str">
        <f>VLOOKUP(B3944,'HOGARES-BASELINE'!$B:$I,8,FALSE)</f>
        <v>01011162</v>
      </c>
      <c r="F3944" s="6" t="str">
        <f t="shared" si="132"/>
        <v>0101116201</v>
      </c>
    </row>
    <row r="3945" spans="1:6" x14ac:dyDescent="0.3">
      <c r="A3945" s="6" t="s">
        <v>3945</v>
      </c>
      <c r="B3945">
        <v>98657538</v>
      </c>
      <c r="C3945" s="3">
        <v>1</v>
      </c>
      <c r="D3945" s="5" t="str">
        <f t="shared" si="133"/>
        <v>01</v>
      </c>
      <c r="E3945" t="str">
        <f>VLOOKUP(B3945,'HOGARES-BASELINE'!$B:$I,8,FALSE)</f>
        <v>00011163</v>
      </c>
      <c r="F3945" s="6" t="str">
        <f t="shared" si="132"/>
        <v>0001116301</v>
      </c>
    </row>
  </sheetData>
  <autoFilter ref="A1:F3945" xr:uid="{EA7E57C1-4371-4AA4-A06B-58909C205DFC}"/>
  <conditionalFormatting sqref="A1:F1">
    <cfRule type="containsText" dxfId="5" priority="3" operator="containsText" text="SOSPECHOSO">
      <formula>NOT(ISERROR(SEARCH("SOSPECHOSO",A1)))</formula>
    </cfRule>
    <cfRule type="containsText" dxfId="4" priority="4" operator="containsText" text="CORRECTO">
      <formula>NOT(ISERROR(SEARCH("CORRECTO",A1)))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E88B-2C61-4FC8-A714-9661AE7F012B}">
  <dimension ref="A1:B1095"/>
  <sheetViews>
    <sheetView workbookViewId="0">
      <selection activeCell="C1" sqref="C1:C1048576"/>
    </sheetView>
  </sheetViews>
  <sheetFormatPr baseColWidth="10" defaultRowHeight="14.4" x14ac:dyDescent="0.3"/>
  <cols>
    <col min="1" max="2" width="11.5546875" style="6"/>
  </cols>
  <sheetData>
    <row r="1" spans="1:2" x14ac:dyDescent="0.3">
      <c r="A1" s="1" t="s">
        <v>0</v>
      </c>
      <c r="B1" s="1" t="s">
        <v>3946</v>
      </c>
    </row>
    <row r="2" spans="1:2" x14ac:dyDescent="0.3">
      <c r="A2" s="6">
        <v>670254</v>
      </c>
      <c r="B2" s="6" t="str">
        <f>VLOOKUP(A2,'HOGARES-BASELINE'!$B:$I,8,FALSE)</f>
        <v>01011005</v>
      </c>
    </row>
    <row r="3" spans="1:2" x14ac:dyDescent="0.3">
      <c r="A3" s="6">
        <v>761321</v>
      </c>
      <c r="B3" s="6" t="str">
        <f>VLOOKUP(A3,'HOGARES-BASELINE'!$B:$I,8,FALSE)</f>
        <v>01011096</v>
      </c>
    </row>
    <row r="4" spans="1:2" x14ac:dyDescent="0.3">
      <c r="A4" s="6">
        <v>832608</v>
      </c>
      <c r="B4" s="6" t="str">
        <f>VLOOKUP(A4,'HOGARES-BASELINE'!$B:$I,8,FALSE)</f>
        <v>01031108</v>
      </c>
    </row>
    <row r="5" spans="1:2" x14ac:dyDescent="0.3">
      <c r="A5" s="6">
        <v>1381356</v>
      </c>
      <c r="B5" s="6" t="str">
        <f>VLOOKUP(A5,'HOGARES-BASELINE'!$B:$I,8,FALSE)</f>
        <v>01020260</v>
      </c>
    </row>
    <row r="6" spans="1:2" x14ac:dyDescent="0.3">
      <c r="A6" s="6">
        <v>1522015</v>
      </c>
      <c r="B6" s="6" t="str">
        <f>VLOOKUP(A6,'HOGARES-BASELINE'!$B:$I,8,FALSE)</f>
        <v>00020270</v>
      </c>
    </row>
    <row r="7" spans="1:2" x14ac:dyDescent="0.3">
      <c r="A7" s="6">
        <v>1586059</v>
      </c>
      <c r="B7" s="6" t="str">
        <f>VLOOKUP(A7,'HOGARES-BASELINE'!$B:$I,8,FALSE)</f>
        <v>01020272</v>
      </c>
    </row>
    <row r="8" spans="1:2" x14ac:dyDescent="0.3">
      <c r="A8" s="6">
        <v>1747298</v>
      </c>
      <c r="B8" s="6" t="str">
        <f>VLOOKUP(A8,'HOGARES-BASELINE'!$B:$I,8,FALSE)</f>
        <v>00030303</v>
      </c>
    </row>
    <row r="9" spans="1:2" x14ac:dyDescent="0.3">
      <c r="A9" s="6">
        <v>2272778</v>
      </c>
      <c r="B9" s="6" t="str">
        <f>VLOOKUP(A9,'HOGARES-BASELINE'!$B:$I,8,FALSE)</f>
        <v>00020430</v>
      </c>
    </row>
    <row r="10" spans="1:2" x14ac:dyDescent="0.3">
      <c r="A10" s="6">
        <v>2680456</v>
      </c>
      <c r="B10" s="6" t="str">
        <f>VLOOKUP(A10,'HOGARES-BASELINE'!$B:$I,8,FALSE)</f>
        <v>00020472</v>
      </c>
    </row>
    <row r="11" spans="1:2" x14ac:dyDescent="0.3">
      <c r="A11" s="6">
        <v>2699661</v>
      </c>
      <c r="B11" s="6" t="str">
        <f>VLOOKUP(A11,'HOGARES-BASELINE'!$B:$I,8,FALSE)</f>
        <v>01020473</v>
      </c>
    </row>
    <row r="12" spans="1:2" x14ac:dyDescent="0.3">
      <c r="A12" s="6">
        <v>2775711</v>
      </c>
      <c r="B12" s="6" t="str">
        <f>VLOOKUP(A12,'HOGARES-BASELINE'!$B:$I,8,FALSE)</f>
        <v>00010476</v>
      </c>
    </row>
    <row r="13" spans="1:2" x14ac:dyDescent="0.3">
      <c r="A13" s="6">
        <v>3430889</v>
      </c>
      <c r="B13" s="6" t="str">
        <f>VLOOKUP(A13,'HOGARES-BASELINE'!$B:$I,8,FALSE)</f>
        <v>00010733</v>
      </c>
    </row>
    <row r="14" spans="1:2" x14ac:dyDescent="0.3">
      <c r="A14" s="6">
        <v>3445785</v>
      </c>
      <c r="B14" s="6" t="str">
        <f>VLOOKUP(A14,'HOGARES-BASELINE'!$B:$I,8,FALSE)</f>
        <v>00010735</v>
      </c>
    </row>
    <row r="15" spans="1:2" x14ac:dyDescent="0.3">
      <c r="A15" s="6">
        <v>3569578</v>
      </c>
      <c r="B15" s="6" t="str">
        <f>VLOOKUP(A15,'HOGARES-BASELINE'!$B:$I,8,FALSE)</f>
        <v>01010743</v>
      </c>
    </row>
    <row r="16" spans="1:2" x14ac:dyDescent="0.3">
      <c r="A16" s="6">
        <v>3575338</v>
      </c>
      <c r="B16" s="6" t="str">
        <f>VLOOKUP(A16,'HOGARES-BASELINE'!$B:$I,8,FALSE)</f>
        <v>01010744</v>
      </c>
    </row>
    <row r="17" spans="1:2" x14ac:dyDescent="0.3">
      <c r="A17" s="6">
        <v>3774099</v>
      </c>
      <c r="B17" s="6" t="str">
        <f>VLOOKUP(A17,'HOGARES-BASELINE'!$B:$I,8,FALSE)</f>
        <v>00030751</v>
      </c>
    </row>
    <row r="18" spans="1:2" x14ac:dyDescent="0.3">
      <c r="A18" s="6">
        <v>4335238</v>
      </c>
      <c r="B18" s="6" t="str">
        <f>VLOOKUP(A18,'HOGARES-BASELINE'!$B:$I,8,FALSE)</f>
        <v>01020849</v>
      </c>
    </row>
    <row r="19" spans="1:2" x14ac:dyDescent="0.3">
      <c r="A19" s="6">
        <v>4698774</v>
      </c>
      <c r="B19" s="6" t="str">
        <f>VLOOKUP(A19,'HOGARES-BASELINE'!$B:$I,8,FALSE)</f>
        <v>01020934</v>
      </c>
    </row>
    <row r="20" spans="1:2" x14ac:dyDescent="0.3">
      <c r="A20" s="6">
        <v>4698828</v>
      </c>
      <c r="B20" s="6" t="str">
        <f>VLOOKUP(A20,'HOGARES-BASELINE'!$B:$I,8,FALSE)</f>
        <v>00020935</v>
      </c>
    </row>
    <row r="21" spans="1:2" x14ac:dyDescent="0.3">
      <c r="A21" s="6">
        <v>4721794</v>
      </c>
      <c r="B21" s="6" t="str">
        <f>VLOOKUP(A21,'HOGARES-BASELINE'!$B:$I,8,FALSE)</f>
        <v>01020936</v>
      </c>
    </row>
    <row r="22" spans="1:2" x14ac:dyDescent="0.3">
      <c r="A22" s="6">
        <v>4995718</v>
      </c>
      <c r="B22" s="6" t="str">
        <f>VLOOKUP(A22,'HOGARES-BASELINE'!$B:$I,8,FALSE)</f>
        <v>00030943</v>
      </c>
    </row>
    <row r="23" spans="1:2" x14ac:dyDescent="0.3">
      <c r="A23" s="6">
        <v>5122512</v>
      </c>
      <c r="B23" s="6" t="str">
        <f>VLOOKUP(A23,'HOGARES-BASELINE'!$B:$I,8,FALSE)</f>
        <v>01030945</v>
      </c>
    </row>
    <row r="24" spans="1:2" x14ac:dyDescent="0.3">
      <c r="A24" s="6">
        <v>5217736</v>
      </c>
      <c r="B24" s="6" t="str">
        <f>VLOOKUP(A24,'HOGARES-BASELINE'!$B:$I,8,FALSE)</f>
        <v>01020947</v>
      </c>
    </row>
    <row r="25" spans="1:2" x14ac:dyDescent="0.3">
      <c r="A25" s="6">
        <v>6307220</v>
      </c>
      <c r="B25" s="6" t="str">
        <f>VLOOKUP(A25,'HOGARES-BASELINE'!$B:$I,8,FALSE)</f>
        <v>01020957</v>
      </c>
    </row>
    <row r="26" spans="1:2" x14ac:dyDescent="0.3">
      <c r="A26" s="6">
        <v>7411480</v>
      </c>
      <c r="B26" s="6" t="str">
        <f>VLOOKUP(A26,'HOGARES-BASELINE'!$B:$I,8,FALSE)</f>
        <v>00031081</v>
      </c>
    </row>
    <row r="27" spans="1:2" x14ac:dyDescent="0.3">
      <c r="A27" s="6">
        <v>7420358</v>
      </c>
      <c r="B27" s="6" t="str">
        <f>VLOOKUP(A27,'HOGARES-BASELINE'!$B:$I,8,FALSE)</f>
        <v>00031082</v>
      </c>
    </row>
    <row r="28" spans="1:2" x14ac:dyDescent="0.3">
      <c r="A28" s="6">
        <v>7435553</v>
      </c>
      <c r="B28" s="6" t="str">
        <f>VLOOKUP(A28,'HOGARES-BASELINE'!$B:$I,8,FALSE)</f>
        <v>00031083</v>
      </c>
    </row>
    <row r="29" spans="1:2" x14ac:dyDescent="0.3">
      <c r="A29" s="6">
        <v>7438297</v>
      </c>
      <c r="B29" s="6" t="str">
        <f>VLOOKUP(A29,'HOGARES-BASELINE'!$B:$I,8,FALSE)</f>
        <v>00031084</v>
      </c>
    </row>
    <row r="30" spans="1:2" x14ac:dyDescent="0.3">
      <c r="A30" s="6">
        <v>7444585</v>
      </c>
      <c r="B30" s="6" t="str">
        <f>VLOOKUP(A30,'HOGARES-BASELINE'!$B:$I,8,FALSE)</f>
        <v>01031085</v>
      </c>
    </row>
    <row r="31" spans="1:2" x14ac:dyDescent="0.3">
      <c r="A31" s="6">
        <v>7447628</v>
      </c>
      <c r="B31" s="6" t="str">
        <f>VLOOKUP(A31,'HOGARES-BASELINE'!$B:$I,8,FALSE)</f>
        <v>00031086</v>
      </c>
    </row>
    <row r="32" spans="1:2" x14ac:dyDescent="0.3">
      <c r="A32" s="6">
        <v>7454371</v>
      </c>
      <c r="B32" s="6" t="str">
        <f>VLOOKUP(A32,'HOGARES-BASELINE'!$B:$I,8,FALSE)</f>
        <v>01031087</v>
      </c>
    </row>
    <row r="33" spans="1:2" x14ac:dyDescent="0.3">
      <c r="A33" s="6">
        <v>7459447</v>
      </c>
      <c r="B33" s="6" t="str">
        <f>VLOOKUP(A33,'HOGARES-BASELINE'!$B:$I,8,FALSE)</f>
        <v>00031088</v>
      </c>
    </row>
    <row r="34" spans="1:2" x14ac:dyDescent="0.3">
      <c r="A34" s="6">
        <v>7460942</v>
      </c>
      <c r="B34" s="6" t="str">
        <f>VLOOKUP(A34,'HOGARES-BASELINE'!$B:$I,8,FALSE)</f>
        <v>00031089</v>
      </c>
    </row>
    <row r="35" spans="1:2" x14ac:dyDescent="0.3">
      <c r="A35" s="6">
        <v>7471998</v>
      </c>
      <c r="B35" s="6" t="str">
        <f>VLOOKUP(A35,'HOGARES-BASELINE'!$B:$I,8,FALSE)</f>
        <v>00031090</v>
      </c>
    </row>
    <row r="36" spans="1:2" x14ac:dyDescent="0.3">
      <c r="A36" s="6">
        <v>7473926</v>
      </c>
      <c r="B36" s="6" t="str">
        <f>VLOOKUP(A36,'HOGARES-BASELINE'!$B:$I,8,FALSE)</f>
        <v>00031091</v>
      </c>
    </row>
    <row r="37" spans="1:2" x14ac:dyDescent="0.3">
      <c r="A37" s="6">
        <v>7474428</v>
      </c>
      <c r="B37" s="6" t="str">
        <f>VLOOKUP(A37,'HOGARES-BASELINE'!$B:$I,8,FALSE)</f>
        <v>01031092</v>
      </c>
    </row>
    <row r="38" spans="1:2" x14ac:dyDescent="0.3">
      <c r="A38" s="6">
        <v>7476537</v>
      </c>
      <c r="B38" s="6" t="str">
        <f>VLOOKUP(A38,'HOGARES-BASELINE'!$B:$I,8,FALSE)</f>
        <v>01031093</v>
      </c>
    </row>
    <row r="39" spans="1:2" x14ac:dyDescent="0.3">
      <c r="A39" s="6">
        <v>7476784</v>
      </c>
      <c r="B39" s="6" t="str">
        <f>VLOOKUP(A39,'HOGARES-BASELINE'!$B:$I,8,FALSE)</f>
        <v>01031094</v>
      </c>
    </row>
    <row r="40" spans="1:2" x14ac:dyDescent="0.3">
      <c r="A40" s="6">
        <v>7884262</v>
      </c>
      <c r="B40" s="6" t="str">
        <f>VLOOKUP(A40,'HOGARES-BASELINE'!$B:$I,8,FALSE)</f>
        <v>00011103</v>
      </c>
    </row>
    <row r="41" spans="1:2" x14ac:dyDescent="0.3">
      <c r="A41" s="6">
        <v>8299054</v>
      </c>
      <c r="B41" s="6" t="str">
        <f>VLOOKUP(A41,'HOGARES-BASELINE'!$B:$I,8,FALSE)</f>
        <v>00011105</v>
      </c>
    </row>
    <row r="42" spans="1:2" x14ac:dyDescent="0.3">
      <c r="A42" s="6">
        <v>8316734</v>
      </c>
      <c r="B42" s="6" t="str">
        <f>VLOOKUP(A42,'HOGARES-BASELINE'!$B:$I,8,FALSE)</f>
        <v>00011107</v>
      </c>
    </row>
    <row r="43" spans="1:2" x14ac:dyDescent="0.3">
      <c r="A43" s="6">
        <v>8371433</v>
      </c>
      <c r="B43" s="6" t="str">
        <f>VLOOKUP(A43,'HOGARES-BASELINE'!$B:$I,8,FALSE)</f>
        <v>00011109</v>
      </c>
    </row>
    <row r="44" spans="1:2" x14ac:dyDescent="0.3">
      <c r="A44" s="6">
        <v>8538228</v>
      </c>
      <c r="B44" s="6" t="str">
        <f>VLOOKUP(A44,'HOGARES-BASELINE'!$B:$I,8,FALSE)</f>
        <v>00031110</v>
      </c>
    </row>
    <row r="45" spans="1:2" x14ac:dyDescent="0.3">
      <c r="A45" s="6">
        <v>8661897</v>
      </c>
      <c r="B45" s="6" t="str">
        <f>VLOOKUP(A45,'HOGARES-BASELINE'!$B:$I,8,FALSE)</f>
        <v>00031111</v>
      </c>
    </row>
    <row r="46" spans="1:2" x14ac:dyDescent="0.3">
      <c r="A46" s="6">
        <v>8663792</v>
      </c>
      <c r="B46" s="6" t="str">
        <f>VLOOKUP(A46,'HOGARES-BASELINE'!$B:$I,8,FALSE)</f>
        <v>00031112</v>
      </c>
    </row>
    <row r="47" spans="1:2" x14ac:dyDescent="0.3">
      <c r="A47" s="6">
        <v>8664032</v>
      </c>
      <c r="B47" s="6" t="str">
        <f>VLOOKUP(A47,'HOGARES-BASELINE'!$B:$I,8,FALSE)</f>
        <v>01031113</v>
      </c>
    </row>
    <row r="48" spans="1:2" x14ac:dyDescent="0.3">
      <c r="A48" s="6">
        <v>8668925</v>
      </c>
      <c r="B48" s="6" t="str">
        <f>VLOOKUP(A48,'HOGARES-BASELINE'!$B:$I,8,FALSE)</f>
        <v>00031114</v>
      </c>
    </row>
    <row r="49" spans="1:2" x14ac:dyDescent="0.3">
      <c r="A49" s="6">
        <v>8675682</v>
      </c>
      <c r="B49" s="6" t="str">
        <f>VLOOKUP(A49,'HOGARES-BASELINE'!$B:$I,8,FALSE)</f>
        <v>00031116</v>
      </c>
    </row>
    <row r="50" spans="1:2" x14ac:dyDescent="0.3">
      <c r="A50" s="6">
        <v>8681506</v>
      </c>
      <c r="B50" s="6" t="str">
        <f>VLOOKUP(A50,'HOGARES-BASELINE'!$B:$I,8,FALSE)</f>
        <v>01031117</v>
      </c>
    </row>
    <row r="51" spans="1:2" x14ac:dyDescent="0.3">
      <c r="A51" s="6">
        <v>8686374</v>
      </c>
      <c r="B51" s="6" t="str">
        <f>VLOOKUP(A51,'HOGARES-BASELINE'!$B:$I,8,FALSE)</f>
        <v>01031118</v>
      </c>
    </row>
    <row r="52" spans="1:2" x14ac:dyDescent="0.3">
      <c r="A52" s="6">
        <v>8686397</v>
      </c>
      <c r="B52" s="6" t="str">
        <f>VLOOKUP(A52,'HOGARES-BASELINE'!$B:$I,8,FALSE)</f>
        <v>00031119</v>
      </c>
    </row>
    <row r="53" spans="1:2" x14ac:dyDescent="0.3">
      <c r="A53" s="6">
        <v>8688105</v>
      </c>
      <c r="B53" s="6" t="str">
        <f>VLOOKUP(A53,'HOGARES-BASELINE'!$B:$I,8,FALSE)</f>
        <v>00031120</v>
      </c>
    </row>
    <row r="54" spans="1:2" x14ac:dyDescent="0.3">
      <c r="A54" s="6">
        <v>8695283</v>
      </c>
      <c r="B54" s="6" t="str">
        <f>VLOOKUP(A54,'HOGARES-BASELINE'!$B:$I,8,FALSE)</f>
        <v>00031121</v>
      </c>
    </row>
    <row r="55" spans="1:2" x14ac:dyDescent="0.3">
      <c r="A55" s="6">
        <v>8696703</v>
      </c>
      <c r="B55" s="6" t="str">
        <f>VLOOKUP(A55,'HOGARES-BASELINE'!$B:$I,8,FALSE)</f>
        <v>00031122</v>
      </c>
    </row>
    <row r="56" spans="1:2" x14ac:dyDescent="0.3">
      <c r="A56" s="6">
        <v>8704553</v>
      </c>
      <c r="B56" s="6" t="str">
        <f>VLOOKUP(A56,'HOGARES-BASELINE'!$B:$I,8,FALSE)</f>
        <v>00031123</v>
      </c>
    </row>
    <row r="57" spans="1:2" x14ac:dyDescent="0.3">
      <c r="A57" s="6">
        <v>8706854</v>
      </c>
      <c r="B57" s="6" t="str">
        <f>VLOOKUP(A57,'HOGARES-BASELINE'!$B:$I,8,FALSE)</f>
        <v>00031124</v>
      </c>
    </row>
    <row r="58" spans="1:2" x14ac:dyDescent="0.3">
      <c r="A58" s="6">
        <v>8722562</v>
      </c>
      <c r="B58" s="6" t="str">
        <f>VLOOKUP(A58,'HOGARES-BASELINE'!$B:$I,8,FALSE)</f>
        <v>00031127</v>
      </c>
    </row>
    <row r="59" spans="1:2" x14ac:dyDescent="0.3">
      <c r="A59" s="6">
        <v>8724214</v>
      </c>
      <c r="B59" s="6" t="str">
        <f>VLOOKUP(A59,'HOGARES-BASELINE'!$B:$I,8,FALSE)</f>
        <v>01031128</v>
      </c>
    </row>
    <row r="60" spans="1:2" x14ac:dyDescent="0.3">
      <c r="A60" s="6">
        <v>8732595</v>
      </c>
      <c r="B60" s="6" t="str">
        <f>VLOOKUP(A60,'HOGARES-BASELINE'!$B:$I,8,FALSE)</f>
        <v>00031129</v>
      </c>
    </row>
    <row r="61" spans="1:2" x14ac:dyDescent="0.3">
      <c r="A61" s="6">
        <v>8734568</v>
      </c>
      <c r="B61" s="6" t="str">
        <f>VLOOKUP(A61,'HOGARES-BASELINE'!$B:$I,8,FALSE)</f>
        <v>01031130</v>
      </c>
    </row>
    <row r="62" spans="1:2" x14ac:dyDescent="0.3">
      <c r="A62" s="6">
        <v>8737489</v>
      </c>
      <c r="B62" s="6" t="str">
        <f>VLOOKUP(A62,'HOGARES-BASELINE'!$B:$I,8,FALSE)</f>
        <v>01031131</v>
      </c>
    </row>
    <row r="63" spans="1:2" x14ac:dyDescent="0.3">
      <c r="A63" s="6">
        <v>8739487</v>
      </c>
      <c r="B63" s="6" t="str">
        <f>VLOOKUP(A63,'HOGARES-BASELINE'!$B:$I,8,FALSE)</f>
        <v>00031132</v>
      </c>
    </row>
    <row r="64" spans="1:2" x14ac:dyDescent="0.3">
      <c r="A64" s="6">
        <v>8754897</v>
      </c>
      <c r="B64" s="6" t="str">
        <f>VLOOKUP(A64,'HOGARES-BASELINE'!$B:$I,8,FALSE)</f>
        <v>01031134</v>
      </c>
    </row>
    <row r="65" spans="1:2" x14ac:dyDescent="0.3">
      <c r="A65" s="6">
        <v>8758157</v>
      </c>
      <c r="B65" s="6" t="str">
        <f>VLOOKUP(A65,'HOGARES-BASELINE'!$B:$I,8,FALSE)</f>
        <v>01031136</v>
      </c>
    </row>
    <row r="66" spans="1:2" x14ac:dyDescent="0.3">
      <c r="A66" s="6">
        <v>8775124</v>
      </c>
      <c r="B66" s="6" t="str">
        <f>VLOOKUP(A66,'HOGARES-BASELINE'!$B:$I,8,FALSE)</f>
        <v>00031137</v>
      </c>
    </row>
    <row r="67" spans="1:2" x14ac:dyDescent="0.3">
      <c r="A67" s="6">
        <v>8779085</v>
      </c>
      <c r="B67" s="6" t="str">
        <f>VLOOKUP(A67,'HOGARES-BASELINE'!$B:$I,8,FALSE)</f>
        <v>01031138</v>
      </c>
    </row>
    <row r="68" spans="1:2" x14ac:dyDescent="0.3">
      <c r="A68" s="6">
        <v>8793580</v>
      </c>
      <c r="B68" s="6" t="str">
        <f>VLOOKUP(A68,'HOGARES-BASELINE'!$B:$I,8,FALSE)</f>
        <v>00031139</v>
      </c>
    </row>
    <row r="69" spans="1:2" x14ac:dyDescent="0.3">
      <c r="A69" s="6">
        <v>8799243</v>
      </c>
      <c r="B69" s="6" t="str">
        <f>VLOOKUP(A69,'HOGARES-BASELINE'!$B:$I,8,FALSE)</f>
        <v>01031140</v>
      </c>
    </row>
    <row r="70" spans="1:2" x14ac:dyDescent="0.3">
      <c r="A70" s="6">
        <v>9142652</v>
      </c>
      <c r="B70" s="6" t="str">
        <f>VLOOKUP(A70,'HOGARES-BASELINE'!$B:$I,8,FALSE)</f>
        <v>00011142</v>
      </c>
    </row>
    <row r="71" spans="1:2" x14ac:dyDescent="0.3">
      <c r="A71" s="6">
        <v>9825002</v>
      </c>
      <c r="B71" s="6" t="str">
        <f>VLOOKUP(A71,'HOGARES-BASELINE'!$B:$I,8,FALSE)</f>
        <v>00021161</v>
      </c>
    </row>
    <row r="72" spans="1:2" x14ac:dyDescent="0.3">
      <c r="A72" s="6">
        <v>10068285</v>
      </c>
      <c r="B72" s="6" t="str">
        <f>VLOOKUP(A72,'HOGARES-BASELINE'!$B:$I,8,FALSE)</f>
        <v>00020026</v>
      </c>
    </row>
    <row r="73" spans="1:2" x14ac:dyDescent="0.3">
      <c r="A73" s="6">
        <v>10122125</v>
      </c>
      <c r="B73" s="6" t="str">
        <f>VLOOKUP(A73,'HOGARES-BASELINE'!$B:$I,8,FALSE)</f>
        <v>01030032</v>
      </c>
    </row>
    <row r="74" spans="1:2" x14ac:dyDescent="0.3">
      <c r="A74" s="6">
        <v>10239436</v>
      </c>
      <c r="B74" s="6" t="str">
        <f>VLOOKUP(A74,'HOGARES-BASELINE'!$B:$I,8,FALSE)</f>
        <v>00010058</v>
      </c>
    </row>
    <row r="75" spans="1:2" x14ac:dyDescent="0.3">
      <c r="A75" s="6">
        <v>10375239</v>
      </c>
      <c r="B75" s="6" t="str">
        <f>VLOOKUP(A75,'HOGARES-BASELINE'!$B:$I,8,FALSE)</f>
        <v>01020072</v>
      </c>
    </row>
    <row r="76" spans="1:2" x14ac:dyDescent="0.3">
      <c r="A76" s="6">
        <v>10472271</v>
      </c>
      <c r="B76" s="6" t="str">
        <f>VLOOKUP(A76,'HOGARES-BASELINE'!$B:$I,8,FALSE)</f>
        <v>01020110</v>
      </c>
    </row>
    <row r="77" spans="1:2" x14ac:dyDescent="0.3">
      <c r="A77" s="6">
        <v>10741712</v>
      </c>
      <c r="B77" s="6" t="str">
        <f>VLOOKUP(A77,'HOGARES-BASELINE'!$B:$I,8,FALSE)</f>
        <v>01020123</v>
      </c>
    </row>
    <row r="78" spans="1:2" x14ac:dyDescent="0.3">
      <c r="A78" s="6">
        <v>10885223</v>
      </c>
      <c r="B78" s="6" t="str">
        <f>VLOOKUP(A78,'HOGARES-BASELINE'!$B:$I,8,FALSE)</f>
        <v>00030125</v>
      </c>
    </row>
    <row r="79" spans="1:2" x14ac:dyDescent="0.3">
      <c r="A79" s="6">
        <v>12207323</v>
      </c>
      <c r="B79" s="6" t="str">
        <f>VLOOKUP(A79,'HOGARES-BASELINE'!$B:$I,8,FALSE)</f>
        <v>01020253</v>
      </c>
    </row>
    <row r="80" spans="1:2" x14ac:dyDescent="0.3">
      <c r="A80" s="6">
        <v>12534970</v>
      </c>
      <c r="B80" s="6" t="str">
        <f>VLOOKUP(A80,'HOGARES-BASELINE'!$B:$I,8,FALSE)</f>
        <v>01030254</v>
      </c>
    </row>
    <row r="81" spans="1:2" x14ac:dyDescent="0.3">
      <c r="A81" s="6">
        <v>12549369</v>
      </c>
      <c r="B81" s="6" t="str">
        <f>VLOOKUP(A81,'HOGARES-BASELINE'!$B:$I,8,FALSE)</f>
        <v>01030255</v>
      </c>
    </row>
    <row r="82" spans="1:2" x14ac:dyDescent="0.3">
      <c r="A82" s="6">
        <v>12593159</v>
      </c>
      <c r="B82" s="6" t="str">
        <f>VLOOKUP(A82,'HOGARES-BASELINE'!$B:$I,8,FALSE)</f>
        <v>00030256</v>
      </c>
    </row>
    <row r="83" spans="1:2" x14ac:dyDescent="0.3">
      <c r="A83" s="6">
        <v>12621053</v>
      </c>
      <c r="B83" s="6" t="str">
        <f>VLOOKUP(A83,'HOGARES-BASELINE'!$B:$I,8,FALSE)</f>
        <v>00030257</v>
      </c>
    </row>
    <row r="84" spans="1:2" x14ac:dyDescent="0.3">
      <c r="A84" s="6">
        <v>12798984</v>
      </c>
      <c r="B84" s="6" t="str">
        <f>VLOOKUP(A84,'HOGARES-BASELINE'!$B:$I,8,FALSE)</f>
        <v>01020258</v>
      </c>
    </row>
    <row r="85" spans="1:2" x14ac:dyDescent="0.3">
      <c r="A85" s="6">
        <v>13665069</v>
      </c>
      <c r="B85" s="6" t="str">
        <f>VLOOKUP(A85,'HOGARES-BASELINE'!$B:$I,8,FALSE)</f>
        <v>01030259</v>
      </c>
    </row>
    <row r="86" spans="1:2" x14ac:dyDescent="0.3">
      <c r="A86" s="6">
        <v>14446046</v>
      </c>
      <c r="B86" s="6" t="str">
        <f>VLOOKUP(A86,'HOGARES-BASELINE'!$B:$I,8,FALSE)</f>
        <v>01020262</v>
      </c>
    </row>
    <row r="87" spans="1:2" x14ac:dyDescent="0.3">
      <c r="A87" s="6">
        <v>14465565</v>
      </c>
      <c r="B87" s="6" t="str">
        <f>VLOOKUP(A87,'HOGARES-BASELINE'!$B:$I,8,FALSE)</f>
        <v>00020263</v>
      </c>
    </row>
    <row r="88" spans="1:2" x14ac:dyDescent="0.3">
      <c r="A88" s="6">
        <v>14468000</v>
      </c>
      <c r="B88" s="6" t="str">
        <f>VLOOKUP(A88,'HOGARES-BASELINE'!$B:$I,8,FALSE)</f>
        <v>01020264</v>
      </c>
    </row>
    <row r="89" spans="1:2" x14ac:dyDescent="0.3">
      <c r="A89" s="6">
        <v>14469075</v>
      </c>
      <c r="B89" s="6" t="str">
        <f>VLOOKUP(A89,'HOGARES-BASELINE'!$B:$I,8,FALSE)</f>
        <v>01020265</v>
      </c>
    </row>
    <row r="90" spans="1:2" x14ac:dyDescent="0.3">
      <c r="A90" s="6">
        <v>14940320</v>
      </c>
      <c r="B90" s="6" t="str">
        <f>VLOOKUP(A90,'HOGARES-BASELINE'!$B:$I,8,FALSE)</f>
        <v>00020266</v>
      </c>
    </row>
    <row r="91" spans="1:2" x14ac:dyDescent="0.3">
      <c r="A91" s="6">
        <v>14947608</v>
      </c>
      <c r="B91" s="6" t="str">
        <f>VLOOKUP(A91,'HOGARES-BASELINE'!$B:$I,8,FALSE)</f>
        <v>00020267</v>
      </c>
    </row>
    <row r="92" spans="1:2" x14ac:dyDescent="0.3">
      <c r="A92" s="6">
        <v>14949573</v>
      </c>
      <c r="B92" s="6" t="str">
        <f>VLOOKUP(A92,'HOGARES-BASELINE'!$B:$I,8,FALSE)</f>
        <v>00020268</v>
      </c>
    </row>
    <row r="93" spans="1:2" x14ac:dyDescent="0.3">
      <c r="A93" s="6">
        <v>14960260</v>
      </c>
      <c r="B93" s="6" t="str">
        <f>VLOOKUP(A93,'HOGARES-BASELINE'!$B:$I,8,FALSE)</f>
        <v>00020269</v>
      </c>
    </row>
    <row r="94" spans="1:2" x14ac:dyDescent="0.3">
      <c r="A94" s="6">
        <v>15901804</v>
      </c>
      <c r="B94" s="6" t="str">
        <f>VLOOKUP(A94,'HOGARES-BASELINE'!$B:$I,8,FALSE)</f>
        <v>01020273</v>
      </c>
    </row>
    <row r="95" spans="1:2" x14ac:dyDescent="0.3">
      <c r="A95" s="6">
        <v>15906342</v>
      </c>
      <c r="B95" s="6" t="str">
        <f>VLOOKUP(A95,'HOGARES-BASELINE'!$B:$I,8,FALSE)</f>
        <v>01020274</v>
      </c>
    </row>
    <row r="96" spans="1:2" x14ac:dyDescent="0.3">
      <c r="A96" s="6">
        <v>16281450</v>
      </c>
      <c r="B96" s="6" t="str">
        <f>VLOOKUP(A96,'HOGARES-BASELINE'!$B:$I,8,FALSE)</f>
        <v>00020275</v>
      </c>
    </row>
    <row r="97" spans="1:2" x14ac:dyDescent="0.3">
      <c r="A97" s="6">
        <v>16582114</v>
      </c>
      <c r="B97" s="6" t="str">
        <f>VLOOKUP(A97,'HOGARES-BASELINE'!$B:$I,8,FALSE)</f>
        <v>00020276</v>
      </c>
    </row>
    <row r="98" spans="1:2" x14ac:dyDescent="0.3">
      <c r="A98" s="6">
        <v>16591744</v>
      </c>
      <c r="B98" s="6" t="str">
        <f>VLOOKUP(A98,'HOGARES-BASELINE'!$B:$I,8,FALSE)</f>
        <v>00020277</v>
      </c>
    </row>
    <row r="99" spans="1:2" x14ac:dyDescent="0.3">
      <c r="A99" s="6">
        <v>16591848</v>
      </c>
      <c r="B99" s="6" t="str">
        <f>VLOOKUP(A99,'HOGARES-BASELINE'!$B:$I,8,FALSE)</f>
        <v>01020278</v>
      </c>
    </row>
    <row r="100" spans="1:2" x14ac:dyDescent="0.3">
      <c r="A100" s="6">
        <v>16607117</v>
      </c>
      <c r="B100" s="6" t="str">
        <f>VLOOKUP(A100,'HOGARES-BASELINE'!$B:$I,8,FALSE)</f>
        <v>00020279</v>
      </c>
    </row>
    <row r="101" spans="1:2" x14ac:dyDescent="0.3">
      <c r="A101" s="6">
        <v>16633533</v>
      </c>
      <c r="B101" s="6" t="str">
        <f>VLOOKUP(A101,'HOGARES-BASELINE'!$B:$I,8,FALSE)</f>
        <v>00020280</v>
      </c>
    </row>
    <row r="102" spans="1:2" x14ac:dyDescent="0.3">
      <c r="A102" s="6">
        <v>16637843</v>
      </c>
      <c r="B102" s="6" t="str">
        <f>VLOOKUP(A102,'HOGARES-BASELINE'!$B:$I,8,FALSE)</f>
        <v>00020281</v>
      </c>
    </row>
    <row r="103" spans="1:2" x14ac:dyDescent="0.3">
      <c r="A103" s="6">
        <v>16669439</v>
      </c>
      <c r="B103" s="6" t="str">
        <f>VLOOKUP(A103,'HOGARES-BASELINE'!$B:$I,8,FALSE)</f>
        <v>00020282</v>
      </c>
    </row>
    <row r="104" spans="1:2" x14ac:dyDescent="0.3">
      <c r="A104" s="6">
        <v>16679467</v>
      </c>
      <c r="B104" s="6" t="str">
        <f>VLOOKUP(A104,'HOGARES-BASELINE'!$B:$I,8,FALSE)</f>
        <v>00020283</v>
      </c>
    </row>
    <row r="105" spans="1:2" x14ac:dyDescent="0.3">
      <c r="A105" s="6">
        <v>16698500</v>
      </c>
      <c r="B105" s="6" t="str">
        <f>VLOOKUP(A105,'HOGARES-BASELINE'!$B:$I,8,FALSE)</f>
        <v>00020284</v>
      </c>
    </row>
    <row r="106" spans="1:2" x14ac:dyDescent="0.3">
      <c r="A106" s="6">
        <v>16708888</v>
      </c>
      <c r="B106" s="6" t="str">
        <f>VLOOKUP(A106,'HOGARES-BASELINE'!$B:$I,8,FALSE)</f>
        <v>00020285</v>
      </c>
    </row>
    <row r="107" spans="1:2" x14ac:dyDescent="0.3">
      <c r="A107" s="6">
        <v>16723219</v>
      </c>
      <c r="B107" s="6" t="str">
        <f>VLOOKUP(A107,'HOGARES-BASELINE'!$B:$I,8,FALSE)</f>
        <v>00020286</v>
      </c>
    </row>
    <row r="108" spans="1:2" x14ac:dyDescent="0.3">
      <c r="A108" s="6">
        <v>16730078</v>
      </c>
      <c r="B108" s="6" t="str">
        <f>VLOOKUP(A108,'HOGARES-BASELINE'!$B:$I,8,FALSE)</f>
        <v>00020287</v>
      </c>
    </row>
    <row r="109" spans="1:2" x14ac:dyDescent="0.3">
      <c r="A109" s="6">
        <v>16749425</v>
      </c>
      <c r="B109" s="6" t="str">
        <f>VLOOKUP(A109,'HOGARES-BASELINE'!$B:$I,8,FALSE)</f>
        <v>00020288</v>
      </c>
    </row>
    <row r="110" spans="1:2" x14ac:dyDescent="0.3">
      <c r="A110" s="6">
        <v>16751591</v>
      </c>
      <c r="B110" s="6" t="str">
        <f>VLOOKUP(A110,'HOGARES-BASELINE'!$B:$I,8,FALSE)</f>
        <v>00020289</v>
      </c>
    </row>
    <row r="111" spans="1:2" x14ac:dyDescent="0.3">
      <c r="A111" s="6">
        <v>16761714</v>
      </c>
      <c r="B111" s="6" t="str">
        <f>VLOOKUP(A111,'HOGARES-BASELINE'!$B:$I,8,FALSE)</f>
        <v>00020290</v>
      </c>
    </row>
    <row r="112" spans="1:2" x14ac:dyDescent="0.3">
      <c r="A112" s="6">
        <v>16778426</v>
      </c>
      <c r="B112" s="6" t="str">
        <f>VLOOKUP(A112,'HOGARES-BASELINE'!$B:$I,8,FALSE)</f>
        <v>01020291</v>
      </c>
    </row>
    <row r="113" spans="1:2" x14ac:dyDescent="0.3">
      <c r="A113" s="6">
        <v>16781675</v>
      </c>
      <c r="B113" s="6" t="str">
        <f>VLOOKUP(A113,'HOGARES-BASELINE'!$B:$I,8,FALSE)</f>
        <v>01020292</v>
      </c>
    </row>
    <row r="114" spans="1:2" x14ac:dyDescent="0.3">
      <c r="A114" s="6">
        <v>16820143</v>
      </c>
      <c r="B114" s="6" t="str">
        <f>VLOOKUP(A114,'HOGARES-BASELINE'!$B:$I,8,FALSE)</f>
        <v>00020293</v>
      </c>
    </row>
    <row r="115" spans="1:2" x14ac:dyDescent="0.3">
      <c r="A115" s="6">
        <v>16824095</v>
      </c>
      <c r="B115" s="6" t="str">
        <f>VLOOKUP(A115,'HOGARES-BASELINE'!$B:$I,8,FALSE)</f>
        <v>01020294</v>
      </c>
    </row>
    <row r="116" spans="1:2" x14ac:dyDescent="0.3">
      <c r="A116" s="6">
        <v>16827577</v>
      </c>
      <c r="B116" s="6" t="str">
        <f>VLOOKUP(A116,'HOGARES-BASELINE'!$B:$I,8,FALSE)</f>
        <v>01020295</v>
      </c>
    </row>
    <row r="117" spans="1:2" x14ac:dyDescent="0.3">
      <c r="A117" s="6">
        <v>16828126</v>
      </c>
      <c r="B117" s="6" t="str">
        <f>VLOOKUP(A117,'HOGARES-BASELINE'!$B:$I,8,FALSE)</f>
        <v>00020296</v>
      </c>
    </row>
    <row r="118" spans="1:2" x14ac:dyDescent="0.3">
      <c r="A118" s="6">
        <v>16830582</v>
      </c>
      <c r="B118" s="6" t="str">
        <f>VLOOKUP(A118,'HOGARES-BASELINE'!$B:$I,8,FALSE)</f>
        <v>00020297</v>
      </c>
    </row>
    <row r="119" spans="1:2" x14ac:dyDescent="0.3">
      <c r="A119" s="6">
        <v>16881076</v>
      </c>
      <c r="B119" s="6" t="str">
        <f>VLOOKUP(A119,'HOGARES-BASELINE'!$B:$I,8,FALSE)</f>
        <v>01020298</v>
      </c>
    </row>
    <row r="120" spans="1:2" x14ac:dyDescent="0.3">
      <c r="A120" s="6">
        <v>16881275</v>
      </c>
      <c r="B120" s="6" t="str">
        <f>VLOOKUP(A120,'HOGARES-BASELINE'!$B:$I,8,FALSE)</f>
        <v>00020299</v>
      </c>
    </row>
    <row r="121" spans="1:2" x14ac:dyDescent="0.3">
      <c r="A121" s="6">
        <v>16917385</v>
      </c>
      <c r="B121" s="6" t="str">
        <f>VLOOKUP(A121,'HOGARES-BASELINE'!$B:$I,8,FALSE)</f>
        <v>00020300</v>
      </c>
    </row>
    <row r="122" spans="1:2" x14ac:dyDescent="0.3">
      <c r="A122" s="6">
        <v>16936771</v>
      </c>
      <c r="B122" s="6" t="str">
        <f>VLOOKUP(A122,'HOGARES-BASELINE'!$B:$I,8,FALSE)</f>
        <v>01020301</v>
      </c>
    </row>
    <row r="123" spans="1:2" x14ac:dyDescent="0.3">
      <c r="A123" s="6">
        <v>17152604</v>
      </c>
      <c r="B123" s="6" t="str">
        <f>VLOOKUP(A123,'HOGARES-BASELINE'!$B:$I,8,FALSE)</f>
        <v>01030302</v>
      </c>
    </row>
    <row r="124" spans="1:2" x14ac:dyDescent="0.3">
      <c r="A124" s="6">
        <v>17632722</v>
      </c>
      <c r="B124" s="6" t="str">
        <f>VLOOKUP(A124,'HOGARES-BASELINE'!$B:$I,8,FALSE)</f>
        <v>01020304</v>
      </c>
    </row>
    <row r="125" spans="1:2" x14ac:dyDescent="0.3">
      <c r="A125" s="6">
        <v>17808718</v>
      </c>
      <c r="B125" s="6" t="str">
        <f>VLOOKUP(A125,'HOGARES-BASELINE'!$B:$I,8,FALSE)</f>
        <v>01030305</v>
      </c>
    </row>
    <row r="126" spans="1:2" x14ac:dyDescent="0.3">
      <c r="A126" s="6">
        <v>17849804</v>
      </c>
      <c r="B126" s="6" t="str">
        <f>VLOOKUP(A126,'HOGARES-BASELINE'!$B:$I,8,FALSE)</f>
        <v>01030306</v>
      </c>
    </row>
    <row r="127" spans="1:2" x14ac:dyDescent="0.3">
      <c r="A127" s="6">
        <v>18932393</v>
      </c>
      <c r="B127" s="6" t="str">
        <f>VLOOKUP(A127,'HOGARES-BASELINE'!$B:$I,8,FALSE)</f>
        <v>01030307</v>
      </c>
    </row>
    <row r="128" spans="1:2" x14ac:dyDescent="0.3">
      <c r="A128" s="6">
        <v>19143848</v>
      </c>
      <c r="B128" s="6" t="str">
        <f>VLOOKUP(A128,'HOGARES-BASELINE'!$B:$I,8,FALSE)</f>
        <v>00010308</v>
      </c>
    </row>
    <row r="129" spans="1:2" x14ac:dyDescent="0.3">
      <c r="A129" s="6">
        <v>19218873</v>
      </c>
      <c r="B129" s="6" t="str">
        <f>VLOOKUP(A129,'HOGARES-BASELINE'!$B:$I,8,FALSE)</f>
        <v>00030309</v>
      </c>
    </row>
    <row r="130" spans="1:2" x14ac:dyDescent="0.3">
      <c r="A130" s="6">
        <v>19288937</v>
      </c>
      <c r="B130" s="6" t="str">
        <f>VLOOKUP(A130,'HOGARES-BASELINE'!$B:$I,8,FALSE)</f>
        <v>00020310</v>
      </c>
    </row>
    <row r="131" spans="1:2" x14ac:dyDescent="0.3">
      <c r="A131" s="6">
        <v>19582075</v>
      </c>
      <c r="B131" s="6" t="str">
        <f>VLOOKUP(A131,'HOGARES-BASELINE'!$B:$I,8,FALSE)</f>
        <v>01030311</v>
      </c>
    </row>
    <row r="132" spans="1:2" x14ac:dyDescent="0.3">
      <c r="A132" s="6">
        <v>19596310</v>
      </c>
      <c r="B132" s="6" t="str">
        <f>VLOOKUP(A132,'HOGARES-BASELINE'!$B:$I,8,FALSE)</f>
        <v>00030312</v>
      </c>
    </row>
    <row r="133" spans="1:2" x14ac:dyDescent="0.3">
      <c r="A133" s="6">
        <v>21311154</v>
      </c>
      <c r="B133" s="6" t="str">
        <f>VLOOKUP(A133,'HOGARES-BASELINE'!$B:$I,8,FALSE)</f>
        <v>00010314</v>
      </c>
    </row>
    <row r="134" spans="1:2" x14ac:dyDescent="0.3">
      <c r="A134" s="6">
        <v>21386259</v>
      </c>
      <c r="B134" s="6" t="str">
        <f>VLOOKUP(A134,'HOGARES-BASELINE'!$B:$I,8,FALSE)</f>
        <v>01010315</v>
      </c>
    </row>
    <row r="135" spans="1:2" x14ac:dyDescent="0.3">
      <c r="A135" s="6">
        <v>21399690</v>
      </c>
      <c r="B135" s="6" t="str">
        <f>VLOOKUP(A135,'HOGARES-BASELINE'!$B:$I,8,FALSE)</f>
        <v>01010316</v>
      </c>
    </row>
    <row r="136" spans="1:2" x14ac:dyDescent="0.3">
      <c r="A136" s="6">
        <v>21400273</v>
      </c>
      <c r="B136" s="6" t="str">
        <f>VLOOKUP(A136,'HOGARES-BASELINE'!$B:$I,8,FALSE)</f>
        <v>01010317</v>
      </c>
    </row>
    <row r="137" spans="1:2" x14ac:dyDescent="0.3">
      <c r="A137" s="6">
        <v>21451130</v>
      </c>
      <c r="B137" s="6" t="str">
        <f>VLOOKUP(A137,'HOGARES-BASELINE'!$B:$I,8,FALSE)</f>
        <v>00010318</v>
      </c>
    </row>
    <row r="138" spans="1:2" x14ac:dyDescent="0.3">
      <c r="A138" s="6">
        <v>21451506</v>
      </c>
      <c r="B138" s="6" t="str">
        <f>VLOOKUP(A138,'HOGARES-BASELINE'!$B:$I,8,FALSE)</f>
        <v>01010319</v>
      </c>
    </row>
    <row r="139" spans="1:2" x14ac:dyDescent="0.3">
      <c r="A139" s="6">
        <v>21464825</v>
      </c>
      <c r="B139" s="6" t="str">
        <f>VLOOKUP(A139,'HOGARES-BASELINE'!$B:$I,8,FALSE)</f>
        <v>01010320</v>
      </c>
    </row>
    <row r="140" spans="1:2" x14ac:dyDescent="0.3">
      <c r="A140" s="6">
        <v>21467983</v>
      </c>
      <c r="B140" s="6" t="str">
        <f>VLOOKUP(A140,'HOGARES-BASELINE'!$B:$I,8,FALSE)</f>
        <v>01010321</v>
      </c>
    </row>
    <row r="141" spans="1:2" x14ac:dyDescent="0.3">
      <c r="A141" s="6">
        <v>21469067</v>
      </c>
      <c r="B141" s="6" t="str">
        <f>VLOOKUP(A141,'HOGARES-BASELINE'!$B:$I,8,FALSE)</f>
        <v>00010322</v>
      </c>
    </row>
    <row r="142" spans="1:2" x14ac:dyDescent="0.3">
      <c r="A142" s="6">
        <v>21508452</v>
      </c>
      <c r="B142" s="6" t="str">
        <f>VLOOKUP(A142,'HOGARES-BASELINE'!$B:$I,8,FALSE)</f>
        <v>01010324</v>
      </c>
    </row>
    <row r="143" spans="1:2" x14ac:dyDescent="0.3">
      <c r="A143" s="6">
        <v>21521912</v>
      </c>
      <c r="B143" s="6" t="str">
        <f>VLOOKUP(A143,'HOGARES-BASELINE'!$B:$I,8,FALSE)</f>
        <v>01010325</v>
      </c>
    </row>
    <row r="144" spans="1:2" x14ac:dyDescent="0.3">
      <c r="A144" s="6">
        <v>21559816</v>
      </c>
      <c r="B144" s="6" t="str">
        <f>VLOOKUP(A144,'HOGARES-BASELINE'!$B:$I,8,FALSE)</f>
        <v>01010326</v>
      </c>
    </row>
    <row r="145" spans="1:2" x14ac:dyDescent="0.3">
      <c r="A145" s="6">
        <v>21573512</v>
      </c>
      <c r="B145" s="6" t="str">
        <f>VLOOKUP(A145,'HOGARES-BASELINE'!$B:$I,8,FALSE)</f>
        <v>01010327</v>
      </c>
    </row>
    <row r="146" spans="1:2" x14ac:dyDescent="0.3">
      <c r="A146" s="6">
        <v>21575791</v>
      </c>
      <c r="B146" s="6" t="str">
        <f>VLOOKUP(A146,'HOGARES-BASELINE'!$B:$I,8,FALSE)</f>
        <v>01010328</v>
      </c>
    </row>
    <row r="147" spans="1:2" x14ac:dyDescent="0.3">
      <c r="A147" s="6">
        <v>21584884</v>
      </c>
      <c r="B147" s="6" t="str">
        <f>VLOOKUP(A147,'HOGARES-BASELINE'!$B:$I,8,FALSE)</f>
        <v>01010329</v>
      </c>
    </row>
    <row r="148" spans="1:2" x14ac:dyDescent="0.3">
      <c r="A148" s="6">
        <v>21610540</v>
      </c>
      <c r="B148" s="6" t="str">
        <f>VLOOKUP(A148,'HOGARES-BASELINE'!$B:$I,8,FALSE)</f>
        <v>00010330</v>
      </c>
    </row>
    <row r="149" spans="1:2" x14ac:dyDescent="0.3">
      <c r="A149" s="6">
        <v>21620314</v>
      </c>
      <c r="B149" s="6" t="str">
        <f>VLOOKUP(A149,'HOGARES-BASELINE'!$B:$I,8,FALSE)</f>
        <v>01010331</v>
      </c>
    </row>
    <row r="150" spans="1:2" x14ac:dyDescent="0.3">
      <c r="A150" s="6">
        <v>21691463</v>
      </c>
      <c r="B150" s="6" t="str">
        <f>VLOOKUP(A150,'HOGARES-BASELINE'!$B:$I,8,FALSE)</f>
        <v>01010332</v>
      </c>
    </row>
    <row r="151" spans="1:2" x14ac:dyDescent="0.3">
      <c r="A151" s="6">
        <v>21693354</v>
      </c>
      <c r="B151" s="6" t="str">
        <f>VLOOKUP(A151,'HOGARES-BASELINE'!$B:$I,8,FALSE)</f>
        <v>01010333</v>
      </c>
    </row>
    <row r="152" spans="1:2" x14ac:dyDescent="0.3">
      <c r="A152" s="6">
        <v>21693424</v>
      </c>
      <c r="B152" s="6" t="str">
        <f>VLOOKUP(A152,'HOGARES-BASELINE'!$B:$I,8,FALSE)</f>
        <v>00010334</v>
      </c>
    </row>
    <row r="153" spans="1:2" x14ac:dyDescent="0.3">
      <c r="A153" s="6">
        <v>21697063</v>
      </c>
      <c r="B153" s="6" t="str">
        <f>VLOOKUP(A153,'HOGARES-BASELINE'!$B:$I,8,FALSE)</f>
        <v>01010336</v>
      </c>
    </row>
    <row r="154" spans="1:2" x14ac:dyDescent="0.3">
      <c r="A154" s="6">
        <v>21697589</v>
      </c>
      <c r="B154" s="6" t="str">
        <f>VLOOKUP(A154,'HOGARES-BASELINE'!$B:$I,8,FALSE)</f>
        <v>01010337</v>
      </c>
    </row>
    <row r="155" spans="1:2" x14ac:dyDescent="0.3">
      <c r="A155" s="6">
        <v>21709045</v>
      </c>
      <c r="B155" s="6" t="str">
        <f>VLOOKUP(A155,'HOGARES-BASELINE'!$B:$I,8,FALSE)</f>
        <v>01010338</v>
      </c>
    </row>
    <row r="156" spans="1:2" x14ac:dyDescent="0.3">
      <c r="A156" s="6">
        <v>21744070</v>
      </c>
      <c r="B156" s="6" t="str">
        <f>VLOOKUP(A156,'HOGARES-BASELINE'!$B:$I,8,FALSE)</f>
        <v>01010339</v>
      </c>
    </row>
    <row r="157" spans="1:2" x14ac:dyDescent="0.3">
      <c r="A157" s="6">
        <v>21757096</v>
      </c>
      <c r="B157" s="6" t="str">
        <f>VLOOKUP(A157,'HOGARES-BASELINE'!$B:$I,8,FALSE)</f>
        <v>00010340</v>
      </c>
    </row>
    <row r="158" spans="1:2" x14ac:dyDescent="0.3">
      <c r="A158" s="6">
        <v>21785236</v>
      </c>
      <c r="B158" s="6" t="str">
        <f>VLOOKUP(A158,'HOGARES-BASELINE'!$B:$I,8,FALSE)</f>
        <v>01010341</v>
      </c>
    </row>
    <row r="159" spans="1:2" x14ac:dyDescent="0.3">
      <c r="A159" s="6">
        <v>21792037</v>
      </c>
      <c r="B159" s="6" t="str">
        <f>VLOOKUP(A159,'HOGARES-BASELINE'!$B:$I,8,FALSE)</f>
        <v>00010342</v>
      </c>
    </row>
    <row r="160" spans="1:2" x14ac:dyDescent="0.3">
      <c r="A160" s="6">
        <v>21808751</v>
      </c>
      <c r="B160" s="6" t="str">
        <f>VLOOKUP(A160,'HOGARES-BASELINE'!$B:$I,8,FALSE)</f>
        <v>01010343</v>
      </c>
    </row>
    <row r="161" spans="1:2" x14ac:dyDescent="0.3">
      <c r="A161" s="6">
        <v>21808821</v>
      </c>
      <c r="B161" s="6" t="str">
        <f>VLOOKUP(A161,'HOGARES-BASELINE'!$B:$I,8,FALSE)</f>
        <v>01010344</v>
      </c>
    </row>
    <row r="162" spans="1:2" x14ac:dyDescent="0.3">
      <c r="A162" s="6">
        <v>21809439</v>
      </c>
      <c r="B162" s="6" t="str">
        <f>VLOOKUP(A162,'HOGARES-BASELINE'!$B:$I,8,FALSE)</f>
        <v>01010345</v>
      </c>
    </row>
    <row r="163" spans="1:2" x14ac:dyDescent="0.3">
      <c r="A163" s="6">
        <v>21812687</v>
      </c>
      <c r="B163" s="6" t="str">
        <f>VLOOKUP(A163,'HOGARES-BASELINE'!$B:$I,8,FALSE)</f>
        <v>01010346</v>
      </c>
    </row>
    <row r="164" spans="1:2" x14ac:dyDescent="0.3">
      <c r="A164" s="6">
        <v>21816448</v>
      </c>
      <c r="B164" s="6" t="str">
        <f>VLOOKUP(A164,'HOGARES-BASELINE'!$B:$I,8,FALSE)</f>
        <v>01010347</v>
      </c>
    </row>
    <row r="165" spans="1:2" x14ac:dyDescent="0.3">
      <c r="A165" s="6">
        <v>21869006</v>
      </c>
      <c r="B165" s="6" t="str">
        <f>VLOOKUP(A165,'HOGARES-BASELINE'!$B:$I,8,FALSE)</f>
        <v>00010348</v>
      </c>
    </row>
    <row r="166" spans="1:2" x14ac:dyDescent="0.3">
      <c r="A166" s="6">
        <v>21893072</v>
      </c>
      <c r="B166" s="6" t="str">
        <f>VLOOKUP(A166,'HOGARES-BASELINE'!$B:$I,8,FALSE)</f>
        <v>01010349</v>
      </c>
    </row>
    <row r="167" spans="1:2" x14ac:dyDescent="0.3">
      <c r="A167" s="6">
        <v>21906091</v>
      </c>
      <c r="B167" s="6" t="str">
        <f>VLOOKUP(A167,'HOGARES-BASELINE'!$B:$I,8,FALSE)</f>
        <v>00010350</v>
      </c>
    </row>
    <row r="168" spans="1:2" x14ac:dyDescent="0.3">
      <c r="A168" s="6">
        <v>21910729</v>
      </c>
      <c r="B168" s="6" t="str">
        <f>VLOOKUP(A168,'HOGARES-BASELINE'!$B:$I,8,FALSE)</f>
        <v>01010351</v>
      </c>
    </row>
    <row r="169" spans="1:2" x14ac:dyDescent="0.3">
      <c r="A169" s="6">
        <v>21910873</v>
      </c>
      <c r="B169" s="6" t="str">
        <f>VLOOKUP(A169,'HOGARES-BASELINE'!$B:$I,8,FALSE)</f>
        <v>01010352</v>
      </c>
    </row>
    <row r="170" spans="1:2" x14ac:dyDescent="0.3">
      <c r="A170" s="6">
        <v>21910907</v>
      </c>
      <c r="B170" s="6" t="str">
        <f>VLOOKUP(A170,'HOGARES-BASELINE'!$B:$I,8,FALSE)</f>
        <v>01010353</v>
      </c>
    </row>
    <row r="171" spans="1:2" x14ac:dyDescent="0.3">
      <c r="A171" s="6">
        <v>21912116</v>
      </c>
      <c r="B171" s="6" t="str">
        <f>VLOOKUP(A171,'HOGARES-BASELINE'!$B:$I,8,FALSE)</f>
        <v>01010354</v>
      </c>
    </row>
    <row r="172" spans="1:2" x14ac:dyDescent="0.3">
      <c r="A172" s="6">
        <v>21954148</v>
      </c>
      <c r="B172" s="6" t="str">
        <f>VLOOKUP(A172,'HOGARES-BASELINE'!$B:$I,8,FALSE)</f>
        <v>01010355</v>
      </c>
    </row>
    <row r="173" spans="1:2" x14ac:dyDescent="0.3">
      <c r="A173" s="6">
        <v>21969109</v>
      </c>
      <c r="B173" s="6" t="str">
        <f>VLOOKUP(A173,'HOGARES-BASELINE'!$B:$I,8,FALSE)</f>
        <v>00010356</v>
      </c>
    </row>
    <row r="174" spans="1:2" x14ac:dyDescent="0.3">
      <c r="A174" s="6">
        <v>21977327</v>
      </c>
      <c r="B174" s="6" t="str">
        <f>VLOOKUP(A174,'HOGARES-BASELINE'!$B:$I,8,FALSE)</f>
        <v>01010357</v>
      </c>
    </row>
    <row r="175" spans="1:2" x14ac:dyDescent="0.3">
      <c r="A175" s="6">
        <v>21977805</v>
      </c>
      <c r="B175" s="6" t="str">
        <f>VLOOKUP(A175,'HOGARES-BASELINE'!$B:$I,8,FALSE)</f>
        <v>00010358</v>
      </c>
    </row>
    <row r="176" spans="1:2" x14ac:dyDescent="0.3">
      <c r="A176" s="6">
        <v>22015124</v>
      </c>
      <c r="B176" s="6" t="str">
        <f>VLOOKUP(A176,'HOGARES-BASELINE'!$B:$I,8,FALSE)</f>
        <v>00010359</v>
      </c>
    </row>
    <row r="177" spans="1:2" x14ac:dyDescent="0.3">
      <c r="A177" s="6">
        <v>22103917</v>
      </c>
      <c r="B177" s="6" t="str">
        <f>VLOOKUP(A177,'HOGARES-BASELINE'!$B:$I,8,FALSE)</f>
        <v>01010361</v>
      </c>
    </row>
    <row r="178" spans="1:2" x14ac:dyDescent="0.3">
      <c r="A178" s="6">
        <v>22108850</v>
      </c>
      <c r="B178" s="6" t="str">
        <f>VLOOKUP(A178,'HOGARES-BASELINE'!$B:$I,8,FALSE)</f>
        <v>01010362</v>
      </c>
    </row>
    <row r="179" spans="1:2" x14ac:dyDescent="0.3">
      <c r="A179" s="6">
        <v>22139441</v>
      </c>
      <c r="B179" s="6" t="str">
        <f>VLOOKUP(A179,'HOGARES-BASELINE'!$B:$I,8,FALSE)</f>
        <v>01010363</v>
      </c>
    </row>
    <row r="180" spans="1:2" x14ac:dyDescent="0.3">
      <c r="A180" s="6">
        <v>22187123</v>
      </c>
      <c r="B180" s="6" t="str">
        <f>VLOOKUP(A180,'HOGARES-BASELINE'!$B:$I,8,FALSE)</f>
        <v>00010364</v>
      </c>
    </row>
    <row r="181" spans="1:2" x14ac:dyDescent="0.3">
      <c r="A181" s="6">
        <v>22210262</v>
      </c>
      <c r="B181" s="6" t="str">
        <f>VLOOKUP(A181,'HOGARES-BASELINE'!$B:$I,8,FALSE)</f>
        <v>01010365</v>
      </c>
    </row>
    <row r="182" spans="1:2" x14ac:dyDescent="0.3">
      <c r="A182" s="6">
        <v>22222115</v>
      </c>
      <c r="B182" s="6" t="str">
        <f>VLOOKUP(A182,'HOGARES-BASELINE'!$B:$I,8,FALSE)</f>
        <v>01010366</v>
      </c>
    </row>
    <row r="183" spans="1:2" x14ac:dyDescent="0.3">
      <c r="A183" s="6">
        <v>22227595</v>
      </c>
      <c r="B183" s="6" t="str">
        <f>VLOOKUP(A183,'HOGARES-BASELINE'!$B:$I,8,FALSE)</f>
        <v>00010367</v>
      </c>
    </row>
    <row r="184" spans="1:2" x14ac:dyDescent="0.3">
      <c r="A184" s="6">
        <v>22230457</v>
      </c>
      <c r="B184" s="6" t="str">
        <f>VLOOKUP(A184,'HOGARES-BASELINE'!$B:$I,8,FALSE)</f>
        <v>01010368</v>
      </c>
    </row>
    <row r="185" spans="1:2" x14ac:dyDescent="0.3">
      <c r="A185" s="6">
        <v>22294421</v>
      </c>
      <c r="B185" s="6" t="str">
        <f>VLOOKUP(A185,'HOGARES-BASELINE'!$B:$I,8,FALSE)</f>
        <v>00030369</v>
      </c>
    </row>
    <row r="186" spans="1:2" x14ac:dyDescent="0.3">
      <c r="A186" s="6">
        <v>22295551</v>
      </c>
      <c r="B186" s="6" t="str">
        <f>VLOOKUP(A186,'HOGARES-BASELINE'!$B:$I,8,FALSE)</f>
        <v>01030370</v>
      </c>
    </row>
    <row r="187" spans="1:2" x14ac:dyDescent="0.3">
      <c r="A187" s="6">
        <v>22304817</v>
      </c>
      <c r="B187" s="6" t="str">
        <f>VLOOKUP(A187,'HOGARES-BASELINE'!$B:$I,8,FALSE)</f>
        <v>01030371</v>
      </c>
    </row>
    <row r="188" spans="1:2" x14ac:dyDescent="0.3">
      <c r="A188" s="6">
        <v>22313863</v>
      </c>
      <c r="B188" s="6" t="str">
        <f>VLOOKUP(A188,'HOGARES-BASELINE'!$B:$I,8,FALSE)</f>
        <v>00030372</v>
      </c>
    </row>
    <row r="189" spans="1:2" x14ac:dyDescent="0.3">
      <c r="A189" s="6">
        <v>22317957</v>
      </c>
      <c r="B189" s="6" t="str">
        <f>VLOOKUP(A189,'HOGARES-BASELINE'!$B:$I,8,FALSE)</f>
        <v>00030373</v>
      </c>
    </row>
    <row r="190" spans="1:2" x14ac:dyDescent="0.3">
      <c r="A190" s="6">
        <v>22333001</v>
      </c>
      <c r="B190" s="6" t="str">
        <f>VLOOKUP(A190,'HOGARES-BASELINE'!$B:$I,8,FALSE)</f>
        <v>01030374</v>
      </c>
    </row>
    <row r="191" spans="1:2" x14ac:dyDescent="0.3">
      <c r="A191" s="6">
        <v>22351069</v>
      </c>
      <c r="B191" s="6" t="str">
        <f>VLOOKUP(A191,'HOGARES-BASELINE'!$B:$I,8,FALSE)</f>
        <v>00030375</v>
      </c>
    </row>
    <row r="192" spans="1:2" x14ac:dyDescent="0.3">
      <c r="A192" s="6">
        <v>22353868</v>
      </c>
      <c r="B192" s="6" t="str">
        <f>VLOOKUP(A192,'HOGARES-BASELINE'!$B:$I,8,FALSE)</f>
        <v>00030376</v>
      </c>
    </row>
    <row r="193" spans="1:2" x14ac:dyDescent="0.3">
      <c r="A193" s="6">
        <v>22357171</v>
      </c>
      <c r="B193" s="6" t="str">
        <f>VLOOKUP(A193,'HOGARES-BASELINE'!$B:$I,8,FALSE)</f>
        <v>00030377</v>
      </c>
    </row>
    <row r="194" spans="1:2" x14ac:dyDescent="0.3">
      <c r="A194" s="6">
        <v>22362412</v>
      </c>
      <c r="B194" s="6" t="str">
        <f>VLOOKUP(A194,'HOGARES-BASELINE'!$B:$I,8,FALSE)</f>
        <v>00030378</v>
      </c>
    </row>
    <row r="195" spans="1:2" x14ac:dyDescent="0.3">
      <c r="A195" s="6">
        <v>22365884</v>
      </c>
      <c r="B195" s="6" t="str">
        <f>VLOOKUP(A195,'HOGARES-BASELINE'!$B:$I,8,FALSE)</f>
        <v>01030379</v>
      </c>
    </row>
    <row r="196" spans="1:2" x14ac:dyDescent="0.3">
      <c r="A196" s="6">
        <v>22372597</v>
      </c>
      <c r="B196" s="6" t="str">
        <f>VLOOKUP(A196,'HOGARES-BASELINE'!$B:$I,8,FALSE)</f>
        <v>00030380</v>
      </c>
    </row>
    <row r="197" spans="1:2" x14ac:dyDescent="0.3">
      <c r="A197" s="6">
        <v>22374314</v>
      </c>
      <c r="B197" s="6" t="str">
        <f>VLOOKUP(A197,'HOGARES-BASELINE'!$B:$I,8,FALSE)</f>
        <v>01030381</v>
      </c>
    </row>
    <row r="198" spans="1:2" x14ac:dyDescent="0.3">
      <c r="A198" s="6">
        <v>22377867</v>
      </c>
      <c r="B198" s="6" t="str">
        <f>VLOOKUP(A198,'HOGARES-BASELINE'!$B:$I,8,FALSE)</f>
        <v>01030382</v>
      </c>
    </row>
    <row r="199" spans="1:2" x14ac:dyDescent="0.3">
      <c r="A199" s="6">
        <v>22378889</v>
      </c>
      <c r="B199" s="6" t="str">
        <f>VLOOKUP(A199,'HOGARES-BASELINE'!$B:$I,8,FALSE)</f>
        <v>01030383</v>
      </c>
    </row>
    <row r="200" spans="1:2" x14ac:dyDescent="0.3">
      <c r="A200" s="6">
        <v>22383297</v>
      </c>
      <c r="B200" s="6" t="str">
        <f>VLOOKUP(A200,'HOGARES-BASELINE'!$B:$I,8,FALSE)</f>
        <v>01030384</v>
      </c>
    </row>
    <row r="201" spans="1:2" x14ac:dyDescent="0.3">
      <c r="A201" s="6">
        <v>22385229</v>
      </c>
      <c r="B201" s="6" t="str">
        <f>VLOOKUP(A201,'HOGARES-BASELINE'!$B:$I,8,FALSE)</f>
        <v>01030385</v>
      </c>
    </row>
    <row r="202" spans="1:2" x14ac:dyDescent="0.3">
      <c r="A202" s="6">
        <v>22393271</v>
      </c>
      <c r="B202" s="6" t="str">
        <f>VLOOKUP(A202,'HOGARES-BASELINE'!$B:$I,8,FALSE)</f>
        <v>01030386</v>
      </c>
    </row>
    <row r="203" spans="1:2" x14ac:dyDescent="0.3">
      <c r="A203" s="6">
        <v>22410576</v>
      </c>
      <c r="B203" s="6" t="str">
        <f>VLOOKUP(A203,'HOGARES-BASELINE'!$B:$I,8,FALSE)</f>
        <v>00030387</v>
      </c>
    </row>
    <row r="204" spans="1:2" x14ac:dyDescent="0.3">
      <c r="A204" s="6">
        <v>22414731</v>
      </c>
      <c r="B204" s="6" t="str">
        <f>VLOOKUP(A204,'HOGARES-BASELINE'!$B:$I,8,FALSE)</f>
        <v>00030388</v>
      </c>
    </row>
    <row r="205" spans="1:2" x14ac:dyDescent="0.3">
      <c r="A205" s="6">
        <v>22414805</v>
      </c>
      <c r="B205" s="6" t="str">
        <f>VLOOKUP(A205,'HOGARES-BASELINE'!$B:$I,8,FALSE)</f>
        <v>01030389</v>
      </c>
    </row>
    <row r="206" spans="1:2" x14ac:dyDescent="0.3">
      <c r="A206" s="6">
        <v>22415762</v>
      </c>
      <c r="B206" s="6" t="str">
        <f>VLOOKUP(A206,'HOGARES-BASELINE'!$B:$I,8,FALSE)</f>
        <v>00030390</v>
      </c>
    </row>
    <row r="207" spans="1:2" x14ac:dyDescent="0.3">
      <c r="A207" s="6">
        <v>22420818</v>
      </c>
      <c r="B207" s="6" t="str">
        <f>VLOOKUP(A207,'HOGARES-BASELINE'!$B:$I,8,FALSE)</f>
        <v>01030391</v>
      </c>
    </row>
    <row r="208" spans="1:2" x14ac:dyDescent="0.3">
      <c r="A208" s="6">
        <v>22421041</v>
      </c>
      <c r="B208" s="6" t="str">
        <f>VLOOKUP(A208,'HOGARES-BASELINE'!$B:$I,8,FALSE)</f>
        <v>01030392</v>
      </c>
    </row>
    <row r="209" spans="1:2" x14ac:dyDescent="0.3">
      <c r="A209" s="6">
        <v>22421549</v>
      </c>
      <c r="B209" s="6" t="str">
        <f>VLOOKUP(A209,'HOGARES-BASELINE'!$B:$I,8,FALSE)</f>
        <v>00030393</v>
      </c>
    </row>
    <row r="210" spans="1:2" x14ac:dyDescent="0.3">
      <c r="A210" s="6">
        <v>22436611</v>
      </c>
      <c r="B210" s="6" t="str">
        <f>VLOOKUP(A210,'HOGARES-BASELINE'!$B:$I,8,FALSE)</f>
        <v>00030394</v>
      </c>
    </row>
    <row r="211" spans="1:2" x14ac:dyDescent="0.3">
      <c r="A211" s="6">
        <v>22440120</v>
      </c>
      <c r="B211" s="6" t="str">
        <f>VLOOKUP(A211,'HOGARES-BASELINE'!$B:$I,8,FALSE)</f>
        <v>01030395</v>
      </c>
    </row>
    <row r="212" spans="1:2" x14ac:dyDescent="0.3">
      <c r="A212" s="6">
        <v>22442480</v>
      </c>
      <c r="B212" s="6" t="str">
        <f>VLOOKUP(A212,'HOGARES-BASELINE'!$B:$I,8,FALSE)</f>
        <v>00030396</v>
      </c>
    </row>
    <row r="213" spans="1:2" x14ac:dyDescent="0.3">
      <c r="A213" s="6">
        <v>22445534</v>
      </c>
      <c r="B213" s="6" t="str">
        <f>VLOOKUP(A213,'HOGARES-BASELINE'!$B:$I,8,FALSE)</f>
        <v>00030397</v>
      </c>
    </row>
    <row r="214" spans="1:2" x14ac:dyDescent="0.3">
      <c r="A214" s="6">
        <v>22446557</v>
      </c>
      <c r="B214" s="6" t="str">
        <f>VLOOKUP(A214,'HOGARES-BASELINE'!$B:$I,8,FALSE)</f>
        <v>01030398</v>
      </c>
    </row>
    <row r="215" spans="1:2" x14ac:dyDescent="0.3">
      <c r="A215" s="6">
        <v>22446587</v>
      </c>
      <c r="B215" s="6" t="str">
        <f>VLOOKUP(A215,'HOGARES-BASELINE'!$B:$I,8,FALSE)</f>
        <v>01030399</v>
      </c>
    </row>
    <row r="216" spans="1:2" x14ac:dyDescent="0.3">
      <c r="A216" s="6">
        <v>22466720</v>
      </c>
      <c r="B216" s="6" t="str">
        <f>VLOOKUP(A216,'HOGARES-BASELINE'!$B:$I,8,FALSE)</f>
        <v>00030401</v>
      </c>
    </row>
    <row r="217" spans="1:2" x14ac:dyDescent="0.3">
      <c r="A217" s="6">
        <v>22467946</v>
      </c>
      <c r="B217" s="6" t="str">
        <f>VLOOKUP(A217,'HOGARES-BASELINE'!$B:$I,8,FALSE)</f>
        <v>01030402</v>
      </c>
    </row>
    <row r="218" spans="1:2" x14ac:dyDescent="0.3">
      <c r="A218" s="6">
        <v>22468227</v>
      </c>
      <c r="B218" s="6" t="str">
        <f>VLOOKUP(A218,'HOGARES-BASELINE'!$B:$I,8,FALSE)</f>
        <v>00030403</v>
      </c>
    </row>
    <row r="219" spans="1:2" x14ac:dyDescent="0.3">
      <c r="A219" s="6">
        <v>22474518</v>
      </c>
      <c r="B219" s="6" t="str">
        <f>VLOOKUP(A219,'HOGARES-BASELINE'!$B:$I,8,FALSE)</f>
        <v>00030404</v>
      </c>
    </row>
    <row r="220" spans="1:2" x14ac:dyDescent="0.3">
      <c r="A220" s="6">
        <v>22478356</v>
      </c>
      <c r="B220" s="6" t="str">
        <f>VLOOKUP(A220,'HOGARES-BASELINE'!$B:$I,8,FALSE)</f>
        <v>00030405</v>
      </c>
    </row>
    <row r="221" spans="1:2" x14ac:dyDescent="0.3">
      <c r="A221" s="6">
        <v>22502121</v>
      </c>
      <c r="B221" s="6" t="str">
        <f>VLOOKUP(A221,'HOGARES-BASELINE'!$B:$I,8,FALSE)</f>
        <v>01030406</v>
      </c>
    </row>
    <row r="222" spans="1:2" x14ac:dyDescent="0.3">
      <c r="A222" s="6">
        <v>22502647</v>
      </c>
      <c r="B222" s="6" t="str">
        <f>VLOOKUP(A222,'HOGARES-BASELINE'!$B:$I,8,FALSE)</f>
        <v>01030407</v>
      </c>
    </row>
    <row r="223" spans="1:2" x14ac:dyDescent="0.3">
      <c r="A223" s="6">
        <v>22503243</v>
      </c>
      <c r="B223" s="6" t="str">
        <f>VLOOKUP(A223,'HOGARES-BASELINE'!$B:$I,8,FALSE)</f>
        <v>01030408</v>
      </c>
    </row>
    <row r="224" spans="1:2" x14ac:dyDescent="0.3">
      <c r="A224" s="6">
        <v>22505364</v>
      </c>
      <c r="B224" s="6" t="str">
        <f>VLOOKUP(A224,'HOGARES-BASELINE'!$B:$I,8,FALSE)</f>
        <v>01030409</v>
      </c>
    </row>
    <row r="225" spans="1:2" x14ac:dyDescent="0.3">
      <c r="A225" s="6">
        <v>22506208</v>
      </c>
      <c r="B225" s="6" t="str">
        <f>VLOOKUP(A225,'HOGARES-BASELINE'!$B:$I,8,FALSE)</f>
        <v>00030410</v>
      </c>
    </row>
    <row r="226" spans="1:2" x14ac:dyDescent="0.3">
      <c r="A226" s="6">
        <v>22506504</v>
      </c>
      <c r="B226" s="6" t="str">
        <f>VLOOKUP(A226,'HOGARES-BASELINE'!$B:$I,8,FALSE)</f>
        <v>00030411</v>
      </c>
    </row>
    <row r="227" spans="1:2" x14ac:dyDescent="0.3">
      <c r="A227" s="6">
        <v>22518128</v>
      </c>
      <c r="B227" s="6" t="str">
        <f>VLOOKUP(A227,'HOGARES-BASELINE'!$B:$I,8,FALSE)</f>
        <v>01030412</v>
      </c>
    </row>
    <row r="228" spans="1:2" x14ac:dyDescent="0.3">
      <c r="A228" s="6">
        <v>22527893</v>
      </c>
      <c r="B228" s="6" t="str">
        <f>VLOOKUP(A228,'HOGARES-BASELINE'!$B:$I,8,FALSE)</f>
        <v>00030413</v>
      </c>
    </row>
    <row r="229" spans="1:2" x14ac:dyDescent="0.3">
      <c r="A229" s="6">
        <v>22532457</v>
      </c>
      <c r="B229" s="6" t="str">
        <f>VLOOKUP(A229,'HOGARES-BASELINE'!$B:$I,8,FALSE)</f>
        <v>01030414</v>
      </c>
    </row>
    <row r="230" spans="1:2" x14ac:dyDescent="0.3">
      <c r="A230" s="6">
        <v>22532796</v>
      </c>
      <c r="B230" s="6" t="str">
        <f>VLOOKUP(A230,'HOGARES-BASELINE'!$B:$I,8,FALSE)</f>
        <v>00030415</v>
      </c>
    </row>
    <row r="231" spans="1:2" x14ac:dyDescent="0.3">
      <c r="A231" s="6">
        <v>22548648</v>
      </c>
      <c r="B231" s="6" t="str">
        <f>VLOOKUP(A231,'HOGARES-BASELINE'!$B:$I,8,FALSE)</f>
        <v>01030416</v>
      </c>
    </row>
    <row r="232" spans="1:2" x14ac:dyDescent="0.3">
      <c r="A232" s="6">
        <v>22563805</v>
      </c>
      <c r="B232" s="6" t="str">
        <f>VLOOKUP(A232,'HOGARES-BASELINE'!$B:$I,8,FALSE)</f>
        <v>00030417</v>
      </c>
    </row>
    <row r="233" spans="1:2" x14ac:dyDescent="0.3">
      <c r="A233" s="6">
        <v>22564910</v>
      </c>
      <c r="B233" s="6" t="str">
        <f>VLOOKUP(A233,'HOGARES-BASELINE'!$B:$I,8,FALSE)</f>
        <v>00030418</v>
      </c>
    </row>
    <row r="234" spans="1:2" x14ac:dyDescent="0.3">
      <c r="A234" s="6">
        <v>22567435</v>
      </c>
      <c r="B234" s="6" t="str">
        <f>VLOOKUP(A234,'HOGARES-BASELINE'!$B:$I,8,FALSE)</f>
        <v>01030419</v>
      </c>
    </row>
    <row r="235" spans="1:2" x14ac:dyDescent="0.3">
      <c r="A235" s="6">
        <v>22590461</v>
      </c>
      <c r="B235" s="6" t="str">
        <f>VLOOKUP(A235,'HOGARES-BASELINE'!$B:$I,8,FALSE)</f>
        <v>01030420</v>
      </c>
    </row>
    <row r="236" spans="1:2" x14ac:dyDescent="0.3">
      <c r="A236" s="6">
        <v>22599446</v>
      </c>
      <c r="B236" s="6" t="str">
        <f>VLOOKUP(A236,'HOGARES-BASELINE'!$B:$I,8,FALSE)</f>
        <v>00030421</v>
      </c>
    </row>
    <row r="237" spans="1:2" x14ac:dyDescent="0.3">
      <c r="A237" s="6">
        <v>22645705</v>
      </c>
      <c r="B237" s="6" t="str">
        <f>VLOOKUP(A237,'HOGARES-BASELINE'!$B:$I,8,FALSE)</f>
        <v>00030422</v>
      </c>
    </row>
    <row r="238" spans="1:2" x14ac:dyDescent="0.3">
      <c r="A238" s="6">
        <v>22645794</v>
      </c>
      <c r="B238" s="6" t="str">
        <f>VLOOKUP(A238,'HOGARES-BASELINE'!$B:$I,8,FALSE)</f>
        <v>01030423</v>
      </c>
    </row>
    <row r="239" spans="1:2" x14ac:dyDescent="0.3">
      <c r="A239" s="6">
        <v>22646716</v>
      </c>
      <c r="B239" s="6" t="str">
        <f>VLOOKUP(A239,'HOGARES-BASELINE'!$B:$I,8,FALSE)</f>
        <v>01030424</v>
      </c>
    </row>
    <row r="240" spans="1:2" x14ac:dyDescent="0.3">
      <c r="A240" s="6">
        <v>22648878</v>
      </c>
      <c r="B240" s="6" t="str">
        <f>VLOOKUP(A240,'HOGARES-BASELINE'!$B:$I,8,FALSE)</f>
        <v>01030425</v>
      </c>
    </row>
    <row r="241" spans="1:2" x14ac:dyDescent="0.3">
      <c r="A241" s="6">
        <v>22650279</v>
      </c>
      <c r="B241" s="6" t="str">
        <f>VLOOKUP(A241,'HOGARES-BASELINE'!$B:$I,8,FALSE)</f>
        <v>00030426</v>
      </c>
    </row>
    <row r="242" spans="1:2" x14ac:dyDescent="0.3">
      <c r="A242" s="6">
        <v>22655403</v>
      </c>
      <c r="B242" s="6" t="str">
        <f>VLOOKUP(A242,'HOGARES-BASELINE'!$B:$I,8,FALSE)</f>
        <v>01030427</v>
      </c>
    </row>
    <row r="243" spans="1:2" x14ac:dyDescent="0.3">
      <c r="A243" s="6">
        <v>22703396</v>
      </c>
      <c r="B243" s="6" t="str">
        <f>VLOOKUP(A243,'HOGARES-BASELINE'!$B:$I,8,FALSE)</f>
        <v>01030428</v>
      </c>
    </row>
    <row r="244" spans="1:2" x14ac:dyDescent="0.3">
      <c r="A244" s="6">
        <v>22712132</v>
      </c>
      <c r="B244" s="6" t="str">
        <f>VLOOKUP(A244,'HOGARES-BASELINE'!$B:$I,8,FALSE)</f>
        <v>00030429</v>
      </c>
    </row>
    <row r="245" spans="1:2" x14ac:dyDescent="0.3">
      <c r="A245" s="6">
        <v>22732410</v>
      </c>
      <c r="B245" s="6" t="str">
        <f>VLOOKUP(A245,'HOGARES-BASELINE'!$B:$I,8,FALSE)</f>
        <v>01030431</v>
      </c>
    </row>
    <row r="246" spans="1:2" x14ac:dyDescent="0.3">
      <c r="A246" s="6">
        <v>22733884</v>
      </c>
      <c r="B246" s="6" t="str">
        <f>VLOOKUP(A246,'HOGARES-BASELINE'!$B:$I,8,FALSE)</f>
        <v>00030432</v>
      </c>
    </row>
    <row r="247" spans="1:2" x14ac:dyDescent="0.3">
      <c r="A247" s="6">
        <v>22736024</v>
      </c>
      <c r="B247" s="6" t="str">
        <f>VLOOKUP(A247,'HOGARES-BASELINE'!$B:$I,8,FALSE)</f>
        <v>01030433</v>
      </c>
    </row>
    <row r="248" spans="1:2" x14ac:dyDescent="0.3">
      <c r="A248" s="6">
        <v>22738294</v>
      </c>
      <c r="B248" s="6" t="str">
        <f>VLOOKUP(A248,'HOGARES-BASELINE'!$B:$I,8,FALSE)</f>
        <v>00030434</v>
      </c>
    </row>
    <row r="249" spans="1:2" x14ac:dyDescent="0.3">
      <c r="A249" s="6">
        <v>22739665</v>
      </c>
      <c r="B249" s="6" t="str">
        <f>VLOOKUP(A249,'HOGARES-BASELINE'!$B:$I,8,FALSE)</f>
        <v>00030435</v>
      </c>
    </row>
    <row r="250" spans="1:2" x14ac:dyDescent="0.3">
      <c r="A250" s="6">
        <v>22744065</v>
      </c>
      <c r="B250" s="6" t="str">
        <f>VLOOKUP(A250,'HOGARES-BASELINE'!$B:$I,8,FALSE)</f>
        <v>00030436</v>
      </c>
    </row>
    <row r="251" spans="1:2" x14ac:dyDescent="0.3">
      <c r="A251" s="6">
        <v>22744721</v>
      </c>
      <c r="B251" s="6" t="str">
        <f>VLOOKUP(A251,'HOGARES-BASELINE'!$B:$I,8,FALSE)</f>
        <v>01030437</v>
      </c>
    </row>
    <row r="252" spans="1:2" x14ac:dyDescent="0.3">
      <c r="A252" s="6">
        <v>22845935</v>
      </c>
      <c r="B252" s="6" t="str">
        <f>VLOOKUP(A252,'HOGARES-BASELINE'!$B:$I,8,FALSE)</f>
        <v>01030438</v>
      </c>
    </row>
    <row r="253" spans="1:2" x14ac:dyDescent="0.3">
      <c r="A253" s="6">
        <v>22858815</v>
      </c>
      <c r="B253" s="6" t="str">
        <f>VLOOKUP(A253,'HOGARES-BASELINE'!$B:$I,8,FALSE)</f>
        <v>00030439</v>
      </c>
    </row>
    <row r="254" spans="1:2" x14ac:dyDescent="0.3">
      <c r="A254" s="6">
        <v>22954309</v>
      </c>
      <c r="B254" s="6" t="str">
        <f>VLOOKUP(A254,'HOGARES-BASELINE'!$B:$I,8,FALSE)</f>
        <v>01030440</v>
      </c>
    </row>
    <row r="255" spans="1:2" x14ac:dyDescent="0.3">
      <c r="A255" s="6">
        <v>23070779</v>
      </c>
      <c r="B255" s="6" t="str">
        <f>VLOOKUP(A255,'HOGARES-BASELINE'!$B:$I,8,FALSE)</f>
        <v>01030441</v>
      </c>
    </row>
    <row r="256" spans="1:2" x14ac:dyDescent="0.3">
      <c r="A256" s="6">
        <v>23142186</v>
      </c>
      <c r="B256" s="6" t="str">
        <f>VLOOKUP(A256,'HOGARES-BASELINE'!$B:$I,8,FALSE)</f>
        <v>00030442</v>
      </c>
    </row>
    <row r="257" spans="1:2" x14ac:dyDescent="0.3">
      <c r="A257" s="6">
        <v>23242735</v>
      </c>
      <c r="B257" s="6" t="str">
        <f>VLOOKUP(A257,'HOGARES-BASELINE'!$B:$I,8,FALSE)</f>
        <v>01030443</v>
      </c>
    </row>
    <row r="258" spans="1:2" x14ac:dyDescent="0.3">
      <c r="A258" s="6">
        <v>24117503</v>
      </c>
      <c r="B258" s="6" t="str">
        <f>VLOOKUP(A258,'HOGARES-BASELINE'!$B:$I,8,FALSE)</f>
        <v>00020444</v>
      </c>
    </row>
    <row r="259" spans="1:2" x14ac:dyDescent="0.3">
      <c r="A259" s="6">
        <v>24529522</v>
      </c>
      <c r="B259" s="6" t="str">
        <f>VLOOKUP(A259,'HOGARES-BASELINE'!$B:$I,8,FALSE)</f>
        <v>01020445</v>
      </c>
    </row>
    <row r="260" spans="1:2" x14ac:dyDescent="0.3">
      <c r="A260" s="6">
        <v>24552101</v>
      </c>
      <c r="B260" s="6" t="str">
        <f>VLOOKUP(A260,'HOGARES-BASELINE'!$B:$I,8,FALSE)</f>
        <v>01010446</v>
      </c>
    </row>
    <row r="261" spans="1:2" x14ac:dyDescent="0.3">
      <c r="A261" s="6">
        <v>24923028</v>
      </c>
      <c r="B261" s="6" t="str">
        <f>VLOOKUP(A261,'HOGARES-BASELINE'!$B:$I,8,FALSE)</f>
        <v>00020448</v>
      </c>
    </row>
    <row r="262" spans="1:2" x14ac:dyDescent="0.3">
      <c r="A262" s="6">
        <v>24999258</v>
      </c>
      <c r="B262" s="6" t="str">
        <f>VLOOKUP(A262,'HOGARES-BASELINE'!$B:$I,8,FALSE)</f>
        <v>01010449</v>
      </c>
    </row>
    <row r="263" spans="1:2" x14ac:dyDescent="0.3">
      <c r="A263" s="6">
        <v>25036381</v>
      </c>
      <c r="B263" s="6" t="str">
        <f>VLOOKUP(A263,'HOGARES-BASELINE'!$B:$I,8,FALSE)</f>
        <v>01020450</v>
      </c>
    </row>
    <row r="264" spans="1:2" x14ac:dyDescent="0.3">
      <c r="A264" s="6">
        <v>25097620</v>
      </c>
      <c r="B264" s="6" t="str">
        <f>VLOOKUP(A264,'HOGARES-BASELINE'!$B:$I,8,FALSE)</f>
        <v>01020451</v>
      </c>
    </row>
    <row r="265" spans="1:2" x14ac:dyDescent="0.3">
      <c r="A265" s="6">
        <v>25265831</v>
      </c>
      <c r="B265" s="6" t="str">
        <f>VLOOKUP(A265,'HOGARES-BASELINE'!$B:$I,8,FALSE)</f>
        <v>00020452</v>
      </c>
    </row>
    <row r="266" spans="1:2" x14ac:dyDescent="0.3">
      <c r="A266" s="6">
        <v>25340411</v>
      </c>
      <c r="B266" s="6" t="str">
        <f>VLOOKUP(A266,'HOGARES-BASELINE'!$B:$I,8,FALSE)</f>
        <v>01020453</v>
      </c>
    </row>
    <row r="267" spans="1:2" x14ac:dyDescent="0.3">
      <c r="A267" s="6">
        <v>25340770</v>
      </c>
      <c r="B267" s="6" t="str">
        <f>VLOOKUP(A267,'HOGARES-BASELINE'!$B:$I,8,FALSE)</f>
        <v>01020454</v>
      </c>
    </row>
    <row r="268" spans="1:2" x14ac:dyDescent="0.3">
      <c r="A268" s="6">
        <v>25351368</v>
      </c>
      <c r="B268" s="6" t="str">
        <f>VLOOKUP(A268,'HOGARES-BASELINE'!$B:$I,8,FALSE)</f>
        <v>01020455</v>
      </c>
    </row>
    <row r="269" spans="1:2" x14ac:dyDescent="0.3">
      <c r="A269" s="6">
        <v>25413263</v>
      </c>
      <c r="B269" s="6" t="str">
        <f>VLOOKUP(A269,'HOGARES-BASELINE'!$B:$I,8,FALSE)</f>
        <v>00020456</v>
      </c>
    </row>
    <row r="270" spans="1:2" x14ac:dyDescent="0.3">
      <c r="A270" s="6">
        <v>25485764</v>
      </c>
      <c r="B270" s="6" t="str">
        <f>VLOOKUP(A270,'HOGARES-BASELINE'!$B:$I,8,FALSE)</f>
        <v>00020457</v>
      </c>
    </row>
    <row r="271" spans="1:2" x14ac:dyDescent="0.3">
      <c r="A271" s="6">
        <v>25487137</v>
      </c>
      <c r="B271" s="6" t="str">
        <f>VLOOKUP(A271,'HOGARES-BASELINE'!$B:$I,8,FALSE)</f>
        <v>00020458</v>
      </c>
    </row>
    <row r="272" spans="1:2" x14ac:dyDescent="0.3">
      <c r="A272" s="6">
        <v>25489365</v>
      </c>
      <c r="B272" s="6" t="str">
        <f>VLOOKUP(A272,'HOGARES-BASELINE'!$B:$I,8,FALSE)</f>
        <v>00020459</v>
      </c>
    </row>
    <row r="273" spans="1:2" x14ac:dyDescent="0.3">
      <c r="A273" s="6">
        <v>25490780</v>
      </c>
      <c r="B273" s="6" t="str">
        <f>VLOOKUP(A273,'HOGARES-BASELINE'!$B:$I,8,FALSE)</f>
        <v>00020460</v>
      </c>
    </row>
    <row r="274" spans="1:2" x14ac:dyDescent="0.3">
      <c r="A274" s="6">
        <v>25492271</v>
      </c>
      <c r="B274" s="6" t="str">
        <f>VLOOKUP(A274,'HOGARES-BASELINE'!$B:$I,8,FALSE)</f>
        <v>01020461</v>
      </c>
    </row>
    <row r="275" spans="1:2" x14ac:dyDescent="0.3">
      <c r="A275" s="6">
        <v>25619493</v>
      </c>
      <c r="B275" s="6" t="str">
        <f>VLOOKUP(A275,'HOGARES-BASELINE'!$B:$I,8,FALSE)</f>
        <v>01020462</v>
      </c>
    </row>
    <row r="276" spans="1:2" x14ac:dyDescent="0.3">
      <c r="A276" s="6">
        <v>25638302</v>
      </c>
      <c r="B276" s="6" t="str">
        <f>VLOOKUP(A276,'HOGARES-BASELINE'!$B:$I,8,FALSE)</f>
        <v>00020463</v>
      </c>
    </row>
    <row r="277" spans="1:2" x14ac:dyDescent="0.3">
      <c r="A277" s="6">
        <v>25683891</v>
      </c>
      <c r="B277" s="6" t="str">
        <f>VLOOKUP(A277,'HOGARES-BASELINE'!$B:$I,8,FALSE)</f>
        <v>01020464</v>
      </c>
    </row>
    <row r="278" spans="1:2" x14ac:dyDescent="0.3">
      <c r="A278" s="6">
        <v>25954420</v>
      </c>
      <c r="B278" s="6" t="str">
        <f>VLOOKUP(A278,'HOGARES-BASELINE'!$B:$I,8,FALSE)</f>
        <v>01030465</v>
      </c>
    </row>
    <row r="279" spans="1:2" x14ac:dyDescent="0.3">
      <c r="A279" s="6">
        <v>26256330</v>
      </c>
      <c r="B279" s="6" t="str">
        <f>VLOOKUP(A279,'HOGARES-BASELINE'!$B:$I,8,FALSE)</f>
        <v>01020466</v>
      </c>
    </row>
    <row r="280" spans="1:2" x14ac:dyDescent="0.3">
      <c r="A280" s="6">
        <v>26256767</v>
      </c>
      <c r="B280" s="6" t="str">
        <f>VLOOKUP(A280,'HOGARES-BASELINE'!$B:$I,8,FALSE)</f>
        <v>00010467</v>
      </c>
    </row>
    <row r="281" spans="1:2" x14ac:dyDescent="0.3">
      <c r="A281" s="6">
        <v>26393898</v>
      </c>
      <c r="B281" s="6" t="str">
        <f>VLOOKUP(A281,'HOGARES-BASELINE'!$B:$I,8,FALSE)</f>
        <v>01010468</v>
      </c>
    </row>
    <row r="282" spans="1:2" x14ac:dyDescent="0.3">
      <c r="A282" s="6">
        <v>26718435</v>
      </c>
      <c r="B282" s="6" t="str">
        <f>VLOOKUP(A282,'HOGARES-BASELINE'!$B:$I,8,FALSE)</f>
        <v>01030469</v>
      </c>
    </row>
    <row r="283" spans="1:2" x14ac:dyDescent="0.3">
      <c r="A283" s="6">
        <v>26757628</v>
      </c>
      <c r="B283" s="6" t="str">
        <f>VLOOKUP(A283,'HOGARES-BASELINE'!$B:$I,8,FALSE)</f>
        <v>00030470</v>
      </c>
    </row>
    <row r="284" spans="1:2" x14ac:dyDescent="0.3">
      <c r="A284" s="6">
        <v>26757731</v>
      </c>
      <c r="B284" s="6" t="str">
        <f>VLOOKUP(A284,'HOGARES-BASELINE'!$B:$I,8,FALSE)</f>
        <v>00030471</v>
      </c>
    </row>
    <row r="285" spans="1:2" x14ac:dyDescent="0.3">
      <c r="A285" s="6">
        <v>27104551</v>
      </c>
      <c r="B285" s="6" t="str">
        <f>VLOOKUP(A285,'HOGARES-BASELINE'!$B:$I,8,FALSE)</f>
        <v>00020474</v>
      </c>
    </row>
    <row r="286" spans="1:2" x14ac:dyDescent="0.3">
      <c r="A286" s="6">
        <v>27123795</v>
      </c>
      <c r="B286" s="6" t="str">
        <f>VLOOKUP(A286,'HOGARES-BASELINE'!$B:$I,8,FALSE)</f>
        <v>00020475</v>
      </c>
    </row>
    <row r="287" spans="1:2" x14ac:dyDescent="0.3">
      <c r="A287" s="6">
        <v>28588708</v>
      </c>
      <c r="B287" s="6" t="str">
        <f>VLOOKUP(A287,'HOGARES-BASELINE'!$B:$I,8,FALSE)</f>
        <v>01020477</v>
      </c>
    </row>
    <row r="288" spans="1:2" x14ac:dyDescent="0.3">
      <c r="A288" s="6">
        <v>29105566</v>
      </c>
      <c r="B288" s="6" t="str">
        <f>VLOOKUP(A288,'HOGARES-BASELINE'!$B:$I,8,FALSE)</f>
        <v>00020478</v>
      </c>
    </row>
    <row r="289" spans="1:2" x14ac:dyDescent="0.3">
      <c r="A289" s="6">
        <v>29119222</v>
      </c>
      <c r="B289" s="6" t="str">
        <f>VLOOKUP(A289,'HOGARES-BASELINE'!$B:$I,8,FALSE)</f>
        <v>01020479</v>
      </c>
    </row>
    <row r="290" spans="1:2" x14ac:dyDescent="0.3">
      <c r="A290" s="6">
        <v>29120687</v>
      </c>
      <c r="B290" s="6" t="str">
        <f>VLOOKUP(A290,'HOGARES-BASELINE'!$B:$I,8,FALSE)</f>
        <v>00020480</v>
      </c>
    </row>
    <row r="291" spans="1:2" x14ac:dyDescent="0.3">
      <c r="A291" s="6">
        <v>29177698</v>
      </c>
      <c r="B291" s="6" t="str">
        <f>VLOOKUP(A291,'HOGARES-BASELINE'!$B:$I,8,FALSE)</f>
        <v>00020481</v>
      </c>
    </row>
    <row r="292" spans="1:2" x14ac:dyDescent="0.3">
      <c r="A292" s="6">
        <v>29178636</v>
      </c>
      <c r="B292" s="6" t="str">
        <f>VLOOKUP(A292,'HOGARES-BASELINE'!$B:$I,8,FALSE)</f>
        <v>00020482</v>
      </c>
    </row>
    <row r="293" spans="1:2" x14ac:dyDescent="0.3">
      <c r="A293" s="6">
        <v>29179765</v>
      </c>
      <c r="B293" s="6" t="str">
        <f>VLOOKUP(A293,'HOGARES-BASELINE'!$B:$I,8,FALSE)</f>
        <v>01020483</v>
      </c>
    </row>
    <row r="294" spans="1:2" x14ac:dyDescent="0.3">
      <c r="A294" s="6">
        <v>29179902</v>
      </c>
      <c r="B294" s="6" t="str">
        <f>VLOOKUP(A294,'HOGARES-BASELINE'!$B:$I,8,FALSE)</f>
        <v>00020484</v>
      </c>
    </row>
    <row r="295" spans="1:2" x14ac:dyDescent="0.3">
      <c r="A295" s="6">
        <v>29346502</v>
      </c>
      <c r="B295" s="6" t="str">
        <f>VLOOKUP(A295,'HOGARES-BASELINE'!$B:$I,8,FALSE)</f>
        <v>01020485</v>
      </c>
    </row>
    <row r="296" spans="1:2" x14ac:dyDescent="0.3">
      <c r="A296" s="6">
        <v>29377098</v>
      </c>
      <c r="B296" s="6" t="str">
        <f>VLOOKUP(A296,'HOGARES-BASELINE'!$B:$I,8,FALSE)</f>
        <v>00020486</v>
      </c>
    </row>
    <row r="297" spans="1:2" x14ac:dyDescent="0.3">
      <c r="A297" s="6">
        <v>29398776</v>
      </c>
      <c r="B297" s="6" t="str">
        <f>VLOOKUP(A297,'HOGARES-BASELINE'!$B:$I,8,FALSE)</f>
        <v>00020487</v>
      </c>
    </row>
    <row r="298" spans="1:2" x14ac:dyDescent="0.3">
      <c r="A298" s="6">
        <v>29534923</v>
      </c>
      <c r="B298" s="6" t="str">
        <f>VLOOKUP(A298,'HOGARES-BASELINE'!$B:$I,8,FALSE)</f>
        <v>00020488</v>
      </c>
    </row>
    <row r="299" spans="1:2" x14ac:dyDescent="0.3">
      <c r="A299" s="6">
        <v>29555202</v>
      </c>
      <c r="B299" s="6" t="str">
        <f>VLOOKUP(A299,'HOGARES-BASELINE'!$B:$I,8,FALSE)</f>
        <v>00020489</v>
      </c>
    </row>
    <row r="300" spans="1:2" x14ac:dyDescent="0.3">
      <c r="A300" s="6">
        <v>29563232</v>
      </c>
      <c r="B300" s="6" t="str">
        <f>VLOOKUP(A300,'HOGARES-BASELINE'!$B:$I,8,FALSE)</f>
        <v>01020490</v>
      </c>
    </row>
    <row r="301" spans="1:2" x14ac:dyDescent="0.3">
      <c r="A301" s="6">
        <v>29563360</v>
      </c>
      <c r="B301" s="6" t="str">
        <f>VLOOKUP(A301,'HOGARES-BASELINE'!$B:$I,8,FALSE)</f>
        <v>01020491</v>
      </c>
    </row>
    <row r="302" spans="1:2" x14ac:dyDescent="0.3">
      <c r="A302" s="6">
        <v>29703356</v>
      </c>
      <c r="B302" s="6" t="str">
        <f>VLOOKUP(A302,'HOGARES-BASELINE'!$B:$I,8,FALSE)</f>
        <v>00020494</v>
      </c>
    </row>
    <row r="303" spans="1:2" x14ac:dyDescent="0.3">
      <c r="A303" s="6">
        <v>30402150</v>
      </c>
      <c r="B303" s="6" t="str">
        <f>VLOOKUP(A303,'HOGARES-BASELINE'!$B:$I,8,FALSE)</f>
        <v>01010495</v>
      </c>
    </row>
    <row r="304" spans="1:2" x14ac:dyDescent="0.3">
      <c r="A304" s="6">
        <v>30579593</v>
      </c>
      <c r="B304" s="6" t="str">
        <f>VLOOKUP(A304,'HOGARES-BASELINE'!$B:$I,8,FALSE)</f>
        <v>00030496</v>
      </c>
    </row>
    <row r="305" spans="1:2" x14ac:dyDescent="0.3">
      <c r="A305" s="6">
        <v>30855437</v>
      </c>
      <c r="B305" s="6" t="str">
        <f>VLOOKUP(A305,'HOGARES-BASELINE'!$B:$I,8,FALSE)</f>
        <v>00030497</v>
      </c>
    </row>
    <row r="306" spans="1:2" x14ac:dyDescent="0.3">
      <c r="A306" s="6">
        <v>31162284</v>
      </c>
      <c r="B306" s="6" t="str">
        <f>VLOOKUP(A306,'HOGARES-BASELINE'!$B:$I,8,FALSE)</f>
        <v>00020498</v>
      </c>
    </row>
    <row r="307" spans="1:2" x14ac:dyDescent="0.3">
      <c r="A307" s="6">
        <v>31214997</v>
      </c>
      <c r="B307" s="6" t="str">
        <f>VLOOKUP(A307,'HOGARES-BASELINE'!$B:$I,8,FALSE)</f>
        <v>01020499</v>
      </c>
    </row>
    <row r="308" spans="1:2" x14ac:dyDescent="0.3">
      <c r="A308" s="6">
        <v>31219519</v>
      </c>
      <c r="B308" s="6" t="str">
        <f>VLOOKUP(A308,'HOGARES-BASELINE'!$B:$I,8,FALSE)</f>
        <v>00020500</v>
      </c>
    </row>
    <row r="309" spans="1:2" x14ac:dyDescent="0.3">
      <c r="A309" s="6">
        <v>31223132</v>
      </c>
      <c r="B309" s="6" t="str">
        <f>VLOOKUP(A309,'HOGARES-BASELINE'!$B:$I,8,FALSE)</f>
        <v>00020501</v>
      </c>
    </row>
    <row r="310" spans="1:2" x14ac:dyDescent="0.3">
      <c r="A310" s="6">
        <v>31231329</v>
      </c>
      <c r="B310" s="6" t="str">
        <f>VLOOKUP(A310,'HOGARES-BASELINE'!$B:$I,8,FALSE)</f>
        <v>00020502</v>
      </c>
    </row>
    <row r="311" spans="1:2" x14ac:dyDescent="0.3">
      <c r="A311" s="6">
        <v>31244762</v>
      </c>
      <c r="B311" s="6" t="str">
        <f>VLOOKUP(A311,'HOGARES-BASELINE'!$B:$I,8,FALSE)</f>
        <v>00020503</v>
      </c>
    </row>
    <row r="312" spans="1:2" x14ac:dyDescent="0.3">
      <c r="A312" s="6">
        <v>31248209</v>
      </c>
      <c r="B312" s="6" t="str">
        <f>VLOOKUP(A312,'HOGARES-BASELINE'!$B:$I,8,FALSE)</f>
        <v>00020504</v>
      </c>
    </row>
    <row r="313" spans="1:2" x14ac:dyDescent="0.3">
      <c r="A313" s="6">
        <v>31249710</v>
      </c>
      <c r="B313" s="6" t="str">
        <f>VLOOKUP(A313,'HOGARES-BASELINE'!$B:$I,8,FALSE)</f>
        <v>00020505</v>
      </c>
    </row>
    <row r="314" spans="1:2" x14ac:dyDescent="0.3">
      <c r="A314" s="6">
        <v>31255887</v>
      </c>
      <c r="B314" s="6" t="str">
        <f>VLOOKUP(A314,'HOGARES-BASELINE'!$B:$I,8,FALSE)</f>
        <v>00020506</v>
      </c>
    </row>
    <row r="315" spans="1:2" x14ac:dyDescent="0.3">
      <c r="A315" s="6">
        <v>31264863</v>
      </c>
      <c r="B315" s="6" t="str">
        <f>VLOOKUP(A315,'HOGARES-BASELINE'!$B:$I,8,FALSE)</f>
        <v>00020507</v>
      </c>
    </row>
    <row r="316" spans="1:2" x14ac:dyDescent="0.3">
      <c r="A316" s="6">
        <v>31264907</v>
      </c>
      <c r="B316" s="6" t="str">
        <f>VLOOKUP(A316,'HOGARES-BASELINE'!$B:$I,8,FALSE)</f>
        <v>00020508</v>
      </c>
    </row>
    <row r="317" spans="1:2" x14ac:dyDescent="0.3">
      <c r="A317" s="6">
        <v>31272555</v>
      </c>
      <c r="B317" s="6" t="str">
        <f>VLOOKUP(A317,'HOGARES-BASELINE'!$B:$I,8,FALSE)</f>
        <v>00020509</v>
      </c>
    </row>
    <row r="318" spans="1:2" x14ac:dyDescent="0.3">
      <c r="A318" s="6">
        <v>31282345</v>
      </c>
      <c r="B318" s="6" t="str">
        <f>VLOOKUP(A318,'HOGARES-BASELINE'!$B:$I,8,FALSE)</f>
        <v>01020510</v>
      </c>
    </row>
    <row r="319" spans="1:2" x14ac:dyDescent="0.3">
      <c r="A319" s="6">
        <v>31282655</v>
      </c>
      <c r="B319" s="6" t="str">
        <f>VLOOKUP(A319,'HOGARES-BASELINE'!$B:$I,8,FALSE)</f>
        <v>00020511</v>
      </c>
    </row>
    <row r="320" spans="1:2" x14ac:dyDescent="0.3">
      <c r="A320" s="6">
        <v>31288307</v>
      </c>
      <c r="B320" s="6" t="str">
        <f>VLOOKUP(A320,'HOGARES-BASELINE'!$B:$I,8,FALSE)</f>
        <v>01020512</v>
      </c>
    </row>
    <row r="321" spans="1:2" x14ac:dyDescent="0.3">
      <c r="A321" s="6">
        <v>31295696</v>
      </c>
      <c r="B321" s="6" t="str">
        <f>VLOOKUP(A321,'HOGARES-BASELINE'!$B:$I,8,FALSE)</f>
        <v>00020514</v>
      </c>
    </row>
    <row r="322" spans="1:2" x14ac:dyDescent="0.3">
      <c r="A322" s="6">
        <v>31298525</v>
      </c>
      <c r="B322" s="6" t="str">
        <f>VLOOKUP(A322,'HOGARES-BASELINE'!$B:$I,8,FALSE)</f>
        <v>01020515</v>
      </c>
    </row>
    <row r="323" spans="1:2" x14ac:dyDescent="0.3">
      <c r="A323" s="6">
        <v>31299759</v>
      </c>
      <c r="B323" s="6" t="str">
        <f>VLOOKUP(A323,'HOGARES-BASELINE'!$B:$I,8,FALSE)</f>
        <v>00020516</v>
      </c>
    </row>
    <row r="324" spans="1:2" x14ac:dyDescent="0.3">
      <c r="A324" s="6">
        <v>31304801</v>
      </c>
      <c r="B324" s="6" t="str">
        <f>VLOOKUP(A324,'HOGARES-BASELINE'!$B:$I,8,FALSE)</f>
        <v>01020517</v>
      </c>
    </row>
    <row r="325" spans="1:2" x14ac:dyDescent="0.3">
      <c r="A325" s="6">
        <v>31304971</v>
      </c>
      <c r="B325" s="6" t="str">
        <f>VLOOKUP(A325,'HOGARES-BASELINE'!$B:$I,8,FALSE)</f>
        <v>00020518</v>
      </c>
    </row>
    <row r="326" spans="1:2" x14ac:dyDescent="0.3">
      <c r="A326" s="6">
        <v>31304999</v>
      </c>
      <c r="B326" s="6" t="str">
        <f>VLOOKUP(A326,'HOGARES-BASELINE'!$B:$I,8,FALSE)</f>
        <v>00020519</v>
      </c>
    </row>
    <row r="327" spans="1:2" x14ac:dyDescent="0.3">
      <c r="A327" s="6">
        <v>31400886</v>
      </c>
      <c r="B327" s="6" t="str">
        <f>VLOOKUP(A327,'HOGARES-BASELINE'!$B:$I,8,FALSE)</f>
        <v>00020520</v>
      </c>
    </row>
    <row r="328" spans="1:2" x14ac:dyDescent="0.3">
      <c r="A328" s="6">
        <v>31445562</v>
      </c>
      <c r="B328" s="6" t="str">
        <f>VLOOKUP(A328,'HOGARES-BASELINE'!$B:$I,8,FALSE)</f>
        <v>01020521</v>
      </c>
    </row>
    <row r="329" spans="1:2" x14ac:dyDescent="0.3">
      <c r="A329" s="6">
        <v>31445743</v>
      </c>
      <c r="B329" s="6" t="str">
        <f>VLOOKUP(A329,'HOGARES-BASELINE'!$B:$I,8,FALSE)</f>
        <v>01020522</v>
      </c>
    </row>
    <row r="330" spans="1:2" x14ac:dyDescent="0.3">
      <c r="A330" s="6">
        <v>31446617</v>
      </c>
      <c r="B330" s="6" t="str">
        <f>VLOOKUP(A330,'HOGARES-BASELINE'!$B:$I,8,FALSE)</f>
        <v>01020523</v>
      </c>
    </row>
    <row r="331" spans="1:2" x14ac:dyDescent="0.3">
      <c r="A331" s="6">
        <v>31449382</v>
      </c>
      <c r="B331" s="6" t="str">
        <f>VLOOKUP(A331,'HOGARES-BASELINE'!$B:$I,8,FALSE)</f>
        <v>01020524</v>
      </c>
    </row>
    <row r="332" spans="1:2" x14ac:dyDescent="0.3">
      <c r="A332" s="6">
        <v>31474654</v>
      </c>
      <c r="B332" s="6" t="str">
        <f>VLOOKUP(A332,'HOGARES-BASELINE'!$B:$I,8,FALSE)</f>
        <v>00020525</v>
      </c>
    </row>
    <row r="333" spans="1:2" x14ac:dyDescent="0.3">
      <c r="A333" s="6">
        <v>31524379</v>
      </c>
      <c r="B333" s="6" t="str">
        <f>VLOOKUP(A333,'HOGARES-BASELINE'!$B:$I,8,FALSE)</f>
        <v>01020526</v>
      </c>
    </row>
    <row r="334" spans="1:2" x14ac:dyDescent="0.3">
      <c r="A334" s="6">
        <v>31525011</v>
      </c>
      <c r="B334" s="6" t="str">
        <f>VLOOKUP(A334,'HOGARES-BASELINE'!$B:$I,8,FALSE)</f>
        <v>01020527</v>
      </c>
    </row>
    <row r="335" spans="1:2" x14ac:dyDescent="0.3">
      <c r="A335" s="6">
        <v>31525413</v>
      </c>
      <c r="B335" s="6" t="str">
        <f>VLOOKUP(A335,'HOGARES-BASELINE'!$B:$I,8,FALSE)</f>
        <v>01020528</v>
      </c>
    </row>
    <row r="336" spans="1:2" x14ac:dyDescent="0.3">
      <c r="A336" s="6">
        <v>31534174</v>
      </c>
      <c r="B336" s="6" t="str">
        <f>VLOOKUP(A336,'HOGARES-BASELINE'!$B:$I,8,FALSE)</f>
        <v>01020529</v>
      </c>
    </row>
    <row r="337" spans="1:2" x14ac:dyDescent="0.3">
      <c r="A337" s="6">
        <v>31535355</v>
      </c>
      <c r="B337" s="6" t="str">
        <f>VLOOKUP(A337,'HOGARES-BASELINE'!$B:$I,8,FALSE)</f>
        <v>01020530</v>
      </c>
    </row>
    <row r="338" spans="1:2" x14ac:dyDescent="0.3">
      <c r="A338" s="6">
        <v>31537995</v>
      </c>
      <c r="B338" s="6" t="str">
        <f>VLOOKUP(A338,'HOGARES-BASELINE'!$B:$I,8,FALSE)</f>
        <v>01020531</v>
      </c>
    </row>
    <row r="339" spans="1:2" x14ac:dyDescent="0.3">
      <c r="A339" s="6">
        <v>31574328</v>
      </c>
      <c r="B339" s="6" t="str">
        <f>VLOOKUP(A339,'HOGARES-BASELINE'!$B:$I,8,FALSE)</f>
        <v>00020532</v>
      </c>
    </row>
    <row r="340" spans="1:2" x14ac:dyDescent="0.3">
      <c r="A340" s="6">
        <v>31577413</v>
      </c>
      <c r="B340" s="6" t="str">
        <f>VLOOKUP(A340,'HOGARES-BASELINE'!$B:$I,8,FALSE)</f>
        <v>01020533</v>
      </c>
    </row>
    <row r="341" spans="1:2" x14ac:dyDescent="0.3">
      <c r="A341" s="6">
        <v>31578203</v>
      </c>
      <c r="B341" s="6" t="str">
        <f>VLOOKUP(A341,'HOGARES-BASELINE'!$B:$I,8,FALSE)</f>
        <v>01020534</v>
      </c>
    </row>
    <row r="342" spans="1:2" x14ac:dyDescent="0.3">
      <c r="A342" s="6">
        <v>31579325</v>
      </c>
      <c r="B342" s="6" t="str">
        <f>VLOOKUP(A342,'HOGARES-BASELINE'!$B:$I,8,FALSE)</f>
        <v>00020535</v>
      </c>
    </row>
    <row r="343" spans="1:2" x14ac:dyDescent="0.3">
      <c r="A343" s="6">
        <v>31830427</v>
      </c>
      <c r="B343" s="6" t="str">
        <f>VLOOKUP(A343,'HOGARES-BASELINE'!$B:$I,8,FALSE)</f>
        <v>01020536</v>
      </c>
    </row>
    <row r="344" spans="1:2" x14ac:dyDescent="0.3">
      <c r="A344" s="6">
        <v>31838102</v>
      </c>
      <c r="B344" s="6" t="str">
        <f>VLOOKUP(A344,'HOGARES-BASELINE'!$B:$I,8,FALSE)</f>
        <v>00020537</v>
      </c>
    </row>
    <row r="345" spans="1:2" x14ac:dyDescent="0.3">
      <c r="A345" s="6">
        <v>31844574</v>
      </c>
      <c r="B345" s="6" t="str">
        <f>VLOOKUP(A345,'HOGARES-BASELINE'!$B:$I,8,FALSE)</f>
        <v>01020538</v>
      </c>
    </row>
    <row r="346" spans="1:2" x14ac:dyDescent="0.3">
      <c r="A346" s="6">
        <v>31849780</v>
      </c>
      <c r="B346" s="6" t="str">
        <f>VLOOKUP(A346,'HOGARES-BASELINE'!$B:$I,8,FALSE)</f>
        <v>00020539</v>
      </c>
    </row>
    <row r="347" spans="1:2" x14ac:dyDescent="0.3">
      <c r="A347" s="6">
        <v>31853274</v>
      </c>
      <c r="B347" s="6" t="str">
        <f>VLOOKUP(A347,'HOGARES-BASELINE'!$B:$I,8,FALSE)</f>
        <v>00020540</v>
      </c>
    </row>
    <row r="348" spans="1:2" x14ac:dyDescent="0.3">
      <c r="A348" s="6">
        <v>31855498</v>
      </c>
      <c r="B348" s="6" t="str">
        <f>VLOOKUP(A348,'HOGARES-BASELINE'!$B:$I,8,FALSE)</f>
        <v>00020541</v>
      </c>
    </row>
    <row r="349" spans="1:2" x14ac:dyDescent="0.3">
      <c r="A349" s="6">
        <v>31855556</v>
      </c>
      <c r="B349" s="6" t="str">
        <f>VLOOKUP(A349,'HOGARES-BASELINE'!$B:$I,8,FALSE)</f>
        <v>00020542</v>
      </c>
    </row>
    <row r="350" spans="1:2" x14ac:dyDescent="0.3">
      <c r="A350" s="6">
        <v>31857033</v>
      </c>
      <c r="B350" s="6" t="str">
        <f>VLOOKUP(A350,'HOGARES-BASELINE'!$B:$I,8,FALSE)</f>
        <v>00020543</v>
      </c>
    </row>
    <row r="351" spans="1:2" x14ac:dyDescent="0.3">
      <c r="A351" s="6">
        <v>31857560</v>
      </c>
      <c r="B351" s="6" t="str">
        <f>VLOOKUP(A351,'HOGARES-BASELINE'!$B:$I,8,FALSE)</f>
        <v>00020544</v>
      </c>
    </row>
    <row r="352" spans="1:2" x14ac:dyDescent="0.3">
      <c r="A352" s="6">
        <v>31858321</v>
      </c>
      <c r="B352" s="6" t="str">
        <f>VLOOKUP(A352,'HOGARES-BASELINE'!$B:$I,8,FALSE)</f>
        <v>00020545</v>
      </c>
    </row>
    <row r="353" spans="1:2" x14ac:dyDescent="0.3">
      <c r="A353" s="6">
        <v>31870926</v>
      </c>
      <c r="B353" s="6" t="str">
        <f>VLOOKUP(A353,'HOGARES-BASELINE'!$B:$I,8,FALSE)</f>
        <v>00020546</v>
      </c>
    </row>
    <row r="354" spans="1:2" x14ac:dyDescent="0.3">
      <c r="A354" s="6">
        <v>31871549</v>
      </c>
      <c r="B354" s="6" t="str">
        <f>VLOOKUP(A354,'HOGARES-BASELINE'!$B:$I,8,FALSE)</f>
        <v>01020547</v>
      </c>
    </row>
    <row r="355" spans="1:2" x14ac:dyDescent="0.3">
      <c r="A355" s="6">
        <v>31873574</v>
      </c>
      <c r="B355" s="6" t="str">
        <f>VLOOKUP(A355,'HOGARES-BASELINE'!$B:$I,8,FALSE)</f>
        <v>00020548</v>
      </c>
    </row>
    <row r="356" spans="1:2" x14ac:dyDescent="0.3">
      <c r="A356" s="6">
        <v>31876572</v>
      </c>
      <c r="B356" s="6" t="str">
        <f>VLOOKUP(A356,'HOGARES-BASELINE'!$B:$I,8,FALSE)</f>
        <v>00020549</v>
      </c>
    </row>
    <row r="357" spans="1:2" x14ac:dyDescent="0.3">
      <c r="A357" s="6">
        <v>31884956</v>
      </c>
      <c r="B357" s="6" t="str">
        <f>VLOOKUP(A357,'HOGARES-BASELINE'!$B:$I,8,FALSE)</f>
        <v>00020550</v>
      </c>
    </row>
    <row r="358" spans="1:2" x14ac:dyDescent="0.3">
      <c r="A358" s="6">
        <v>31895484</v>
      </c>
      <c r="B358" s="6" t="str">
        <f>VLOOKUP(A358,'HOGARES-BASELINE'!$B:$I,8,FALSE)</f>
        <v>00020552</v>
      </c>
    </row>
    <row r="359" spans="1:2" x14ac:dyDescent="0.3">
      <c r="A359" s="6">
        <v>31902498</v>
      </c>
      <c r="B359" s="6" t="str">
        <f>VLOOKUP(A359,'HOGARES-BASELINE'!$B:$I,8,FALSE)</f>
        <v>01020553</v>
      </c>
    </row>
    <row r="360" spans="1:2" x14ac:dyDescent="0.3">
      <c r="A360" s="6">
        <v>31909149</v>
      </c>
      <c r="B360" s="6" t="str">
        <f>VLOOKUP(A360,'HOGARES-BASELINE'!$B:$I,8,FALSE)</f>
        <v>01020555</v>
      </c>
    </row>
    <row r="361" spans="1:2" x14ac:dyDescent="0.3">
      <c r="A361" s="6">
        <v>31909838</v>
      </c>
      <c r="B361" s="6" t="str">
        <f>VLOOKUP(A361,'HOGARES-BASELINE'!$B:$I,8,FALSE)</f>
        <v>00020556</v>
      </c>
    </row>
    <row r="362" spans="1:2" x14ac:dyDescent="0.3">
      <c r="A362" s="6">
        <v>31914369</v>
      </c>
      <c r="B362" s="6" t="str">
        <f>VLOOKUP(A362,'HOGARES-BASELINE'!$B:$I,8,FALSE)</f>
        <v>00020557</v>
      </c>
    </row>
    <row r="363" spans="1:2" x14ac:dyDescent="0.3">
      <c r="A363" s="6">
        <v>31916260</v>
      </c>
      <c r="B363" s="6" t="str">
        <f>VLOOKUP(A363,'HOGARES-BASELINE'!$B:$I,8,FALSE)</f>
        <v>00020558</v>
      </c>
    </row>
    <row r="364" spans="1:2" x14ac:dyDescent="0.3">
      <c r="A364" s="6">
        <v>31923598</v>
      </c>
      <c r="B364" s="6" t="str">
        <f>VLOOKUP(A364,'HOGARES-BASELINE'!$B:$I,8,FALSE)</f>
        <v>01020559</v>
      </c>
    </row>
    <row r="365" spans="1:2" x14ac:dyDescent="0.3">
      <c r="A365" s="6">
        <v>31923606</v>
      </c>
      <c r="B365" s="6" t="str">
        <f>VLOOKUP(A365,'HOGARES-BASELINE'!$B:$I,8,FALSE)</f>
        <v>00020560</v>
      </c>
    </row>
    <row r="366" spans="1:2" x14ac:dyDescent="0.3">
      <c r="A366" s="6">
        <v>31924208</v>
      </c>
      <c r="B366" s="6" t="str">
        <f>VLOOKUP(A366,'HOGARES-BASELINE'!$B:$I,8,FALSE)</f>
        <v>00020561</v>
      </c>
    </row>
    <row r="367" spans="1:2" x14ac:dyDescent="0.3">
      <c r="A367" s="6">
        <v>31925580</v>
      </c>
      <c r="B367" s="6" t="str">
        <f>VLOOKUP(A367,'HOGARES-BASELINE'!$B:$I,8,FALSE)</f>
        <v>00020562</v>
      </c>
    </row>
    <row r="368" spans="1:2" x14ac:dyDescent="0.3">
      <c r="A368" s="6">
        <v>31929380</v>
      </c>
      <c r="B368" s="6" t="str">
        <f>VLOOKUP(A368,'HOGARES-BASELINE'!$B:$I,8,FALSE)</f>
        <v>01020563</v>
      </c>
    </row>
    <row r="369" spans="1:2" x14ac:dyDescent="0.3">
      <c r="A369" s="6">
        <v>31931128</v>
      </c>
      <c r="B369" s="6" t="str">
        <f>VLOOKUP(A369,'HOGARES-BASELINE'!$B:$I,8,FALSE)</f>
        <v>00020564</v>
      </c>
    </row>
    <row r="370" spans="1:2" x14ac:dyDescent="0.3">
      <c r="A370" s="6">
        <v>31948620</v>
      </c>
      <c r="B370" s="6" t="str">
        <f>VLOOKUP(A370,'HOGARES-BASELINE'!$B:$I,8,FALSE)</f>
        <v>00020565</v>
      </c>
    </row>
    <row r="371" spans="1:2" x14ac:dyDescent="0.3">
      <c r="A371" s="6">
        <v>31959597</v>
      </c>
      <c r="B371" s="6" t="str">
        <f>VLOOKUP(A371,'HOGARES-BASELINE'!$B:$I,8,FALSE)</f>
        <v>01020566</v>
      </c>
    </row>
    <row r="372" spans="1:2" x14ac:dyDescent="0.3">
      <c r="A372" s="6">
        <v>31972147</v>
      </c>
      <c r="B372" s="6" t="str">
        <f>VLOOKUP(A372,'HOGARES-BASELINE'!$B:$I,8,FALSE)</f>
        <v>01020567</v>
      </c>
    </row>
    <row r="373" spans="1:2" x14ac:dyDescent="0.3">
      <c r="A373" s="6">
        <v>31981946</v>
      </c>
      <c r="B373" s="6" t="str">
        <f>VLOOKUP(A373,'HOGARES-BASELINE'!$B:$I,8,FALSE)</f>
        <v>01020568</v>
      </c>
    </row>
    <row r="374" spans="1:2" x14ac:dyDescent="0.3">
      <c r="A374" s="6">
        <v>31983781</v>
      </c>
      <c r="B374" s="6" t="str">
        <f>VLOOKUP(A374,'HOGARES-BASELINE'!$B:$I,8,FALSE)</f>
        <v>01020569</v>
      </c>
    </row>
    <row r="375" spans="1:2" x14ac:dyDescent="0.3">
      <c r="A375" s="6">
        <v>31992224</v>
      </c>
      <c r="B375" s="6" t="str">
        <f>VLOOKUP(A375,'HOGARES-BASELINE'!$B:$I,8,FALSE)</f>
        <v>01020570</v>
      </c>
    </row>
    <row r="376" spans="1:2" x14ac:dyDescent="0.3">
      <c r="A376" s="6">
        <v>31992747</v>
      </c>
      <c r="B376" s="6" t="str">
        <f>VLOOKUP(A376,'HOGARES-BASELINE'!$B:$I,8,FALSE)</f>
        <v>01020571</v>
      </c>
    </row>
    <row r="377" spans="1:2" x14ac:dyDescent="0.3">
      <c r="A377" s="6">
        <v>32078660</v>
      </c>
      <c r="B377" s="6" t="str">
        <f>VLOOKUP(A377,'HOGARES-BASELINE'!$B:$I,8,FALSE)</f>
        <v>00010572</v>
      </c>
    </row>
    <row r="378" spans="1:2" x14ac:dyDescent="0.3">
      <c r="A378" s="6">
        <v>32102790</v>
      </c>
      <c r="B378" s="6" t="str">
        <f>VLOOKUP(A378,'HOGARES-BASELINE'!$B:$I,8,FALSE)</f>
        <v>01010573</v>
      </c>
    </row>
    <row r="379" spans="1:2" x14ac:dyDescent="0.3">
      <c r="A379" s="6">
        <v>32118138</v>
      </c>
      <c r="B379" s="6" t="str">
        <f>VLOOKUP(A379,'HOGARES-BASELINE'!$B:$I,8,FALSE)</f>
        <v>01010574</v>
      </c>
    </row>
    <row r="380" spans="1:2" x14ac:dyDescent="0.3">
      <c r="A380" s="6">
        <v>32144313</v>
      </c>
      <c r="B380" s="6" t="str">
        <f>VLOOKUP(A380,'HOGARES-BASELINE'!$B:$I,8,FALSE)</f>
        <v>01010575</v>
      </c>
    </row>
    <row r="381" spans="1:2" x14ac:dyDescent="0.3">
      <c r="A381" s="6">
        <v>32208850</v>
      </c>
      <c r="B381" s="6" t="str">
        <f>VLOOKUP(A381,'HOGARES-BASELINE'!$B:$I,8,FALSE)</f>
        <v>01010577</v>
      </c>
    </row>
    <row r="382" spans="1:2" x14ac:dyDescent="0.3">
      <c r="A382" s="6">
        <v>32255078</v>
      </c>
      <c r="B382" s="6" t="str">
        <f>VLOOKUP(A382,'HOGARES-BASELINE'!$B:$I,8,FALSE)</f>
        <v>00010578</v>
      </c>
    </row>
    <row r="383" spans="1:2" x14ac:dyDescent="0.3">
      <c r="A383" s="6">
        <v>32255448</v>
      </c>
      <c r="B383" s="6" t="str">
        <f>VLOOKUP(A383,'HOGARES-BASELINE'!$B:$I,8,FALSE)</f>
        <v>01010579</v>
      </c>
    </row>
    <row r="384" spans="1:2" x14ac:dyDescent="0.3">
      <c r="A384" s="6">
        <v>32258550</v>
      </c>
      <c r="B384" s="6" t="str">
        <f>VLOOKUP(A384,'HOGARES-BASELINE'!$B:$I,8,FALSE)</f>
        <v>01010580</v>
      </c>
    </row>
    <row r="385" spans="1:2" x14ac:dyDescent="0.3">
      <c r="A385" s="6">
        <v>32285101</v>
      </c>
      <c r="B385" s="6" t="str">
        <f>VLOOKUP(A385,'HOGARES-BASELINE'!$B:$I,8,FALSE)</f>
        <v>01020581</v>
      </c>
    </row>
    <row r="386" spans="1:2" x14ac:dyDescent="0.3">
      <c r="A386" s="6">
        <v>32285912</v>
      </c>
      <c r="B386" s="6" t="str">
        <f>VLOOKUP(A386,'HOGARES-BASELINE'!$B:$I,8,FALSE)</f>
        <v>01020582</v>
      </c>
    </row>
    <row r="387" spans="1:2" x14ac:dyDescent="0.3">
      <c r="A387" s="6">
        <v>32323288</v>
      </c>
      <c r="B387" s="6" t="str">
        <f>VLOOKUP(A387,'HOGARES-BASELINE'!$B:$I,8,FALSE)</f>
        <v>00010583</v>
      </c>
    </row>
    <row r="388" spans="1:2" x14ac:dyDescent="0.3">
      <c r="A388" s="6">
        <v>32342765</v>
      </c>
      <c r="B388" s="6" t="str">
        <f>VLOOKUP(A388,'HOGARES-BASELINE'!$B:$I,8,FALSE)</f>
        <v>00010584</v>
      </c>
    </row>
    <row r="389" spans="1:2" x14ac:dyDescent="0.3">
      <c r="A389" s="6">
        <v>32358114</v>
      </c>
      <c r="B389" s="6" t="str">
        <f>VLOOKUP(A389,'HOGARES-BASELINE'!$B:$I,8,FALSE)</f>
        <v>01010585</v>
      </c>
    </row>
    <row r="390" spans="1:2" x14ac:dyDescent="0.3">
      <c r="A390" s="6">
        <v>32358159</v>
      </c>
      <c r="B390" s="6" t="str">
        <f>VLOOKUP(A390,'HOGARES-BASELINE'!$B:$I,8,FALSE)</f>
        <v>01010586</v>
      </c>
    </row>
    <row r="391" spans="1:2" x14ac:dyDescent="0.3">
      <c r="A391" s="6">
        <v>32393942</v>
      </c>
      <c r="B391" s="6" t="str">
        <f>VLOOKUP(A391,'HOGARES-BASELINE'!$B:$I,8,FALSE)</f>
        <v>00010587</v>
      </c>
    </row>
    <row r="392" spans="1:2" x14ac:dyDescent="0.3">
      <c r="A392" s="6">
        <v>32409494</v>
      </c>
      <c r="B392" s="6" t="str">
        <f>VLOOKUP(A392,'HOGARES-BASELINE'!$B:$I,8,FALSE)</f>
        <v>01010588</v>
      </c>
    </row>
    <row r="393" spans="1:2" x14ac:dyDescent="0.3">
      <c r="A393" s="6">
        <v>32422939</v>
      </c>
      <c r="B393" s="6" t="str">
        <f>VLOOKUP(A393,'HOGARES-BASELINE'!$B:$I,8,FALSE)</f>
        <v>01010589</v>
      </c>
    </row>
    <row r="394" spans="1:2" x14ac:dyDescent="0.3">
      <c r="A394" s="6">
        <v>32430020</v>
      </c>
      <c r="B394" s="6" t="str">
        <f>VLOOKUP(A394,'HOGARES-BASELINE'!$B:$I,8,FALSE)</f>
        <v>00010590</v>
      </c>
    </row>
    <row r="395" spans="1:2" x14ac:dyDescent="0.3">
      <c r="A395" s="6">
        <v>32452654</v>
      </c>
      <c r="B395" s="6" t="str">
        <f>VLOOKUP(A395,'HOGARES-BASELINE'!$B:$I,8,FALSE)</f>
        <v>00010591</v>
      </c>
    </row>
    <row r="396" spans="1:2" x14ac:dyDescent="0.3">
      <c r="A396" s="6">
        <v>32455454</v>
      </c>
      <c r="B396" s="6" t="str">
        <f>VLOOKUP(A396,'HOGARES-BASELINE'!$B:$I,8,FALSE)</f>
        <v>00010592</v>
      </c>
    </row>
    <row r="397" spans="1:2" x14ac:dyDescent="0.3">
      <c r="A397" s="6">
        <v>32465235</v>
      </c>
      <c r="B397" s="6" t="str">
        <f>VLOOKUP(A397,'HOGARES-BASELINE'!$B:$I,8,FALSE)</f>
        <v>00010593</v>
      </c>
    </row>
    <row r="398" spans="1:2" x14ac:dyDescent="0.3">
      <c r="A398" s="6">
        <v>32479953</v>
      </c>
      <c r="B398" s="6" t="str">
        <f>VLOOKUP(A398,'HOGARES-BASELINE'!$B:$I,8,FALSE)</f>
        <v>00010594</v>
      </c>
    </row>
    <row r="399" spans="1:2" x14ac:dyDescent="0.3">
      <c r="A399" s="6">
        <v>32487224</v>
      </c>
      <c r="B399" s="6" t="str">
        <f>VLOOKUP(A399,'HOGARES-BASELINE'!$B:$I,8,FALSE)</f>
        <v>00010595</v>
      </c>
    </row>
    <row r="400" spans="1:2" x14ac:dyDescent="0.3">
      <c r="A400" s="6">
        <v>32500559</v>
      </c>
      <c r="B400" s="6" t="str">
        <f>VLOOKUP(A400,'HOGARES-BASELINE'!$B:$I,8,FALSE)</f>
        <v>00010597</v>
      </c>
    </row>
    <row r="401" spans="1:2" x14ac:dyDescent="0.3">
      <c r="A401" s="6">
        <v>32500696</v>
      </c>
      <c r="B401" s="6" t="str">
        <f>VLOOKUP(A401,'HOGARES-BASELINE'!$B:$I,8,FALSE)</f>
        <v>01010598</v>
      </c>
    </row>
    <row r="402" spans="1:2" x14ac:dyDescent="0.3">
      <c r="A402" s="6">
        <v>32501795</v>
      </c>
      <c r="B402" s="6" t="str">
        <f>VLOOKUP(A402,'HOGARES-BASELINE'!$B:$I,8,FALSE)</f>
        <v>00010599</v>
      </c>
    </row>
    <row r="403" spans="1:2" x14ac:dyDescent="0.3">
      <c r="A403" s="6">
        <v>32513453</v>
      </c>
      <c r="B403" s="6" t="str">
        <f>VLOOKUP(A403,'HOGARES-BASELINE'!$B:$I,8,FALSE)</f>
        <v>00010600</v>
      </c>
    </row>
    <row r="404" spans="1:2" x14ac:dyDescent="0.3">
      <c r="A404" s="6">
        <v>32516837</v>
      </c>
      <c r="B404" s="6" t="str">
        <f>VLOOKUP(A404,'HOGARES-BASELINE'!$B:$I,8,FALSE)</f>
        <v>00010601</v>
      </c>
    </row>
    <row r="405" spans="1:2" x14ac:dyDescent="0.3">
      <c r="A405" s="6">
        <v>32519087</v>
      </c>
      <c r="B405" s="6" t="str">
        <f>VLOOKUP(A405,'HOGARES-BASELINE'!$B:$I,8,FALSE)</f>
        <v>01010602</v>
      </c>
    </row>
    <row r="406" spans="1:2" x14ac:dyDescent="0.3">
      <c r="A406" s="6">
        <v>32521000</v>
      </c>
      <c r="B406" s="6" t="str">
        <f>VLOOKUP(A406,'HOGARES-BASELINE'!$B:$I,8,FALSE)</f>
        <v>00010603</v>
      </c>
    </row>
    <row r="407" spans="1:2" x14ac:dyDescent="0.3">
      <c r="A407" s="6">
        <v>32525563</v>
      </c>
      <c r="B407" s="6" t="str">
        <f>VLOOKUP(A407,'HOGARES-BASELINE'!$B:$I,8,FALSE)</f>
        <v>00010604</v>
      </c>
    </row>
    <row r="408" spans="1:2" x14ac:dyDescent="0.3">
      <c r="A408" s="6">
        <v>32526054</v>
      </c>
      <c r="B408" s="6" t="str">
        <f>VLOOKUP(A408,'HOGARES-BASELINE'!$B:$I,8,FALSE)</f>
        <v>00010605</v>
      </c>
    </row>
    <row r="409" spans="1:2" x14ac:dyDescent="0.3">
      <c r="A409" s="6">
        <v>32531832</v>
      </c>
      <c r="B409" s="6" t="str">
        <f>VLOOKUP(A409,'HOGARES-BASELINE'!$B:$I,8,FALSE)</f>
        <v>01010607</v>
      </c>
    </row>
    <row r="410" spans="1:2" x14ac:dyDescent="0.3">
      <c r="A410" s="6">
        <v>32533675</v>
      </c>
      <c r="B410" s="6" t="str">
        <f>VLOOKUP(A410,'HOGARES-BASELINE'!$B:$I,8,FALSE)</f>
        <v>01010608</v>
      </c>
    </row>
    <row r="411" spans="1:2" x14ac:dyDescent="0.3">
      <c r="A411" s="6">
        <v>32535369</v>
      </c>
      <c r="B411" s="6" t="str">
        <f>VLOOKUP(A411,'HOGARES-BASELINE'!$B:$I,8,FALSE)</f>
        <v>01010609</v>
      </c>
    </row>
    <row r="412" spans="1:2" x14ac:dyDescent="0.3">
      <c r="A412" s="6">
        <v>32538485</v>
      </c>
      <c r="B412" s="6" t="str">
        <f>VLOOKUP(A412,'HOGARES-BASELINE'!$B:$I,8,FALSE)</f>
        <v>00010610</v>
      </c>
    </row>
    <row r="413" spans="1:2" x14ac:dyDescent="0.3">
      <c r="A413" s="6">
        <v>32580754</v>
      </c>
      <c r="B413" s="6" t="str">
        <f>VLOOKUP(A413,'HOGARES-BASELINE'!$B:$I,8,FALSE)</f>
        <v>01030612</v>
      </c>
    </row>
    <row r="414" spans="1:2" x14ac:dyDescent="0.3">
      <c r="A414" s="6">
        <v>32609231</v>
      </c>
      <c r="B414" s="6" t="str">
        <f>VLOOKUP(A414,'HOGARES-BASELINE'!$B:$I,8,FALSE)</f>
        <v>00030613</v>
      </c>
    </row>
    <row r="415" spans="1:2" x14ac:dyDescent="0.3">
      <c r="A415" s="6">
        <v>32612783</v>
      </c>
      <c r="B415" s="6" t="str">
        <f>VLOOKUP(A415,'HOGARES-BASELINE'!$B:$I,8,FALSE)</f>
        <v>01030614</v>
      </c>
    </row>
    <row r="416" spans="1:2" x14ac:dyDescent="0.3">
      <c r="A416" s="6">
        <v>32613935</v>
      </c>
      <c r="B416" s="6" t="str">
        <f>VLOOKUP(A416,'HOGARES-BASELINE'!$B:$I,8,FALSE)</f>
        <v>01030615</v>
      </c>
    </row>
    <row r="417" spans="1:2" x14ac:dyDescent="0.3">
      <c r="A417" s="6">
        <v>32619848</v>
      </c>
      <c r="B417" s="6" t="str">
        <f>VLOOKUP(A417,'HOGARES-BASELINE'!$B:$I,8,FALSE)</f>
        <v>00030616</v>
      </c>
    </row>
    <row r="418" spans="1:2" x14ac:dyDescent="0.3">
      <c r="A418" s="6">
        <v>32620693</v>
      </c>
      <c r="B418" s="6" t="str">
        <f>VLOOKUP(A418,'HOGARES-BASELINE'!$B:$I,8,FALSE)</f>
        <v>00030617</v>
      </c>
    </row>
    <row r="419" spans="1:2" x14ac:dyDescent="0.3">
      <c r="A419" s="6">
        <v>32623209</v>
      </c>
      <c r="B419" s="6" t="str">
        <f>VLOOKUP(A419,'HOGARES-BASELINE'!$B:$I,8,FALSE)</f>
        <v>01030618</v>
      </c>
    </row>
    <row r="420" spans="1:2" x14ac:dyDescent="0.3">
      <c r="A420" s="6">
        <v>32627098</v>
      </c>
      <c r="B420" s="6" t="str">
        <f>VLOOKUP(A420,'HOGARES-BASELINE'!$B:$I,8,FALSE)</f>
        <v>00030619</v>
      </c>
    </row>
    <row r="421" spans="1:2" x14ac:dyDescent="0.3">
      <c r="A421" s="6">
        <v>32629512</v>
      </c>
      <c r="B421" s="6" t="str">
        <f>VLOOKUP(A421,'HOGARES-BASELINE'!$B:$I,8,FALSE)</f>
        <v>01030620</v>
      </c>
    </row>
    <row r="422" spans="1:2" x14ac:dyDescent="0.3">
      <c r="A422" s="6">
        <v>32632016</v>
      </c>
      <c r="B422" s="6" t="str">
        <f>VLOOKUP(A422,'HOGARES-BASELINE'!$B:$I,8,FALSE)</f>
        <v>00030621</v>
      </c>
    </row>
    <row r="423" spans="1:2" x14ac:dyDescent="0.3">
      <c r="A423" s="6">
        <v>32634688</v>
      </c>
      <c r="B423" s="6" t="str">
        <f>VLOOKUP(A423,'HOGARES-BASELINE'!$B:$I,8,FALSE)</f>
        <v>01030622</v>
      </c>
    </row>
    <row r="424" spans="1:2" x14ac:dyDescent="0.3">
      <c r="A424" s="6">
        <v>32635477</v>
      </c>
      <c r="B424" s="6" t="str">
        <f>VLOOKUP(A424,'HOGARES-BASELINE'!$B:$I,8,FALSE)</f>
        <v>00030623</v>
      </c>
    </row>
    <row r="425" spans="1:2" x14ac:dyDescent="0.3">
      <c r="A425" s="6">
        <v>32636512</v>
      </c>
      <c r="B425" s="6" t="str">
        <f>VLOOKUP(A425,'HOGARES-BASELINE'!$B:$I,8,FALSE)</f>
        <v>00030624</v>
      </c>
    </row>
    <row r="426" spans="1:2" x14ac:dyDescent="0.3">
      <c r="A426" s="6">
        <v>32636575</v>
      </c>
      <c r="B426" s="6" t="str">
        <f>VLOOKUP(A426,'HOGARES-BASELINE'!$B:$I,8,FALSE)</f>
        <v>01030625</v>
      </c>
    </row>
    <row r="427" spans="1:2" x14ac:dyDescent="0.3">
      <c r="A427" s="6">
        <v>32639743</v>
      </c>
      <c r="B427" s="6" t="str">
        <f>VLOOKUP(A427,'HOGARES-BASELINE'!$B:$I,8,FALSE)</f>
        <v>00030626</v>
      </c>
    </row>
    <row r="428" spans="1:2" x14ac:dyDescent="0.3">
      <c r="A428" s="6">
        <v>32639848</v>
      </c>
      <c r="B428" s="6" t="str">
        <f>VLOOKUP(A428,'HOGARES-BASELINE'!$B:$I,8,FALSE)</f>
        <v>01030627</v>
      </c>
    </row>
    <row r="429" spans="1:2" x14ac:dyDescent="0.3">
      <c r="A429" s="6">
        <v>32642312</v>
      </c>
      <c r="B429" s="6" t="str">
        <f>VLOOKUP(A429,'HOGARES-BASELINE'!$B:$I,8,FALSE)</f>
        <v>00030628</v>
      </c>
    </row>
    <row r="430" spans="1:2" x14ac:dyDescent="0.3">
      <c r="A430" s="6">
        <v>32648994</v>
      </c>
      <c r="B430" s="6" t="str">
        <f>VLOOKUP(A430,'HOGARES-BASELINE'!$B:$I,8,FALSE)</f>
        <v>01030629</v>
      </c>
    </row>
    <row r="431" spans="1:2" x14ac:dyDescent="0.3">
      <c r="A431" s="6">
        <v>32649402</v>
      </c>
      <c r="B431" s="6" t="str">
        <f>VLOOKUP(A431,'HOGARES-BASELINE'!$B:$I,8,FALSE)</f>
        <v>00030630</v>
      </c>
    </row>
    <row r="432" spans="1:2" x14ac:dyDescent="0.3">
      <c r="A432" s="6">
        <v>32650703</v>
      </c>
      <c r="B432" s="6" t="str">
        <f>VLOOKUP(A432,'HOGARES-BASELINE'!$B:$I,8,FALSE)</f>
        <v>01030631</v>
      </c>
    </row>
    <row r="433" spans="1:2" x14ac:dyDescent="0.3">
      <c r="A433" s="6">
        <v>32652678</v>
      </c>
      <c r="B433" s="6" t="str">
        <f>VLOOKUP(A433,'HOGARES-BASELINE'!$B:$I,8,FALSE)</f>
        <v>00030632</v>
      </c>
    </row>
    <row r="434" spans="1:2" x14ac:dyDescent="0.3">
      <c r="A434" s="6">
        <v>32657122</v>
      </c>
      <c r="B434" s="6" t="str">
        <f>VLOOKUP(A434,'HOGARES-BASELINE'!$B:$I,8,FALSE)</f>
        <v>00030633</v>
      </c>
    </row>
    <row r="435" spans="1:2" x14ac:dyDescent="0.3">
      <c r="A435" s="6">
        <v>32661084</v>
      </c>
      <c r="B435" s="6" t="str">
        <f>VLOOKUP(A435,'HOGARES-BASELINE'!$B:$I,8,FALSE)</f>
        <v>00030634</v>
      </c>
    </row>
    <row r="436" spans="1:2" x14ac:dyDescent="0.3">
      <c r="A436" s="6">
        <v>32661700</v>
      </c>
      <c r="B436" s="6" t="str">
        <f>VLOOKUP(A436,'HOGARES-BASELINE'!$B:$I,8,FALSE)</f>
        <v>00030635</v>
      </c>
    </row>
    <row r="437" spans="1:2" x14ac:dyDescent="0.3">
      <c r="A437" s="6">
        <v>32665786</v>
      </c>
      <c r="B437" s="6" t="str">
        <f>VLOOKUP(A437,'HOGARES-BASELINE'!$B:$I,8,FALSE)</f>
        <v>01030636</v>
      </c>
    </row>
    <row r="438" spans="1:2" x14ac:dyDescent="0.3">
      <c r="A438" s="6">
        <v>32673448</v>
      </c>
      <c r="B438" s="6" t="str">
        <f>VLOOKUP(A438,'HOGARES-BASELINE'!$B:$I,8,FALSE)</f>
        <v>01030637</v>
      </c>
    </row>
    <row r="439" spans="1:2" x14ac:dyDescent="0.3">
      <c r="A439" s="6">
        <v>32674359</v>
      </c>
      <c r="B439" s="6" t="str">
        <f>VLOOKUP(A439,'HOGARES-BASELINE'!$B:$I,8,FALSE)</f>
        <v>01030638</v>
      </c>
    </row>
    <row r="440" spans="1:2" x14ac:dyDescent="0.3">
      <c r="A440" s="6">
        <v>32674864</v>
      </c>
      <c r="B440" s="6" t="str">
        <f>VLOOKUP(A440,'HOGARES-BASELINE'!$B:$I,8,FALSE)</f>
        <v>01030639</v>
      </c>
    </row>
    <row r="441" spans="1:2" x14ac:dyDescent="0.3">
      <c r="A441" s="6">
        <v>32676566</v>
      </c>
      <c r="B441" s="6" t="str">
        <f>VLOOKUP(A441,'HOGARES-BASELINE'!$B:$I,8,FALSE)</f>
        <v>00030640</v>
      </c>
    </row>
    <row r="442" spans="1:2" x14ac:dyDescent="0.3">
      <c r="A442" s="6">
        <v>32678914</v>
      </c>
      <c r="B442" s="6" t="str">
        <f>VLOOKUP(A442,'HOGARES-BASELINE'!$B:$I,8,FALSE)</f>
        <v>00030641</v>
      </c>
    </row>
    <row r="443" spans="1:2" x14ac:dyDescent="0.3">
      <c r="A443" s="6">
        <v>32681585</v>
      </c>
      <c r="B443" s="6" t="str">
        <f>VLOOKUP(A443,'HOGARES-BASELINE'!$B:$I,8,FALSE)</f>
        <v>00030642</v>
      </c>
    </row>
    <row r="444" spans="1:2" x14ac:dyDescent="0.3">
      <c r="A444" s="6">
        <v>32682939</v>
      </c>
      <c r="B444" s="6" t="str">
        <f>VLOOKUP(A444,'HOGARES-BASELINE'!$B:$I,8,FALSE)</f>
        <v>01030643</v>
      </c>
    </row>
    <row r="445" spans="1:2" x14ac:dyDescent="0.3">
      <c r="A445" s="6">
        <v>32684085</v>
      </c>
      <c r="B445" s="6" t="str">
        <f>VLOOKUP(A445,'HOGARES-BASELINE'!$B:$I,8,FALSE)</f>
        <v>00030644</v>
      </c>
    </row>
    <row r="446" spans="1:2" x14ac:dyDescent="0.3">
      <c r="A446" s="6">
        <v>32684827</v>
      </c>
      <c r="B446" s="6" t="str">
        <f>VLOOKUP(A446,'HOGARES-BASELINE'!$B:$I,8,FALSE)</f>
        <v>00030645</v>
      </c>
    </row>
    <row r="447" spans="1:2" x14ac:dyDescent="0.3">
      <c r="A447" s="6">
        <v>32688218</v>
      </c>
      <c r="B447" s="6" t="str">
        <f>VLOOKUP(A447,'HOGARES-BASELINE'!$B:$I,8,FALSE)</f>
        <v>01030646</v>
      </c>
    </row>
    <row r="448" spans="1:2" x14ac:dyDescent="0.3">
      <c r="A448" s="6">
        <v>32688521</v>
      </c>
      <c r="B448" s="6" t="str">
        <f>VLOOKUP(A448,'HOGARES-BASELINE'!$B:$I,8,FALSE)</f>
        <v>01030647</v>
      </c>
    </row>
    <row r="449" spans="1:2" x14ac:dyDescent="0.3">
      <c r="A449" s="6">
        <v>32689210</v>
      </c>
      <c r="B449" s="6" t="str">
        <f>VLOOKUP(A449,'HOGARES-BASELINE'!$B:$I,8,FALSE)</f>
        <v>00030648</v>
      </c>
    </row>
    <row r="450" spans="1:2" x14ac:dyDescent="0.3">
      <c r="A450" s="6">
        <v>32690815</v>
      </c>
      <c r="B450" s="6" t="str">
        <f>VLOOKUP(A450,'HOGARES-BASELINE'!$B:$I,8,FALSE)</f>
        <v>01030649</v>
      </c>
    </row>
    <row r="451" spans="1:2" x14ac:dyDescent="0.3">
      <c r="A451" s="6">
        <v>32693059</v>
      </c>
      <c r="B451" s="6" t="str">
        <f>VLOOKUP(A451,'HOGARES-BASELINE'!$B:$I,8,FALSE)</f>
        <v>00010650</v>
      </c>
    </row>
    <row r="452" spans="1:2" x14ac:dyDescent="0.3">
      <c r="A452" s="6">
        <v>32694200</v>
      </c>
      <c r="B452" s="6" t="str">
        <f>VLOOKUP(A452,'HOGARES-BASELINE'!$B:$I,8,FALSE)</f>
        <v>01030651</v>
      </c>
    </row>
    <row r="453" spans="1:2" x14ac:dyDescent="0.3">
      <c r="A453" s="6">
        <v>32694457</v>
      </c>
      <c r="B453" s="6" t="str">
        <f>VLOOKUP(A453,'HOGARES-BASELINE'!$B:$I,8,FALSE)</f>
        <v>00030652</v>
      </c>
    </row>
    <row r="454" spans="1:2" x14ac:dyDescent="0.3">
      <c r="A454" s="6">
        <v>32694900</v>
      </c>
      <c r="B454" s="6" t="str">
        <f>VLOOKUP(A454,'HOGARES-BASELINE'!$B:$I,8,FALSE)</f>
        <v>00030653</v>
      </c>
    </row>
    <row r="455" spans="1:2" x14ac:dyDescent="0.3">
      <c r="A455" s="6">
        <v>32697995</v>
      </c>
      <c r="B455" s="6" t="str">
        <f>VLOOKUP(A455,'HOGARES-BASELINE'!$B:$I,8,FALSE)</f>
        <v>00030654</v>
      </c>
    </row>
    <row r="456" spans="1:2" x14ac:dyDescent="0.3">
      <c r="A456" s="6">
        <v>32703275</v>
      </c>
      <c r="B456" s="6" t="str">
        <f>VLOOKUP(A456,'HOGARES-BASELINE'!$B:$I,8,FALSE)</f>
        <v>00030655</v>
      </c>
    </row>
    <row r="457" spans="1:2" x14ac:dyDescent="0.3">
      <c r="A457" s="6">
        <v>32705837</v>
      </c>
      <c r="B457" s="6" t="str">
        <f>VLOOKUP(A457,'HOGARES-BASELINE'!$B:$I,8,FALSE)</f>
        <v>00030656</v>
      </c>
    </row>
    <row r="458" spans="1:2" x14ac:dyDescent="0.3">
      <c r="A458" s="6">
        <v>32707038</v>
      </c>
      <c r="B458" s="6" t="str">
        <f>VLOOKUP(A458,'HOGARES-BASELINE'!$B:$I,8,FALSE)</f>
        <v>01030657</v>
      </c>
    </row>
    <row r="459" spans="1:2" x14ac:dyDescent="0.3">
      <c r="A459" s="6">
        <v>32708738</v>
      </c>
      <c r="B459" s="6" t="str">
        <f>VLOOKUP(A459,'HOGARES-BASELINE'!$B:$I,8,FALSE)</f>
        <v>01030658</v>
      </c>
    </row>
    <row r="460" spans="1:2" x14ac:dyDescent="0.3">
      <c r="A460" s="6">
        <v>32709507</v>
      </c>
      <c r="B460" s="6" t="str">
        <f>VLOOKUP(A460,'HOGARES-BASELINE'!$B:$I,8,FALSE)</f>
        <v>01030659</v>
      </c>
    </row>
    <row r="461" spans="1:2" x14ac:dyDescent="0.3">
      <c r="A461" s="6">
        <v>32709662</v>
      </c>
      <c r="B461" s="6" t="str">
        <f>VLOOKUP(A461,'HOGARES-BASELINE'!$B:$I,8,FALSE)</f>
        <v>00030660</v>
      </c>
    </row>
    <row r="462" spans="1:2" x14ac:dyDescent="0.3">
      <c r="A462" s="6">
        <v>32710701</v>
      </c>
      <c r="B462" s="6" t="str">
        <f>VLOOKUP(A462,'HOGARES-BASELINE'!$B:$I,8,FALSE)</f>
        <v>01030661</v>
      </c>
    </row>
    <row r="463" spans="1:2" x14ac:dyDescent="0.3">
      <c r="A463" s="6">
        <v>32712481</v>
      </c>
      <c r="B463" s="6" t="str">
        <f>VLOOKUP(A463,'HOGARES-BASELINE'!$B:$I,8,FALSE)</f>
        <v>01030662</v>
      </c>
    </row>
    <row r="464" spans="1:2" x14ac:dyDescent="0.3">
      <c r="A464" s="6">
        <v>32716378</v>
      </c>
      <c r="B464" s="6" t="str">
        <f>VLOOKUP(A464,'HOGARES-BASELINE'!$B:$I,8,FALSE)</f>
        <v>01030663</v>
      </c>
    </row>
    <row r="465" spans="1:2" x14ac:dyDescent="0.3">
      <c r="A465" s="6">
        <v>32719297</v>
      </c>
      <c r="B465" s="6" t="str">
        <f>VLOOKUP(A465,'HOGARES-BASELINE'!$B:$I,8,FALSE)</f>
        <v>00030665</v>
      </c>
    </row>
    <row r="466" spans="1:2" x14ac:dyDescent="0.3">
      <c r="A466" s="6">
        <v>32727855</v>
      </c>
      <c r="B466" s="6" t="str">
        <f>VLOOKUP(A466,'HOGARES-BASELINE'!$B:$I,8,FALSE)</f>
        <v>01030666</v>
      </c>
    </row>
    <row r="467" spans="1:2" x14ac:dyDescent="0.3">
      <c r="A467" s="6">
        <v>32729377</v>
      </c>
      <c r="B467" s="6" t="str">
        <f>VLOOKUP(A467,'HOGARES-BASELINE'!$B:$I,8,FALSE)</f>
        <v>00030667</v>
      </c>
    </row>
    <row r="468" spans="1:2" x14ac:dyDescent="0.3">
      <c r="A468" s="6">
        <v>32730886</v>
      </c>
      <c r="B468" s="6" t="str">
        <f>VLOOKUP(A468,'HOGARES-BASELINE'!$B:$I,8,FALSE)</f>
        <v>00030668</v>
      </c>
    </row>
    <row r="469" spans="1:2" x14ac:dyDescent="0.3">
      <c r="A469" s="6">
        <v>32732227</v>
      </c>
      <c r="B469" s="6" t="str">
        <f>VLOOKUP(A469,'HOGARES-BASELINE'!$B:$I,8,FALSE)</f>
        <v>00030669</v>
      </c>
    </row>
    <row r="470" spans="1:2" x14ac:dyDescent="0.3">
      <c r="A470" s="6">
        <v>32733938</v>
      </c>
      <c r="B470" s="6" t="str">
        <f>VLOOKUP(A470,'HOGARES-BASELINE'!$B:$I,8,FALSE)</f>
        <v>01030670</v>
      </c>
    </row>
    <row r="471" spans="1:2" x14ac:dyDescent="0.3">
      <c r="A471" s="6">
        <v>32734044</v>
      </c>
      <c r="B471" s="6" t="str">
        <f>VLOOKUP(A471,'HOGARES-BASELINE'!$B:$I,8,FALSE)</f>
        <v>01030671</v>
      </c>
    </row>
    <row r="472" spans="1:2" x14ac:dyDescent="0.3">
      <c r="A472" s="6">
        <v>32736975</v>
      </c>
      <c r="B472" s="6" t="str">
        <f>VLOOKUP(A472,'HOGARES-BASELINE'!$B:$I,8,FALSE)</f>
        <v>01030672</v>
      </c>
    </row>
    <row r="473" spans="1:2" x14ac:dyDescent="0.3">
      <c r="A473" s="6">
        <v>32740221</v>
      </c>
      <c r="B473" s="6" t="str">
        <f>VLOOKUP(A473,'HOGARES-BASELINE'!$B:$I,8,FALSE)</f>
        <v>01030673</v>
      </c>
    </row>
    <row r="474" spans="1:2" x14ac:dyDescent="0.3">
      <c r="A474" s="6">
        <v>32740279</v>
      </c>
      <c r="B474" s="6" t="str">
        <f>VLOOKUP(A474,'HOGARES-BASELINE'!$B:$I,8,FALSE)</f>
        <v>00030674</v>
      </c>
    </row>
    <row r="475" spans="1:2" x14ac:dyDescent="0.3">
      <c r="A475" s="6">
        <v>32740999</v>
      </c>
      <c r="B475" s="6" t="str">
        <f>VLOOKUP(A475,'HOGARES-BASELINE'!$B:$I,8,FALSE)</f>
        <v>01030675</v>
      </c>
    </row>
    <row r="476" spans="1:2" x14ac:dyDescent="0.3">
      <c r="A476" s="6">
        <v>32741994</v>
      </c>
      <c r="B476" s="6" t="str">
        <f>VLOOKUP(A476,'HOGARES-BASELINE'!$B:$I,8,FALSE)</f>
        <v>01030676</v>
      </c>
    </row>
    <row r="477" spans="1:2" x14ac:dyDescent="0.3">
      <c r="A477" s="6">
        <v>32744428</v>
      </c>
      <c r="B477" s="6" t="str">
        <f>VLOOKUP(A477,'HOGARES-BASELINE'!$B:$I,8,FALSE)</f>
        <v>01030677</v>
      </c>
    </row>
    <row r="478" spans="1:2" x14ac:dyDescent="0.3">
      <c r="A478" s="6">
        <v>32745229</v>
      </c>
      <c r="B478" s="6" t="str">
        <f>VLOOKUP(A478,'HOGARES-BASELINE'!$B:$I,8,FALSE)</f>
        <v>00030678</v>
      </c>
    </row>
    <row r="479" spans="1:2" x14ac:dyDescent="0.3">
      <c r="A479" s="6">
        <v>32749067</v>
      </c>
      <c r="B479" s="6" t="str">
        <f>VLOOKUP(A479,'HOGARES-BASELINE'!$B:$I,8,FALSE)</f>
        <v>00030679</v>
      </c>
    </row>
    <row r="480" spans="1:2" x14ac:dyDescent="0.3">
      <c r="A480" s="6">
        <v>32750464</v>
      </c>
      <c r="B480" s="6" t="str">
        <f>VLOOKUP(A480,'HOGARES-BASELINE'!$B:$I,8,FALSE)</f>
        <v>00030680</v>
      </c>
    </row>
    <row r="481" spans="1:2" x14ac:dyDescent="0.3">
      <c r="A481" s="6">
        <v>32752555</v>
      </c>
      <c r="B481" s="6" t="str">
        <f>VLOOKUP(A481,'HOGARES-BASELINE'!$B:$I,8,FALSE)</f>
        <v>01030681</v>
      </c>
    </row>
    <row r="482" spans="1:2" x14ac:dyDescent="0.3">
      <c r="A482" s="6">
        <v>32754634</v>
      </c>
      <c r="B482" s="6" t="str">
        <f>VLOOKUP(A482,'HOGARES-BASELINE'!$B:$I,8,FALSE)</f>
        <v>00030682</v>
      </c>
    </row>
    <row r="483" spans="1:2" x14ac:dyDescent="0.3">
      <c r="A483" s="6">
        <v>32761116</v>
      </c>
      <c r="B483" s="6" t="str">
        <f>VLOOKUP(A483,'HOGARES-BASELINE'!$B:$I,8,FALSE)</f>
        <v>00030683</v>
      </c>
    </row>
    <row r="484" spans="1:2" x14ac:dyDescent="0.3">
      <c r="A484" s="6">
        <v>32764598</v>
      </c>
      <c r="B484" s="6" t="str">
        <f>VLOOKUP(A484,'HOGARES-BASELINE'!$B:$I,8,FALSE)</f>
        <v>01030684</v>
      </c>
    </row>
    <row r="485" spans="1:2" x14ac:dyDescent="0.3">
      <c r="A485" s="6">
        <v>32766298</v>
      </c>
      <c r="B485" s="6" t="str">
        <f>VLOOKUP(A485,'HOGARES-BASELINE'!$B:$I,8,FALSE)</f>
        <v>00030685</v>
      </c>
    </row>
    <row r="486" spans="1:2" x14ac:dyDescent="0.3">
      <c r="A486" s="6">
        <v>32766429</v>
      </c>
      <c r="B486" s="6" t="str">
        <f>VLOOKUP(A486,'HOGARES-BASELINE'!$B:$I,8,FALSE)</f>
        <v>00030686</v>
      </c>
    </row>
    <row r="487" spans="1:2" x14ac:dyDescent="0.3">
      <c r="A487" s="6">
        <v>32771620</v>
      </c>
      <c r="B487" s="6" t="str">
        <f>VLOOKUP(A487,'HOGARES-BASELINE'!$B:$I,8,FALSE)</f>
        <v>00030687</v>
      </c>
    </row>
    <row r="488" spans="1:2" x14ac:dyDescent="0.3">
      <c r="A488" s="6">
        <v>32772911</v>
      </c>
      <c r="B488" s="6" t="str">
        <f>VLOOKUP(A488,'HOGARES-BASELINE'!$B:$I,8,FALSE)</f>
        <v>01030688</v>
      </c>
    </row>
    <row r="489" spans="1:2" x14ac:dyDescent="0.3">
      <c r="A489" s="6">
        <v>32776426</v>
      </c>
      <c r="B489" s="6" t="str">
        <f>VLOOKUP(A489,'HOGARES-BASELINE'!$B:$I,8,FALSE)</f>
        <v>00030689</v>
      </c>
    </row>
    <row r="490" spans="1:2" x14ac:dyDescent="0.3">
      <c r="A490" s="6">
        <v>32776499</v>
      </c>
      <c r="B490" s="6" t="str">
        <f>VLOOKUP(A490,'HOGARES-BASELINE'!$B:$I,8,FALSE)</f>
        <v>00030690</v>
      </c>
    </row>
    <row r="491" spans="1:2" x14ac:dyDescent="0.3">
      <c r="A491" s="6">
        <v>32778590</v>
      </c>
      <c r="B491" s="6" t="str">
        <f>VLOOKUP(A491,'HOGARES-BASELINE'!$B:$I,8,FALSE)</f>
        <v>01030691</v>
      </c>
    </row>
    <row r="492" spans="1:2" x14ac:dyDescent="0.3">
      <c r="A492" s="6">
        <v>32779874</v>
      </c>
      <c r="B492" s="6" t="str">
        <f>VLOOKUP(A492,'HOGARES-BASELINE'!$B:$I,8,FALSE)</f>
        <v>01030692</v>
      </c>
    </row>
    <row r="493" spans="1:2" x14ac:dyDescent="0.3">
      <c r="A493" s="6">
        <v>32783129</v>
      </c>
      <c r="B493" s="6" t="str">
        <f>VLOOKUP(A493,'HOGARES-BASELINE'!$B:$I,8,FALSE)</f>
        <v>01030693</v>
      </c>
    </row>
    <row r="494" spans="1:2" x14ac:dyDescent="0.3">
      <c r="A494" s="6">
        <v>32783639</v>
      </c>
      <c r="B494" s="6" t="str">
        <f>VLOOKUP(A494,'HOGARES-BASELINE'!$B:$I,8,FALSE)</f>
        <v>00030694</v>
      </c>
    </row>
    <row r="495" spans="1:2" x14ac:dyDescent="0.3">
      <c r="A495" s="6">
        <v>32783797</v>
      </c>
      <c r="B495" s="6" t="str">
        <f>VLOOKUP(A495,'HOGARES-BASELINE'!$B:$I,8,FALSE)</f>
        <v>01030695</v>
      </c>
    </row>
    <row r="496" spans="1:2" x14ac:dyDescent="0.3">
      <c r="A496" s="6">
        <v>32783861</v>
      </c>
      <c r="B496" s="6" t="str">
        <f>VLOOKUP(A496,'HOGARES-BASELINE'!$B:$I,8,FALSE)</f>
        <v>00030696</v>
      </c>
    </row>
    <row r="497" spans="1:2" x14ac:dyDescent="0.3">
      <c r="A497" s="6">
        <v>32785097</v>
      </c>
      <c r="B497" s="6" t="str">
        <f>VLOOKUP(A497,'HOGARES-BASELINE'!$B:$I,8,FALSE)</f>
        <v>01030697</v>
      </c>
    </row>
    <row r="498" spans="1:2" x14ac:dyDescent="0.3">
      <c r="A498" s="6">
        <v>32786242</v>
      </c>
      <c r="B498" s="6" t="str">
        <f>VLOOKUP(A498,'HOGARES-BASELINE'!$B:$I,8,FALSE)</f>
        <v>00030698</v>
      </c>
    </row>
    <row r="499" spans="1:2" x14ac:dyDescent="0.3">
      <c r="A499" s="6">
        <v>32790051</v>
      </c>
      <c r="B499" s="6" t="str">
        <f>VLOOKUP(A499,'HOGARES-BASELINE'!$B:$I,8,FALSE)</f>
        <v>01030699</v>
      </c>
    </row>
    <row r="500" spans="1:2" x14ac:dyDescent="0.3">
      <c r="A500" s="6">
        <v>32792195</v>
      </c>
      <c r="B500" s="6" t="str">
        <f>VLOOKUP(A500,'HOGARES-BASELINE'!$B:$I,8,FALSE)</f>
        <v>00030700</v>
      </c>
    </row>
    <row r="501" spans="1:2" x14ac:dyDescent="0.3">
      <c r="A501" s="6">
        <v>32796944</v>
      </c>
      <c r="B501" s="6" t="str">
        <f>VLOOKUP(A501,'HOGARES-BASELINE'!$B:$I,8,FALSE)</f>
        <v>01030701</v>
      </c>
    </row>
    <row r="502" spans="1:2" x14ac:dyDescent="0.3">
      <c r="A502" s="6">
        <v>32797627</v>
      </c>
      <c r="B502" s="6" t="str">
        <f>VLOOKUP(A502,'HOGARES-BASELINE'!$B:$I,8,FALSE)</f>
        <v>01030702</v>
      </c>
    </row>
    <row r="503" spans="1:2" x14ac:dyDescent="0.3">
      <c r="A503" s="6">
        <v>32800662</v>
      </c>
      <c r="B503" s="6" t="str">
        <f>VLOOKUP(A503,'HOGARES-BASELINE'!$B:$I,8,FALSE)</f>
        <v>01030703</v>
      </c>
    </row>
    <row r="504" spans="1:2" x14ac:dyDescent="0.3">
      <c r="A504" s="6">
        <v>32802610</v>
      </c>
      <c r="B504" s="6" t="str">
        <f>VLOOKUP(A504,'HOGARES-BASELINE'!$B:$I,8,FALSE)</f>
        <v>01030704</v>
      </c>
    </row>
    <row r="505" spans="1:2" x14ac:dyDescent="0.3">
      <c r="A505" s="6">
        <v>32803448</v>
      </c>
      <c r="B505" s="6" t="str">
        <f>VLOOKUP(A505,'HOGARES-BASELINE'!$B:$I,8,FALSE)</f>
        <v>01030705</v>
      </c>
    </row>
    <row r="506" spans="1:2" x14ac:dyDescent="0.3">
      <c r="A506" s="6">
        <v>32803484</v>
      </c>
      <c r="B506" s="6" t="str">
        <f>VLOOKUP(A506,'HOGARES-BASELINE'!$B:$I,8,FALSE)</f>
        <v>01030706</v>
      </c>
    </row>
    <row r="507" spans="1:2" x14ac:dyDescent="0.3">
      <c r="A507" s="6">
        <v>32810131</v>
      </c>
      <c r="B507" s="6" t="str">
        <f>VLOOKUP(A507,'HOGARES-BASELINE'!$B:$I,8,FALSE)</f>
        <v>01030707</v>
      </c>
    </row>
    <row r="508" spans="1:2" x14ac:dyDescent="0.3">
      <c r="A508" s="6">
        <v>32811740</v>
      </c>
      <c r="B508" s="6" t="str">
        <f>VLOOKUP(A508,'HOGARES-BASELINE'!$B:$I,8,FALSE)</f>
        <v>00030708</v>
      </c>
    </row>
    <row r="509" spans="1:2" x14ac:dyDescent="0.3">
      <c r="A509" s="6">
        <v>32812129</v>
      </c>
      <c r="B509" s="6" t="str">
        <f>VLOOKUP(A509,'HOGARES-BASELINE'!$B:$I,8,FALSE)</f>
        <v>01030709</v>
      </c>
    </row>
    <row r="510" spans="1:2" x14ac:dyDescent="0.3">
      <c r="A510" s="6">
        <v>32812890</v>
      </c>
      <c r="B510" s="6" t="str">
        <f>VLOOKUP(A510,'HOGARES-BASELINE'!$B:$I,8,FALSE)</f>
        <v>01030710</v>
      </c>
    </row>
    <row r="511" spans="1:2" x14ac:dyDescent="0.3">
      <c r="A511" s="6">
        <v>32817186</v>
      </c>
      <c r="B511" s="6" t="str">
        <f>VLOOKUP(A511,'HOGARES-BASELINE'!$B:$I,8,FALSE)</f>
        <v>00030711</v>
      </c>
    </row>
    <row r="512" spans="1:2" x14ac:dyDescent="0.3">
      <c r="A512" s="6">
        <v>32820161</v>
      </c>
      <c r="B512" s="6" t="str">
        <f>VLOOKUP(A512,'HOGARES-BASELINE'!$B:$I,8,FALSE)</f>
        <v>00030712</v>
      </c>
    </row>
    <row r="513" spans="1:2" x14ac:dyDescent="0.3">
      <c r="A513" s="6">
        <v>32821469</v>
      </c>
      <c r="B513" s="6" t="str">
        <f>VLOOKUP(A513,'HOGARES-BASELINE'!$B:$I,8,FALSE)</f>
        <v>00030713</v>
      </c>
    </row>
    <row r="514" spans="1:2" x14ac:dyDescent="0.3">
      <c r="A514" s="6">
        <v>32840396</v>
      </c>
      <c r="B514" s="6" t="str">
        <f>VLOOKUP(A514,'HOGARES-BASELINE'!$B:$I,8,FALSE)</f>
        <v>01030714</v>
      </c>
    </row>
    <row r="515" spans="1:2" x14ac:dyDescent="0.3">
      <c r="A515" s="6">
        <v>32842694</v>
      </c>
      <c r="B515" s="6" t="str">
        <f>VLOOKUP(A515,'HOGARES-BASELINE'!$B:$I,8,FALSE)</f>
        <v>00030715</v>
      </c>
    </row>
    <row r="516" spans="1:2" x14ac:dyDescent="0.3">
      <c r="A516" s="6">
        <v>32843461</v>
      </c>
      <c r="B516" s="6" t="str">
        <f>VLOOKUP(A516,'HOGARES-BASELINE'!$B:$I,8,FALSE)</f>
        <v>00030716</v>
      </c>
    </row>
    <row r="517" spans="1:2" x14ac:dyDescent="0.3">
      <c r="A517" s="6">
        <v>32843467</v>
      </c>
      <c r="B517" s="6" t="str">
        <f>VLOOKUP(A517,'HOGARES-BASELINE'!$B:$I,8,FALSE)</f>
        <v>00030717</v>
      </c>
    </row>
    <row r="518" spans="1:2" x14ac:dyDescent="0.3">
      <c r="A518" s="6">
        <v>32843980</v>
      </c>
      <c r="B518" s="6" t="str">
        <f>VLOOKUP(A518,'HOGARES-BASELINE'!$B:$I,8,FALSE)</f>
        <v>01030718</v>
      </c>
    </row>
    <row r="519" spans="1:2" x14ac:dyDescent="0.3">
      <c r="A519" s="6">
        <v>32844160</v>
      </c>
      <c r="B519" s="6" t="str">
        <f>VLOOKUP(A519,'HOGARES-BASELINE'!$B:$I,8,FALSE)</f>
        <v>00030719</v>
      </c>
    </row>
    <row r="520" spans="1:2" x14ac:dyDescent="0.3">
      <c r="A520" s="6">
        <v>32850495</v>
      </c>
      <c r="B520" s="6" t="str">
        <f>VLOOKUP(A520,'HOGARES-BASELINE'!$B:$I,8,FALSE)</f>
        <v>01030720</v>
      </c>
    </row>
    <row r="521" spans="1:2" x14ac:dyDescent="0.3">
      <c r="A521" s="6">
        <v>32867107</v>
      </c>
      <c r="B521" s="6" t="str">
        <f>VLOOKUP(A521,'HOGARES-BASELINE'!$B:$I,8,FALSE)</f>
        <v>00030721</v>
      </c>
    </row>
    <row r="522" spans="1:2" x14ac:dyDescent="0.3">
      <c r="A522" s="6">
        <v>32873927</v>
      </c>
      <c r="B522" s="6" t="str">
        <f>VLOOKUP(A522,'HOGARES-BASELINE'!$B:$I,8,FALSE)</f>
        <v>00030722</v>
      </c>
    </row>
    <row r="523" spans="1:2" x14ac:dyDescent="0.3">
      <c r="A523" s="6">
        <v>32876516</v>
      </c>
      <c r="B523" s="6" t="str">
        <f>VLOOKUP(A523,'HOGARES-BASELINE'!$B:$I,8,FALSE)</f>
        <v>00030723</v>
      </c>
    </row>
    <row r="524" spans="1:2" x14ac:dyDescent="0.3">
      <c r="A524" s="6">
        <v>32884029</v>
      </c>
      <c r="B524" s="6" t="str">
        <f>VLOOKUP(A524,'HOGARES-BASELINE'!$B:$I,8,FALSE)</f>
        <v>01030724</v>
      </c>
    </row>
    <row r="525" spans="1:2" x14ac:dyDescent="0.3">
      <c r="A525" s="6">
        <v>32884556</v>
      </c>
      <c r="B525" s="6" t="str">
        <f>VLOOKUP(A525,'HOGARES-BASELINE'!$B:$I,8,FALSE)</f>
        <v>01030725</v>
      </c>
    </row>
    <row r="526" spans="1:2" x14ac:dyDescent="0.3">
      <c r="A526" s="6">
        <v>32884723</v>
      </c>
      <c r="B526" s="6" t="str">
        <f>VLOOKUP(A526,'HOGARES-BASELINE'!$B:$I,8,FALSE)</f>
        <v>01030726</v>
      </c>
    </row>
    <row r="527" spans="1:2" x14ac:dyDescent="0.3">
      <c r="A527" s="6">
        <v>32893688</v>
      </c>
      <c r="B527" s="6" t="str">
        <f>VLOOKUP(A527,'HOGARES-BASELINE'!$B:$I,8,FALSE)</f>
        <v>01030727</v>
      </c>
    </row>
    <row r="528" spans="1:2" x14ac:dyDescent="0.3">
      <c r="A528" s="6">
        <v>32894006</v>
      </c>
      <c r="B528" s="6" t="str">
        <f>VLOOKUP(A528,'HOGARES-BASELINE'!$B:$I,8,FALSE)</f>
        <v>01030728</v>
      </c>
    </row>
    <row r="529" spans="1:2" x14ac:dyDescent="0.3">
      <c r="A529" s="6">
        <v>33107491</v>
      </c>
      <c r="B529" s="6" t="str">
        <f>VLOOKUP(A529,'HOGARES-BASELINE'!$B:$I,8,FALSE)</f>
        <v>00030729</v>
      </c>
    </row>
    <row r="530" spans="1:2" x14ac:dyDescent="0.3">
      <c r="A530" s="6">
        <v>33172386</v>
      </c>
      <c r="B530" s="6" t="str">
        <f>VLOOKUP(A530,'HOGARES-BASELINE'!$B:$I,8,FALSE)</f>
        <v>00030730</v>
      </c>
    </row>
    <row r="531" spans="1:2" x14ac:dyDescent="0.3">
      <c r="A531" s="6">
        <v>33255246</v>
      </c>
      <c r="B531" s="6" t="str">
        <f>VLOOKUP(A531,'HOGARES-BASELINE'!$B:$I,8,FALSE)</f>
        <v>01010731</v>
      </c>
    </row>
    <row r="532" spans="1:2" x14ac:dyDescent="0.3">
      <c r="A532" s="6">
        <v>33428029</v>
      </c>
      <c r="B532" s="6" t="str">
        <f>VLOOKUP(A532,'HOGARES-BASELINE'!$B:$I,8,FALSE)</f>
        <v>00010732</v>
      </c>
    </row>
    <row r="533" spans="1:2" x14ac:dyDescent="0.3">
      <c r="A533" s="6">
        <v>34400184</v>
      </c>
      <c r="B533" s="6" t="str">
        <f>VLOOKUP(A533,'HOGARES-BASELINE'!$B:$I,8,FALSE)</f>
        <v>01020734</v>
      </c>
    </row>
    <row r="534" spans="1:2" x14ac:dyDescent="0.3">
      <c r="A534" s="6">
        <v>34515416</v>
      </c>
      <c r="B534" s="6" t="str">
        <f>VLOOKUP(A534,'HOGARES-BASELINE'!$B:$I,8,FALSE)</f>
        <v>01020737</v>
      </c>
    </row>
    <row r="535" spans="1:2" x14ac:dyDescent="0.3">
      <c r="A535" s="6">
        <v>34572562</v>
      </c>
      <c r="B535" s="6" t="str">
        <f>VLOOKUP(A535,'HOGARES-BASELINE'!$B:$I,8,FALSE)</f>
        <v>01020738</v>
      </c>
    </row>
    <row r="536" spans="1:2" x14ac:dyDescent="0.3">
      <c r="A536" s="6">
        <v>34573715</v>
      </c>
      <c r="B536" s="6" t="str">
        <f>VLOOKUP(A536,'HOGARES-BASELINE'!$B:$I,8,FALSE)</f>
        <v>01020739</v>
      </c>
    </row>
    <row r="537" spans="1:2" x14ac:dyDescent="0.3">
      <c r="A537" s="6">
        <v>34690139</v>
      </c>
      <c r="B537" s="6" t="str">
        <f>VLOOKUP(A537,'HOGARES-BASELINE'!$B:$I,8,FALSE)</f>
        <v>01020740</v>
      </c>
    </row>
    <row r="538" spans="1:2" x14ac:dyDescent="0.3">
      <c r="A538" s="6">
        <v>34977363</v>
      </c>
      <c r="B538" s="6" t="str">
        <f>VLOOKUP(A538,'HOGARES-BASELINE'!$B:$I,8,FALSE)</f>
        <v>01030741</v>
      </c>
    </row>
    <row r="539" spans="1:2" x14ac:dyDescent="0.3">
      <c r="A539" s="6">
        <v>35546366</v>
      </c>
      <c r="B539" s="6" t="str">
        <f>VLOOKUP(A539,'HOGARES-BASELINE'!$B:$I,8,FALSE)</f>
        <v>01020742</v>
      </c>
    </row>
    <row r="540" spans="1:2" x14ac:dyDescent="0.3">
      <c r="A540" s="6">
        <v>35990267</v>
      </c>
      <c r="B540" s="6" t="str">
        <f>VLOOKUP(A540,'HOGARES-BASELINE'!$B:$I,8,FALSE)</f>
        <v>01020745</v>
      </c>
    </row>
    <row r="541" spans="1:2" x14ac:dyDescent="0.3">
      <c r="A541" s="6">
        <v>36489408</v>
      </c>
      <c r="B541" s="6" t="str">
        <f>VLOOKUP(A541,'HOGARES-BASELINE'!$B:$I,8,FALSE)</f>
        <v>00030746</v>
      </c>
    </row>
    <row r="542" spans="1:2" x14ac:dyDescent="0.3">
      <c r="A542" s="6">
        <v>36594665</v>
      </c>
      <c r="B542" s="6" t="str">
        <f>VLOOKUP(A542,'HOGARES-BASELINE'!$B:$I,8,FALSE)</f>
        <v>00030747</v>
      </c>
    </row>
    <row r="543" spans="1:2" x14ac:dyDescent="0.3">
      <c r="A543" s="6">
        <v>37075013</v>
      </c>
      <c r="B543" s="6" t="str">
        <f>VLOOKUP(A543,'HOGARES-BASELINE'!$B:$I,8,FALSE)</f>
        <v>01020748</v>
      </c>
    </row>
    <row r="544" spans="1:2" x14ac:dyDescent="0.3">
      <c r="A544" s="6">
        <v>37236302</v>
      </c>
      <c r="B544" s="6" t="str">
        <f>VLOOKUP(A544,'HOGARES-BASELINE'!$B:$I,8,FALSE)</f>
        <v>00020749</v>
      </c>
    </row>
    <row r="545" spans="1:2" x14ac:dyDescent="0.3">
      <c r="A545" s="6">
        <v>37253427</v>
      </c>
      <c r="B545" s="6" t="str">
        <f>VLOOKUP(A545,'HOGARES-BASELINE'!$B:$I,8,FALSE)</f>
        <v>01020750</v>
      </c>
    </row>
    <row r="546" spans="1:2" x14ac:dyDescent="0.3">
      <c r="A546" s="6">
        <v>37926108</v>
      </c>
      <c r="B546" s="6" t="str">
        <f>VLOOKUP(A546,'HOGARES-BASELINE'!$B:$I,8,FALSE)</f>
        <v>01030752</v>
      </c>
    </row>
    <row r="547" spans="1:2" x14ac:dyDescent="0.3">
      <c r="A547" s="6">
        <v>38551583</v>
      </c>
      <c r="B547" s="6" t="str">
        <f>VLOOKUP(A547,'HOGARES-BASELINE'!$B:$I,8,FALSE)</f>
        <v>00020753</v>
      </c>
    </row>
    <row r="548" spans="1:2" x14ac:dyDescent="0.3">
      <c r="A548" s="6">
        <v>38558662</v>
      </c>
      <c r="B548" s="6" t="str">
        <f>VLOOKUP(A548,'HOGARES-BASELINE'!$B:$I,8,FALSE)</f>
        <v>00020754</v>
      </c>
    </row>
    <row r="549" spans="1:2" x14ac:dyDescent="0.3">
      <c r="A549" s="6">
        <v>38561325</v>
      </c>
      <c r="B549" s="6" t="str">
        <f>VLOOKUP(A549,'HOGARES-BASELINE'!$B:$I,8,FALSE)</f>
        <v>00020755</v>
      </c>
    </row>
    <row r="550" spans="1:2" x14ac:dyDescent="0.3">
      <c r="A550" s="6">
        <v>38567213</v>
      </c>
      <c r="B550" s="6" t="str">
        <f>VLOOKUP(A550,'HOGARES-BASELINE'!$B:$I,8,FALSE)</f>
        <v>00020756</v>
      </c>
    </row>
    <row r="551" spans="1:2" x14ac:dyDescent="0.3">
      <c r="A551" s="6">
        <v>38601290</v>
      </c>
      <c r="B551" s="6" t="str">
        <f>VLOOKUP(A551,'HOGARES-BASELINE'!$B:$I,8,FALSE)</f>
        <v>01020757</v>
      </c>
    </row>
    <row r="552" spans="1:2" x14ac:dyDescent="0.3">
      <c r="A552" s="6">
        <v>38604490</v>
      </c>
      <c r="B552" s="6" t="str">
        <f>VLOOKUP(A552,'HOGARES-BASELINE'!$B:$I,8,FALSE)</f>
        <v>00020758</v>
      </c>
    </row>
    <row r="553" spans="1:2" x14ac:dyDescent="0.3">
      <c r="A553" s="6">
        <v>38641010</v>
      </c>
      <c r="B553" s="6" t="str">
        <f>VLOOKUP(A553,'HOGARES-BASELINE'!$B:$I,8,FALSE)</f>
        <v>00020759</v>
      </c>
    </row>
    <row r="554" spans="1:2" x14ac:dyDescent="0.3">
      <c r="A554" s="6">
        <v>38642608</v>
      </c>
      <c r="B554" s="6" t="str">
        <f>VLOOKUP(A554,'HOGARES-BASELINE'!$B:$I,8,FALSE)</f>
        <v>01020760</v>
      </c>
    </row>
    <row r="555" spans="1:2" x14ac:dyDescent="0.3">
      <c r="A555" s="6">
        <v>38665695</v>
      </c>
      <c r="B555" s="6" t="str">
        <f>VLOOKUP(A555,'HOGARES-BASELINE'!$B:$I,8,FALSE)</f>
        <v>01020761</v>
      </c>
    </row>
    <row r="556" spans="1:2" x14ac:dyDescent="0.3">
      <c r="A556" s="6">
        <v>38667116</v>
      </c>
      <c r="B556" s="6" t="str">
        <f>VLOOKUP(A556,'HOGARES-BASELINE'!$B:$I,8,FALSE)</f>
        <v>00020762</v>
      </c>
    </row>
    <row r="557" spans="1:2" x14ac:dyDescent="0.3">
      <c r="A557" s="6">
        <v>38667243</v>
      </c>
      <c r="B557" s="6" t="str">
        <f>VLOOKUP(A557,'HOGARES-BASELINE'!$B:$I,8,FALSE)</f>
        <v>00020763</v>
      </c>
    </row>
    <row r="558" spans="1:2" x14ac:dyDescent="0.3">
      <c r="A558" s="6">
        <v>38668909</v>
      </c>
      <c r="B558" s="6" t="str">
        <f>VLOOKUP(A558,'HOGARES-BASELINE'!$B:$I,8,FALSE)</f>
        <v>01020764</v>
      </c>
    </row>
    <row r="559" spans="1:2" x14ac:dyDescent="0.3">
      <c r="A559" s="6">
        <v>38669358</v>
      </c>
      <c r="B559" s="6" t="str">
        <f>VLOOKUP(A559,'HOGARES-BASELINE'!$B:$I,8,FALSE)</f>
        <v>00020765</v>
      </c>
    </row>
    <row r="560" spans="1:2" x14ac:dyDescent="0.3">
      <c r="A560" s="6">
        <v>38671487</v>
      </c>
      <c r="B560" s="6" t="str">
        <f>VLOOKUP(A560,'HOGARES-BASELINE'!$B:$I,8,FALSE)</f>
        <v>01020766</v>
      </c>
    </row>
    <row r="561" spans="1:2" x14ac:dyDescent="0.3">
      <c r="A561" s="6">
        <v>38892442</v>
      </c>
      <c r="B561" s="6" t="str">
        <f>VLOOKUP(A561,'HOGARES-BASELINE'!$B:$I,8,FALSE)</f>
        <v>00020767</v>
      </c>
    </row>
    <row r="562" spans="1:2" x14ac:dyDescent="0.3">
      <c r="A562" s="6">
        <v>38941394</v>
      </c>
      <c r="B562" s="6" t="str">
        <f>VLOOKUP(A562,'HOGARES-BASELINE'!$B:$I,8,FALSE)</f>
        <v>00020768</v>
      </c>
    </row>
    <row r="563" spans="1:2" x14ac:dyDescent="0.3">
      <c r="A563" s="6">
        <v>38942002</v>
      </c>
      <c r="B563" s="6" t="str">
        <f>VLOOKUP(A563,'HOGARES-BASELINE'!$B:$I,8,FALSE)</f>
        <v>00020769</v>
      </c>
    </row>
    <row r="564" spans="1:2" x14ac:dyDescent="0.3">
      <c r="A564" s="6">
        <v>38973256</v>
      </c>
      <c r="B564" s="6" t="str">
        <f>VLOOKUP(A564,'HOGARES-BASELINE'!$B:$I,8,FALSE)</f>
        <v>01020770</v>
      </c>
    </row>
    <row r="565" spans="1:2" x14ac:dyDescent="0.3">
      <c r="A565" s="6">
        <v>38980483</v>
      </c>
      <c r="B565" s="6" t="str">
        <f>VLOOKUP(A565,'HOGARES-BASELINE'!$B:$I,8,FALSE)</f>
        <v>00020771</v>
      </c>
    </row>
    <row r="566" spans="1:2" x14ac:dyDescent="0.3">
      <c r="A566" s="6">
        <v>38992016</v>
      </c>
      <c r="B566" s="6" t="str">
        <f>VLOOKUP(A566,'HOGARES-BASELINE'!$B:$I,8,FALSE)</f>
        <v>01020772</v>
      </c>
    </row>
    <row r="567" spans="1:2" x14ac:dyDescent="0.3">
      <c r="A567" s="6">
        <v>39177963</v>
      </c>
      <c r="B567" s="6" t="str">
        <f>VLOOKUP(A567,'HOGARES-BASELINE'!$B:$I,8,FALSE)</f>
        <v>00010773</v>
      </c>
    </row>
    <row r="568" spans="1:2" x14ac:dyDescent="0.3">
      <c r="A568" s="6">
        <v>39179753</v>
      </c>
      <c r="B568" s="6" t="str">
        <f>VLOOKUP(A568,'HOGARES-BASELINE'!$B:$I,8,FALSE)</f>
        <v>00010774</v>
      </c>
    </row>
    <row r="569" spans="1:2" x14ac:dyDescent="0.3">
      <c r="A569" s="6">
        <v>39268214</v>
      </c>
      <c r="B569" s="6" t="str">
        <f>VLOOKUP(A569,'HOGARES-BASELINE'!$B:$I,8,FALSE)</f>
        <v>01010775</v>
      </c>
    </row>
    <row r="570" spans="1:2" x14ac:dyDescent="0.3">
      <c r="A570" s="6">
        <v>39384513</v>
      </c>
      <c r="B570" s="6" t="str">
        <f>VLOOKUP(A570,'HOGARES-BASELINE'!$B:$I,8,FALSE)</f>
        <v>01010776</v>
      </c>
    </row>
    <row r="571" spans="1:2" x14ac:dyDescent="0.3">
      <c r="A571" s="6">
        <v>39387899</v>
      </c>
      <c r="B571" s="6" t="str">
        <f>VLOOKUP(A571,'HOGARES-BASELINE'!$B:$I,8,FALSE)</f>
        <v>00010777</v>
      </c>
    </row>
    <row r="572" spans="1:2" x14ac:dyDescent="0.3">
      <c r="A572" s="6">
        <v>39435019</v>
      </c>
      <c r="B572" s="6" t="str">
        <f>VLOOKUP(A572,'HOGARES-BASELINE'!$B:$I,8,FALSE)</f>
        <v>00010778</v>
      </c>
    </row>
    <row r="573" spans="1:2" x14ac:dyDescent="0.3">
      <c r="A573" s="6">
        <v>40765438</v>
      </c>
      <c r="B573" s="6" t="str">
        <f>VLOOKUP(A573,'HOGARES-BASELINE'!$B:$I,8,FALSE)</f>
        <v>00020779</v>
      </c>
    </row>
    <row r="574" spans="1:2" x14ac:dyDescent="0.3">
      <c r="A574" s="6">
        <v>41631902</v>
      </c>
      <c r="B574" s="6" t="str">
        <f>VLOOKUP(A574,'HOGARES-BASELINE'!$B:$I,8,FALSE)</f>
        <v>00030780</v>
      </c>
    </row>
    <row r="575" spans="1:2" x14ac:dyDescent="0.3">
      <c r="A575" s="6">
        <v>41632550</v>
      </c>
      <c r="B575" s="6" t="str">
        <f>VLOOKUP(A575,'HOGARES-BASELINE'!$B:$I,8,FALSE)</f>
        <v>01010781</v>
      </c>
    </row>
    <row r="576" spans="1:2" x14ac:dyDescent="0.3">
      <c r="A576" s="6">
        <v>42008677</v>
      </c>
      <c r="B576" s="6" t="str">
        <f>VLOOKUP(A576,'HOGARES-BASELINE'!$B:$I,8,FALSE)</f>
        <v>00010782</v>
      </c>
    </row>
    <row r="577" spans="1:2" x14ac:dyDescent="0.3">
      <c r="A577" s="6">
        <v>42061051</v>
      </c>
      <c r="B577" s="6" t="str">
        <f>VLOOKUP(A577,'HOGARES-BASELINE'!$B:$I,8,FALSE)</f>
        <v>01020783</v>
      </c>
    </row>
    <row r="578" spans="1:2" x14ac:dyDescent="0.3">
      <c r="A578" s="6">
        <v>42128788</v>
      </c>
      <c r="B578" s="6" t="str">
        <f>VLOOKUP(A578,'HOGARES-BASELINE'!$B:$I,8,FALSE)</f>
        <v>01010784</v>
      </c>
    </row>
    <row r="579" spans="1:2" x14ac:dyDescent="0.3">
      <c r="A579" s="6">
        <v>42271248</v>
      </c>
      <c r="B579" s="6" t="str">
        <f>VLOOKUP(A579,'HOGARES-BASELINE'!$B:$I,8,FALSE)</f>
        <v>01030785</v>
      </c>
    </row>
    <row r="580" spans="1:2" x14ac:dyDescent="0.3">
      <c r="A580" s="6">
        <v>42701708</v>
      </c>
      <c r="B580" s="6" t="str">
        <f>VLOOKUP(A580,'HOGARES-BASELINE'!$B:$I,8,FALSE)</f>
        <v>01010786</v>
      </c>
    </row>
    <row r="581" spans="1:2" x14ac:dyDescent="0.3">
      <c r="A581" s="6">
        <v>42762856</v>
      </c>
      <c r="B581" s="6" t="str">
        <f>VLOOKUP(A581,'HOGARES-BASELINE'!$B:$I,8,FALSE)</f>
        <v>00010787</v>
      </c>
    </row>
    <row r="582" spans="1:2" x14ac:dyDescent="0.3">
      <c r="A582" s="6">
        <v>42767896</v>
      </c>
      <c r="B582" s="6" t="str">
        <f>VLOOKUP(A582,'HOGARES-BASELINE'!$B:$I,8,FALSE)</f>
        <v>01010788</v>
      </c>
    </row>
    <row r="583" spans="1:2" x14ac:dyDescent="0.3">
      <c r="A583" s="6">
        <v>42772039</v>
      </c>
      <c r="B583" s="6" t="str">
        <f>VLOOKUP(A583,'HOGARES-BASELINE'!$B:$I,8,FALSE)</f>
        <v>01010789</v>
      </c>
    </row>
    <row r="584" spans="1:2" x14ac:dyDescent="0.3">
      <c r="A584" s="6">
        <v>42792571</v>
      </c>
      <c r="B584" s="6" t="str">
        <f>VLOOKUP(A584,'HOGARES-BASELINE'!$B:$I,8,FALSE)</f>
        <v>00010790</v>
      </c>
    </row>
    <row r="585" spans="1:2" x14ac:dyDescent="0.3">
      <c r="A585" s="6">
        <v>42820074</v>
      </c>
      <c r="B585" s="6" t="str">
        <f>VLOOKUP(A585,'HOGARES-BASELINE'!$B:$I,8,FALSE)</f>
        <v>00010792</v>
      </c>
    </row>
    <row r="586" spans="1:2" x14ac:dyDescent="0.3">
      <c r="A586" s="6">
        <v>42884497</v>
      </c>
      <c r="B586" s="6" t="str">
        <f>VLOOKUP(A586,'HOGARES-BASELINE'!$B:$I,8,FALSE)</f>
        <v>01010793</v>
      </c>
    </row>
    <row r="587" spans="1:2" x14ac:dyDescent="0.3">
      <c r="A587" s="6">
        <v>42892754</v>
      </c>
      <c r="B587" s="6" t="str">
        <f>VLOOKUP(A587,'HOGARES-BASELINE'!$B:$I,8,FALSE)</f>
        <v>00010794</v>
      </c>
    </row>
    <row r="588" spans="1:2" x14ac:dyDescent="0.3">
      <c r="A588" s="6">
        <v>42973581</v>
      </c>
      <c r="B588" s="6" t="str">
        <f>VLOOKUP(A588,'HOGARES-BASELINE'!$B:$I,8,FALSE)</f>
        <v>01010795</v>
      </c>
    </row>
    <row r="589" spans="1:2" x14ac:dyDescent="0.3">
      <c r="A589" s="6">
        <v>42979655</v>
      </c>
      <c r="B589" s="6" t="str">
        <f>VLOOKUP(A589,'HOGARES-BASELINE'!$B:$I,8,FALSE)</f>
        <v>00010797</v>
      </c>
    </row>
    <row r="590" spans="1:2" x14ac:dyDescent="0.3">
      <c r="A590" s="6">
        <v>42981495</v>
      </c>
      <c r="B590" s="6" t="str">
        <f>VLOOKUP(A590,'HOGARES-BASELINE'!$B:$I,8,FALSE)</f>
        <v>00010798</v>
      </c>
    </row>
    <row r="591" spans="1:2" x14ac:dyDescent="0.3">
      <c r="A591" s="6">
        <v>42987727</v>
      </c>
      <c r="B591" s="6" t="str">
        <f>VLOOKUP(A591,'HOGARES-BASELINE'!$B:$I,8,FALSE)</f>
        <v>00010799</v>
      </c>
    </row>
    <row r="592" spans="1:2" x14ac:dyDescent="0.3">
      <c r="A592" s="6">
        <v>42991676</v>
      </c>
      <c r="B592" s="6" t="str">
        <f>VLOOKUP(A592,'HOGARES-BASELINE'!$B:$I,8,FALSE)</f>
        <v>01010800</v>
      </c>
    </row>
    <row r="593" spans="1:2" x14ac:dyDescent="0.3">
      <c r="A593" s="6">
        <v>42995862</v>
      </c>
      <c r="B593" s="6" t="str">
        <f>VLOOKUP(A593,'HOGARES-BASELINE'!$B:$I,8,FALSE)</f>
        <v>01010801</v>
      </c>
    </row>
    <row r="594" spans="1:2" x14ac:dyDescent="0.3">
      <c r="A594" s="6">
        <v>43000384</v>
      </c>
      <c r="B594" s="6" t="str">
        <f>VLOOKUP(A594,'HOGARES-BASELINE'!$B:$I,8,FALSE)</f>
        <v>00010802</v>
      </c>
    </row>
    <row r="595" spans="1:2" x14ac:dyDescent="0.3">
      <c r="A595" s="6">
        <v>43011082</v>
      </c>
      <c r="B595" s="6" t="str">
        <f>VLOOKUP(A595,'HOGARES-BASELINE'!$B:$I,8,FALSE)</f>
        <v>00010803</v>
      </c>
    </row>
    <row r="596" spans="1:2" x14ac:dyDescent="0.3">
      <c r="A596" s="6">
        <v>43025963</v>
      </c>
      <c r="B596" s="6" t="str">
        <f>VLOOKUP(A596,'HOGARES-BASELINE'!$B:$I,8,FALSE)</f>
        <v>00010804</v>
      </c>
    </row>
    <row r="597" spans="1:2" x14ac:dyDescent="0.3">
      <c r="A597" s="6">
        <v>43030246</v>
      </c>
      <c r="B597" s="6" t="str">
        <f>VLOOKUP(A597,'HOGARES-BASELINE'!$B:$I,8,FALSE)</f>
        <v>00010805</v>
      </c>
    </row>
    <row r="598" spans="1:2" x14ac:dyDescent="0.3">
      <c r="A598" s="6">
        <v>43033841</v>
      </c>
      <c r="B598" s="6" t="str">
        <f>VLOOKUP(A598,'HOGARES-BASELINE'!$B:$I,8,FALSE)</f>
        <v>00010806</v>
      </c>
    </row>
    <row r="599" spans="1:2" x14ac:dyDescent="0.3">
      <c r="A599" s="6">
        <v>43034542</v>
      </c>
      <c r="B599" s="6" t="str">
        <f>VLOOKUP(A599,'HOGARES-BASELINE'!$B:$I,8,FALSE)</f>
        <v>01010807</v>
      </c>
    </row>
    <row r="600" spans="1:2" x14ac:dyDescent="0.3">
      <c r="A600" s="6">
        <v>43036224</v>
      </c>
      <c r="B600" s="6" t="str">
        <f>VLOOKUP(A600,'HOGARES-BASELINE'!$B:$I,8,FALSE)</f>
        <v>00010808</v>
      </c>
    </row>
    <row r="601" spans="1:2" x14ac:dyDescent="0.3">
      <c r="A601" s="6">
        <v>43044407</v>
      </c>
      <c r="B601" s="6" t="str">
        <f>VLOOKUP(A601,'HOGARES-BASELINE'!$B:$I,8,FALSE)</f>
        <v>00010809</v>
      </c>
    </row>
    <row r="602" spans="1:2" x14ac:dyDescent="0.3">
      <c r="A602" s="6">
        <v>43057779</v>
      </c>
      <c r="B602" s="6" t="str">
        <f>VLOOKUP(A602,'HOGARES-BASELINE'!$B:$I,8,FALSE)</f>
        <v>01010810</v>
      </c>
    </row>
    <row r="603" spans="1:2" x14ac:dyDescent="0.3">
      <c r="A603" s="6">
        <v>43062092</v>
      </c>
      <c r="B603" s="6" t="str">
        <f>VLOOKUP(A603,'HOGARES-BASELINE'!$B:$I,8,FALSE)</f>
        <v>01010811</v>
      </c>
    </row>
    <row r="604" spans="1:2" x14ac:dyDescent="0.3">
      <c r="A604" s="6">
        <v>43065696</v>
      </c>
      <c r="B604" s="6" t="str">
        <f>VLOOKUP(A604,'HOGARES-BASELINE'!$B:$I,8,FALSE)</f>
        <v>00010812</v>
      </c>
    </row>
    <row r="605" spans="1:2" x14ac:dyDescent="0.3">
      <c r="A605" s="6">
        <v>43066439</v>
      </c>
      <c r="B605" s="6" t="str">
        <f>VLOOKUP(A605,'HOGARES-BASELINE'!$B:$I,8,FALSE)</f>
        <v>00010813</v>
      </c>
    </row>
    <row r="606" spans="1:2" x14ac:dyDescent="0.3">
      <c r="A606" s="6">
        <v>43066481</v>
      </c>
      <c r="B606" s="6" t="str">
        <f>VLOOKUP(A606,'HOGARES-BASELINE'!$B:$I,8,FALSE)</f>
        <v>00010814</v>
      </c>
    </row>
    <row r="607" spans="1:2" x14ac:dyDescent="0.3">
      <c r="A607" s="6">
        <v>43066859</v>
      </c>
      <c r="B607" s="6" t="str">
        <f>VLOOKUP(A607,'HOGARES-BASELINE'!$B:$I,8,FALSE)</f>
        <v>01010815</v>
      </c>
    </row>
    <row r="608" spans="1:2" x14ac:dyDescent="0.3">
      <c r="A608" s="6">
        <v>43070425</v>
      </c>
      <c r="B608" s="6" t="str">
        <f>VLOOKUP(A608,'HOGARES-BASELINE'!$B:$I,8,FALSE)</f>
        <v>00010817</v>
      </c>
    </row>
    <row r="609" spans="1:2" x14ac:dyDescent="0.3">
      <c r="A609" s="6">
        <v>43070884</v>
      </c>
      <c r="B609" s="6" t="str">
        <f>VLOOKUP(A609,'HOGARES-BASELINE'!$B:$I,8,FALSE)</f>
        <v>01010818</v>
      </c>
    </row>
    <row r="610" spans="1:2" x14ac:dyDescent="0.3">
      <c r="A610" s="6">
        <v>43073733</v>
      </c>
      <c r="B610" s="6" t="str">
        <f>VLOOKUP(A610,'HOGARES-BASELINE'!$B:$I,8,FALSE)</f>
        <v>00010819</v>
      </c>
    </row>
    <row r="611" spans="1:2" x14ac:dyDescent="0.3">
      <c r="A611" s="6">
        <v>43075851</v>
      </c>
      <c r="B611" s="6" t="str">
        <f>VLOOKUP(A611,'HOGARES-BASELINE'!$B:$I,8,FALSE)</f>
        <v>01010820</v>
      </c>
    </row>
    <row r="612" spans="1:2" x14ac:dyDescent="0.3">
      <c r="A612" s="6">
        <v>43078979</v>
      </c>
      <c r="B612" s="6" t="str">
        <f>VLOOKUP(A612,'HOGARES-BASELINE'!$B:$I,8,FALSE)</f>
        <v>00010821</v>
      </c>
    </row>
    <row r="613" spans="1:2" x14ac:dyDescent="0.3">
      <c r="A613" s="6">
        <v>43083979</v>
      </c>
      <c r="B613" s="6" t="str">
        <f>VLOOKUP(A613,'HOGARES-BASELINE'!$B:$I,8,FALSE)</f>
        <v>00010822</v>
      </c>
    </row>
    <row r="614" spans="1:2" x14ac:dyDescent="0.3">
      <c r="A614" s="6">
        <v>43085567</v>
      </c>
      <c r="B614" s="6" t="str">
        <f>VLOOKUP(A614,'HOGARES-BASELINE'!$B:$I,8,FALSE)</f>
        <v>00010823</v>
      </c>
    </row>
    <row r="615" spans="1:2" x14ac:dyDescent="0.3">
      <c r="A615" s="6">
        <v>43097896</v>
      </c>
      <c r="B615" s="6" t="str">
        <f>VLOOKUP(A615,'HOGARES-BASELINE'!$B:$I,8,FALSE)</f>
        <v>00010825</v>
      </c>
    </row>
    <row r="616" spans="1:2" x14ac:dyDescent="0.3">
      <c r="A616" s="6">
        <v>43100739</v>
      </c>
      <c r="B616" s="6" t="str">
        <f>VLOOKUP(A616,'HOGARES-BASELINE'!$B:$I,8,FALSE)</f>
        <v>01010827</v>
      </c>
    </row>
    <row r="617" spans="1:2" x14ac:dyDescent="0.3">
      <c r="A617" s="6">
        <v>43101586</v>
      </c>
      <c r="B617" s="6" t="str">
        <f>VLOOKUP(A617,'HOGARES-BASELINE'!$B:$I,8,FALSE)</f>
        <v>01010828</v>
      </c>
    </row>
    <row r="618" spans="1:2" x14ac:dyDescent="0.3">
      <c r="A618" s="6">
        <v>43117917</v>
      </c>
      <c r="B618" s="6" t="str">
        <f>VLOOKUP(A618,'HOGARES-BASELINE'!$B:$I,8,FALSE)</f>
        <v>00010829</v>
      </c>
    </row>
    <row r="619" spans="1:2" x14ac:dyDescent="0.3">
      <c r="A619" s="6">
        <v>43141643</v>
      </c>
      <c r="B619" s="6" t="str">
        <f>VLOOKUP(A619,'HOGARES-BASELINE'!$B:$I,8,FALSE)</f>
        <v>01010830</v>
      </c>
    </row>
    <row r="620" spans="1:2" x14ac:dyDescent="0.3">
      <c r="A620" s="6">
        <v>43150064</v>
      </c>
      <c r="B620" s="6" t="str">
        <f>VLOOKUP(A620,'HOGARES-BASELINE'!$B:$I,8,FALSE)</f>
        <v>01010831</v>
      </c>
    </row>
    <row r="621" spans="1:2" x14ac:dyDescent="0.3">
      <c r="A621" s="6">
        <v>43152836</v>
      </c>
      <c r="B621" s="6" t="str">
        <f>VLOOKUP(A621,'HOGARES-BASELINE'!$B:$I,8,FALSE)</f>
        <v>01010832</v>
      </c>
    </row>
    <row r="622" spans="1:2" x14ac:dyDescent="0.3">
      <c r="A622" s="6">
        <v>43159959</v>
      </c>
      <c r="B622" s="6" t="str">
        <f>VLOOKUP(A622,'HOGARES-BASELINE'!$B:$I,8,FALSE)</f>
        <v>00010833</v>
      </c>
    </row>
    <row r="623" spans="1:2" x14ac:dyDescent="0.3">
      <c r="A623" s="6">
        <v>43164479</v>
      </c>
      <c r="B623" s="6" t="str">
        <f>VLOOKUP(A623,'HOGARES-BASELINE'!$B:$I,8,FALSE)</f>
        <v>00010834</v>
      </c>
    </row>
    <row r="624" spans="1:2" x14ac:dyDescent="0.3">
      <c r="A624" s="6">
        <v>43203228</v>
      </c>
      <c r="B624" s="6" t="str">
        <f>VLOOKUP(A624,'HOGARES-BASELINE'!$B:$I,8,FALSE)</f>
        <v>01010835</v>
      </c>
    </row>
    <row r="625" spans="1:2" x14ac:dyDescent="0.3">
      <c r="A625" s="6">
        <v>43205365</v>
      </c>
      <c r="B625" s="6" t="str">
        <f>VLOOKUP(A625,'HOGARES-BASELINE'!$B:$I,8,FALSE)</f>
        <v>00010836</v>
      </c>
    </row>
    <row r="626" spans="1:2" x14ac:dyDescent="0.3">
      <c r="A626" s="6">
        <v>43221546</v>
      </c>
      <c r="B626" s="6" t="str">
        <f>VLOOKUP(A626,'HOGARES-BASELINE'!$B:$I,8,FALSE)</f>
        <v>00010837</v>
      </c>
    </row>
    <row r="627" spans="1:2" x14ac:dyDescent="0.3">
      <c r="A627" s="6">
        <v>43251278</v>
      </c>
      <c r="B627" s="6" t="str">
        <f>VLOOKUP(A627,'HOGARES-BASELINE'!$B:$I,8,FALSE)</f>
        <v>01010838</v>
      </c>
    </row>
    <row r="628" spans="1:2" x14ac:dyDescent="0.3">
      <c r="A628" s="6">
        <v>43259030</v>
      </c>
      <c r="B628" s="6" t="str">
        <f>VLOOKUP(A628,'HOGARES-BASELINE'!$B:$I,8,FALSE)</f>
        <v>01010839</v>
      </c>
    </row>
    <row r="629" spans="1:2" x14ac:dyDescent="0.3">
      <c r="A629" s="6">
        <v>43262338</v>
      </c>
      <c r="B629" s="6" t="str">
        <f>VLOOKUP(A629,'HOGARES-BASELINE'!$B:$I,8,FALSE)</f>
        <v>00010840</v>
      </c>
    </row>
    <row r="630" spans="1:2" x14ac:dyDescent="0.3">
      <c r="A630" s="6">
        <v>43265078</v>
      </c>
      <c r="B630" s="6" t="str">
        <f>VLOOKUP(A630,'HOGARES-BASELINE'!$B:$I,8,FALSE)</f>
        <v>00010841</v>
      </c>
    </row>
    <row r="631" spans="1:2" x14ac:dyDescent="0.3">
      <c r="A631" s="6">
        <v>43268570</v>
      </c>
      <c r="B631" s="6" t="str">
        <f>VLOOKUP(A631,'HOGARES-BASELINE'!$B:$I,8,FALSE)</f>
        <v>01010842</v>
      </c>
    </row>
    <row r="632" spans="1:2" x14ac:dyDescent="0.3">
      <c r="A632" s="6">
        <v>43269156</v>
      </c>
      <c r="B632" s="6" t="str">
        <f>VLOOKUP(A632,'HOGARES-BASELINE'!$B:$I,8,FALSE)</f>
        <v>01010843</v>
      </c>
    </row>
    <row r="633" spans="1:2" x14ac:dyDescent="0.3">
      <c r="A633" s="6">
        <v>43275340</v>
      </c>
      <c r="B633" s="6" t="str">
        <f>VLOOKUP(A633,'HOGARES-BASELINE'!$B:$I,8,FALSE)</f>
        <v>01010844</v>
      </c>
    </row>
    <row r="634" spans="1:2" x14ac:dyDescent="0.3">
      <c r="A634" s="6">
        <v>43279706</v>
      </c>
      <c r="B634" s="6" t="str">
        <f>VLOOKUP(A634,'HOGARES-BASELINE'!$B:$I,8,FALSE)</f>
        <v>01010845</v>
      </c>
    </row>
    <row r="635" spans="1:2" x14ac:dyDescent="0.3">
      <c r="A635" s="6">
        <v>43285019</v>
      </c>
      <c r="B635" s="6" t="str">
        <f>VLOOKUP(A635,'HOGARES-BASELINE'!$B:$I,8,FALSE)</f>
        <v>00020846</v>
      </c>
    </row>
    <row r="636" spans="1:2" x14ac:dyDescent="0.3">
      <c r="A636" s="6">
        <v>43286202</v>
      </c>
      <c r="B636" s="6" t="str">
        <f>VLOOKUP(A636,'HOGARES-BASELINE'!$B:$I,8,FALSE)</f>
        <v>01010847</v>
      </c>
    </row>
    <row r="637" spans="1:2" x14ac:dyDescent="0.3">
      <c r="A637" s="6">
        <v>43347982</v>
      </c>
      <c r="B637" s="6" t="str">
        <f>VLOOKUP(A637,'HOGARES-BASELINE'!$B:$I,8,FALSE)</f>
        <v>00010848</v>
      </c>
    </row>
    <row r="638" spans="1:2" x14ac:dyDescent="0.3">
      <c r="A638" s="6">
        <v>43380042</v>
      </c>
      <c r="B638" s="6" t="str">
        <f>VLOOKUP(A638,'HOGARES-BASELINE'!$B:$I,8,FALSE)</f>
        <v>01010850</v>
      </c>
    </row>
    <row r="639" spans="1:2" x14ac:dyDescent="0.3">
      <c r="A639" s="6">
        <v>43380718</v>
      </c>
      <c r="B639" s="6" t="str">
        <f>VLOOKUP(A639,'HOGARES-BASELINE'!$B:$I,8,FALSE)</f>
        <v>01010851</v>
      </c>
    </row>
    <row r="640" spans="1:2" x14ac:dyDescent="0.3">
      <c r="A640" s="6">
        <v>43381830</v>
      </c>
      <c r="B640" s="6" t="str">
        <f>VLOOKUP(A640,'HOGARES-BASELINE'!$B:$I,8,FALSE)</f>
        <v>01010853</v>
      </c>
    </row>
    <row r="641" spans="1:2" x14ac:dyDescent="0.3">
      <c r="A641" s="6">
        <v>43382433</v>
      </c>
      <c r="B641" s="6" t="str">
        <f>VLOOKUP(A641,'HOGARES-BASELINE'!$B:$I,8,FALSE)</f>
        <v>01010854</v>
      </c>
    </row>
    <row r="642" spans="1:2" x14ac:dyDescent="0.3">
      <c r="A642" s="6">
        <v>43436157</v>
      </c>
      <c r="B642" s="6" t="str">
        <f>VLOOKUP(A642,'HOGARES-BASELINE'!$B:$I,8,FALSE)</f>
        <v>00010855</v>
      </c>
    </row>
    <row r="643" spans="1:2" x14ac:dyDescent="0.3">
      <c r="A643" s="6">
        <v>43441449</v>
      </c>
      <c r="B643" s="6" t="str">
        <f>VLOOKUP(A643,'HOGARES-BASELINE'!$B:$I,8,FALSE)</f>
        <v>01010856</v>
      </c>
    </row>
    <row r="644" spans="1:2" x14ac:dyDescent="0.3">
      <c r="A644" s="6">
        <v>43447606</v>
      </c>
      <c r="B644" s="6" t="str">
        <f>VLOOKUP(A644,'HOGARES-BASELINE'!$B:$I,8,FALSE)</f>
        <v>00010857</v>
      </c>
    </row>
    <row r="645" spans="1:2" x14ac:dyDescent="0.3">
      <c r="A645" s="6">
        <v>43455918</v>
      </c>
      <c r="B645" s="6" t="str">
        <f>VLOOKUP(A645,'HOGARES-BASELINE'!$B:$I,8,FALSE)</f>
        <v>00010858</v>
      </c>
    </row>
    <row r="646" spans="1:2" x14ac:dyDescent="0.3">
      <c r="A646" s="6">
        <v>43485410</v>
      </c>
      <c r="B646" s="6" t="str">
        <f>VLOOKUP(A646,'HOGARES-BASELINE'!$B:$I,8,FALSE)</f>
        <v>01010859</v>
      </c>
    </row>
    <row r="647" spans="1:2" x14ac:dyDescent="0.3">
      <c r="A647" s="6">
        <v>43489779</v>
      </c>
      <c r="B647" s="6" t="str">
        <f>VLOOKUP(A647,'HOGARES-BASELINE'!$B:$I,8,FALSE)</f>
        <v>01010860</v>
      </c>
    </row>
    <row r="648" spans="1:2" x14ac:dyDescent="0.3">
      <c r="A648" s="6">
        <v>43510710</v>
      </c>
      <c r="B648" s="6" t="str">
        <f>VLOOKUP(A648,'HOGARES-BASELINE'!$B:$I,8,FALSE)</f>
        <v>00010862</v>
      </c>
    </row>
    <row r="649" spans="1:2" x14ac:dyDescent="0.3">
      <c r="A649" s="6">
        <v>43516112</v>
      </c>
      <c r="B649" s="6" t="str">
        <f>VLOOKUP(A649,'HOGARES-BASELINE'!$B:$I,8,FALSE)</f>
        <v>00010863</v>
      </c>
    </row>
    <row r="650" spans="1:2" x14ac:dyDescent="0.3">
      <c r="A650" s="6">
        <v>43524391</v>
      </c>
      <c r="B650" s="6" t="str">
        <f>VLOOKUP(A650,'HOGARES-BASELINE'!$B:$I,8,FALSE)</f>
        <v>00010864</v>
      </c>
    </row>
    <row r="651" spans="1:2" x14ac:dyDescent="0.3">
      <c r="A651" s="6">
        <v>43533488</v>
      </c>
      <c r="B651" s="6" t="str">
        <f>VLOOKUP(A651,'HOGARES-BASELINE'!$B:$I,8,FALSE)</f>
        <v>01010865</v>
      </c>
    </row>
    <row r="652" spans="1:2" x14ac:dyDescent="0.3">
      <c r="A652" s="6">
        <v>43533978</v>
      </c>
      <c r="B652" s="6" t="str">
        <f>VLOOKUP(A652,'HOGARES-BASELINE'!$B:$I,8,FALSE)</f>
        <v>00010866</v>
      </c>
    </row>
    <row r="653" spans="1:2" x14ac:dyDescent="0.3">
      <c r="A653" s="6">
        <v>43534027</v>
      </c>
      <c r="B653" s="6" t="str">
        <f>VLOOKUP(A653,'HOGARES-BASELINE'!$B:$I,8,FALSE)</f>
        <v>00010867</v>
      </c>
    </row>
    <row r="654" spans="1:2" x14ac:dyDescent="0.3">
      <c r="A654" s="6">
        <v>43535348</v>
      </c>
      <c r="B654" s="6" t="str">
        <f>VLOOKUP(A654,'HOGARES-BASELINE'!$B:$I,8,FALSE)</f>
        <v>01010869</v>
      </c>
    </row>
    <row r="655" spans="1:2" x14ac:dyDescent="0.3">
      <c r="A655" s="6">
        <v>43536319</v>
      </c>
      <c r="B655" s="6" t="str">
        <f>VLOOKUP(A655,'HOGARES-BASELINE'!$B:$I,8,FALSE)</f>
        <v>00010870</v>
      </c>
    </row>
    <row r="656" spans="1:2" x14ac:dyDescent="0.3">
      <c r="A656" s="6">
        <v>43536648</v>
      </c>
      <c r="B656" s="6" t="str">
        <f>VLOOKUP(A656,'HOGARES-BASELINE'!$B:$I,8,FALSE)</f>
        <v>00010871</v>
      </c>
    </row>
    <row r="657" spans="1:2" x14ac:dyDescent="0.3">
      <c r="A657" s="6">
        <v>43542284</v>
      </c>
      <c r="B657" s="6" t="str">
        <f>VLOOKUP(A657,'HOGARES-BASELINE'!$B:$I,8,FALSE)</f>
        <v>01010872</v>
      </c>
    </row>
    <row r="658" spans="1:2" x14ac:dyDescent="0.3">
      <c r="A658" s="6">
        <v>43558865</v>
      </c>
      <c r="B658" s="6" t="str">
        <f>VLOOKUP(A658,'HOGARES-BASELINE'!$B:$I,8,FALSE)</f>
        <v>00010873</v>
      </c>
    </row>
    <row r="659" spans="1:2" x14ac:dyDescent="0.3">
      <c r="A659" s="6">
        <v>43558878</v>
      </c>
      <c r="B659" s="6" t="str">
        <f>VLOOKUP(A659,'HOGARES-BASELINE'!$B:$I,8,FALSE)</f>
        <v>00010874</v>
      </c>
    </row>
    <row r="660" spans="1:2" x14ac:dyDescent="0.3">
      <c r="A660" s="6">
        <v>43563684</v>
      </c>
      <c r="B660" s="6" t="str">
        <f>VLOOKUP(A660,'HOGARES-BASELINE'!$B:$I,8,FALSE)</f>
        <v>00010875</v>
      </c>
    </row>
    <row r="661" spans="1:2" x14ac:dyDescent="0.3">
      <c r="A661" s="6">
        <v>43565062</v>
      </c>
      <c r="B661" s="6" t="str">
        <f>VLOOKUP(A661,'HOGARES-BASELINE'!$B:$I,8,FALSE)</f>
        <v>00010876</v>
      </c>
    </row>
    <row r="662" spans="1:2" x14ac:dyDescent="0.3">
      <c r="A662" s="6">
        <v>43565594</v>
      </c>
      <c r="B662" s="6" t="str">
        <f>VLOOKUP(A662,'HOGARES-BASELINE'!$B:$I,8,FALSE)</f>
        <v>00010877</v>
      </c>
    </row>
    <row r="663" spans="1:2" x14ac:dyDescent="0.3">
      <c r="A663" s="6">
        <v>43566435</v>
      </c>
      <c r="B663" s="6" t="str">
        <f>VLOOKUP(A663,'HOGARES-BASELINE'!$B:$I,8,FALSE)</f>
        <v>01010878</v>
      </c>
    </row>
    <row r="664" spans="1:2" x14ac:dyDescent="0.3">
      <c r="A664" s="6">
        <v>43567075</v>
      </c>
      <c r="B664" s="6" t="str">
        <f>VLOOKUP(A664,'HOGARES-BASELINE'!$B:$I,8,FALSE)</f>
        <v>01010879</v>
      </c>
    </row>
    <row r="665" spans="1:2" x14ac:dyDescent="0.3">
      <c r="A665" s="6">
        <v>43570005</v>
      </c>
      <c r="B665" s="6" t="str">
        <f>VLOOKUP(A665,'HOGARES-BASELINE'!$B:$I,8,FALSE)</f>
        <v>01010880</v>
      </c>
    </row>
    <row r="666" spans="1:2" x14ac:dyDescent="0.3">
      <c r="A666" s="6">
        <v>43582831</v>
      </c>
      <c r="B666" s="6" t="str">
        <f>VLOOKUP(A666,'HOGARES-BASELINE'!$B:$I,8,FALSE)</f>
        <v>01010881</v>
      </c>
    </row>
    <row r="667" spans="1:2" x14ac:dyDescent="0.3">
      <c r="A667" s="6">
        <v>43590647</v>
      </c>
      <c r="B667" s="6" t="str">
        <f>VLOOKUP(A667,'HOGARES-BASELINE'!$B:$I,8,FALSE)</f>
        <v>00010883</v>
      </c>
    </row>
    <row r="668" spans="1:2" x14ac:dyDescent="0.3">
      <c r="A668" s="6">
        <v>43594778</v>
      </c>
      <c r="B668" s="6" t="str">
        <f>VLOOKUP(A668,'HOGARES-BASELINE'!$B:$I,8,FALSE)</f>
        <v>01010884</v>
      </c>
    </row>
    <row r="669" spans="1:2" x14ac:dyDescent="0.3">
      <c r="A669" s="6">
        <v>43595028</v>
      </c>
      <c r="B669" s="6" t="str">
        <f>VLOOKUP(A669,'HOGARES-BASELINE'!$B:$I,8,FALSE)</f>
        <v>00010885</v>
      </c>
    </row>
    <row r="670" spans="1:2" x14ac:dyDescent="0.3">
      <c r="A670" s="6">
        <v>43597042</v>
      </c>
      <c r="B670" s="6" t="str">
        <f>VLOOKUP(A670,'HOGARES-BASELINE'!$B:$I,8,FALSE)</f>
        <v>01010886</v>
      </c>
    </row>
    <row r="671" spans="1:2" x14ac:dyDescent="0.3">
      <c r="A671" s="6">
        <v>43598403</v>
      </c>
      <c r="B671" s="6" t="str">
        <f>VLOOKUP(A671,'HOGARES-BASELINE'!$B:$I,8,FALSE)</f>
        <v>00010887</v>
      </c>
    </row>
    <row r="672" spans="1:2" x14ac:dyDescent="0.3">
      <c r="A672" s="6">
        <v>43600211</v>
      </c>
      <c r="B672" s="6" t="str">
        <f>VLOOKUP(A672,'HOGARES-BASELINE'!$B:$I,8,FALSE)</f>
        <v>01010888</v>
      </c>
    </row>
    <row r="673" spans="1:2" x14ac:dyDescent="0.3">
      <c r="A673" s="6">
        <v>43600567</v>
      </c>
      <c r="B673" s="6" t="str">
        <f>VLOOKUP(A673,'HOGARES-BASELINE'!$B:$I,8,FALSE)</f>
        <v>01010889</v>
      </c>
    </row>
    <row r="674" spans="1:2" x14ac:dyDescent="0.3">
      <c r="A674" s="6">
        <v>43605902</v>
      </c>
      <c r="B674" s="6" t="str">
        <f>VLOOKUP(A674,'HOGARES-BASELINE'!$B:$I,8,FALSE)</f>
        <v>01010890</v>
      </c>
    </row>
    <row r="675" spans="1:2" x14ac:dyDescent="0.3">
      <c r="A675" s="6">
        <v>43607068</v>
      </c>
      <c r="B675" s="6" t="str">
        <f>VLOOKUP(A675,'HOGARES-BASELINE'!$B:$I,8,FALSE)</f>
        <v>01010891</v>
      </c>
    </row>
    <row r="676" spans="1:2" x14ac:dyDescent="0.3">
      <c r="A676" s="6">
        <v>43610680</v>
      </c>
      <c r="B676" s="6" t="str">
        <f>VLOOKUP(A676,'HOGARES-BASELINE'!$B:$I,8,FALSE)</f>
        <v>00010892</v>
      </c>
    </row>
    <row r="677" spans="1:2" x14ac:dyDescent="0.3">
      <c r="A677" s="6">
        <v>43611767</v>
      </c>
      <c r="B677" s="6" t="str">
        <f>VLOOKUP(A677,'HOGARES-BASELINE'!$B:$I,8,FALSE)</f>
        <v>01010893</v>
      </c>
    </row>
    <row r="678" spans="1:2" x14ac:dyDescent="0.3">
      <c r="A678" s="6">
        <v>43613777</v>
      </c>
      <c r="B678" s="6" t="str">
        <f>VLOOKUP(A678,'HOGARES-BASELINE'!$B:$I,8,FALSE)</f>
        <v>01010894</v>
      </c>
    </row>
    <row r="679" spans="1:2" x14ac:dyDescent="0.3">
      <c r="A679" s="6">
        <v>43615569</v>
      </c>
      <c r="B679" s="6" t="str">
        <f>VLOOKUP(A679,'HOGARES-BASELINE'!$B:$I,8,FALSE)</f>
        <v>01010895</v>
      </c>
    </row>
    <row r="680" spans="1:2" x14ac:dyDescent="0.3">
      <c r="A680" s="6">
        <v>43632097</v>
      </c>
      <c r="B680" s="6" t="str">
        <f>VLOOKUP(A680,'HOGARES-BASELINE'!$B:$I,8,FALSE)</f>
        <v>00010896</v>
      </c>
    </row>
    <row r="681" spans="1:2" x14ac:dyDescent="0.3">
      <c r="A681" s="6">
        <v>43635359</v>
      </c>
      <c r="B681" s="6" t="str">
        <f>VLOOKUP(A681,'HOGARES-BASELINE'!$B:$I,8,FALSE)</f>
        <v>00010898</v>
      </c>
    </row>
    <row r="682" spans="1:2" x14ac:dyDescent="0.3">
      <c r="A682" s="6">
        <v>43639779</v>
      </c>
      <c r="B682" s="6" t="str">
        <f>VLOOKUP(A682,'HOGARES-BASELINE'!$B:$I,8,FALSE)</f>
        <v>01010899</v>
      </c>
    </row>
    <row r="683" spans="1:2" x14ac:dyDescent="0.3">
      <c r="A683" s="6">
        <v>43640603</v>
      </c>
      <c r="B683" s="6" t="str">
        <f>VLOOKUP(A683,'HOGARES-BASELINE'!$B:$I,8,FALSE)</f>
        <v>01010900</v>
      </c>
    </row>
    <row r="684" spans="1:2" x14ac:dyDescent="0.3">
      <c r="A684" s="6">
        <v>43643362</v>
      </c>
      <c r="B684" s="6" t="str">
        <f>VLOOKUP(A684,'HOGARES-BASELINE'!$B:$I,8,FALSE)</f>
        <v>00010901</v>
      </c>
    </row>
    <row r="685" spans="1:2" x14ac:dyDescent="0.3">
      <c r="A685" s="6">
        <v>43661822</v>
      </c>
      <c r="B685" s="6" t="str">
        <f>VLOOKUP(A685,'HOGARES-BASELINE'!$B:$I,8,FALSE)</f>
        <v>00010902</v>
      </c>
    </row>
    <row r="686" spans="1:2" x14ac:dyDescent="0.3">
      <c r="A686" s="6">
        <v>43662572</v>
      </c>
      <c r="B686" s="6" t="str">
        <f>VLOOKUP(A686,'HOGARES-BASELINE'!$B:$I,8,FALSE)</f>
        <v>00010903</v>
      </c>
    </row>
    <row r="687" spans="1:2" x14ac:dyDescent="0.3">
      <c r="A687" s="6">
        <v>43672851</v>
      </c>
      <c r="B687" s="6" t="str">
        <f>VLOOKUP(A687,'HOGARES-BASELINE'!$B:$I,8,FALSE)</f>
        <v>00010904</v>
      </c>
    </row>
    <row r="688" spans="1:2" x14ac:dyDescent="0.3">
      <c r="A688" s="6">
        <v>43681503</v>
      </c>
      <c r="B688" s="6" t="str">
        <f>VLOOKUP(A688,'HOGARES-BASELINE'!$B:$I,8,FALSE)</f>
        <v>01010905</v>
      </c>
    </row>
    <row r="689" spans="1:2" x14ac:dyDescent="0.3">
      <c r="A689" s="6">
        <v>43700046</v>
      </c>
      <c r="B689" s="6" t="str">
        <f>VLOOKUP(A689,'HOGARES-BASELINE'!$B:$I,8,FALSE)</f>
        <v>00010906</v>
      </c>
    </row>
    <row r="690" spans="1:2" x14ac:dyDescent="0.3">
      <c r="A690" s="6">
        <v>43733194</v>
      </c>
      <c r="B690" s="6" t="str">
        <f>VLOOKUP(A690,'HOGARES-BASELINE'!$B:$I,8,FALSE)</f>
        <v>00010907</v>
      </c>
    </row>
    <row r="691" spans="1:2" x14ac:dyDescent="0.3">
      <c r="A691" s="6">
        <v>43750015</v>
      </c>
      <c r="B691" s="6" t="str">
        <f>VLOOKUP(A691,'HOGARES-BASELINE'!$B:$I,8,FALSE)</f>
        <v>01010908</v>
      </c>
    </row>
    <row r="692" spans="1:2" x14ac:dyDescent="0.3">
      <c r="A692" s="6">
        <v>43752818</v>
      </c>
      <c r="B692" s="6" t="str">
        <f>VLOOKUP(A692,'HOGARES-BASELINE'!$B:$I,8,FALSE)</f>
        <v>01010909</v>
      </c>
    </row>
    <row r="693" spans="1:2" x14ac:dyDescent="0.3">
      <c r="A693" s="6">
        <v>43754194</v>
      </c>
      <c r="B693" s="6" t="str">
        <f>VLOOKUP(A693,'HOGARES-BASELINE'!$B:$I,8,FALSE)</f>
        <v>00010910</v>
      </c>
    </row>
    <row r="694" spans="1:2" x14ac:dyDescent="0.3">
      <c r="A694" s="6">
        <v>43755833</v>
      </c>
      <c r="B694" s="6" t="str">
        <f>VLOOKUP(A694,'HOGARES-BASELINE'!$B:$I,8,FALSE)</f>
        <v>01010911</v>
      </c>
    </row>
    <row r="695" spans="1:2" x14ac:dyDescent="0.3">
      <c r="A695" s="6">
        <v>43810860</v>
      </c>
      <c r="B695" s="6" t="str">
        <f>VLOOKUP(A695,'HOGARES-BASELINE'!$B:$I,8,FALSE)</f>
        <v>00010912</v>
      </c>
    </row>
    <row r="696" spans="1:2" x14ac:dyDescent="0.3">
      <c r="A696" s="6">
        <v>43826103</v>
      </c>
      <c r="B696" s="6" t="str">
        <f>VLOOKUP(A696,'HOGARES-BASELINE'!$B:$I,8,FALSE)</f>
        <v>00010913</v>
      </c>
    </row>
    <row r="697" spans="1:2" x14ac:dyDescent="0.3">
      <c r="A697" s="6">
        <v>43836211</v>
      </c>
      <c r="B697" s="6" t="str">
        <f>VLOOKUP(A697,'HOGARES-BASELINE'!$B:$I,8,FALSE)</f>
        <v>00010914</v>
      </c>
    </row>
    <row r="698" spans="1:2" x14ac:dyDescent="0.3">
      <c r="A698" s="6">
        <v>43905793</v>
      </c>
      <c r="B698" s="6" t="str">
        <f>VLOOKUP(A698,'HOGARES-BASELINE'!$B:$I,8,FALSE)</f>
        <v>01010915</v>
      </c>
    </row>
    <row r="699" spans="1:2" x14ac:dyDescent="0.3">
      <c r="A699" s="6">
        <v>43907166</v>
      </c>
      <c r="B699" s="6" t="str">
        <f>VLOOKUP(A699,'HOGARES-BASELINE'!$B:$I,8,FALSE)</f>
        <v>00010916</v>
      </c>
    </row>
    <row r="700" spans="1:2" x14ac:dyDescent="0.3">
      <c r="A700" s="6">
        <v>43913057</v>
      </c>
      <c r="B700" s="6" t="str">
        <f>VLOOKUP(A700,'HOGARES-BASELINE'!$B:$I,8,FALSE)</f>
        <v>00010918</v>
      </c>
    </row>
    <row r="701" spans="1:2" x14ac:dyDescent="0.3">
      <c r="A701" s="6">
        <v>43915081</v>
      </c>
      <c r="B701" s="6" t="str">
        <f>VLOOKUP(A701,'HOGARES-BASELINE'!$B:$I,8,FALSE)</f>
        <v>00010919</v>
      </c>
    </row>
    <row r="702" spans="1:2" x14ac:dyDescent="0.3">
      <c r="A702" s="6">
        <v>43922866</v>
      </c>
      <c r="B702" s="6" t="str">
        <f>VLOOKUP(A702,'HOGARES-BASELINE'!$B:$I,8,FALSE)</f>
        <v>00010920</v>
      </c>
    </row>
    <row r="703" spans="1:2" x14ac:dyDescent="0.3">
      <c r="A703" s="6">
        <v>43924916</v>
      </c>
      <c r="B703" s="6" t="str">
        <f>VLOOKUP(A703,'HOGARES-BASELINE'!$B:$I,8,FALSE)</f>
        <v>00010921</v>
      </c>
    </row>
    <row r="704" spans="1:2" x14ac:dyDescent="0.3">
      <c r="A704" s="6">
        <v>43973029</v>
      </c>
      <c r="B704" s="6" t="str">
        <f>VLOOKUP(A704,'HOGARES-BASELINE'!$B:$I,8,FALSE)</f>
        <v>01010922</v>
      </c>
    </row>
    <row r="705" spans="1:2" x14ac:dyDescent="0.3">
      <c r="A705" s="6">
        <v>43991863</v>
      </c>
      <c r="B705" s="6" t="str">
        <f>VLOOKUP(A705,'HOGARES-BASELINE'!$B:$I,8,FALSE)</f>
        <v>00010923</v>
      </c>
    </row>
    <row r="706" spans="1:2" x14ac:dyDescent="0.3">
      <c r="A706" s="6">
        <v>43997530</v>
      </c>
      <c r="B706" s="6" t="str">
        <f>VLOOKUP(A706,'HOGARES-BASELINE'!$B:$I,8,FALSE)</f>
        <v>00010924</v>
      </c>
    </row>
    <row r="707" spans="1:2" x14ac:dyDescent="0.3">
      <c r="A707" s="6">
        <v>44002874</v>
      </c>
      <c r="B707" s="6" t="str">
        <f>VLOOKUP(A707,'HOGARES-BASELINE'!$B:$I,8,FALSE)</f>
        <v>00010925</v>
      </c>
    </row>
    <row r="708" spans="1:2" x14ac:dyDescent="0.3">
      <c r="A708" s="6">
        <v>44003061</v>
      </c>
      <c r="B708" s="6" t="str">
        <f>VLOOKUP(A708,'HOGARES-BASELINE'!$B:$I,8,FALSE)</f>
        <v>01010926</v>
      </c>
    </row>
    <row r="709" spans="1:2" x14ac:dyDescent="0.3">
      <c r="A709" s="6">
        <v>44008242</v>
      </c>
      <c r="B709" s="6" t="str">
        <f>VLOOKUP(A709,'HOGARES-BASELINE'!$B:$I,8,FALSE)</f>
        <v>00010927</v>
      </c>
    </row>
    <row r="710" spans="1:2" x14ac:dyDescent="0.3">
      <c r="A710" s="6">
        <v>44150186</v>
      </c>
      <c r="B710" s="6" t="str">
        <f>VLOOKUP(A710,'HOGARES-BASELINE'!$B:$I,8,FALSE)</f>
        <v>00030928</v>
      </c>
    </row>
    <row r="711" spans="1:2" x14ac:dyDescent="0.3">
      <c r="A711" s="6">
        <v>44158176</v>
      </c>
      <c r="B711" s="6" t="str">
        <f>VLOOKUP(A711,'HOGARES-BASELINE'!$B:$I,8,FALSE)</f>
        <v>00030929</v>
      </c>
    </row>
    <row r="712" spans="1:2" x14ac:dyDescent="0.3">
      <c r="A712" s="6">
        <v>45465247</v>
      </c>
      <c r="B712" s="6" t="str">
        <f>VLOOKUP(A712,'HOGARES-BASELINE'!$B:$I,8,FALSE)</f>
        <v>00030930</v>
      </c>
    </row>
    <row r="713" spans="1:2" x14ac:dyDescent="0.3">
      <c r="A713" s="6">
        <v>45509337</v>
      </c>
      <c r="B713" s="6" t="str">
        <f>VLOOKUP(A713,'HOGARES-BASELINE'!$B:$I,8,FALSE)</f>
        <v>00010931</v>
      </c>
    </row>
    <row r="714" spans="1:2" x14ac:dyDescent="0.3">
      <c r="A714" s="6">
        <v>45578869</v>
      </c>
      <c r="B714" s="6" t="str">
        <f>VLOOKUP(A714,'HOGARES-BASELINE'!$B:$I,8,FALSE)</f>
        <v>01030932</v>
      </c>
    </row>
    <row r="715" spans="1:2" x14ac:dyDescent="0.3">
      <c r="A715" s="6">
        <v>45584758</v>
      </c>
      <c r="B715" s="6" t="str">
        <f>VLOOKUP(A715,'HOGARES-BASELINE'!$B:$I,8,FALSE)</f>
        <v>01030933</v>
      </c>
    </row>
    <row r="716" spans="1:2" x14ac:dyDescent="0.3">
      <c r="A716" s="6">
        <v>48571448</v>
      </c>
      <c r="B716" s="6" t="str">
        <f>VLOOKUP(A716,'HOGARES-BASELINE'!$B:$I,8,FALSE)</f>
        <v>00020938</v>
      </c>
    </row>
    <row r="717" spans="1:2" x14ac:dyDescent="0.3">
      <c r="A717" s="6">
        <v>48612619</v>
      </c>
      <c r="B717" s="6" t="str">
        <f>VLOOKUP(A717,'HOGARES-BASELINE'!$B:$I,8,FALSE)</f>
        <v>01020939</v>
      </c>
    </row>
    <row r="718" spans="1:2" x14ac:dyDescent="0.3">
      <c r="A718" s="6">
        <v>48614162</v>
      </c>
      <c r="B718" s="6" t="str">
        <f>VLOOKUP(A718,'HOGARES-BASELINE'!$B:$I,8,FALSE)</f>
        <v>01020940</v>
      </c>
    </row>
    <row r="719" spans="1:2" x14ac:dyDescent="0.3">
      <c r="A719" s="6">
        <v>49670234</v>
      </c>
      <c r="B719" s="6" t="str">
        <f>VLOOKUP(A719,'HOGARES-BASELINE'!$B:$I,8,FALSE)</f>
        <v>01010941</v>
      </c>
    </row>
    <row r="720" spans="1:2" x14ac:dyDescent="0.3">
      <c r="A720" s="6">
        <v>49691954</v>
      </c>
      <c r="B720" s="6" t="str">
        <f>VLOOKUP(A720,'HOGARES-BASELINE'!$B:$I,8,FALSE)</f>
        <v>01010942</v>
      </c>
    </row>
    <row r="721" spans="1:2" x14ac:dyDescent="0.3">
      <c r="A721" s="6">
        <v>50947411</v>
      </c>
      <c r="B721" s="6" t="str">
        <f>VLOOKUP(A721,'HOGARES-BASELINE'!$B:$I,8,FALSE)</f>
        <v>01010944</v>
      </c>
    </row>
    <row r="722" spans="1:2" x14ac:dyDescent="0.3">
      <c r="A722" s="6">
        <v>52136819</v>
      </c>
      <c r="B722" s="6" t="str">
        <f>VLOOKUP(A722,'HOGARES-BASELINE'!$B:$I,8,FALSE)</f>
        <v>01030946</v>
      </c>
    </row>
    <row r="723" spans="1:2" x14ac:dyDescent="0.3">
      <c r="A723" s="6">
        <v>55221885</v>
      </c>
      <c r="B723" s="6" t="str">
        <f>VLOOKUP(A723,'HOGARES-BASELINE'!$B:$I,8,FALSE)</f>
        <v>00030948</v>
      </c>
    </row>
    <row r="724" spans="1:2" x14ac:dyDescent="0.3">
      <c r="A724" s="6">
        <v>55226186</v>
      </c>
      <c r="B724" s="6" t="str">
        <f>VLOOKUP(A724,'HOGARES-BASELINE'!$B:$I,8,FALSE)</f>
        <v>00030949</v>
      </c>
    </row>
    <row r="725" spans="1:2" x14ac:dyDescent="0.3">
      <c r="A725" s="6">
        <v>55228378</v>
      </c>
      <c r="B725" s="6" t="str">
        <f>VLOOKUP(A725,'HOGARES-BASELINE'!$B:$I,8,FALSE)</f>
        <v>00030950</v>
      </c>
    </row>
    <row r="726" spans="1:2" x14ac:dyDescent="0.3">
      <c r="A726" s="6">
        <v>55231073</v>
      </c>
      <c r="B726" s="6" t="str">
        <f>VLOOKUP(A726,'HOGARES-BASELINE'!$B:$I,8,FALSE)</f>
        <v>01030951</v>
      </c>
    </row>
    <row r="727" spans="1:2" x14ac:dyDescent="0.3">
      <c r="A727" s="6">
        <v>55232194</v>
      </c>
      <c r="B727" s="6" t="str">
        <f>VLOOKUP(A727,'HOGARES-BASELINE'!$B:$I,8,FALSE)</f>
        <v>00030952</v>
      </c>
    </row>
    <row r="728" spans="1:2" x14ac:dyDescent="0.3">
      <c r="A728" s="6">
        <v>55232316</v>
      </c>
      <c r="B728" s="6" t="str">
        <f>VLOOKUP(A728,'HOGARES-BASELINE'!$B:$I,8,FALSE)</f>
        <v>01030953</v>
      </c>
    </row>
    <row r="729" spans="1:2" x14ac:dyDescent="0.3">
      <c r="A729" s="6">
        <v>55240557</v>
      </c>
      <c r="B729" s="6" t="str">
        <f>VLOOKUP(A729,'HOGARES-BASELINE'!$B:$I,8,FALSE)</f>
        <v>00030954</v>
      </c>
    </row>
    <row r="730" spans="1:2" x14ac:dyDescent="0.3">
      <c r="A730" s="6">
        <v>55300439</v>
      </c>
      <c r="B730" s="6" t="str">
        <f>VLOOKUP(A730,'HOGARES-BASELINE'!$B:$I,8,FALSE)</f>
        <v>00030955</v>
      </c>
    </row>
    <row r="731" spans="1:2" x14ac:dyDescent="0.3">
      <c r="A731" s="6">
        <v>57304740</v>
      </c>
      <c r="B731" s="6" t="str">
        <f>VLOOKUP(A731,'HOGARES-BASELINE'!$B:$I,8,FALSE)</f>
        <v>01030956</v>
      </c>
    </row>
    <row r="732" spans="1:2" x14ac:dyDescent="0.3">
      <c r="A732" s="6">
        <v>64479725</v>
      </c>
      <c r="B732" s="6" t="str">
        <f>VLOOKUP(A732,'HOGARES-BASELINE'!$B:$I,8,FALSE)</f>
        <v>00030958</v>
      </c>
    </row>
    <row r="733" spans="1:2" x14ac:dyDescent="0.3">
      <c r="A733" s="6">
        <v>64558825</v>
      </c>
      <c r="B733" s="6" t="str">
        <f>VLOOKUP(A733,'HOGARES-BASELINE'!$B:$I,8,FALSE)</f>
        <v>01030959</v>
      </c>
    </row>
    <row r="734" spans="1:2" x14ac:dyDescent="0.3">
      <c r="A734" s="6">
        <v>64865431</v>
      </c>
      <c r="B734" s="6" t="str">
        <f>VLOOKUP(A734,'HOGARES-BASELINE'!$B:$I,8,FALSE)</f>
        <v>00030960</v>
      </c>
    </row>
    <row r="735" spans="1:2" x14ac:dyDescent="0.3">
      <c r="A735" s="6">
        <v>65747539</v>
      </c>
      <c r="B735" s="6" t="str">
        <f>VLOOKUP(A735,'HOGARES-BASELINE'!$B:$I,8,FALSE)</f>
        <v>00030961</v>
      </c>
    </row>
    <row r="736" spans="1:2" x14ac:dyDescent="0.3">
      <c r="A736" s="6">
        <v>65815427</v>
      </c>
      <c r="B736" s="6" t="str">
        <f>VLOOKUP(A736,'HOGARES-BASELINE'!$B:$I,8,FALSE)</f>
        <v>01020962</v>
      </c>
    </row>
    <row r="737" spans="1:2" x14ac:dyDescent="0.3">
      <c r="A737" s="6">
        <v>66814958</v>
      </c>
      <c r="B737" s="6" t="str">
        <f>VLOOKUP(A737,'HOGARES-BASELINE'!$B:$I,8,FALSE)</f>
        <v>00020963</v>
      </c>
    </row>
    <row r="738" spans="1:2" x14ac:dyDescent="0.3">
      <c r="A738" s="6">
        <v>66815424</v>
      </c>
      <c r="B738" s="6" t="str">
        <f>VLOOKUP(A738,'HOGARES-BASELINE'!$B:$I,8,FALSE)</f>
        <v>00020964</v>
      </c>
    </row>
    <row r="739" spans="1:2" x14ac:dyDescent="0.3">
      <c r="A739" s="6">
        <v>66819007</v>
      </c>
      <c r="B739" s="6" t="str">
        <f>VLOOKUP(A739,'HOGARES-BASELINE'!$B:$I,8,FALSE)</f>
        <v>01020965</v>
      </c>
    </row>
    <row r="740" spans="1:2" x14ac:dyDescent="0.3">
      <c r="A740" s="6">
        <v>66826171</v>
      </c>
      <c r="B740" s="6" t="str">
        <f>VLOOKUP(A740,'HOGARES-BASELINE'!$B:$I,8,FALSE)</f>
        <v>01020966</v>
      </c>
    </row>
    <row r="741" spans="1:2" x14ac:dyDescent="0.3">
      <c r="A741" s="6">
        <v>66829892</v>
      </c>
      <c r="B741" s="6" t="str">
        <f>VLOOKUP(A741,'HOGARES-BASELINE'!$B:$I,8,FALSE)</f>
        <v>00020967</v>
      </c>
    </row>
    <row r="742" spans="1:2" x14ac:dyDescent="0.3">
      <c r="A742" s="6">
        <v>66831349</v>
      </c>
      <c r="B742" s="6" t="str">
        <f>VLOOKUP(A742,'HOGARES-BASELINE'!$B:$I,8,FALSE)</f>
        <v>00020968</v>
      </c>
    </row>
    <row r="743" spans="1:2" x14ac:dyDescent="0.3">
      <c r="A743" s="6">
        <v>66834663</v>
      </c>
      <c r="B743" s="6" t="str">
        <f>VLOOKUP(A743,'HOGARES-BASELINE'!$B:$I,8,FALSE)</f>
        <v>00020969</v>
      </c>
    </row>
    <row r="744" spans="1:2" x14ac:dyDescent="0.3">
      <c r="A744" s="6">
        <v>66850119</v>
      </c>
      <c r="B744" s="6" t="str">
        <f>VLOOKUP(A744,'HOGARES-BASELINE'!$B:$I,8,FALSE)</f>
        <v>01020970</v>
      </c>
    </row>
    <row r="745" spans="1:2" x14ac:dyDescent="0.3">
      <c r="A745" s="6">
        <v>66851995</v>
      </c>
      <c r="B745" s="6" t="str">
        <f>VLOOKUP(A745,'HOGARES-BASELINE'!$B:$I,8,FALSE)</f>
        <v>00020971</v>
      </c>
    </row>
    <row r="746" spans="1:2" x14ac:dyDescent="0.3">
      <c r="A746" s="6">
        <v>66852181</v>
      </c>
      <c r="B746" s="6" t="str">
        <f>VLOOKUP(A746,'HOGARES-BASELINE'!$B:$I,8,FALSE)</f>
        <v>00020972</v>
      </c>
    </row>
    <row r="747" spans="1:2" x14ac:dyDescent="0.3">
      <c r="A747" s="6">
        <v>66865510</v>
      </c>
      <c r="B747" s="6" t="str">
        <f>VLOOKUP(A747,'HOGARES-BASELINE'!$B:$I,8,FALSE)</f>
        <v>01020973</v>
      </c>
    </row>
    <row r="748" spans="1:2" x14ac:dyDescent="0.3">
      <c r="A748" s="6">
        <v>66865714</v>
      </c>
      <c r="B748" s="6" t="str">
        <f>VLOOKUP(A748,'HOGARES-BASELINE'!$B:$I,8,FALSE)</f>
        <v>01020974</v>
      </c>
    </row>
    <row r="749" spans="1:2" x14ac:dyDescent="0.3">
      <c r="A749" s="6">
        <v>66866128</v>
      </c>
      <c r="B749" s="6" t="str">
        <f>VLOOKUP(A749,'HOGARES-BASELINE'!$B:$I,8,FALSE)</f>
        <v>00020975</v>
      </c>
    </row>
    <row r="750" spans="1:2" x14ac:dyDescent="0.3">
      <c r="A750" s="6">
        <v>66900125</v>
      </c>
      <c r="B750" s="6" t="str">
        <f>VLOOKUP(A750,'HOGARES-BASELINE'!$B:$I,8,FALSE)</f>
        <v>01020976</v>
      </c>
    </row>
    <row r="751" spans="1:2" x14ac:dyDescent="0.3">
      <c r="A751" s="6">
        <v>66903981</v>
      </c>
      <c r="B751" s="6" t="str">
        <f>VLOOKUP(A751,'HOGARES-BASELINE'!$B:$I,8,FALSE)</f>
        <v>00020977</v>
      </c>
    </row>
    <row r="752" spans="1:2" x14ac:dyDescent="0.3">
      <c r="A752" s="6">
        <v>66908388</v>
      </c>
      <c r="B752" s="6" t="str">
        <f>VLOOKUP(A752,'HOGARES-BASELINE'!$B:$I,8,FALSE)</f>
        <v>01020978</v>
      </c>
    </row>
    <row r="753" spans="1:2" x14ac:dyDescent="0.3">
      <c r="A753" s="6">
        <v>66914158</v>
      </c>
      <c r="B753" s="6" t="str">
        <f>VLOOKUP(A753,'HOGARES-BASELINE'!$B:$I,8,FALSE)</f>
        <v>01020980</v>
      </c>
    </row>
    <row r="754" spans="1:2" x14ac:dyDescent="0.3">
      <c r="A754" s="6">
        <v>66914781</v>
      </c>
      <c r="B754" s="6" t="str">
        <f>VLOOKUP(A754,'HOGARES-BASELINE'!$B:$I,8,FALSE)</f>
        <v>01020981</v>
      </c>
    </row>
    <row r="755" spans="1:2" x14ac:dyDescent="0.3">
      <c r="A755" s="6">
        <v>66922979</v>
      </c>
      <c r="B755" s="6" t="str">
        <f>VLOOKUP(A755,'HOGARES-BASELINE'!$B:$I,8,FALSE)</f>
        <v>01020982</v>
      </c>
    </row>
    <row r="756" spans="1:2" x14ac:dyDescent="0.3">
      <c r="A756" s="6">
        <v>66924354</v>
      </c>
      <c r="B756" s="6" t="str">
        <f>VLOOKUP(A756,'HOGARES-BASELINE'!$B:$I,8,FALSE)</f>
        <v>00020983</v>
      </c>
    </row>
    <row r="757" spans="1:2" x14ac:dyDescent="0.3">
      <c r="A757" s="6">
        <v>66946161</v>
      </c>
      <c r="B757" s="6" t="str">
        <f>VLOOKUP(A757,'HOGARES-BASELINE'!$B:$I,8,FALSE)</f>
        <v>00020984</v>
      </c>
    </row>
    <row r="758" spans="1:2" x14ac:dyDescent="0.3">
      <c r="A758" s="6">
        <v>66949232</v>
      </c>
      <c r="B758" s="6" t="str">
        <f>VLOOKUP(A758,'HOGARES-BASELINE'!$B:$I,8,FALSE)</f>
        <v>00020985</v>
      </c>
    </row>
    <row r="759" spans="1:2" x14ac:dyDescent="0.3">
      <c r="A759" s="6">
        <v>66953260</v>
      </c>
      <c r="B759" s="6" t="str">
        <f>VLOOKUP(A759,'HOGARES-BASELINE'!$B:$I,8,FALSE)</f>
        <v>00020986</v>
      </c>
    </row>
    <row r="760" spans="1:2" x14ac:dyDescent="0.3">
      <c r="A760" s="6">
        <v>66956904</v>
      </c>
      <c r="B760" s="6" t="str">
        <f>VLOOKUP(A760,'HOGARES-BASELINE'!$B:$I,8,FALSE)</f>
        <v>00020987</v>
      </c>
    </row>
    <row r="761" spans="1:2" x14ac:dyDescent="0.3">
      <c r="A761" s="6">
        <v>66972092</v>
      </c>
      <c r="B761" s="6" t="str">
        <f>VLOOKUP(A761,'HOGARES-BASELINE'!$B:$I,8,FALSE)</f>
        <v>00020988</v>
      </c>
    </row>
    <row r="762" spans="1:2" x14ac:dyDescent="0.3">
      <c r="A762" s="6">
        <v>66973335</v>
      </c>
      <c r="B762" s="6" t="str">
        <f>VLOOKUP(A762,'HOGARES-BASELINE'!$B:$I,8,FALSE)</f>
        <v>00020989</v>
      </c>
    </row>
    <row r="763" spans="1:2" x14ac:dyDescent="0.3">
      <c r="A763" s="6">
        <v>66979672</v>
      </c>
      <c r="B763" s="6" t="str">
        <f>VLOOKUP(A763,'HOGARES-BASELINE'!$B:$I,8,FALSE)</f>
        <v>00020990</v>
      </c>
    </row>
    <row r="764" spans="1:2" x14ac:dyDescent="0.3">
      <c r="A764" s="6">
        <v>66981241</v>
      </c>
      <c r="B764" s="6" t="str">
        <f>VLOOKUP(A764,'HOGARES-BASELINE'!$B:$I,8,FALSE)</f>
        <v>00020991</v>
      </c>
    </row>
    <row r="765" spans="1:2" x14ac:dyDescent="0.3">
      <c r="A765" s="6">
        <v>66981593</v>
      </c>
      <c r="B765" s="6" t="str">
        <f>VLOOKUP(A765,'HOGARES-BASELINE'!$B:$I,8,FALSE)</f>
        <v>00020992</v>
      </c>
    </row>
    <row r="766" spans="1:2" x14ac:dyDescent="0.3">
      <c r="A766" s="6">
        <v>66983263</v>
      </c>
      <c r="B766" s="6" t="str">
        <f>VLOOKUP(A766,'HOGARES-BASELINE'!$B:$I,8,FALSE)</f>
        <v>01020993</v>
      </c>
    </row>
    <row r="767" spans="1:2" x14ac:dyDescent="0.3">
      <c r="A767" s="6">
        <v>66989106</v>
      </c>
      <c r="B767" s="6" t="str">
        <f>VLOOKUP(A767,'HOGARES-BASELINE'!$B:$I,8,FALSE)</f>
        <v>00020994</v>
      </c>
    </row>
    <row r="768" spans="1:2" x14ac:dyDescent="0.3">
      <c r="A768" s="6">
        <v>66993102</v>
      </c>
      <c r="B768" s="6" t="str">
        <f>VLOOKUP(A768,'HOGARES-BASELINE'!$B:$I,8,FALSE)</f>
        <v>00020995</v>
      </c>
    </row>
    <row r="769" spans="1:2" x14ac:dyDescent="0.3">
      <c r="A769" s="6">
        <v>66993543</v>
      </c>
      <c r="B769" s="6" t="str">
        <f>VLOOKUP(A769,'HOGARES-BASELINE'!$B:$I,8,FALSE)</f>
        <v>01020996</v>
      </c>
    </row>
    <row r="770" spans="1:2" x14ac:dyDescent="0.3">
      <c r="A770" s="6">
        <v>66996132</v>
      </c>
      <c r="B770" s="6" t="str">
        <f>VLOOKUP(A770,'HOGARES-BASELINE'!$B:$I,8,FALSE)</f>
        <v>01020997</v>
      </c>
    </row>
    <row r="771" spans="1:2" x14ac:dyDescent="0.3">
      <c r="A771" s="6">
        <v>67007953</v>
      </c>
      <c r="B771" s="6" t="str">
        <f>VLOOKUP(A771,'HOGARES-BASELINE'!$B:$I,8,FALSE)</f>
        <v>00020998</v>
      </c>
    </row>
    <row r="772" spans="1:2" x14ac:dyDescent="0.3">
      <c r="A772" s="6">
        <v>67009210</v>
      </c>
      <c r="B772" s="6" t="str">
        <f>VLOOKUP(A772,'HOGARES-BASELINE'!$B:$I,8,FALSE)</f>
        <v>00020999</v>
      </c>
    </row>
    <row r="773" spans="1:2" x14ac:dyDescent="0.3">
      <c r="A773" s="6">
        <v>67014248</v>
      </c>
      <c r="B773" s="6" t="str">
        <f>VLOOKUP(A773,'HOGARES-BASELINE'!$B:$I,8,FALSE)</f>
        <v>00021000</v>
      </c>
    </row>
    <row r="774" spans="1:2" x14ac:dyDescent="0.3">
      <c r="A774" s="6">
        <v>67014284</v>
      </c>
      <c r="B774" s="6" t="str">
        <f>VLOOKUP(A774,'HOGARES-BASELINE'!$B:$I,8,FALSE)</f>
        <v>01021001</v>
      </c>
    </row>
    <row r="775" spans="1:2" x14ac:dyDescent="0.3">
      <c r="A775" s="6">
        <v>67016691</v>
      </c>
      <c r="B775" s="6" t="str">
        <f>VLOOKUP(A775,'HOGARES-BASELINE'!$B:$I,8,FALSE)</f>
        <v>00021002</v>
      </c>
    </row>
    <row r="776" spans="1:2" x14ac:dyDescent="0.3">
      <c r="A776" s="6">
        <v>67019790</v>
      </c>
      <c r="B776" s="6" t="str">
        <f>VLOOKUP(A776,'HOGARES-BASELINE'!$B:$I,8,FALSE)</f>
        <v>00021003</v>
      </c>
    </row>
    <row r="777" spans="1:2" x14ac:dyDescent="0.3">
      <c r="A777" s="6">
        <v>67021030</v>
      </c>
      <c r="B777" s="6" t="str">
        <f>VLOOKUP(A777,'HOGARES-BASELINE'!$B:$I,8,FALSE)</f>
        <v>01021004</v>
      </c>
    </row>
    <row r="778" spans="1:2" x14ac:dyDescent="0.3">
      <c r="A778" s="6">
        <v>67028018</v>
      </c>
      <c r="B778" s="6" t="str">
        <f>VLOOKUP(A778,'HOGARES-BASELINE'!$B:$I,8,FALSE)</f>
        <v>00021006</v>
      </c>
    </row>
    <row r="779" spans="1:2" x14ac:dyDescent="0.3">
      <c r="A779" s="6">
        <v>70049056</v>
      </c>
      <c r="B779" s="6" t="str">
        <f>VLOOKUP(A779,'HOGARES-BASELINE'!$B:$I,8,FALSE)</f>
        <v>00011008</v>
      </c>
    </row>
    <row r="780" spans="1:2" x14ac:dyDescent="0.3">
      <c r="A780" s="6">
        <v>70073044</v>
      </c>
      <c r="B780" s="6" t="str">
        <f>VLOOKUP(A780,'HOGARES-BASELINE'!$B:$I,8,FALSE)</f>
        <v>00011009</v>
      </c>
    </row>
    <row r="781" spans="1:2" x14ac:dyDescent="0.3">
      <c r="A781" s="6">
        <v>70108470</v>
      </c>
      <c r="B781" s="6" t="str">
        <f>VLOOKUP(A781,'HOGARES-BASELINE'!$B:$I,8,FALSE)</f>
        <v>00011010</v>
      </c>
    </row>
    <row r="782" spans="1:2" x14ac:dyDescent="0.3">
      <c r="A782" s="6">
        <v>70127199</v>
      </c>
      <c r="B782" s="6" t="str">
        <f>VLOOKUP(A782,'HOGARES-BASELINE'!$B:$I,8,FALSE)</f>
        <v>00011011</v>
      </c>
    </row>
    <row r="783" spans="1:2" x14ac:dyDescent="0.3">
      <c r="A783" s="6">
        <v>70432281</v>
      </c>
      <c r="B783" s="6" t="str">
        <f>VLOOKUP(A783,'HOGARES-BASELINE'!$B:$I,8,FALSE)</f>
        <v>01011012</v>
      </c>
    </row>
    <row r="784" spans="1:2" x14ac:dyDescent="0.3">
      <c r="A784" s="6">
        <v>70540124</v>
      </c>
      <c r="B784" s="6" t="str">
        <f>VLOOKUP(A784,'HOGARES-BASELINE'!$B:$I,8,FALSE)</f>
        <v>01011013</v>
      </c>
    </row>
    <row r="785" spans="1:2" x14ac:dyDescent="0.3">
      <c r="A785" s="6">
        <v>70663173</v>
      </c>
      <c r="B785" s="6" t="str">
        <f>VLOOKUP(A785,'HOGARES-BASELINE'!$B:$I,8,FALSE)</f>
        <v>01011014</v>
      </c>
    </row>
    <row r="786" spans="1:2" x14ac:dyDescent="0.3">
      <c r="A786" s="6">
        <v>70721342</v>
      </c>
      <c r="B786" s="6" t="str">
        <f>VLOOKUP(A786,'HOGARES-BASELINE'!$B:$I,8,FALSE)</f>
        <v>01011015</v>
      </c>
    </row>
    <row r="787" spans="1:2" x14ac:dyDescent="0.3">
      <c r="A787" s="6">
        <v>71218215</v>
      </c>
      <c r="B787" s="6" t="str">
        <f>VLOOKUP(A787,'HOGARES-BASELINE'!$B:$I,8,FALSE)</f>
        <v>00011017</v>
      </c>
    </row>
    <row r="788" spans="1:2" x14ac:dyDescent="0.3">
      <c r="A788" s="6">
        <v>71260467</v>
      </c>
      <c r="B788" s="6" t="str">
        <f>VLOOKUP(A788,'HOGARES-BASELINE'!$B:$I,8,FALSE)</f>
        <v>00011018</v>
      </c>
    </row>
    <row r="789" spans="1:2" x14ac:dyDescent="0.3">
      <c r="A789" s="6">
        <v>71314870</v>
      </c>
      <c r="B789" s="6" t="str">
        <f>VLOOKUP(A789,'HOGARES-BASELINE'!$B:$I,8,FALSE)</f>
        <v>01011020</v>
      </c>
    </row>
    <row r="790" spans="1:2" x14ac:dyDescent="0.3">
      <c r="A790" s="6">
        <v>71387728</v>
      </c>
      <c r="B790" s="6" t="str">
        <f>VLOOKUP(A790,'HOGARES-BASELINE'!$B:$I,8,FALSE)</f>
        <v>00011023</v>
      </c>
    </row>
    <row r="791" spans="1:2" x14ac:dyDescent="0.3">
      <c r="A791" s="6">
        <v>71579896</v>
      </c>
      <c r="B791" s="6" t="str">
        <f>VLOOKUP(A791,'HOGARES-BASELINE'!$B:$I,8,FALSE)</f>
        <v>00011024</v>
      </c>
    </row>
    <row r="792" spans="1:2" x14ac:dyDescent="0.3">
      <c r="A792" s="6">
        <v>71591169</v>
      </c>
      <c r="B792" s="6" t="str">
        <f>VLOOKUP(A792,'HOGARES-BASELINE'!$B:$I,8,FALSE)</f>
        <v>00011025</v>
      </c>
    </row>
    <row r="793" spans="1:2" x14ac:dyDescent="0.3">
      <c r="A793" s="6">
        <v>71603638</v>
      </c>
      <c r="B793" s="6" t="str">
        <f>VLOOKUP(A793,'HOGARES-BASELINE'!$B:$I,8,FALSE)</f>
        <v>00011026</v>
      </c>
    </row>
    <row r="794" spans="1:2" x14ac:dyDescent="0.3">
      <c r="A794" s="6">
        <v>71645240</v>
      </c>
      <c r="B794" s="6" t="str">
        <f>VLOOKUP(A794,'HOGARES-BASELINE'!$B:$I,8,FALSE)</f>
        <v>01011027</v>
      </c>
    </row>
    <row r="795" spans="1:2" x14ac:dyDescent="0.3">
      <c r="A795" s="6">
        <v>71646374</v>
      </c>
      <c r="B795" s="6" t="str">
        <f>VLOOKUP(A795,'HOGARES-BASELINE'!$B:$I,8,FALSE)</f>
        <v>00011028</v>
      </c>
    </row>
    <row r="796" spans="1:2" x14ac:dyDescent="0.3">
      <c r="A796" s="6">
        <v>71653892</v>
      </c>
      <c r="B796" s="6" t="str">
        <f>VLOOKUP(A796,'HOGARES-BASELINE'!$B:$I,8,FALSE)</f>
        <v>00011029</v>
      </c>
    </row>
    <row r="797" spans="1:2" x14ac:dyDescent="0.3">
      <c r="A797" s="6">
        <v>71663203</v>
      </c>
      <c r="B797" s="6" t="str">
        <f>VLOOKUP(A797,'HOGARES-BASELINE'!$B:$I,8,FALSE)</f>
        <v>00011030</v>
      </c>
    </row>
    <row r="798" spans="1:2" x14ac:dyDescent="0.3">
      <c r="A798" s="6">
        <v>71664592</v>
      </c>
      <c r="B798" s="6" t="str">
        <f>VLOOKUP(A798,'HOGARES-BASELINE'!$B:$I,8,FALSE)</f>
        <v>00011031</v>
      </c>
    </row>
    <row r="799" spans="1:2" x14ac:dyDescent="0.3">
      <c r="A799" s="6">
        <v>71671195</v>
      </c>
      <c r="B799" s="6" t="str">
        <f>VLOOKUP(A799,'HOGARES-BASELINE'!$B:$I,8,FALSE)</f>
        <v>00011032</v>
      </c>
    </row>
    <row r="800" spans="1:2" x14ac:dyDescent="0.3">
      <c r="A800" s="6">
        <v>71686558</v>
      </c>
      <c r="B800" s="6" t="str">
        <f>VLOOKUP(A800,'HOGARES-BASELINE'!$B:$I,8,FALSE)</f>
        <v>00011034</v>
      </c>
    </row>
    <row r="801" spans="1:2" x14ac:dyDescent="0.3">
      <c r="A801" s="6">
        <v>71697945</v>
      </c>
      <c r="B801" s="6" t="str">
        <f>VLOOKUP(A801,'HOGARES-BASELINE'!$B:$I,8,FALSE)</f>
        <v>00011035</v>
      </c>
    </row>
    <row r="802" spans="1:2" x14ac:dyDescent="0.3">
      <c r="A802" s="6">
        <v>71717122</v>
      </c>
      <c r="B802" s="6" t="str">
        <f>VLOOKUP(A802,'HOGARES-BASELINE'!$B:$I,8,FALSE)</f>
        <v>00011036</v>
      </c>
    </row>
    <row r="803" spans="1:2" x14ac:dyDescent="0.3">
      <c r="A803" s="6">
        <v>71744033</v>
      </c>
      <c r="B803" s="6" t="str">
        <f>VLOOKUP(A803,'HOGARES-BASELINE'!$B:$I,8,FALSE)</f>
        <v>00011038</v>
      </c>
    </row>
    <row r="804" spans="1:2" x14ac:dyDescent="0.3">
      <c r="A804" s="6">
        <v>71763215</v>
      </c>
      <c r="B804" s="6" t="str">
        <f>VLOOKUP(A804,'HOGARES-BASELINE'!$B:$I,8,FALSE)</f>
        <v>01011039</v>
      </c>
    </row>
    <row r="805" spans="1:2" x14ac:dyDescent="0.3">
      <c r="A805" s="6">
        <v>71769872</v>
      </c>
      <c r="B805" s="6" t="str">
        <f>VLOOKUP(A805,'HOGARES-BASELINE'!$B:$I,8,FALSE)</f>
        <v>00011040</v>
      </c>
    </row>
    <row r="806" spans="1:2" x14ac:dyDescent="0.3">
      <c r="A806" s="6">
        <v>71796175</v>
      </c>
      <c r="B806" s="6" t="str">
        <f>VLOOKUP(A806,'HOGARES-BASELINE'!$B:$I,8,FALSE)</f>
        <v>00011041</v>
      </c>
    </row>
    <row r="807" spans="1:2" x14ac:dyDescent="0.3">
      <c r="A807" s="6">
        <v>71799939</v>
      </c>
      <c r="B807" s="6" t="str">
        <f>VLOOKUP(A807,'HOGARES-BASELINE'!$B:$I,8,FALSE)</f>
        <v>00011042</v>
      </c>
    </row>
    <row r="808" spans="1:2" x14ac:dyDescent="0.3">
      <c r="A808" s="6">
        <v>72042663</v>
      </c>
      <c r="B808" s="6" t="str">
        <f>VLOOKUP(A808,'HOGARES-BASELINE'!$B:$I,8,FALSE)</f>
        <v>01031043</v>
      </c>
    </row>
    <row r="809" spans="1:2" x14ac:dyDescent="0.3">
      <c r="A809" s="6">
        <v>72127034</v>
      </c>
      <c r="B809" s="6" t="str">
        <f>VLOOKUP(A809,'HOGARES-BASELINE'!$B:$I,8,FALSE)</f>
        <v>00031044</v>
      </c>
    </row>
    <row r="810" spans="1:2" x14ac:dyDescent="0.3">
      <c r="A810" s="6">
        <v>72129785</v>
      </c>
      <c r="B810" s="6" t="str">
        <f>VLOOKUP(A810,'HOGARES-BASELINE'!$B:$I,8,FALSE)</f>
        <v>01031045</v>
      </c>
    </row>
    <row r="811" spans="1:2" x14ac:dyDescent="0.3">
      <c r="A811" s="6">
        <v>72131105</v>
      </c>
      <c r="B811" s="6" t="str">
        <f>VLOOKUP(A811,'HOGARES-BASELINE'!$B:$I,8,FALSE)</f>
        <v>00031046</v>
      </c>
    </row>
    <row r="812" spans="1:2" x14ac:dyDescent="0.3">
      <c r="A812" s="6">
        <v>72132483</v>
      </c>
      <c r="B812" s="6" t="str">
        <f>VLOOKUP(A812,'HOGARES-BASELINE'!$B:$I,8,FALSE)</f>
        <v>01031047</v>
      </c>
    </row>
    <row r="813" spans="1:2" x14ac:dyDescent="0.3">
      <c r="A813" s="6">
        <v>72144157</v>
      </c>
      <c r="B813" s="6" t="str">
        <f>VLOOKUP(A813,'HOGARES-BASELINE'!$B:$I,8,FALSE)</f>
        <v>01031048</v>
      </c>
    </row>
    <row r="814" spans="1:2" x14ac:dyDescent="0.3">
      <c r="A814" s="6">
        <v>72145817</v>
      </c>
      <c r="B814" s="6" t="str">
        <f>VLOOKUP(A814,'HOGARES-BASELINE'!$B:$I,8,FALSE)</f>
        <v>01031049</v>
      </c>
    </row>
    <row r="815" spans="1:2" x14ac:dyDescent="0.3">
      <c r="A815" s="6">
        <v>72146165</v>
      </c>
      <c r="B815" s="6" t="str">
        <f>VLOOKUP(A815,'HOGARES-BASELINE'!$B:$I,8,FALSE)</f>
        <v>00031050</v>
      </c>
    </row>
    <row r="816" spans="1:2" x14ac:dyDescent="0.3">
      <c r="A816" s="6">
        <v>72146737</v>
      </c>
      <c r="B816" s="6" t="str">
        <f>VLOOKUP(A816,'HOGARES-BASELINE'!$B:$I,8,FALSE)</f>
        <v>01031051</v>
      </c>
    </row>
    <row r="817" spans="1:2" x14ac:dyDescent="0.3">
      <c r="A817" s="6">
        <v>72149109</v>
      </c>
      <c r="B817" s="6" t="str">
        <f>VLOOKUP(A817,'HOGARES-BASELINE'!$B:$I,8,FALSE)</f>
        <v>00031052</v>
      </c>
    </row>
    <row r="818" spans="1:2" x14ac:dyDescent="0.3">
      <c r="A818" s="6">
        <v>72167042</v>
      </c>
      <c r="B818" s="6" t="str">
        <f>VLOOKUP(A818,'HOGARES-BASELINE'!$B:$I,8,FALSE)</f>
        <v>00031053</v>
      </c>
    </row>
    <row r="819" spans="1:2" x14ac:dyDescent="0.3">
      <c r="A819" s="6">
        <v>72170241</v>
      </c>
      <c r="B819" s="6" t="str">
        <f>VLOOKUP(A819,'HOGARES-BASELINE'!$B:$I,8,FALSE)</f>
        <v>00031054</v>
      </c>
    </row>
    <row r="820" spans="1:2" x14ac:dyDescent="0.3">
      <c r="A820" s="6">
        <v>72175816</v>
      </c>
      <c r="B820" s="6" t="str">
        <f>VLOOKUP(A820,'HOGARES-BASELINE'!$B:$I,8,FALSE)</f>
        <v>00031055</v>
      </c>
    </row>
    <row r="821" spans="1:2" x14ac:dyDescent="0.3">
      <c r="A821" s="6">
        <v>72178853</v>
      </c>
      <c r="B821" s="6" t="str">
        <f>VLOOKUP(A821,'HOGARES-BASELINE'!$B:$I,8,FALSE)</f>
        <v>01031056</v>
      </c>
    </row>
    <row r="822" spans="1:2" x14ac:dyDescent="0.3">
      <c r="A822" s="6">
        <v>72180833</v>
      </c>
      <c r="B822" s="6" t="str">
        <f>VLOOKUP(A822,'HOGARES-BASELINE'!$B:$I,8,FALSE)</f>
        <v>01031057</v>
      </c>
    </row>
    <row r="823" spans="1:2" x14ac:dyDescent="0.3">
      <c r="A823" s="6">
        <v>72182204</v>
      </c>
      <c r="B823" s="6" t="str">
        <f>VLOOKUP(A823,'HOGARES-BASELINE'!$B:$I,8,FALSE)</f>
        <v>01031058</v>
      </c>
    </row>
    <row r="824" spans="1:2" x14ac:dyDescent="0.3">
      <c r="A824" s="6">
        <v>72183434</v>
      </c>
      <c r="B824" s="6" t="str">
        <f>VLOOKUP(A824,'HOGARES-BASELINE'!$B:$I,8,FALSE)</f>
        <v>00031059</v>
      </c>
    </row>
    <row r="825" spans="1:2" x14ac:dyDescent="0.3">
      <c r="A825" s="6">
        <v>72184735</v>
      </c>
      <c r="B825" s="6" t="str">
        <f>VLOOKUP(A825,'HOGARES-BASELINE'!$B:$I,8,FALSE)</f>
        <v>00031060</v>
      </c>
    </row>
    <row r="826" spans="1:2" x14ac:dyDescent="0.3">
      <c r="A826" s="6">
        <v>72200209</v>
      </c>
      <c r="B826" s="6" t="str">
        <f>VLOOKUP(A826,'HOGARES-BASELINE'!$B:$I,8,FALSE)</f>
        <v>01031061</v>
      </c>
    </row>
    <row r="827" spans="1:2" x14ac:dyDescent="0.3">
      <c r="A827" s="6">
        <v>72210592</v>
      </c>
      <c r="B827" s="6" t="str">
        <f>VLOOKUP(A827,'HOGARES-BASELINE'!$B:$I,8,FALSE)</f>
        <v>01031062</v>
      </c>
    </row>
    <row r="828" spans="1:2" x14ac:dyDescent="0.3">
      <c r="A828" s="6">
        <v>72212320</v>
      </c>
      <c r="B828" s="6" t="str">
        <f>VLOOKUP(A828,'HOGARES-BASELINE'!$B:$I,8,FALSE)</f>
        <v>01031063</v>
      </c>
    </row>
    <row r="829" spans="1:2" x14ac:dyDescent="0.3">
      <c r="A829" s="6">
        <v>72213150</v>
      </c>
      <c r="B829" s="6" t="str">
        <f>VLOOKUP(A829,'HOGARES-BASELINE'!$B:$I,8,FALSE)</f>
        <v>00031064</v>
      </c>
    </row>
    <row r="830" spans="1:2" x14ac:dyDescent="0.3">
      <c r="A830" s="6">
        <v>72214776</v>
      </c>
      <c r="B830" s="6" t="str">
        <f>VLOOKUP(A830,'HOGARES-BASELINE'!$B:$I,8,FALSE)</f>
        <v>01031065</v>
      </c>
    </row>
    <row r="831" spans="1:2" x14ac:dyDescent="0.3">
      <c r="A831" s="6">
        <v>72217502</v>
      </c>
      <c r="B831" s="6" t="str">
        <f>VLOOKUP(A831,'HOGARES-BASELINE'!$B:$I,8,FALSE)</f>
        <v>00031066</v>
      </c>
    </row>
    <row r="832" spans="1:2" x14ac:dyDescent="0.3">
      <c r="A832" s="6">
        <v>72227073</v>
      </c>
      <c r="B832" s="6" t="str">
        <f>VLOOKUP(A832,'HOGARES-BASELINE'!$B:$I,8,FALSE)</f>
        <v>01031067</v>
      </c>
    </row>
    <row r="833" spans="1:2" x14ac:dyDescent="0.3">
      <c r="A833" s="6">
        <v>72227387</v>
      </c>
      <c r="B833" s="6" t="str">
        <f>VLOOKUP(A833,'HOGARES-BASELINE'!$B:$I,8,FALSE)</f>
        <v>01031068</v>
      </c>
    </row>
    <row r="834" spans="1:2" x14ac:dyDescent="0.3">
      <c r="A834" s="6">
        <v>72234487</v>
      </c>
      <c r="B834" s="6" t="str">
        <f>VLOOKUP(A834,'HOGARES-BASELINE'!$B:$I,8,FALSE)</f>
        <v>00031069</v>
      </c>
    </row>
    <row r="835" spans="1:2" x14ac:dyDescent="0.3">
      <c r="A835" s="6">
        <v>72239153</v>
      </c>
      <c r="B835" s="6" t="str">
        <f>VLOOKUP(A835,'HOGARES-BASELINE'!$B:$I,8,FALSE)</f>
        <v>00031070</v>
      </c>
    </row>
    <row r="836" spans="1:2" x14ac:dyDescent="0.3">
      <c r="A836" s="6">
        <v>72239164</v>
      </c>
      <c r="B836" s="6" t="str">
        <f>VLOOKUP(A836,'HOGARES-BASELINE'!$B:$I,8,FALSE)</f>
        <v>01031071</v>
      </c>
    </row>
    <row r="837" spans="1:2" x14ac:dyDescent="0.3">
      <c r="A837" s="6">
        <v>72256249</v>
      </c>
      <c r="B837" s="6" t="str">
        <f>VLOOKUP(A837,'HOGARES-BASELINE'!$B:$I,8,FALSE)</f>
        <v>00031072</v>
      </c>
    </row>
    <row r="838" spans="1:2" x14ac:dyDescent="0.3">
      <c r="A838" s="6">
        <v>72259355</v>
      </c>
      <c r="B838" s="6" t="str">
        <f>VLOOKUP(A838,'HOGARES-BASELINE'!$B:$I,8,FALSE)</f>
        <v>00031073</v>
      </c>
    </row>
    <row r="839" spans="1:2" x14ac:dyDescent="0.3">
      <c r="A839" s="6">
        <v>72261103</v>
      </c>
      <c r="B839" s="6" t="str">
        <f>VLOOKUP(A839,'HOGARES-BASELINE'!$B:$I,8,FALSE)</f>
        <v>00031074</v>
      </c>
    </row>
    <row r="840" spans="1:2" x14ac:dyDescent="0.3">
      <c r="A840" s="6">
        <v>72264710</v>
      </c>
      <c r="B840" s="6" t="str">
        <f>VLOOKUP(A840,'HOGARES-BASELINE'!$B:$I,8,FALSE)</f>
        <v>00031075</v>
      </c>
    </row>
    <row r="841" spans="1:2" x14ac:dyDescent="0.3">
      <c r="A841" s="6">
        <v>72265227</v>
      </c>
      <c r="B841" s="6" t="str">
        <f>VLOOKUP(A841,'HOGARES-BASELINE'!$B:$I,8,FALSE)</f>
        <v>00031076</v>
      </c>
    </row>
    <row r="842" spans="1:2" x14ac:dyDescent="0.3">
      <c r="A842" s="6">
        <v>72298484</v>
      </c>
      <c r="B842" s="6" t="str">
        <f>VLOOKUP(A842,'HOGARES-BASELINE'!$B:$I,8,FALSE)</f>
        <v>01031077</v>
      </c>
    </row>
    <row r="843" spans="1:2" x14ac:dyDescent="0.3">
      <c r="A843" s="6">
        <v>73153652</v>
      </c>
      <c r="B843" s="6" t="str">
        <f>VLOOKUP(A843,'HOGARES-BASELINE'!$B:$I,8,FALSE)</f>
        <v>00031079</v>
      </c>
    </row>
    <row r="844" spans="1:2" x14ac:dyDescent="0.3">
      <c r="A844" s="6">
        <v>76047511</v>
      </c>
      <c r="B844" s="6" t="str">
        <f>VLOOKUP(A844,'HOGARES-BASELINE'!$B:$I,8,FALSE)</f>
        <v>01021095</v>
      </c>
    </row>
    <row r="845" spans="1:2" x14ac:dyDescent="0.3">
      <c r="A845" s="6">
        <v>76268499</v>
      </c>
      <c r="B845" s="6" t="str">
        <f>VLOOKUP(A845,'HOGARES-BASELINE'!$B:$I,8,FALSE)</f>
        <v>00021097</v>
      </c>
    </row>
    <row r="846" spans="1:2" x14ac:dyDescent="0.3">
      <c r="A846" s="6">
        <v>76290401</v>
      </c>
      <c r="B846" s="6" t="str">
        <f>VLOOKUP(A846,'HOGARES-BASELINE'!$B:$I,8,FALSE)</f>
        <v>00021098</v>
      </c>
    </row>
    <row r="847" spans="1:2" x14ac:dyDescent="0.3">
      <c r="A847" s="6">
        <v>76324402</v>
      </c>
      <c r="B847" s="6" t="str">
        <f>VLOOKUP(A847,'HOGARES-BASELINE'!$B:$I,8,FALSE)</f>
        <v>01021099</v>
      </c>
    </row>
    <row r="848" spans="1:2" x14ac:dyDescent="0.3">
      <c r="A848" s="6">
        <v>76336138</v>
      </c>
      <c r="B848" s="6" t="str">
        <f>VLOOKUP(A848,'HOGARES-BASELINE'!$B:$I,8,FALSE)</f>
        <v>01021100</v>
      </c>
    </row>
    <row r="849" spans="1:2" x14ac:dyDescent="0.3">
      <c r="A849" s="6">
        <v>76337278</v>
      </c>
      <c r="B849" s="6" t="str">
        <f>VLOOKUP(A849,'HOGARES-BASELINE'!$B:$I,8,FALSE)</f>
        <v>00021101</v>
      </c>
    </row>
    <row r="850" spans="1:2" x14ac:dyDescent="0.3">
      <c r="A850" s="6">
        <v>77020562</v>
      </c>
      <c r="B850" s="6" t="str">
        <f>VLOOKUP(A850,'HOGARES-BASELINE'!$B:$I,8,FALSE)</f>
        <v>00031102</v>
      </c>
    </row>
    <row r="851" spans="1:2" x14ac:dyDescent="0.3">
      <c r="A851" s="6">
        <v>87085002</v>
      </c>
      <c r="B851" s="6" t="str">
        <f>VLOOKUP(A851,'HOGARES-BASELINE'!$B:$I,8,FALSE)</f>
        <v>00021125</v>
      </c>
    </row>
    <row r="852" spans="1:2" x14ac:dyDescent="0.3">
      <c r="A852" s="6">
        <v>87430106</v>
      </c>
      <c r="B852" s="6" t="str">
        <f>VLOOKUP(A852,'HOGARES-BASELINE'!$B:$I,8,FALSE)</f>
        <v>01021133</v>
      </c>
    </row>
    <row r="853" spans="1:2" x14ac:dyDescent="0.3">
      <c r="A853" s="6">
        <v>94061999</v>
      </c>
      <c r="B853" s="6" t="str">
        <f>VLOOKUP(A853,'HOGARES-BASELINE'!$B:$I,8,FALSE)</f>
        <v>00021143</v>
      </c>
    </row>
    <row r="854" spans="1:2" x14ac:dyDescent="0.3">
      <c r="A854" s="6">
        <v>94063123</v>
      </c>
      <c r="B854" s="6" t="str">
        <f>VLOOKUP(A854,'HOGARES-BASELINE'!$B:$I,8,FALSE)</f>
        <v>00021144</v>
      </c>
    </row>
    <row r="855" spans="1:2" x14ac:dyDescent="0.3">
      <c r="A855" s="6">
        <v>94191300</v>
      </c>
      <c r="B855" s="6" t="str">
        <f>VLOOKUP(A855,'HOGARES-BASELINE'!$B:$I,8,FALSE)</f>
        <v>00021145</v>
      </c>
    </row>
    <row r="856" spans="1:2" x14ac:dyDescent="0.3">
      <c r="A856" s="6">
        <v>94225090</v>
      </c>
      <c r="B856" s="6" t="str">
        <f>VLOOKUP(A856,'HOGARES-BASELINE'!$B:$I,8,FALSE)</f>
        <v>01021146</v>
      </c>
    </row>
    <row r="857" spans="1:2" x14ac:dyDescent="0.3">
      <c r="A857" s="6">
        <v>94374533</v>
      </c>
      <c r="B857" s="6" t="str">
        <f>VLOOKUP(A857,'HOGARES-BASELINE'!$B:$I,8,FALSE)</f>
        <v>00021147</v>
      </c>
    </row>
    <row r="858" spans="1:2" x14ac:dyDescent="0.3">
      <c r="A858" s="6">
        <v>94402421</v>
      </c>
      <c r="B858" s="6" t="str">
        <f>VLOOKUP(A858,'HOGARES-BASELINE'!$B:$I,8,FALSE)</f>
        <v>00021148</v>
      </c>
    </row>
    <row r="859" spans="1:2" x14ac:dyDescent="0.3">
      <c r="A859" s="6">
        <v>94403143</v>
      </c>
      <c r="B859" s="6" t="str">
        <f>VLOOKUP(A859,'HOGARES-BASELINE'!$B:$I,8,FALSE)</f>
        <v>00021149</v>
      </c>
    </row>
    <row r="860" spans="1:2" x14ac:dyDescent="0.3">
      <c r="A860" s="6">
        <v>94427227</v>
      </c>
      <c r="B860" s="6" t="str">
        <f>VLOOKUP(A860,'HOGARES-BASELINE'!$B:$I,8,FALSE)</f>
        <v>00021150</v>
      </c>
    </row>
    <row r="861" spans="1:2" x14ac:dyDescent="0.3">
      <c r="A861" s="6">
        <v>94459917</v>
      </c>
      <c r="B861" s="6" t="str">
        <f>VLOOKUP(A861,'HOGARES-BASELINE'!$B:$I,8,FALSE)</f>
        <v>01021151</v>
      </c>
    </row>
    <row r="862" spans="1:2" x14ac:dyDescent="0.3">
      <c r="A862" s="6">
        <v>94494784</v>
      </c>
      <c r="B862" s="6" t="str">
        <f>VLOOKUP(A862,'HOGARES-BASELINE'!$B:$I,8,FALSE)</f>
        <v>01021152</v>
      </c>
    </row>
    <row r="863" spans="1:2" x14ac:dyDescent="0.3">
      <c r="A863" s="6">
        <v>94501681</v>
      </c>
      <c r="B863" s="6" t="str">
        <f>VLOOKUP(A863,'HOGARES-BASELINE'!$B:$I,8,FALSE)</f>
        <v>00021153</v>
      </c>
    </row>
    <row r="864" spans="1:2" x14ac:dyDescent="0.3">
      <c r="A864" s="6">
        <v>94513261</v>
      </c>
      <c r="B864" s="6" t="str">
        <f>VLOOKUP(A864,'HOGARES-BASELINE'!$B:$I,8,FALSE)</f>
        <v>01021155</v>
      </c>
    </row>
    <row r="865" spans="1:2" x14ac:dyDescent="0.3">
      <c r="A865" s="6">
        <v>94528503</v>
      </c>
      <c r="B865" s="6" t="str">
        <f>VLOOKUP(A865,'HOGARES-BASELINE'!$B:$I,8,FALSE)</f>
        <v>00021156</v>
      </c>
    </row>
    <row r="866" spans="1:2" x14ac:dyDescent="0.3">
      <c r="A866" s="6">
        <v>94534343</v>
      </c>
      <c r="B866" s="6" t="str">
        <f>VLOOKUP(A866,'HOGARES-BASELINE'!$B:$I,8,FALSE)</f>
        <v>00021157</v>
      </c>
    </row>
    <row r="867" spans="1:2" x14ac:dyDescent="0.3">
      <c r="A867" s="6">
        <v>94537823</v>
      </c>
      <c r="B867" s="6" t="str">
        <f>VLOOKUP(A867,'HOGARES-BASELINE'!$B:$I,8,FALSE)</f>
        <v>00021158</v>
      </c>
    </row>
    <row r="868" spans="1:2" x14ac:dyDescent="0.3">
      <c r="A868" s="6">
        <v>94540935</v>
      </c>
      <c r="B868" s="6" t="str">
        <f>VLOOKUP(A868,'HOGARES-BASELINE'!$B:$I,8,FALSE)</f>
        <v>01021159</v>
      </c>
    </row>
    <row r="869" spans="1:2" x14ac:dyDescent="0.3">
      <c r="A869" s="6">
        <v>98638636</v>
      </c>
      <c r="B869" s="6" t="str">
        <f>VLOOKUP(A869,'HOGARES-BASELINE'!$B:$I,8,FALSE)</f>
        <v>01011162</v>
      </c>
    </row>
    <row r="870" spans="1:2" x14ac:dyDescent="0.3">
      <c r="A870" s="6">
        <v>98657538</v>
      </c>
      <c r="B870" s="6" t="str">
        <f>VLOOKUP(A870,'HOGARES-BASELINE'!$B:$I,8,FALSE)</f>
        <v>00011163</v>
      </c>
    </row>
    <row r="871" spans="1:2" x14ac:dyDescent="0.3">
      <c r="A871" s="6">
        <v>100306195</v>
      </c>
      <c r="B871" s="6" t="str">
        <f>VLOOKUP(A871,'HOGARES-BASELINE'!$B:$I,8,FALSE)</f>
        <v>00010021</v>
      </c>
    </row>
    <row r="872" spans="1:2" x14ac:dyDescent="0.3">
      <c r="A872" s="6">
        <v>325743367</v>
      </c>
      <c r="B872" s="6" t="str">
        <f>VLOOKUP(A872,'HOGARES-BASELINE'!$B:$I,8,FALSE)</f>
        <v>00010611</v>
      </c>
    </row>
    <row r="873" spans="1:2" x14ac:dyDescent="0.3">
      <c r="A873" s="6">
        <v>1000193972</v>
      </c>
      <c r="B873" s="6" t="str">
        <f>VLOOKUP(A873,'HOGARES-BASELINE'!$B:$I,8,FALSE)</f>
        <v>00010001</v>
      </c>
    </row>
    <row r="874" spans="1:2" x14ac:dyDescent="0.3">
      <c r="A874" s="6">
        <v>1000292440</v>
      </c>
      <c r="B874" s="6" t="str">
        <f>VLOOKUP(A874,'HOGARES-BASELINE'!$B:$I,8,FALSE)</f>
        <v>00010002</v>
      </c>
    </row>
    <row r="875" spans="1:2" x14ac:dyDescent="0.3">
      <c r="A875" s="6">
        <v>1000438461</v>
      </c>
      <c r="B875" s="6" t="str">
        <f>VLOOKUP(A875,'HOGARES-BASELINE'!$B:$I,8,FALSE)</f>
        <v>00010003</v>
      </c>
    </row>
    <row r="876" spans="1:2" x14ac:dyDescent="0.3">
      <c r="A876" s="6">
        <v>1000536137</v>
      </c>
      <c r="B876" s="6" t="str">
        <f>VLOOKUP(A876,'HOGARES-BASELINE'!$B:$I,8,FALSE)</f>
        <v>01010004</v>
      </c>
    </row>
    <row r="877" spans="1:2" x14ac:dyDescent="0.3">
      <c r="A877" s="6">
        <v>1000538215</v>
      </c>
      <c r="B877" s="6" t="str">
        <f>VLOOKUP(A877,'HOGARES-BASELINE'!$B:$I,8,FALSE)</f>
        <v>01010005</v>
      </c>
    </row>
    <row r="878" spans="1:2" x14ac:dyDescent="0.3">
      <c r="A878" s="6">
        <v>1000638664</v>
      </c>
      <c r="B878" s="6" t="str">
        <f>VLOOKUP(A878,'HOGARES-BASELINE'!$B:$I,8,FALSE)</f>
        <v>01010006</v>
      </c>
    </row>
    <row r="879" spans="1:2" x14ac:dyDescent="0.3">
      <c r="A879" s="6">
        <v>1000643548</v>
      </c>
      <c r="B879" s="6" t="str">
        <f>VLOOKUP(A879,'HOGARES-BASELINE'!$B:$I,8,FALSE)</f>
        <v>01010007</v>
      </c>
    </row>
    <row r="880" spans="1:2" x14ac:dyDescent="0.3">
      <c r="A880" s="6">
        <v>1000871711</v>
      </c>
      <c r="B880" s="6" t="str">
        <f>VLOOKUP(A880,'HOGARES-BASELINE'!$B:$I,8,FALSE)</f>
        <v>01010008</v>
      </c>
    </row>
    <row r="881" spans="1:2" x14ac:dyDescent="0.3">
      <c r="A881" s="6">
        <v>1001033236</v>
      </c>
      <c r="B881" s="6" t="str">
        <f>VLOOKUP(A881,'HOGARES-BASELINE'!$B:$I,8,FALSE)</f>
        <v>00010009</v>
      </c>
    </row>
    <row r="882" spans="1:2" x14ac:dyDescent="0.3">
      <c r="A882" s="6">
        <v>1001359510</v>
      </c>
      <c r="B882" s="6" t="str">
        <f>VLOOKUP(A882,'HOGARES-BASELINE'!$B:$I,8,FALSE)</f>
        <v>01010012</v>
      </c>
    </row>
    <row r="883" spans="1:2" x14ac:dyDescent="0.3">
      <c r="A883" s="6">
        <v>1001851457</v>
      </c>
      <c r="B883" s="6" t="str">
        <f>VLOOKUP(A883,'HOGARES-BASELINE'!$B:$I,8,FALSE)</f>
        <v>01030013</v>
      </c>
    </row>
    <row r="884" spans="1:2" x14ac:dyDescent="0.3">
      <c r="A884" s="6">
        <v>1002022185</v>
      </c>
      <c r="B884" s="6" t="str">
        <f>VLOOKUP(A884,'HOGARES-BASELINE'!$B:$I,8,FALSE)</f>
        <v>00030014</v>
      </c>
    </row>
    <row r="885" spans="1:2" x14ac:dyDescent="0.3">
      <c r="A885" s="6">
        <v>1002026183</v>
      </c>
      <c r="B885" s="6" t="str">
        <f>VLOOKUP(A885,'HOGARES-BASELINE'!$B:$I,8,FALSE)</f>
        <v>00030015</v>
      </c>
    </row>
    <row r="886" spans="1:2" x14ac:dyDescent="0.3">
      <c r="A886" s="6">
        <v>1002034065</v>
      </c>
      <c r="B886" s="6" t="str">
        <f>VLOOKUP(A886,'HOGARES-BASELINE'!$B:$I,8,FALSE)</f>
        <v>00030016</v>
      </c>
    </row>
    <row r="887" spans="1:2" x14ac:dyDescent="0.3">
      <c r="A887" s="6">
        <v>1002130477</v>
      </c>
      <c r="B887" s="6" t="str">
        <f>VLOOKUP(A887,'HOGARES-BASELINE'!$B:$I,8,FALSE)</f>
        <v>01030017</v>
      </c>
    </row>
    <row r="888" spans="1:2" x14ac:dyDescent="0.3">
      <c r="A888" s="6">
        <v>1002155243</v>
      </c>
      <c r="B888" s="6" t="str">
        <f>VLOOKUP(A888,'HOGARES-BASELINE'!$B:$I,8,FALSE)</f>
        <v>01030018</v>
      </c>
    </row>
    <row r="889" spans="1:2" x14ac:dyDescent="0.3">
      <c r="A889" s="6">
        <v>1002163129</v>
      </c>
      <c r="B889" s="6" t="str">
        <f>VLOOKUP(A889,'HOGARES-BASELINE'!$B:$I,8,FALSE)</f>
        <v>00030019</v>
      </c>
    </row>
    <row r="890" spans="1:2" x14ac:dyDescent="0.3">
      <c r="A890" s="6">
        <v>1002793265</v>
      </c>
      <c r="B890" s="6" t="str">
        <f>VLOOKUP(A890,'HOGARES-BASELINE'!$B:$I,8,FALSE)</f>
        <v>01020020</v>
      </c>
    </row>
    <row r="891" spans="1:2" x14ac:dyDescent="0.3">
      <c r="A891" s="6">
        <v>1005706694</v>
      </c>
      <c r="B891" s="6" t="str">
        <f>VLOOKUP(A891,'HOGARES-BASELINE'!$B:$I,8,FALSE)</f>
        <v>00020022</v>
      </c>
    </row>
    <row r="892" spans="1:2" x14ac:dyDescent="0.3">
      <c r="A892" s="6">
        <v>1005934818</v>
      </c>
      <c r="B892" s="6" t="str">
        <f>VLOOKUP(A892,'HOGARES-BASELINE'!$B:$I,8,FALSE)</f>
        <v>00020024</v>
      </c>
    </row>
    <row r="893" spans="1:2" x14ac:dyDescent="0.3">
      <c r="A893" s="6">
        <v>1006233749</v>
      </c>
      <c r="B893" s="6" t="str">
        <f>VLOOKUP(A893,'HOGARES-BASELINE'!$B:$I,8,FALSE)</f>
        <v>01020025</v>
      </c>
    </row>
    <row r="894" spans="1:2" x14ac:dyDescent="0.3">
      <c r="A894" s="6">
        <v>1007132436</v>
      </c>
      <c r="B894" s="6" t="str">
        <f>VLOOKUP(A894,'HOGARES-BASELINE'!$B:$I,8,FALSE)</f>
        <v>01030027</v>
      </c>
    </row>
    <row r="895" spans="1:2" x14ac:dyDescent="0.3">
      <c r="A895" s="6">
        <v>1007175950</v>
      </c>
      <c r="B895" s="6" t="str">
        <f>VLOOKUP(A895,'HOGARES-BASELINE'!$B:$I,8,FALSE)</f>
        <v>01030028</v>
      </c>
    </row>
    <row r="896" spans="1:2" x14ac:dyDescent="0.3">
      <c r="A896" s="6">
        <v>1007908804</v>
      </c>
      <c r="B896" s="6" t="str">
        <f>VLOOKUP(A896,'HOGARES-BASELINE'!$B:$I,8,FALSE)</f>
        <v>00030029</v>
      </c>
    </row>
    <row r="897" spans="1:2" x14ac:dyDescent="0.3">
      <c r="A897" s="6">
        <v>1010032037</v>
      </c>
      <c r="B897" s="6" t="str">
        <f>VLOOKUP(A897,'HOGARES-BASELINE'!$B:$I,8,FALSE)</f>
        <v>01010030</v>
      </c>
    </row>
    <row r="898" spans="1:2" x14ac:dyDescent="0.3">
      <c r="A898" s="6">
        <v>1010119253</v>
      </c>
      <c r="B898" s="6" t="str">
        <f>VLOOKUP(A898,'HOGARES-BASELINE'!$B:$I,8,FALSE)</f>
        <v>01030031</v>
      </c>
    </row>
    <row r="899" spans="1:2" x14ac:dyDescent="0.3">
      <c r="A899" s="6">
        <v>1015186975</v>
      </c>
      <c r="B899" s="6" t="str">
        <f>VLOOKUP(A899,'HOGARES-BASELINE'!$B:$I,8,FALSE)</f>
        <v>01010033</v>
      </c>
    </row>
    <row r="900" spans="1:2" x14ac:dyDescent="0.3">
      <c r="A900" s="6">
        <v>1015193737</v>
      </c>
      <c r="B900" s="6" t="str">
        <f>VLOOKUP(A900,'HOGARES-BASELINE'!$B:$I,8,FALSE)</f>
        <v>00010034</v>
      </c>
    </row>
    <row r="901" spans="1:2" x14ac:dyDescent="0.3">
      <c r="A901" s="6">
        <v>1017135726</v>
      </c>
      <c r="B901" s="6" t="str">
        <f>VLOOKUP(A901,'HOGARES-BASELINE'!$B:$I,8,FALSE)</f>
        <v>01010035</v>
      </c>
    </row>
    <row r="902" spans="1:2" x14ac:dyDescent="0.3">
      <c r="A902" s="6">
        <v>1017152403</v>
      </c>
      <c r="B902" s="6" t="str">
        <f>VLOOKUP(A902,'HOGARES-BASELINE'!$B:$I,8,FALSE)</f>
        <v>01010036</v>
      </c>
    </row>
    <row r="903" spans="1:2" x14ac:dyDescent="0.3">
      <c r="A903" s="6">
        <v>1017154497</v>
      </c>
      <c r="B903" s="6" t="str">
        <f>VLOOKUP(A903,'HOGARES-BASELINE'!$B:$I,8,FALSE)</f>
        <v>00010037</v>
      </c>
    </row>
    <row r="904" spans="1:2" x14ac:dyDescent="0.3">
      <c r="A904" s="6">
        <v>1017179652</v>
      </c>
      <c r="B904" s="6" t="str">
        <f>VLOOKUP(A904,'HOGARES-BASELINE'!$B:$I,8,FALSE)</f>
        <v>01010038</v>
      </c>
    </row>
    <row r="905" spans="1:2" x14ac:dyDescent="0.3">
      <c r="A905" s="6">
        <v>1017179966</v>
      </c>
      <c r="B905" s="6" t="str">
        <f>VLOOKUP(A905,'HOGARES-BASELINE'!$B:$I,8,FALSE)</f>
        <v>01010039</v>
      </c>
    </row>
    <row r="906" spans="1:2" x14ac:dyDescent="0.3">
      <c r="A906" s="6">
        <v>1017190314</v>
      </c>
      <c r="B906" s="6" t="str">
        <f>VLOOKUP(A906,'HOGARES-BASELINE'!$B:$I,8,FALSE)</f>
        <v>01010040</v>
      </c>
    </row>
    <row r="907" spans="1:2" x14ac:dyDescent="0.3">
      <c r="A907" s="6">
        <v>1017192472</v>
      </c>
      <c r="B907" s="6" t="str">
        <f>VLOOKUP(A907,'HOGARES-BASELINE'!$B:$I,8,FALSE)</f>
        <v>01010041</v>
      </c>
    </row>
    <row r="908" spans="1:2" x14ac:dyDescent="0.3">
      <c r="A908" s="6">
        <v>1017206637</v>
      </c>
      <c r="B908" s="6" t="str">
        <f>VLOOKUP(A908,'HOGARES-BASELINE'!$B:$I,8,FALSE)</f>
        <v>01010042</v>
      </c>
    </row>
    <row r="909" spans="1:2" x14ac:dyDescent="0.3">
      <c r="A909" s="6">
        <v>1017216558</v>
      </c>
      <c r="B909" s="6" t="str">
        <f>VLOOKUP(A909,'HOGARES-BASELINE'!$B:$I,8,FALSE)</f>
        <v>01010044</v>
      </c>
    </row>
    <row r="910" spans="1:2" x14ac:dyDescent="0.3">
      <c r="A910" s="6">
        <v>1017247299</v>
      </c>
      <c r="B910" s="6" t="str">
        <f>VLOOKUP(A910,'HOGARES-BASELINE'!$B:$I,8,FALSE)</f>
        <v>01010047</v>
      </c>
    </row>
    <row r="911" spans="1:2" x14ac:dyDescent="0.3">
      <c r="A911" s="6">
        <v>1017248051</v>
      </c>
      <c r="B911" s="6" t="str">
        <f>VLOOKUP(A911,'HOGARES-BASELINE'!$B:$I,8,FALSE)</f>
        <v>01010048</v>
      </c>
    </row>
    <row r="912" spans="1:2" x14ac:dyDescent="0.3">
      <c r="A912" s="6">
        <v>1017266133</v>
      </c>
      <c r="B912" s="6" t="str">
        <f>VLOOKUP(A912,'HOGARES-BASELINE'!$B:$I,8,FALSE)</f>
        <v>01010049</v>
      </c>
    </row>
    <row r="913" spans="1:2" x14ac:dyDescent="0.3">
      <c r="A913" s="6">
        <v>1017269447</v>
      </c>
      <c r="B913" s="6" t="str">
        <f>VLOOKUP(A913,'HOGARES-BASELINE'!$B:$I,8,FALSE)</f>
        <v>01010050</v>
      </c>
    </row>
    <row r="914" spans="1:2" x14ac:dyDescent="0.3">
      <c r="A914" s="6">
        <v>1017269998</v>
      </c>
      <c r="B914" s="6" t="str">
        <f>VLOOKUP(A914,'HOGARES-BASELINE'!$B:$I,8,FALSE)</f>
        <v>01010051</v>
      </c>
    </row>
    <row r="915" spans="1:2" x14ac:dyDescent="0.3">
      <c r="A915" s="6">
        <v>1020450299</v>
      </c>
      <c r="B915" s="6" t="str">
        <f>VLOOKUP(A915,'HOGARES-BASELINE'!$B:$I,8,FALSE)</f>
        <v>00010052</v>
      </c>
    </row>
    <row r="916" spans="1:2" x14ac:dyDescent="0.3">
      <c r="A916" s="6">
        <v>1020482801</v>
      </c>
      <c r="B916" s="6" t="str">
        <f>VLOOKUP(A916,'HOGARES-BASELINE'!$B:$I,8,FALSE)</f>
        <v>01010053</v>
      </c>
    </row>
    <row r="917" spans="1:2" x14ac:dyDescent="0.3">
      <c r="A917" s="6">
        <v>1022124557</v>
      </c>
      <c r="B917" s="6" t="str">
        <f>VLOOKUP(A917,'HOGARES-BASELINE'!$B:$I,8,FALSE)</f>
        <v>01010055</v>
      </c>
    </row>
    <row r="918" spans="1:2" x14ac:dyDescent="0.3">
      <c r="A918" s="6">
        <v>1022125326</v>
      </c>
      <c r="B918" s="6" t="str">
        <f>VLOOKUP(A918,'HOGARES-BASELINE'!$B:$I,8,FALSE)</f>
        <v>01010056</v>
      </c>
    </row>
    <row r="919" spans="1:2" x14ac:dyDescent="0.3">
      <c r="A919" s="6">
        <v>1023626536</v>
      </c>
      <c r="B919" s="6" t="str">
        <f>VLOOKUP(A919,'HOGARES-BASELINE'!$B:$I,8,FALSE)</f>
        <v>00010057</v>
      </c>
    </row>
    <row r="920" spans="1:2" x14ac:dyDescent="0.3">
      <c r="A920" s="6">
        <v>1025640590</v>
      </c>
      <c r="B920" s="6" t="str">
        <f>VLOOKUP(A920,'HOGARES-BASELINE'!$B:$I,8,FALSE)</f>
        <v>01010059</v>
      </c>
    </row>
    <row r="921" spans="1:2" x14ac:dyDescent="0.3">
      <c r="A921" s="6">
        <v>1025665487</v>
      </c>
      <c r="B921" s="6" t="str">
        <f>VLOOKUP(A921,'HOGARES-BASELINE'!$B:$I,8,FALSE)</f>
        <v>01010060</v>
      </c>
    </row>
    <row r="922" spans="1:2" x14ac:dyDescent="0.3">
      <c r="A922" s="6">
        <v>1026145865</v>
      </c>
      <c r="B922" s="6" t="str">
        <f>VLOOKUP(A922,'HOGARES-BASELINE'!$B:$I,8,FALSE)</f>
        <v>01010061</v>
      </c>
    </row>
    <row r="923" spans="1:2" x14ac:dyDescent="0.3">
      <c r="A923" s="6">
        <v>1032421813</v>
      </c>
      <c r="B923" s="6" t="str">
        <f>VLOOKUP(A923,'HOGARES-BASELINE'!$B:$I,8,FALSE)</f>
        <v>00010062</v>
      </c>
    </row>
    <row r="924" spans="1:2" x14ac:dyDescent="0.3">
      <c r="A924" s="6">
        <v>1033176878</v>
      </c>
      <c r="B924" s="6" t="str">
        <f>VLOOKUP(A924,'HOGARES-BASELINE'!$B:$I,8,FALSE)</f>
        <v>00010063</v>
      </c>
    </row>
    <row r="925" spans="1:2" x14ac:dyDescent="0.3">
      <c r="A925" s="6">
        <v>1035228839</v>
      </c>
      <c r="B925" s="6" t="str">
        <f>VLOOKUP(A925,'HOGARES-BASELINE'!$B:$I,8,FALSE)</f>
        <v>00010064</v>
      </c>
    </row>
    <row r="926" spans="1:2" x14ac:dyDescent="0.3">
      <c r="A926" s="6">
        <v>1035921080</v>
      </c>
      <c r="B926" s="6" t="str">
        <f>VLOOKUP(A926,'HOGARES-BASELINE'!$B:$I,8,FALSE)</f>
        <v>00010065</v>
      </c>
    </row>
    <row r="927" spans="1:2" x14ac:dyDescent="0.3">
      <c r="A927" s="6">
        <v>1036601648</v>
      </c>
      <c r="B927" s="6" t="str">
        <f>VLOOKUP(A927,'HOGARES-BASELINE'!$B:$I,8,FALSE)</f>
        <v>01010066</v>
      </c>
    </row>
    <row r="928" spans="1:2" x14ac:dyDescent="0.3">
      <c r="A928" s="6">
        <v>1036617115</v>
      </c>
      <c r="B928" s="6" t="str">
        <f>VLOOKUP(A928,'HOGARES-BASELINE'!$B:$I,8,FALSE)</f>
        <v>00010068</v>
      </c>
    </row>
    <row r="929" spans="1:2" x14ac:dyDescent="0.3">
      <c r="A929" s="6">
        <v>1036631758</v>
      </c>
      <c r="B929" s="6" t="str">
        <f>VLOOKUP(A929,'HOGARES-BASELINE'!$B:$I,8,FALSE)</f>
        <v>00010069</v>
      </c>
    </row>
    <row r="930" spans="1:2" x14ac:dyDescent="0.3">
      <c r="A930" s="6">
        <v>1036934154</v>
      </c>
      <c r="B930" s="6" t="str">
        <f>VLOOKUP(A930,'HOGARES-BASELINE'!$B:$I,8,FALSE)</f>
        <v>01010070</v>
      </c>
    </row>
    <row r="931" spans="1:2" x14ac:dyDescent="0.3">
      <c r="A931" s="6">
        <v>1037263422</v>
      </c>
      <c r="B931" s="6" t="str">
        <f>VLOOKUP(A931,'HOGARES-BASELINE'!$B:$I,8,FALSE)</f>
        <v>01010071</v>
      </c>
    </row>
    <row r="932" spans="1:2" x14ac:dyDescent="0.3">
      <c r="A932" s="6">
        <v>1037570230</v>
      </c>
      <c r="B932" s="6" t="str">
        <f>VLOOKUP(A932,'HOGARES-BASELINE'!$B:$I,8,FALSE)</f>
        <v>01010073</v>
      </c>
    </row>
    <row r="933" spans="1:2" x14ac:dyDescent="0.3">
      <c r="A933" s="6">
        <v>1037584599</v>
      </c>
      <c r="B933" s="6" t="str">
        <f>VLOOKUP(A933,'HOGARES-BASELINE'!$B:$I,8,FALSE)</f>
        <v>00010074</v>
      </c>
    </row>
    <row r="934" spans="1:2" x14ac:dyDescent="0.3">
      <c r="A934" s="6">
        <v>1037613164</v>
      </c>
      <c r="B934" s="6" t="str">
        <f>VLOOKUP(A934,'HOGARES-BASELINE'!$B:$I,8,FALSE)</f>
        <v>00010075</v>
      </c>
    </row>
    <row r="935" spans="1:2" x14ac:dyDescent="0.3">
      <c r="A935" s="6">
        <v>1039285463</v>
      </c>
      <c r="B935" s="6" t="str">
        <f>VLOOKUP(A935,'HOGARES-BASELINE'!$B:$I,8,FALSE)</f>
        <v>01010076</v>
      </c>
    </row>
    <row r="936" spans="1:2" x14ac:dyDescent="0.3">
      <c r="A936" s="6">
        <v>1039460475</v>
      </c>
      <c r="B936" s="6" t="str">
        <f>VLOOKUP(A936,'HOGARES-BASELINE'!$B:$I,8,FALSE)</f>
        <v>00010077</v>
      </c>
    </row>
    <row r="937" spans="1:2" x14ac:dyDescent="0.3">
      <c r="A937" s="6">
        <v>1043435114</v>
      </c>
      <c r="B937" s="6" t="str">
        <f>VLOOKUP(A937,'HOGARES-BASELINE'!$B:$I,8,FALSE)</f>
        <v>01030080</v>
      </c>
    </row>
    <row r="938" spans="1:2" x14ac:dyDescent="0.3">
      <c r="A938" s="6">
        <v>1043665208</v>
      </c>
      <c r="B938" s="6" t="str">
        <f>VLOOKUP(A938,'HOGARES-BASELINE'!$B:$I,8,FALSE)</f>
        <v>01030081</v>
      </c>
    </row>
    <row r="939" spans="1:2" x14ac:dyDescent="0.3">
      <c r="A939" s="6">
        <v>1043873936</v>
      </c>
      <c r="B939" s="6" t="str">
        <f>VLOOKUP(A939,'HOGARES-BASELINE'!$B:$I,8,FALSE)</f>
        <v>00030082</v>
      </c>
    </row>
    <row r="940" spans="1:2" x14ac:dyDescent="0.3">
      <c r="A940" s="6">
        <v>1044150889</v>
      </c>
      <c r="B940" s="6" t="str">
        <f>VLOOKUP(A940,'HOGARES-BASELINE'!$B:$I,8,FALSE)</f>
        <v>01010083</v>
      </c>
    </row>
    <row r="941" spans="1:2" x14ac:dyDescent="0.3">
      <c r="A941" s="6">
        <v>1044618006</v>
      </c>
      <c r="B941" s="6" t="str">
        <f>VLOOKUP(A941,'HOGARES-BASELINE'!$B:$I,8,FALSE)</f>
        <v>00030084</v>
      </c>
    </row>
    <row r="942" spans="1:2" x14ac:dyDescent="0.3">
      <c r="A942" s="6">
        <v>1045674075</v>
      </c>
      <c r="B942" s="6" t="str">
        <f>VLOOKUP(A942,'HOGARES-BASELINE'!$B:$I,8,FALSE)</f>
        <v>00030085</v>
      </c>
    </row>
    <row r="943" spans="1:2" x14ac:dyDescent="0.3">
      <c r="A943" s="6">
        <v>1045675162</v>
      </c>
      <c r="B943" s="6" t="str">
        <f>VLOOKUP(A943,'HOGARES-BASELINE'!$B:$I,8,FALSE)</f>
        <v>00030086</v>
      </c>
    </row>
    <row r="944" spans="1:2" x14ac:dyDescent="0.3">
      <c r="A944" s="6">
        <v>1045677797</v>
      </c>
      <c r="B944" s="6" t="str">
        <f>VLOOKUP(A944,'HOGARES-BASELINE'!$B:$I,8,FALSE)</f>
        <v>01030087</v>
      </c>
    </row>
    <row r="945" spans="1:2" x14ac:dyDescent="0.3">
      <c r="A945" s="6">
        <v>1045678951</v>
      </c>
      <c r="B945" s="6" t="str">
        <f>VLOOKUP(A945,'HOGARES-BASELINE'!$B:$I,8,FALSE)</f>
        <v>01030088</v>
      </c>
    </row>
    <row r="946" spans="1:2" x14ac:dyDescent="0.3">
      <c r="A946" s="6">
        <v>1045679578</v>
      </c>
      <c r="B946" s="6" t="str">
        <f>VLOOKUP(A946,'HOGARES-BASELINE'!$B:$I,8,FALSE)</f>
        <v>01030089</v>
      </c>
    </row>
    <row r="947" spans="1:2" x14ac:dyDescent="0.3">
      <c r="A947" s="6">
        <v>1045683391</v>
      </c>
      <c r="B947" s="6" t="str">
        <f>VLOOKUP(A947,'HOGARES-BASELINE'!$B:$I,8,FALSE)</f>
        <v>01030090</v>
      </c>
    </row>
    <row r="948" spans="1:2" x14ac:dyDescent="0.3">
      <c r="A948" s="6">
        <v>1045684410</v>
      </c>
      <c r="B948" s="6" t="str">
        <f>VLOOKUP(A948,'HOGARES-BASELINE'!$B:$I,8,FALSE)</f>
        <v>01030091</v>
      </c>
    </row>
    <row r="949" spans="1:2" x14ac:dyDescent="0.3">
      <c r="A949" s="6">
        <v>1045685911</v>
      </c>
      <c r="B949" s="6" t="str">
        <f>VLOOKUP(A949,'HOGARES-BASELINE'!$B:$I,8,FALSE)</f>
        <v>01030092</v>
      </c>
    </row>
    <row r="950" spans="1:2" x14ac:dyDescent="0.3">
      <c r="A950" s="6">
        <v>1045691917</v>
      </c>
      <c r="B950" s="6" t="str">
        <f>VLOOKUP(A950,'HOGARES-BASELINE'!$B:$I,8,FALSE)</f>
        <v>01030093</v>
      </c>
    </row>
    <row r="951" spans="1:2" x14ac:dyDescent="0.3">
      <c r="A951" s="6">
        <v>1045724437</v>
      </c>
      <c r="B951" s="6" t="str">
        <f>VLOOKUP(A951,'HOGARES-BASELINE'!$B:$I,8,FALSE)</f>
        <v>01030094</v>
      </c>
    </row>
    <row r="952" spans="1:2" x14ac:dyDescent="0.3">
      <c r="A952" s="6">
        <v>1045731398</v>
      </c>
      <c r="B952" s="6" t="str">
        <f>VLOOKUP(A952,'HOGARES-BASELINE'!$B:$I,8,FALSE)</f>
        <v>01030095</v>
      </c>
    </row>
    <row r="953" spans="1:2" x14ac:dyDescent="0.3">
      <c r="A953" s="6">
        <v>1045741495</v>
      </c>
      <c r="B953" s="6" t="str">
        <f>VLOOKUP(A953,'HOGARES-BASELINE'!$B:$I,8,FALSE)</f>
        <v>01030096</v>
      </c>
    </row>
    <row r="954" spans="1:2" x14ac:dyDescent="0.3">
      <c r="A954" s="6">
        <v>1045743889</v>
      </c>
      <c r="B954" s="6" t="str">
        <f>VLOOKUP(A954,'HOGARES-BASELINE'!$B:$I,8,FALSE)</f>
        <v>01030097</v>
      </c>
    </row>
    <row r="955" spans="1:2" x14ac:dyDescent="0.3">
      <c r="A955" s="6">
        <v>1045746691</v>
      </c>
      <c r="B955" s="6" t="str">
        <f>VLOOKUP(A955,'HOGARES-BASELINE'!$B:$I,8,FALSE)</f>
        <v>01030098</v>
      </c>
    </row>
    <row r="956" spans="1:2" x14ac:dyDescent="0.3">
      <c r="A956" s="6">
        <v>1045748346</v>
      </c>
      <c r="B956" s="6" t="str">
        <f>VLOOKUP(A956,'HOGARES-BASELINE'!$B:$I,8,FALSE)</f>
        <v>01030099</v>
      </c>
    </row>
    <row r="957" spans="1:2" x14ac:dyDescent="0.3">
      <c r="A957" s="6">
        <v>1045759593</v>
      </c>
      <c r="B957" s="6" t="str">
        <f>VLOOKUP(A957,'HOGARES-BASELINE'!$B:$I,8,FALSE)</f>
        <v>01030100</v>
      </c>
    </row>
    <row r="958" spans="1:2" x14ac:dyDescent="0.3">
      <c r="A958" s="6">
        <v>1046697166</v>
      </c>
      <c r="B958" s="6" t="str">
        <f>VLOOKUP(A958,'HOGARES-BASELINE'!$B:$I,8,FALSE)</f>
        <v>00030101</v>
      </c>
    </row>
    <row r="959" spans="1:2" x14ac:dyDescent="0.3">
      <c r="A959" s="6">
        <v>1046702906</v>
      </c>
      <c r="B959" s="6" t="str">
        <f>VLOOKUP(A959,'HOGARES-BASELINE'!$B:$I,8,FALSE)</f>
        <v>00030102</v>
      </c>
    </row>
    <row r="960" spans="1:2" x14ac:dyDescent="0.3">
      <c r="A960" s="6">
        <v>1047048484</v>
      </c>
      <c r="B960" s="6" t="str">
        <f>VLOOKUP(A960,'HOGARES-BASELINE'!$B:$I,8,FALSE)</f>
        <v>01030103</v>
      </c>
    </row>
    <row r="961" spans="1:2" x14ac:dyDescent="0.3">
      <c r="A961" s="6">
        <v>1047217469</v>
      </c>
      <c r="B961" s="6" t="str">
        <f>VLOOKUP(A961,'HOGARES-BASELINE'!$B:$I,8,FALSE)</f>
        <v>00030104</v>
      </c>
    </row>
    <row r="962" spans="1:2" x14ac:dyDescent="0.3">
      <c r="A962" s="6">
        <v>1047221609</v>
      </c>
      <c r="B962" s="6" t="str">
        <f>VLOOKUP(A962,'HOGARES-BASELINE'!$B:$I,8,FALSE)</f>
        <v>01030105</v>
      </c>
    </row>
    <row r="963" spans="1:2" x14ac:dyDescent="0.3">
      <c r="A963" s="6">
        <v>1047222969</v>
      </c>
      <c r="B963" s="6" t="str">
        <f>VLOOKUP(A963,'HOGARES-BASELINE'!$B:$I,8,FALSE)</f>
        <v>00030106</v>
      </c>
    </row>
    <row r="964" spans="1:2" x14ac:dyDescent="0.3">
      <c r="A964" s="6">
        <v>1047223166</v>
      </c>
      <c r="B964" s="6" t="str">
        <f>VLOOKUP(A964,'HOGARES-BASELINE'!$B:$I,8,FALSE)</f>
        <v>01030107</v>
      </c>
    </row>
    <row r="965" spans="1:2" x14ac:dyDescent="0.3">
      <c r="A965" s="6">
        <v>1047223432</v>
      </c>
      <c r="B965" s="6" t="str">
        <f>VLOOKUP(A965,'HOGARES-BASELINE'!$B:$I,8,FALSE)</f>
        <v>00030108</v>
      </c>
    </row>
    <row r="966" spans="1:2" x14ac:dyDescent="0.3">
      <c r="A966" s="6">
        <v>1047226056</v>
      </c>
      <c r="B966" s="6" t="str">
        <f>VLOOKUP(A966,'HOGARES-BASELINE'!$B:$I,8,FALSE)</f>
        <v>01030109</v>
      </c>
    </row>
    <row r="967" spans="1:2" x14ac:dyDescent="0.3">
      <c r="A967" s="6">
        <v>1047227573</v>
      </c>
      <c r="B967" s="6" t="str">
        <f>VLOOKUP(A967,'HOGARES-BASELINE'!$B:$I,8,FALSE)</f>
        <v>01030111</v>
      </c>
    </row>
    <row r="968" spans="1:2" x14ac:dyDescent="0.3">
      <c r="A968" s="6">
        <v>1048220109</v>
      </c>
      <c r="B968" s="6" t="str">
        <f>VLOOKUP(A968,'HOGARES-BASELINE'!$B:$I,8,FALSE)</f>
        <v>01030112</v>
      </c>
    </row>
    <row r="969" spans="1:2" x14ac:dyDescent="0.3">
      <c r="A969" s="6">
        <v>1051360142</v>
      </c>
      <c r="B969" s="6" t="str">
        <f>VLOOKUP(A969,'HOGARES-BASELINE'!$B:$I,8,FALSE)</f>
        <v>00030113</v>
      </c>
    </row>
    <row r="970" spans="1:2" x14ac:dyDescent="0.3">
      <c r="A970" s="6">
        <v>1059044885</v>
      </c>
      <c r="B970" s="6" t="str">
        <f>VLOOKUP(A970,'HOGARES-BASELINE'!$B:$I,8,FALSE)</f>
        <v>01020115</v>
      </c>
    </row>
    <row r="971" spans="1:2" x14ac:dyDescent="0.3">
      <c r="A971" s="6">
        <v>1059986053</v>
      </c>
      <c r="B971" s="6" t="str">
        <f>VLOOKUP(A971,'HOGARES-BASELINE'!$B:$I,8,FALSE)</f>
        <v>01020116</v>
      </c>
    </row>
    <row r="972" spans="1:2" x14ac:dyDescent="0.3">
      <c r="A972" s="6">
        <v>1060102242</v>
      </c>
      <c r="B972" s="6" t="str">
        <f>VLOOKUP(A972,'HOGARES-BASELINE'!$B:$I,8,FALSE)</f>
        <v>01020117</v>
      </c>
    </row>
    <row r="973" spans="1:2" x14ac:dyDescent="0.3">
      <c r="A973" s="6">
        <v>1061433798</v>
      </c>
      <c r="B973" s="6" t="str">
        <f>VLOOKUP(A973,'HOGARES-BASELINE'!$B:$I,8,FALSE)</f>
        <v>01020118</v>
      </c>
    </row>
    <row r="974" spans="1:2" x14ac:dyDescent="0.3">
      <c r="A974" s="6">
        <v>1062297779</v>
      </c>
      <c r="B974" s="6" t="str">
        <f>VLOOKUP(A974,'HOGARES-BASELINE'!$B:$I,8,FALSE)</f>
        <v>01020119</v>
      </c>
    </row>
    <row r="975" spans="1:2" x14ac:dyDescent="0.3">
      <c r="A975" s="6">
        <v>1063282279</v>
      </c>
      <c r="B975" s="6" t="str">
        <f>VLOOKUP(A975,'HOGARES-BASELINE'!$B:$I,8,FALSE)</f>
        <v>00030120</v>
      </c>
    </row>
    <row r="976" spans="1:2" x14ac:dyDescent="0.3">
      <c r="A976" s="6">
        <v>1067094968</v>
      </c>
      <c r="B976" s="6" t="str">
        <f>VLOOKUP(A976,'HOGARES-BASELINE'!$B:$I,8,FALSE)</f>
        <v>01010121</v>
      </c>
    </row>
    <row r="977" spans="1:2" x14ac:dyDescent="0.3">
      <c r="A977" s="6">
        <v>1067461300</v>
      </c>
      <c r="B977" s="6" t="str">
        <f>VLOOKUP(A977,'HOGARES-BASELINE'!$B:$I,8,FALSE)</f>
        <v>01020122</v>
      </c>
    </row>
    <row r="978" spans="1:2" x14ac:dyDescent="0.3">
      <c r="A978" s="6">
        <v>1080835928</v>
      </c>
      <c r="B978" s="6" t="str">
        <f>VLOOKUP(A978,'HOGARES-BASELINE'!$B:$I,8,FALSE)</f>
        <v>01020124</v>
      </c>
    </row>
    <row r="979" spans="1:2" x14ac:dyDescent="0.3">
      <c r="A979" s="6">
        <v>1101200056</v>
      </c>
      <c r="B979" s="6" t="str">
        <f>VLOOKUP(A979,'HOGARES-BASELINE'!$B:$I,8,FALSE)</f>
        <v>00030126</v>
      </c>
    </row>
    <row r="980" spans="1:2" x14ac:dyDescent="0.3">
      <c r="A980" s="6">
        <v>1107036712</v>
      </c>
      <c r="B980" s="6" t="str">
        <f>VLOOKUP(A980,'HOGARES-BASELINE'!$B:$I,8,FALSE)</f>
        <v>01020127</v>
      </c>
    </row>
    <row r="981" spans="1:2" x14ac:dyDescent="0.3">
      <c r="A981" s="6">
        <v>1107062248</v>
      </c>
      <c r="B981" s="6" t="str">
        <f>VLOOKUP(A981,'HOGARES-BASELINE'!$B:$I,8,FALSE)</f>
        <v>01020129</v>
      </c>
    </row>
    <row r="982" spans="1:2" x14ac:dyDescent="0.3">
      <c r="A982" s="6">
        <v>1107077651</v>
      </c>
      <c r="B982" s="6" t="str">
        <f>VLOOKUP(A982,'HOGARES-BASELINE'!$B:$I,8,FALSE)</f>
        <v>00020130</v>
      </c>
    </row>
    <row r="983" spans="1:2" x14ac:dyDescent="0.3">
      <c r="A983" s="6">
        <v>1107082402</v>
      </c>
      <c r="B983" s="6" t="str">
        <f>VLOOKUP(A983,'HOGARES-BASELINE'!$B:$I,8,FALSE)</f>
        <v>01020131</v>
      </c>
    </row>
    <row r="984" spans="1:2" x14ac:dyDescent="0.3">
      <c r="A984" s="6">
        <v>1107096112</v>
      </c>
      <c r="B984" s="6" t="str">
        <f>VLOOKUP(A984,'HOGARES-BASELINE'!$B:$I,8,FALSE)</f>
        <v>00020133</v>
      </c>
    </row>
    <row r="985" spans="1:2" x14ac:dyDescent="0.3">
      <c r="A985" s="6">
        <v>1107101692</v>
      </c>
      <c r="B985" s="6" t="str">
        <f>VLOOKUP(A985,'HOGARES-BASELINE'!$B:$I,8,FALSE)</f>
        <v>01020134</v>
      </c>
    </row>
    <row r="986" spans="1:2" x14ac:dyDescent="0.3">
      <c r="A986" s="6">
        <v>1107511494</v>
      </c>
      <c r="B986" s="6" t="str">
        <f>VLOOKUP(A986,'HOGARES-BASELINE'!$B:$I,8,FALSE)</f>
        <v>00020135</v>
      </c>
    </row>
    <row r="987" spans="1:2" x14ac:dyDescent="0.3">
      <c r="A987" s="6">
        <v>1107511973</v>
      </c>
      <c r="B987" s="6" t="str">
        <f>VLOOKUP(A987,'HOGARES-BASELINE'!$B:$I,8,FALSE)</f>
        <v>00020136</v>
      </c>
    </row>
    <row r="988" spans="1:2" x14ac:dyDescent="0.3">
      <c r="A988" s="6">
        <v>1107528203</v>
      </c>
      <c r="B988" s="6" t="str">
        <f>VLOOKUP(A988,'HOGARES-BASELINE'!$B:$I,8,FALSE)</f>
        <v>01020137</v>
      </c>
    </row>
    <row r="989" spans="1:2" x14ac:dyDescent="0.3">
      <c r="A989" s="6">
        <v>1108641125</v>
      </c>
      <c r="B989" s="6" t="str">
        <f>VLOOKUP(A989,'HOGARES-BASELINE'!$B:$I,8,FALSE)</f>
        <v>00020138</v>
      </c>
    </row>
    <row r="990" spans="1:2" x14ac:dyDescent="0.3">
      <c r="A990" s="6">
        <v>1112459228</v>
      </c>
      <c r="B990" s="6" t="str">
        <f>VLOOKUP(A990,'HOGARES-BASELINE'!$B:$I,8,FALSE)</f>
        <v>01020139</v>
      </c>
    </row>
    <row r="991" spans="1:2" x14ac:dyDescent="0.3">
      <c r="A991" s="6">
        <v>1112460885</v>
      </c>
      <c r="B991" s="6" t="str">
        <f>VLOOKUP(A991,'HOGARES-BASELINE'!$B:$I,8,FALSE)</f>
        <v>01020140</v>
      </c>
    </row>
    <row r="992" spans="1:2" x14ac:dyDescent="0.3">
      <c r="A992" s="6">
        <v>1112464691</v>
      </c>
      <c r="B992" s="6" t="str">
        <f>VLOOKUP(A992,'HOGARES-BASELINE'!$B:$I,8,FALSE)</f>
        <v>01020141</v>
      </c>
    </row>
    <row r="993" spans="1:2" x14ac:dyDescent="0.3">
      <c r="A993" s="6">
        <v>1112473004</v>
      </c>
      <c r="B993" s="6" t="str">
        <f>VLOOKUP(A993,'HOGARES-BASELINE'!$B:$I,8,FALSE)</f>
        <v>00020142</v>
      </c>
    </row>
    <row r="994" spans="1:2" x14ac:dyDescent="0.3">
      <c r="A994" s="6">
        <v>1114729169</v>
      </c>
      <c r="B994" s="6" t="str">
        <f>VLOOKUP(A994,'HOGARES-BASELINE'!$B:$I,8,FALSE)</f>
        <v>01020143</v>
      </c>
    </row>
    <row r="995" spans="1:2" x14ac:dyDescent="0.3">
      <c r="A995" s="6">
        <v>1114731315</v>
      </c>
      <c r="B995" s="6" t="str">
        <f>VLOOKUP(A995,'HOGARES-BASELINE'!$B:$I,8,FALSE)</f>
        <v>00020144</v>
      </c>
    </row>
    <row r="996" spans="1:2" x14ac:dyDescent="0.3">
      <c r="A996" s="6">
        <v>1118256990</v>
      </c>
      <c r="B996" s="6" t="str">
        <f>VLOOKUP(A996,'HOGARES-BASELINE'!$B:$I,8,FALSE)</f>
        <v>01020145</v>
      </c>
    </row>
    <row r="997" spans="1:2" x14ac:dyDescent="0.3">
      <c r="A997" s="6">
        <v>1128165897</v>
      </c>
      <c r="B997" s="6" t="str">
        <f>VLOOKUP(A997,'HOGARES-BASELINE'!$B:$I,8,FALSE)</f>
        <v>00030146</v>
      </c>
    </row>
    <row r="998" spans="1:2" x14ac:dyDescent="0.3">
      <c r="A998" s="6">
        <v>1128271580</v>
      </c>
      <c r="B998" s="6" t="str">
        <f>VLOOKUP(A998,'HOGARES-BASELINE'!$B:$I,8,FALSE)</f>
        <v>01010147</v>
      </c>
    </row>
    <row r="999" spans="1:2" x14ac:dyDescent="0.3">
      <c r="A999" s="6">
        <v>1128407663</v>
      </c>
      <c r="B999" s="6" t="str">
        <f>VLOOKUP(A999,'HOGARES-BASELINE'!$B:$I,8,FALSE)</f>
        <v>00010148</v>
      </c>
    </row>
    <row r="1000" spans="1:2" x14ac:dyDescent="0.3">
      <c r="A1000" s="6">
        <v>1128424631</v>
      </c>
      <c r="B1000" s="6" t="str">
        <f>VLOOKUP(A1000,'HOGARES-BASELINE'!$B:$I,8,FALSE)</f>
        <v>00010149</v>
      </c>
    </row>
    <row r="1001" spans="1:2" x14ac:dyDescent="0.3">
      <c r="A1001" s="6">
        <v>1128424714</v>
      </c>
      <c r="B1001" s="6" t="str">
        <f>VLOOKUP(A1001,'HOGARES-BASELINE'!$B:$I,8,FALSE)</f>
        <v>00010150</v>
      </c>
    </row>
    <row r="1002" spans="1:2" x14ac:dyDescent="0.3">
      <c r="A1002" s="6">
        <v>1128427798</v>
      </c>
      <c r="B1002" s="6" t="str">
        <f>VLOOKUP(A1002,'HOGARES-BASELINE'!$B:$I,8,FALSE)</f>
        <v>00010151</v>
      </c>
    </row>
    <row r="1003" spans="1:2" x14ac:dyDescent="0.3">
      <c r="A1003" s="6">
        <v>1128437441</v>
      </c>
      <c r="B1003" s="6" t="str">
        <f>VLOOKUP(A1003,'HOGARES-BASELINE'!$B:$I,8,FALSE)</f>
        <v>00010152</v>
      </c>
    </row>
    <row r="1004" spans="1:2" x14ac:dyDescent="0.3">
      <c r="A1004" s="6">
        <v>1128437636</v>
      </c>
      <c r="B1004" s="6" t="str">
        <f>VLOOKUP(A1004,'HOGARES-BASELINE'!$B:$I,8,FALSE)</f>
        <v>00010153</v>
      </c>
    </row>
    <row r="1005" spans="1:2" x14ac:dyDescent="0.3">
      <c r="A1005" s="6">
        <v>1128481612</v>
      </c>
      <c r="B1005" s="6" t="str">
        <f>VLOOKUP(A1005,'HOGARES-BASELINE'!$B:$I,8,FALSE)</f>
        <v>00010154</v>
      </c>
    </row>
    <row r="1006" spans="1:2" x14ac:dyDescent="0.3">
      <c r="A1006" s="6">
        <v>1129487310</v>
      </c>
      <c r="B1006" s="6" t="str">
        <f>VLOOKUP(A1006,'HOGARES-BASELINE'!$B:$I,8,FALSE)</f>
        <v>01030155</v>
      </c>
    </row>
    <row r="1007" spans="1:2" x14ac:dyDescent="0.3">
      <c r="A1007" s="6">
        <v>1129497775</v>
      </c>
      <c r="B1007" s="6" t="str">
        <f>VLOOKUP(A1007,'HOGARES-BASELINE'!$B:$I,8,FALSE)</f>
        <v>01030156</v>
      </c>
    </row>
    <row r="1008" spans="1:2" x14ac:dyDescent="0.3">
      <c r="A1008" s="6">
        <v>1129498810</v>
      </c>
      <c r="B1008" s="6" t="str">
        <f>VLOOKUP(A1008,'HOGARES-BASELINE'!$B:$I,8,FALSE)</f>
        <v>01030157</v>
      </c>
    </row>
    <row r="1009" spans="1:2" x14ac:dyDescent="0.3">
      <c r="A1009" s="6">
        <v>1129504681</v>
      </c>
      <c r="B1009" s="6" t="str">
        <f>VLOOKUP(A1009,'HOGARES-BASELINE'!$B:$I,8,FALSE)</f>
        <v>00030158</v>
      </c>
    </row>
    <row r="1010" spans="1:2" x14ac:dyDescent="0.3">
      <c r="A1010" s="6">
        <v>1129510023</v>
      </c>
      <c r="B1010" s="6" t="str">
        <f>VLOOKUP(A1010,'HOGARES-BASELINE'!$B:$I,8,FALSE)</f>
        <v>00030159</v>
      </c>
    </row>
    <row r="1011" spans="1:2" x14ac:dyDescent="0.3">
      <c r="A1011" s="6">
        <v>1129514883</v>
      </c>
      <c r="B1011" s="6" t="str">
        <f>VLOOKUP(A1011,'HOGARES-BASELINE'!$B:$I,8,FALSE)</f>
        <v>00030160</v>
      </c>
    </row>
    <row r="1012" spans="1:2" x14ac:dyDescent="0.3">
      <c r="A1012" s="6">
        <v>1129519478</v>
      </c>
      <c r="B1012" s="6" t="str">
        <f>VLOOKUP(A1012,'HOGARES-BASELINE'!$B:$I,8,FALSE)</f>
        <v>00030161</v>
      </c>
    </row>
    <row r="1013" spans="1:2" x14ac:dyDescent="0.3">
      <c r="A1013" s="6">
        <v>1129520081</v>
      </c>
      <c r="B1013" s="6" t="str">
        <f>VLOOKUP(A1013,'HOGARES-BASELINE'!$B:$I,8,FALSE)</f>
        <v>01030162</v>
      </c>
    </row>
    <row r="1014" spans="1:2" x14ac:dyDescent="0.3">
      <c r="A1014" s="6">
        <v>1129543553</v>
      </c>
      <c r="B1014" s="6" t="str">
        <f>VLOOKUP(A1014,'HOGARES-BASELINE'!$B:$I,8,FALSE)</f>
        <v>00030163</v>
      </c>
    </row>
    <row r="1015" spans="1:2" x14ac:dyDescent="0.3">
      <c r="A1015" s="6">
        <v>1129565229</v>
      </c>
      <c r="B1015" s="6" t="str">
        <f>VLOOKUP(A1015,'HOGARES-BASELINE'!$B:$I,8,FALSE)</f>
        <v>00030164</v>
      </c>
    </row>
    <row r="1016" spans="1:2" x14ac:dyDescent="0.3">
      <c r="A1016" s="6">
        <v>1129566300</v>
      </c>
      <c r="B1016" s="6" t="str">
        <f>VLOOKUP(A1016,'HOGARES-BASELINE'!$B:$I,8,FALSE)</f>
        <v>01030165</v>
      </c>
    </row>
    <row r="1017" spans="1:2" x14ac:dyDescent="0.3">
      <c r="A1017" s="6">
        <v>1129583301</v>
      </c>
      <c r="B1017" s="6" t="str">
        <f>VLOOKUP(A1017,'HOGARES-BASELINE'!$B:$I,8,FALSE)</f>
        <v>00030166</v>
      </c>
    </row>
    <row r="1018" spans="1:2" x14ac:dyDescent="0.3">
      <c r="A1018" s="6">
        <v>1130590826</v>
      </c>
      <c r="B1018" s="6" t="str">
        <f>VLOOKUP(A1018,'HOGARES-BASELINE'!$B:$I,8,FALSE)</f>
        <v>01020167</v>
      </c>
    </row>
    <row r="1019" spans="1:2" x14ac:dyDescent="0.3">
      <c r="A1019" s="6">
        <v>1130591575</v>
      </c>
      <c r="B1019" s="6" t="str">
        <f>VLOOKUP(A1019,'HOGARES-BASELINE'!$B:$I,8,FALSE)</f>
        <v>01020168</v>
      </c>
    </row>
    <row r="1020" spans="1:2" x14ac:dyDescent="0.3">
      <c r="A1020" s="6">
        <v>1130594662</v>
      </c>
      <c r="B1020" s="6" t="str">
        <f>VLOOKUP(A1020,'HOGARES-BASELINE'!$B:$I,8,FALSE)</f>
        <v>00020169</v>
      </c>
    </row>
    <row r="1021" spans="1:2" x14ac:dyDescent="0.3">
      <c r="A1021" s="6">
        <v>1130598844</v>
      </c>
      <c r="B1021" s="6" t="str">
        <f>VLOOKUP(A1021,'HOGARES-BASELINE'!$B:$I,8,FALSE)</f>
        <v>00020170</v>
      </c>
    </row>
    <row r="1022" spans="1:2" x14ac:dyDescent="0.3">
      <c r="A1022" s="6">
        <v>1130602891</v>
      </c>
      <c r="B1022" s="6" t="str">
        <f>VLOOKUP(A1022,'HOGARES-BASELINE'!$B:$I,8,FALSE)</f>
        <v>00020172</v>
      </c>
    </row>
    <row r="1023" spans="1:2" x14ac:dyDescent="0.3">
      <c r="A1023" s="6">
        <v>1130609656</v>
      </c>
      <c r="B1023" s="6" t="str">
        <f>VLOOKUP(A1023,'HOGARES-BASELINE'!$B:$I,8,FALSE)</f>
        <v>01020173</v>
      </c>
    </row>
    <row r="1024" spans="1:2" x14ac:dyDescent="0.3">
      <c r="A1024" s="6">
        <v>1130611960</v>
      </c>
      <c r="B1024" s="6" t="str">
        <f>VLOOKUP(A1024,'HOGARES-BASELINE'!$B:$I,8,FALSE)</f>
        <v>01020174</v>
      </c>
    </row>
    <row r="1025" spans="1:2" x14ac:dyDescent="0.3">
      <c r="A1025" s="6">
        <v>1130612532</v>
      </c>
      <c r="B1025" s="6" t="str">
        <f>VLOOKUP(A1025,'HOGARES-BASELINE'!$B:$I,8,FALSE)</f>
        <v>00020175</v>
      </c>
    </row>
    <row r="1026" spans="1:2" x14ac:dyDescent="0.3">
      <c r="A1026" s="6">
        <v>1130614058</v>
      </c>
      <c r="B1026" s="6" t="str">
        <f>VLOOKUP(A1026,'HOGARES-BASELINE'!$B:$I,8,FALSE)</f>
        <v>00020176</v>
      </c>
    </row>
    <row r="1027" spans="1:2" x14ac:dyDescent="0.3">
      <c r="A1027" s="6">
        <v>1130621848</v>
      </c>
      <c r="B1027" s="6" t="str">
        <f>VLOOKUP(A1027,'HOGARES-BASELINE'!$B:$I,8,FALSE)</f>
        <v>01020177</v>
      </c>
    </row>
    <row r="1028" spans="1:2" x14ac:dyDescent="0.3">
      <c r="A1028" s="6">
        <v>1130668655</v>
      </c>
      <c r="B1028" s="6" t="str">
        <f>VLOOKUP(A1028,'HOGARES-BASELINE'!$B:$I,8,FALSE)</f>
        <v>01020178</v>
      </c>
    </row>
    <row r="1029" spans="1:2" x14ac:dyDescent="0.3">
      <c r="A1029" s="6">
        <v>1140822745</v>
      </c>
      <c r="B1029" s="6" t="str">
        <f>VLOOKUP(A1029,'HOGARES-BASELINE'!$B:$I,8,FALSE)</f>
        <v>01030180</v>
      </c>
    </row>
    <row r="1030" spans="1:2" x14ac:dyDescent="0.3">
      <c r="A1030" s="6">
        <v>1140837632</v>
      </c>
      <c r="B1030" s="6" t="str">
        <f>VLOOKUP(A1030,'HOGARES-BASELINE'!$B:$I,8,FALSE)</f>
        <v>01030181</v>
      </c>
    </row>
    <row r="1031" spans="1:2" x14ac:dyDescent="0.3">
      <c r="A1031" s="6">
        <v>1143115892</v>
      </c>
      <c r="B1031" s="6" t="str">
        <f>VLOOKUP(A1031,'HOGARES-BASELINE'!$B:$I,8,FALSE)</f>
        <v>00030182</v>
      </c>
    </row>
    <row r="1032" spans="1:2" x14ac:dyDescent="0.3">
      <c r="A1032" s="6">
        <v>1143121744</v>
      </c>
      <c r="B1032" s="6" t="str">
        <f>VLOOKUP(A1032,'HOGARES-BASELINE'!$B:$I,8,FALSE)</f>
        <v>00030183</v>
      </c>
    </row>
    <row r="1033" spans="1:2" x14ac:dyDescent="0.3">
      <c r="A1033" s="6">
        <v>1143122394</v>
      </c>
      <c r="B1033" s="6" t="str">
        <f>VLOOKUP(A1033,'HOGARES-BASELINE'!$B:$I,8,FALSE)</f>
        <v>00030184</v>
      </c>
    </row>
    <row r="1034" spans="1:2" x14ac:dyDescent="0.3">
      <c r="A1034" s="6">
        <v>1143125383</v>
      </c>
      <c r="B1034" s="6" t="str">
        <f>VLOOKUP(A1034,'HOGARES-BASELINE'!$B:$I,8,FALSE)</f>
        <v>00030185</v>
      </c>
    </row>
    <row r="1035" spans="1:2" x14ac:dyDescent="0.3">
      <c r="A1035" s="6">
        <v>1143138306</v>
      </c>
      <c r="B1035" s="6" t="str">
        <f>VLOOKUP(A1035,'HOGARES-BASELINE'!$B:$I,8,FALSE)</f>
        <v>00030186</v>
      </c>
    </row>
    <row r="1036" spans="1:2" x14ac:dyDescent="0.3">
      <c r="A1036" s="6">
        <v>1143224673</v>
      </c>
      <c r="B1036" s="6" t="str">
        <f>VLOOKUP(A1036,'HOGARES-BASELINE'!$B:$I,8,FALSE)</f>
        <v>01030187</v>
      </c>
    </row>
    <row r="1037" spans="1:2" x14ac:dyDescent="0.3">
      <c r="A1037" s="6">
        <v>1143229612</v>
      </c>
      <c r="B1037" s="6" t="str">
        <f>VLOOKUP(A1037,'HOGARES-BASELINE'!$B:$I,8,FALSE)</f>
        <v>01030188</v>
      </c>
    </row>
    <row r="1038" spans="1:2" x14ac:dyDescent="0.3">
      <c r="A1038" s="6">
        <v>1143243433</v>
      </c>
      <c r="B1038" s="6" t="str">
        <f>VLOOKUP(A1038,'HOGARES-BASELINE'!$B:$I,8,FALSE)</f>
        <v>01030189</v>
      </c>
    </row>
    <row r="1039" spans="1:2" x14ac:dyDescent="0.3">
      <c r="A1039" s="6">
        <v>1143246211</v>
      </c>
      <c r="B1039" s="6" t="str">
        <f>VLOOKUP(A1039,'HOGARES-BASELINE'!$B:$I,8,FALSE)</f>
        <v>01030190</v>
      </c>
    </row>
    <row r="1040" spans="1:2" x14ac:dyDescent="0.3">
      <c r="A1040" s="6">
        <v>1143247447</v>
      </c>
      <c r="B1040" s="6" t="str">
        <f>VLOOKUP(A1040,'HOGARES-BASELINE'!$B:$I,8,FALSE)</f>
        <v>01030191</v>
      </c>
    </row>
    <row r="1041" spans="1:2" x14ac:dyDescent="0.3">
      <c r="A1041" s="6">
        <v>1143259102</v>
      </c>
      <c r="B1041" s="6" t="str">
        <f>VLOOKUP(A1041,'HOGARES-BASELINE'!$B:$I,8,FALSE)</f>
        <v>01030192</v>
      </c>
    </row>
    <row r="1042" spans="1:2" x14ac:dyDescent="0.3">
      <c r="A1042" s="6">
        <v>1143429421</v>
      </c>
      <c r="B1042" s="6" t="str">
        <f>VLOOKUP(A1042,'HOGARES-BASELINE'!$B:$I,8,FALSE)</f>
        <v>00030193</v>
      </c>
    </row>
    <row r="1043" spans="1:2" x14ac:dyDescent="0.3">
      <c r="A1043" s="6">
        <v>1143830506</v>
      </c>
      <c r="B1043" s="6" t="str">
        <f>VLOOKUP(A1043,'HOGARES-BASELINE'!$B:$I,8,FALSE)</f>
        <v>01020194</v>
      </c>
    </row>
    <row r="1044" spans="1:2" x14ac:dyDescent="0.3">
      <c r="A1044" s="6">
        <v>1143831016</v>
      </c>
      <c r="B1044" s="6" t="str">
        <f>VLOOKUP(A1044,'HOGARES-BASELINE'!$B:$I,8,FALSE)</f>
        <v>01020195</v>
      </c>
    </row>
    <row r="1045" spans="1:2" x14ac:dyDescent="0.3">
      <c r="A1045" s="6">
        <v>1143831802</v>
      </c>
      <c r="B1045" s="6" t="str">
        <f>VLOOKUP(A1045,'HOGARES-BASELINE'!$B:$I,8,FALSE)</f>
        <v>00020196</v>
      </c>
    </row>
    <row r="1046" spans="1:2" x14ac:dyDescent="0.3">
      <c r="A1046" s="6">
        <v>1143831857</v>
      </c>
      <c r="B1046" s="6" t="str">
        <f>VLOOKUP(A1046,'HOGARES-BASELINE'!$B:$I,8,FALSE)</f>
        <v>00020197</v>
      </c>
    </row>
    <row r="1047" spans="1:2" x14ac:dyDescent="0.3">
      <c r="A1047" s="6">
        <v>1143833310</v>
      </c>
      <c r="B1047" s="6" t="str">
        <f>VLOOKUP(A1047,'HOGARES-BASELINE'!$B:$I,8,FALSE)</f>
        <v>00020198</v>
      </c>
    </row>
    <row r="1048" spans="1:2" x14ac:dyDescent="0.3">
      <c r="A1048" s="6">
        <v>1143834208</v>
      </c>
      <c r="B1048" s="6" t="str">
        <f>VLOOKUP(A1048,'HOGARES-BASELINE'!$B:$I,8,FALSE)</f>
        <v>00020199</v>
      </c>
    </row>
    <row r="1049" spans="1:2" x14ac:dyDescent="0.3">
      <c r="A1049" s="6">
        <v>1143838084</v>
      </c>
      <c r="B1049" s="6" t="str">
        <f>VLOOKUP(A1049,'HOGARES-BASELINE'!$B:$I,8,FALSE)</f>
        <v>00020200</v>
      </c>
    </row>
    <row r="1050" spans="1:2" x14ac:dyDescent="0.3">
      <c r="A1050" s="6">
        <v>1143841537</v>
      </c>
      <c r="B1050" s="6" t="str">
        <f>VLOOKUP(A1050,'HOGARES-BASELINE'!$B:$I,8,FALSE)</f>
        <v>01020201</v>
      </c>
    </row>
    <row r="1051" spans="1:2" x14ac:dyDescent="0.3">
      <c r="A1051" s="6">
        <v>1143841673</v>
      </c>
      <c r="B1051" s="6" t="str">
        <f>VLOOKUP(A1051,'HOGARES-BASELINE'!$B:$I,8,FALSE)</f>
        <v>00020202</v>
      </c>
    </row>
    <row r="1052" spans="1:2" x14ac:dyDescent="0.3">
      <c r="A1052" s="6">
        <v>1143843397</v>
      </c>
      <c r="B1052" s="6" t="str">
        <f>VLOOKUP(A1052,'HOGARES-BASELINE'!$B:$I,8,FALSE)</f>
        <v>00020203</v>
      </c>
    </row>
    <row r="1053" spans="1:2" x14ac:dyDescent="0.3">
      <c r="A1053" s="6">
        <v>1143845493</v>
      </c>
      <c r="B1053" s="6" t="str">
        <f>VLOOKUP(A1053,'HOGARES-BASELINE'!$B:$I,8,FALSE)</f>
        <v>01020204</v>
      </c>
    </row>
    <row r="1054" spans="1:2" x14ac:dyDescent="0.3">
      <c r="A1054" s="6">
        <v>1143846263</v>
      </c>
      <c r="B1054" s="6" t="str">
        <f>VLOOKUP(A1054,'HOGARES-BASELINE'!$B:$I,8,FALSE)</f>
        <v>00020205</v>
      </c>
    </row>
    <row r="1055" spans="1:2" x14ac:dyDescent="0.3">
      <c r="A1055" s="6">
        <v>1143846465</v>
      </c>
      <c r="B1055" s="6" t="str">
        <f>VLOOKUP(A1055,'HOGARES-BASELINE'!$B:$I,8,FALSE)</f>
        <v>00020206</v>
      </c>
    </row>
    <row r="1056" spans="1:2" x14ac:dyDescent="0.3">
      <c r="A1056" s="6">
        <v>1143847668</v>
      </c>
      <c r="B1056" s="6" t="str">
        <f>VLOOKUP(A1056,'HOGARES-BASELINE'!$B:$I,8,FALSE)</f>
        <v>00020207</v>
      </c>
    </row>
    <row r="1057" spans="1:2" x14ac:dyDescent="0.3">
      <c r="A1057" s="6">
        <v>1143853115</v>
      </c>
      <c r="B1057" s="6" t="str">
        <f>VLOOKUP(A1057,'HOGARES-BASELINE'!$B:$I,8,FALSE)</f>
        <v>00020208</v>
      </c>
    </row>
    <row r="1058" spans="1:2" x14ac:dyDescent="0.3">
      <c r="A1058" s="6">
        <v>1143853293</v>
      </c>
      <c r="B1058" s="6" t="str">
        <f>VLOOKUP(A1058,'HOGARES-BASELINE'!$B:$I,8,FALSE)</f>
        <v>00020209</v>
      </c>
    </row>
    <row r="1059" spans="1:2" x14ac:dyDescent="0.3">
      <c r="A1059" s="6">
        <v>1143853398</v>
      </c>
      <c r="B1059" s="6" t="str">
        <f>VLOOKUP(A1059,'HOGARES-BASELINE'!$B:$I,8,FALSE)</f>
        <v>00020210</v>
      </c>
    </row>
    <row r="1060" spans="1:2" x14ac:dyDescent="0.3">
      <c r="A1060" s="6">
        <v>1143857197</v>
      </c>
      <c r="B1060" s="6" t="str">
        <f>VLOOKUP(A1060,'HOGARES-BASELINE'!$B:$I,8,FALSE)</f>
        <v>00020211</v>
      </c>
    </row>
    <row r="1061" spans="1:2" x14ac:dyDescent="0.3">
      <c r="A1061" s="6">
        <v>1143958126</v>
      </c>
      <c r="B1061" s="6" t="str">
        <f>VLOOKUP(A1061,'HOGARES-BASELINE'!$B:$I,8,FALSE)</f>
        <v>00020212</v>
      </c>
    </row>
    <row r="1062" spans="1:2" x14ac:dyDescent="0.3">
      <c r="A1062" s="6">
        <v>1144024517</v>
      </c>
      <c r="B1062" s="6" t="str">
        <f>VLOOKUP(A1062,'HOGARES-BASELINE'!$B:$I,8,FALSE)</f>
        <v>01020213</v>
      </c>
    </row>
    <row r="1063" spans="1:2" x14ac:dyDescent="0.3">
      <c r="A1063" s="6">
        <v>1144031654</v>
      </c>
      <c r="B1063" s="6" t="str">
        <f>VLOOKUP(A1063,'HOGARES-BASELINE'!$B:$I,8,FALSE)</f>
        <v>01020216</v>
      </c>
    </row>
    <row r="1064" spans="1:2" x14ac:dyDescent="0.3">
      <c r="A1064" s="6">
        <v>1144034037</v>
      </c>
      <c r="B1064" s="6" t="str">
        <f>VLOOKUP(A1064,'HOGARES-BASELINE'!$B:$I,8,FALSE)</f>
        <v>01020217</v>
      </c>
    </row>
    <row r="1065" spans="1:2" x14ac:dyDescent="0.3">
      <c r="A1065" s="6">
        <v>1144035169</v>
      </c>
      <c r="B1065" s="6" t="str">
        <f>VLOOKUP(A1065,'HOGARES-BASELINE'!$B:$I,8,FALSE)</f>
        <v>01020218</v>
      </c>
    </row>
    <row r="1066" spans="1:2" x14ac:dyDescent="0.3">
      <c r="A1066" s="6">
        <v>1144037995</v>
      </c>
      <c r="B1066" s="6" t="str">
        <f>VLOOKUP(A1066,'HOGARES-BASELINE'!$B:$I,8,FALSE)</f>
        <v>01020219</v>
      </c>
    </row>
    <row r="1067" spans="1:2" x14ac:dyDescent="0.3">
      <c r="A1067" s="6">
        <v>1144038733</v>
      </c>
      <c r="B1067" s="6" t="str">
        <f>VLOOKUP(A1067,'HOGARES-BASELINE'!$B:$I,8,FALSE)</f>
        <v>01020221</v>
      </c>
    </row>
    <row r="1068" spans="1:2" x14ac:dyDescent="0.3">
      <c r="A1068" s="6">
        <v>1144043798</v>
      </c>
      <c r="B1068" s="6" t="str">
        <f>VLOOKUP(A1068,'HOGARES-BASELINE'!$B:$I,8,FALSE)</f>
        <v>01020222</v>
      </c>
    </row>
    <row r="1069" spans="1:2" x14ac:dyDescent="0.3">
      <c r="A1069" s="6">
        <v>1144045256</v>
      </c>
      <c r="B1069" s="6" t="str">
        <f>VLOOKUP(A1069,'HOGARES-BASELINE'!$B:$I,8,FALSE)</f>
        <v>01020223</v>
      </c>
    </row>
    <row r="1070" spans="1:2" x14ac:dyDescent="0.3">
      <c r="A1070" s="6">
        <v>1144046314</v>
      </c>
      <c r="B1070" s="6" t="str">
        <f>VLOOKUP(A1070,'HOGARES-BASELINE'!$B:$I,8,FALSE)</f>
        <v>01020224</v>
      </c>
    </row>
    <row r="1071" spans="1:2" x14ac:dyDescent="0.3">
      <c r="A1071" s="6">
        <v>1144046952</v>
      </c>
      <c r="B1071" s="6" t="str">
        <f>VLOOKUP(A1071,'HOGARES-BASELINE'!$B:$I,8,FALSE)</f>
        <v>01020225</v>
      </c>
    </row>
    <row r="1072" spans="1:2" x14ac:dyDescent="0.3">
      <c r="A1072" s="6">
        <v>1144051270</v>
      </c>
      <c r="B1072" s="6" t="str">
        <f>VLOOKUP(A1072,'HOGARES-BASELINE'!$B:$I,8,FALSE)</f>
        <v>01020226</v>
      </c>
    </row>
    <row r="1073" spans="1:2" x14ac:dyDescent="0.3">
      <c r="A1073" s="6">
        <v>1144059852</v>
      </c>
      <c r="B1073" s="6" t="str">
        <f>VLOOKUP(A1073,'HOGARES-BASELINE'!$B:$I,8,FALSE)</f>
        <v>01020227</v>
      </c>
    </row>
    <row r="1074" spans="1:2" x14ac:dyDescent="0.3">
      <c r="A1074" s="6">
        <v>1144065963</v>
      </c>
      <c r="B1074" s="6" t="str">
        <f>VLOOKUP(A1074,'HOGARES-BASELINE'!$B:$I,8,FALSE)</f>
        <v>01020228</v>
      </c>
    </row>
    <row r="1075" spans="1:2" x14ac:dyDescent="0.3">
      <c r="A1075" s="6">
        <v>1144068248</v>
      </c>
      <c r="B1075" s="6" t="str">
        <f>VLOOKUP(A1075,'HOGARES-BASELINE'!$B:$I,8,FALSE)</f>
        <v>00020229</v>
      </c>
    </row>
    <row r="1076" spans="1:2" x14ac:dyDescent="0.3">
      <c r="A1076" s="6">
        <v>1144071056</v>
      </c>
      <c r="B1076" s="6" t="str">
        <f>VLOOKUP(A1076,'HOGARES-BASELINE'!$B:$I,8,FALSE)</f>
        <v>01020230</v>
      </c>
    </row>
    <row r="1077" spans="1:2" x14ac:dyDescent="0.3">
      <c r="A1077" s="6">
        <v>1144082561</v>
      </c>
      <c r="B1077" s="6" t="str">
        <f>VLOOKUP(A1077,'HOGARES-BASELINE'!$B:$I,8,FALSE)</f>
        <v>01020231</v>
      </c>
    </row>
    <row r="1078" spans="1:2" x14ac:dyDescent="0.3">
      <c r="A1078" s="6">
        <v>1144094813</v>
      </c>
      <c r="B1078" s="6" t="str">
        <f>VLOOKUP(A1078,'HOGARES-BASELINE'!$B:$I,8,FALSE)</f>
        <v>01020232</v>
      </c>
    </row>
    <row r="1079" spans="1:2" x14ac:dyDescent="0.3">
      <c r="A1079" s="6">
        <v>1144097141</v>
      </c>
      <c r="B1079" s="6" t="str">
        <f>VLOOKUP(A1079,'HOGARES-BASELINE'!$B:$I,8,FALSE)</f>
        <v>00020233</v>
      </c>
    </row>
    <row r="1080" spans="1:2" x14ac:dyDescent="0.3">
      <c r="A1080" s="6">
        <v>1144101026</v>
      </c>
      <c r="B1080" s="6" t="str">
        <f>VLOOKUP(A1080,'HOGARES-BASELINE'!$B:$I,8,FALSE)</f>
        <v>01020234</v>
      </c>
    </row>
    <row r="1081" spans="1:2" x14ac:dyDescent="0.3">
      <c r="A1081" s="6">
        <v>1144160399</v>
      </c>
      <c r="B1081" s="6" t="str">
        <f>VLOOKUP(A1081,'HOGARES-BASELINE'!$B:$I,8,FALSE)</f>
        <v>01020235</v>
      </c>
    </row>
    <row r="1082" spans="1:2" x14ac:dyDescent="0.3">
      <c r="A1082" s="6">
        <v>1146434251</v>
      </c>
      <c r="B1082" s="6" t="str">
        <f>VLOOKUP(A1082,'HOGARES-BASELINE'!$B:$I,8,FALSE)</f>
        <v>01010237</v>
      </c>
    </row>
    <row r="1083" spans="1:2" x14ac:dyDescent="0.3">
      <c r="A1083" s="6">
        <v>1147950412</v>
      </c>
      <c r="B1083" s="6" t="str">
        <f>VLOOKUP(A1083,'HOGARES-BASELINE'!$B:$I,8,FALSE)</f>
        <v>01010238</v>
      </c>
    </row>
    <row r="1084" spans="1:2" x14ac:dyDescent="0.3">
      <c r="A1084" s="6">
        <v>1147957415</v>
      </c>
      <c r="B1084" s="6" t="str">
        <f>VLOOKUP(A1084,'HOGARES-BASELINE'!$B:$I,8,FALSE)</f>
        <v>01010239</v>
      </c>
    </row>
    <row r="1085" spans="1:2" x14ac:dyDescent="0.3">
      <c r="A1085" s="6">
        <v>1149440235</v>
      </c>
      <c r="B1085" s="6" t="str">
        <f>VLOOKUP(A1085,'HOGARES-BASELINE'!$B:$I,8,FALSE)</f>
        <v>01030240</v>
      </c>
    </row>
    <row r="1086" spans="1:2" x14ac:dyDescent="0.3">
      <c r="A1086" s="6">
        <v>1152204057</v>
      </c>
      <c r="B1086" s="6" t="str">
        <f>VLOOKUP(A1086,'HOGARES-BASELINE'!$B:$I,8,FALSE)</f>
        <v>01010241</v>
      </c>
    </row>
    <row r="1087" spans="1:2" x14ac:dyDescent="0.3">
      <c r="A1087" s="6">
        <v>1152449711</v>
      </c>
      <c r="B1087" s="6" t="str">
        <f>VLOOKUP(A1087,'HOGARES-BASELINE'!$B:$I,8,FALSE)</f>
        <v>00010242</v>
      </c>
    </row>
    <row r="1088" spans="1:2" x14ac:dyDescent="0.3">
      <c r="A1088" s="6">
        <v>1152716412</v>
      </c>
      <c r="B1088" s="6" t="str">
        <f>VLOOKUP(A1088,'HOGARES-BASELINE'!$B:$I,8,FALSE)</f>
        <v>00010243</v>
      </c>
    </row>
    <row r="1089" spans="1:2" x14ac:dyDescent="0.3">
      <c r="A1089" s="6">
        <v>1192898936</v>
      </c>
      <c r="B1089" s="6" t="str">
        <f>VLOOKUP(A1089,'HOGARES-BASELINE'!$B:$I,8,FALSE)</f>
        <v>01010244</v>
      </c>
    </row>
    <row r="1090" spans="1:2" x14ac:dyDescent="0.3">
      <c r="A1090" s="6">
        <v>1193298386</v>
      </c>
      <c r="B1090" s="6" t="str">
        <f>VLOOKUP(A1090,'HOGARES-BASELINE'!$B:$I,8,FALSE)</f>
        <v>00010245</v>
      </c>
    </row>
    <row r="1091" spans="1:2" x14ac:dyDescent="0.3">
      <c r="A1091" s="6">
        <v>1193327320</v>
      </c>
      <c r="B1091" s="6" t="str">
        <f>VLOOKUP(A1091,'HOGARES-BASELINE'!$B:$I,8,FALSE)</f>
        <v>01030246</v>
      </c>
    </row>
    <row r="1092" spans="1:2" x14ac:dyDescent="0.3">
      <c r="A1092" s="6">
        <v>1193371842</v>
      </c>
      <c r="B1092" s="6" t="str">
        <f>VLOOKUP(A1092,'HOGARES-BASELINE'!$B:$I,8,FALSE)</f>
        <v>01030247</v>
      </c>
    </row>
    <row r="1093" spans="1:2" x14ac:dyDescent="0.3">
      <c r="A1093" s="6">
        <v>1193456461</v>
      </c>
      <c r="B1093" s="6" t="str">
        <f>VLOOKUP(A1093,'HOGARES-BASELINE'!$B:$I,8,FALSE)</f>
        <v>00030248</v>
      </c>
    </row>
    <row r="1094" spans="1:2" x14ac:dyDescent="0.3">
      <c r="A1094" s="6">
        <v>1193555442</v>
      </c>
      <c r="B1094" s="6" t="str">
        <f>VLOOKUP(A1094,'HOGARES-BASELINE'!$B:$I,8,FALSE)</f>
        <v>00020249</v>
      </c>
    </row>
    <row r="1095" spans="1:2" x14ac:dyDescent="0.3">
      <c r="A1095" s="6">
        <v>1214737888</v>
      </c>
      <c r="B1095" s="6" t="str">
        <f>VLOOKUP(A1095,'HOGARES-BASELINE'!$B:$I,8,FALSE)</f>
        <v>00010251</v>
      </c>
    </row>
  </sheetData>
  <autoFilter ref="A1:B3945" xr:uid="{2F34E88B-2C61-4FC8-A714-9661AE7F012B}"/>
  <conditionalFormatting sqref="A1:B1">
    <cfRule type="containsText" dxfId="3" priority="3" operator="containsText" text="SOSPECHOSO">
      <formula>NOT(ISERROR(SEARCH("SOSPECHOSO",A1)))</formula>
    </cfRule>
    <cfRule type="containsText" dxfId="2" priority="4" operator="containsText" text="CORRECTO">
      <formula>NOT(ISERROR(SEARCH("CORRECTO",A1)))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8B5D-1132-4095-BF03-36FA693F40F6}">
  <dimension ref="A1:F3170"/>
  <sheetViews>
    <sheetView workbookViewId="0">
      <selection activeCell="G1" sqref="G1:G1048576"/>
    </sheetView>
  </sheetViews>
  <sheetFormatPr baseColWidth="10" defaultRowHeight="14.4" x14ac:dyDescent="0.3"/>
  <cols>
    <col min="1" max="1" width="11.5546875" style="6"/>
    <col min="6" max="6" width="11.5546875" style="6"/>
  </cols>
  <sheetData>
    <row r="1" spans="1:6" ht="24.6" x14ac:dyDescent="0.3">
      <c r="A1" s="1" t="s">
        <v>1</v>
      </c>
      <c r="B1" s="1" t="s">
        <v>3947</v>
      </c>
      <c r="C1" s="1" t="s">
        <v>5118</v>
      </c>
      <c r="D1" s="1" t="s">
        <v>5119</v>
      </c>
      <c r="E1" s="1" t="s">
        <v>3946</v>
      </c>
      <c r="F1" s="1" t="s">
        <v>1</v>
      </c>
    </row>
    <row r="2" spans="1:6" x14ac:dyDescent="0.3">
      <c r="A2" s="6" t="s">
        <v>3472</v>
      </c>
      <c r="B2">
        <v>670254</v>
      </c>
      <c r="C2">
        <v>1</v>
      </c>
      <c r="D2" t="str">
        <f>_xlfn.CONCAT(0,C2)</f>
        <v>01</v>
      </c>
      <c r="E2" t="str">
        <f>VLOOKUP(B2,'HOGARES-ENDLINE'!$A:$B,2,FALSE)</f>
        <v>01011005</v>
      </c>
      <c r="F2" s="6" t="str">
        <f>_xlfn.CONCAT(E2,D2)</f>
        <v>0101100501</v>
      </c>
    </row>
    <row r="3" spans="1:6" x14ac:dyDescent="0.3">
      <c r="A3" s="6" t="s">
        <v>3475</v>
      </c>
      <c r="B3">
        <v>670254</v>
      </c>
      <c r="C3">
        <v>2</v>
      </c>
      <c r="D3" t="str">
        <f t="shared" ref="D3:D46" si="0">_xlfn.CONCAT(0,C3)</f>
        <v>02</v>
      </c>
      <c r="E3" t="str">
        <f>VLOOKUP(B3,'HOGARES-ENDLINE'!$A:$B,2,FALSE)</f>
        <v>01011005</v>
      </c>
      <c r="F3" s="6" t="str">
        <f t="shared" ref="F3:F66" si="1">_xlfn.CONCAT(E3,D3)</f>
        <v>0101100502</v>
      </c>
    </row>
    <row r="4" spans="1:6" x14ac:dyDescent="0.3">
      <c r="A4" s="6" t="s">
        <v>3474</v>
      </c>
      <c r="B4">
        <v>670254</v>
      </c>
      <c r="C4">
        <v>3</v>
      </c>
      <c r="D4" t="str">
        <f t="shared" si="0"/>
        <v>03</v>
      </c>
      <c r="E4" t="str">
        <f>VLOOKUP(B4,'HOGARES-ENDLINE'!$A:$B,2,FALSE)</f>
        <v>01011005</v>
      </c>
      <c r="F4" s="6" t="str">
        <f t="shared" si="1"/>
        <v>0101100503</v>
      </c>
    </row>
    <row r="5" spans="1:6" x14ac:dyDescent="0.3">
      <c r="A5" s="6" t="s">
        <v>3473</v>
      </c>
      <c r="B5">
        <v>670254</v>
      </c>
      <c r="C5">
        <v>4</v>
      </c>
      <c r="D5" t="str">
        <f t="shared" si="0"/>
        <v>04</v>
      </c>
      <c r="E5" t="str">
        <f>VLOOKUP(B5,'HOGARES-ENDLINE'!$A:$B,2,FALSE)</f>
        <v>01011005</v>
      </c>
      <c r="F5" s="6" t="str">
        <f t="shared" si="1"/>
        <v>0101100504</v>
      </c>
    </row>
    <row r="6" spans="1:6" x14ac:dyDescent="0.3">
      <c r="A6" s="6" t="s">
        <v>3770</v>
      </c>
      <c r="B6">
        <v>761321</v>
      </c>
      <c r="C6">
        <v>1</v>
      </c>
      <c r="D6" t="str">
        <f t="shared" si="0"/>
        <v>01</v>
      </c>
      <c r="E6" t="str">
        <f>VLOOKUP(B6,'HOGARES-ENDLINE'!$A:$B,2,FALSE)</f>
        <v>01011096</v>
      </c>
      <c r="F6" s="6" t="str">
        <f t="shared" si="1"/>
        <v>0101109601</v>
      </c>
    </row>
    <row r="7" spans="1:6" x14ac:dyDescent="0.3">
      <c r="A7" s="6" t="s">
        <v>3803</v>
      </c>
      <c r="B7">
        <v>832608</v>
      </c>
      <c r="C7">
        <v>3</v>
      </c>
      <c r="D7" t="str">
        <f t="shared" si="0"/>
        <v>03</v>
      </c>
      <c r="E7" t="str">
        <f>VLOOKUP(B7,'HOGARES-ENDLINE'!$A:$B,2,FALSE)</f>
        <v>01031108</v>
      </c>
      <c r="F7" s="6" t="str">
        <f t="shared" si="1"/>
        <v>0103110803</v>
      </c>
    </row>
    <row r="8" spans="1:6" x14ac:dyDescent="0.3">
      <c r="A8" s="6" t="s">
        <v>3806</v>
      </c>
      <c r="B8">
        <v>832608</v>
      </c>
      <c r="C8">
        <v>1</v>
      </c>
      <c r="D8" t="str">
        <f t="shared" si="0"/>
        <v>01</v>
      </c>
      <c r="E8" t="str">
        <f>VLOOKUP(B8,'HOGARES-ENDLINE'!$A:$B,2,FALSE)</f>
        <v>01031108</v>
      </c>
      <c r="F8" s="6" t="str">
        <f t="shared" si="1"/>
        <v>0103110801</v>
      </c>
    </row>
    <row r="9" spans="1:6" x14ac:dyDescent="0.3">
      <c r="A9" s="6" t="s">
        <v>3805</v>
      </c>
      <c r="B9">
        <v>832608</v>
      </c>
      <c r="C9">
        <v>4</v>
      </c>
      <c r="D9" t="str">
        <f t="shared" si="0"/>
        <v>04</v>
      </c>
      <c r="E9" t="str">
        <f>VLOOKUP(B9,'HOGARES-ENDLINE'!$A:$B,2,FALSE)</f>
        <v>01031108</v>
      </c>
      <c r="F9" s="6" t="str">
        <f t="shared" si="1"/>
        <v>0103110804</v>
      </c>
    </row>
    <row r="10" spans="1:6" x14ac:dyDescent="0.3">
      <c r="A10" s="6" t="s">
        <v>3804</v>
      </c>
      <c r="B10">
        <v>832608</v>
      </c>
      <c r="C10">
        <v>2</v>
      </c>
      <c r="D10" t="str">
        <f t="shared" si="0"/>
        <v>02</v>
      </c>
      <c r="E10" t="str">
        <f>VLOOKUP(B10,'HOGARES-ENDLINE'!$A:$B,2,FALSE)</f>
        <v>01031108</v>
      </c>
      <c r="F10" s="6" t="str">
        <f t="shared" si="1"/>
        <v>0103110802</v>
      </c>
    </row>
    <row r="11" spans="1:6" x14ac:dyDescent="0.3">
      <c r="A11" s="6" t="s">
        <v>969</v>
      </c>
      <c r="B11">
        <v>1381356</v>
      </c>
      <c r="C11">
        <v>1</v>
      </c>
      <c r="D11" t="str">
        <f t="shared" si="0"/>
        <v>01</v>
      </c>
      <c r="E11" t="str">
        <f>VLOOKUP(B11,'HOGARES-ENDLINE'!$A:$B,2,FALSE)</f>
        <v>01020260</v>
      </c>
      <c r="F11" s="6" t="str">
        <f t="shared" si="1"/>
        <v>0102026001</v>
      </c>
    </row>
    <row r="12" spans="1:6" x14ac:dyDescent="0.3">
      <c r="A12" s="6" t="s">
        <v>996</v>
      </c>
      <c r="B12">
        <v>1522015</v>
      </c>
      <c r="C12">
        <v>1</v>
      </c>
      <c r="D12" t="str">
        <f t="shared" si="0"/>
        <v>01</v>
      </c>
      <c r="E12" t="str">
        <f>VLOOKUP(B12,'HOGARES-ENDLINE'!$A:$B,2,FALSE)</f>
        <v>00020270</v>
      </c>
      <c r="F12" s="6" t="str">
        <f t="shared" si="1"/>
        <v>0002027001</v>
      </c>
    </row>
    <row r="13" spans="1:6" x14ac:dyDescent="0.3">
      <c r="A13" s="6" t="s">
        <v>999</v>
      </c>
      <c r="B13">
        <v>1586059</v>
      </c>
      <c r="C13">
        <v>1</v>
      </c>
      <c r="D13" t="str">
        <f t="shared" si="0"/>
        <v>01</v>
      </c>
      <c r="E13" t="str">
        <f>VLOOKUP(B13,'HOGARES-ENDLINE'!$A:$B,2,FALSE)</f>
        <v>01020272</v>
      </c>
      <c r="F13" s="6" t="str">
        <f t="shared" si="1"/>
        <v>0102027201</v>
      </c>
    </row>
    <row r="14" spans="1:6" x14ac:dyDescent="0.3">
      <c r="A14" s="6" t="s">
        <v>1097</v>
      </c>
      <c r="B14">
        <v>1747298</v>
      </c>
      <c r="C14">
        <v>1</v>
      </c>
      <c r="D14" t="str">
        <f t="shared" si="0"/>
        <v>01</v>
      </c>
      <c r="E14" t="str">
        <f>VLOOKUP(B14,'HOGARES-ENDLINE'!$A:$B,2,FALSE)</f>
        <v>00030303</v>
      </c>
      <c r="F14" s="6" t="str">
        <f t="shared" si="1"/>
        <v>0003030301</v>
      </c>
    </row>
    <row r="15" spans="1:6" x14ac:dyDescent="0.3">
      <c r="A15" s="6" t="s">
        <v>1096</v>
      </c>
      <c r="B15">
        <v>1747298</v>
      </c>
      <c r="C15">
        <v>2</v>
      </c>
      <c r="D15" t="str">
        <f t="shared" si="0"/>
        <v>02</v>
      </c>
      <c r="E15" t="str">
        <f>VLOOKUP(B15,'HOGARES-ENDLINE'!$A:$B,2,FALSE)</f>
        <v>00030303</v>
      </c>
      <c r="F15" s="6" t="str">
        <f t="shared" si="1"/>
        <v>0003030302</v>
      </c>
    </row>
    <row r="16" spans="1:6" x14ac:dyDescent="0.3">
      <c r="A16" s="6" t="s">
        <v>1504</v>
      </c>
      <c r="B16">
        <v>2272778</v>
      </c>
      <c r="C16">
        <v>1</v>
      </c>
      <c r="D16" t="str">
        <f t="shared" si="0"/>
        <v>01</v>
      </c>
      <c r="E16" t="str">
        <f>VLOOKUP(B16,'HOGARES-ENDLINE'!$A:$B,2,FALSE)</f>
        <v>00020430</v>
      </c>
      <c r="F16" s="6" t="str">
        <f t="shared" si="1"/>
        <v>0002043001</v>
      </c>
    </row>
    <row r="17" spans="1:6" x14ac:dyDescent="0.3">
      <c r="A17" s="6" t="s">
        <v>1505</v>
      </c>
      <c r="B17">
        <v>2272778</v>
      </c>
      <c r="C17">
        <v>2</v>
      </c>
      <c r="D17" t="str">
        <f t="shared" si="0"/>
        <v>02</v>
      </c>
      <c r="E17" t="str">
        <f>VLOOKUP(B17,'HOGARES-ENDLINE'!$A:$B,2,FALSE)</f>
        <v>00020430</v>
      </c>
      <c r="F17" s="6" t="str">
        <f t="shared" si="1"/>
        <v>0002043002</v>
      </c>
    </row>
    <row r="18" spans="1:6" x14ac:dyDescent="0.3">
      <c r="A18" s="6" t="s">
        <v>1629</v>
      </c>
      <c r="B18">
        <v>2680456</v>
      </c>
      <c r="C18">
        <v>1</v>
      </c>
      <c r="D18" t="str">
        <f t="shared" si="0"/>
        <v>01</v>
      </c>
      <c r="E18" t="str">
        <f>VLOOKUP(B18,'HOGARES-ENDLINE'!$A:$B,2,FALSE)</f>
        <v>00020472</v>
      </c>
      <c r="F18" s="6" t="str">
        <f t="shared" si="1"/>
        <v>0002047201</v>
      </c>
    </row>
    <row r="19" spans="1:6" x14ac:dyDescent="0.3">
      <c r="A19" s="6" t="s">
        <v>1632</v>
      </c>
      <c r="B19">
        <v>2699661</v>
      </c>
      <c r="C19">
        <v>1</v>
      </c>
      <c r="D19" t="str">
        <f t="shared" si="0"/>
        <v>01</v>
      </c>
      <c r="E19" t="str">
        <f>VLOOKUP(B19,'HOGARES-ENDLINE'!$A:$B,2,FALSE)</f>
        <v>01020473</v>
      </c>
      <c r="F19" s="6" t="str">
        <f t="shared" si="1"/>
        <v>0102047301</v>
      </c>
    </row>
    <row r="20" spans="1:6" x14ac:dyDescent="0.3">
      <c r="A20" s="6" t="s">
        <v>1641</v>
      </c>
      <c r="B20">
        <v>2775711</v>
      </c>
      <c r="C20">
        <v>2</v>
      </c>
      <c r="D20" t="str">
        <f t="shared" si="0"/>
        <v>02</v>
      </c>
      <c r="E20" t="str">
        <f>VLOOKUP(B20,'HOGARES-ENDLINE'!$A:$B,2,FALSE)</f>
        <v>00010476</v>
      </c>
      <c r="F20" s="6" t="str">
        <f t="shared" si="1"/>
        <v>0001047602</v>
      </c>
    </row>
    <row r="21" spans="1:6" x14ac:dyDescent="0.3">
      <c r="A21" s="6" t="s">
        <v>1640</v>
      </c>
      <c r="B21">
        <v>2775711</v>
      </c>
      <c r="C21">
        <v>1</v>
      </c>
      <c r="D21" t="str">
        <f t="shared" si="0"/>
        <v>01</v>
      </c>
      <c r="E21" t="str">
        <f>VLOOKUP(B21,'HOGARES-ENDLINE'!$A:$B,2,FALSE)</f>
        <v>00010476</v>
      </c>
      <c r="F21" s="6" t="str">
        <f t="shared" si="1"/>
        <v>0001047601</v>
      </c>
    </row>
    <row r="22" spans="1:6" x14ac:dyDescent="0.3">
      <c r="A22" s="6" t="s">
        <v>2532</v>
      </c>
      <c r="B22">
        <v>3430889</v>
      </c>
      <c r="C22">
        <v>4</v>
      </c>
      <c r="D22" t="str">
        <f t="shared" si="0"/>
        <v>04</v>
      </c>
      <c r="E22" t="str">
        <f>VLOOKUP(B22,'HOGARES-ENDLINE'!$A:$B,2,FALSE)</f>
        <v>00010733</v>
      </c>
      <c r="F22" s="6" t="str">
        <f t="shared" si="1"/>
        <v>0001073304</v>
      </c>
    </row>
    <row r="23" spans="1:6" x14ac:dyDescent="0.3">
      <c r="A23" s="6" t="s">
        <v>2534</v>
      </c>
      <c r="B23">
        <v>3430889</v>
      </c>
      <c r="C23">
        <v>3</v>
      </c>
      <c r="D23" t="str">
        <f t="shared" si="0"/>
        <v>03</v>
      </c>
      <c r="E23" t="str">
        <f>VLOOKUP(B23,'HOGARES-ENDLINE'!$A:$B,2,FALSE)</f>
        <v>00010733</v>
      </c>
      <c r="F23" s="6" t="str">
        <f t="shared" si="1"/>
        <v>0001073303</v>
      </c>
    </row>
    <row r="24" spans="1:6" x14ac:dyDescent="0.3">
      <c r="A24" s="6" t="s">
        <v>2531</v>
      </c>
      <c r="B24">
        <v>3430889</v>
      </c>
      <c r="C24">
        <v>1</v>
      </c>
      <c r="D24" t="str">
        <f t="shared" si="0"/>
        <v>01</v>
      </c>
      <c r="E24" t="str">
        <f>VLOOKUP(B24,'HOGARES-ENDLINE'!$A:$B,2,FALSE)</f>
        <v>00010733</v>
      </c>
      <c r="F24" s="6" t="str">
        <f t="shared" si="1"/>
        <v>0001073301</v>
      </c>
    </row>
    <row r="25" spans="1:6" x14ac:dyDescent="0.3">
      <c r="A25" s="6" t="s">
        <v>2533</v>
      </c>
      <c r="B25">
        <v>3430889</v>
      </c>
      <c r="C25">
        <v>2</v>
      </c>
      <c r="D25" t="str">
        <f t="shared" si="0"/>
        <v>02</v>
      </c>
      <c r="E25" t="str">
        <f>VLOOKUP(B25,'HOGARES-ENDLINE'!$A:$B,2,FALSE)</f>
        <v>00010733</v>
      </c>
      <c r="F25" s="6" t="str">
        <f t="shared" si="1"/>
        <v>0001073302</v>
      </c>
    </row>
    <row r="26" spans="1:6" x14ac:dyDescent="0.3">
      <c r="A26" s="6" t="s">
        <v>2540</v>
      </c>
      <c r="B26">
        <v>3445785</v>
      </c>
      <c r="C26">
        <v>1</v>
      </c>
      <c r="D26" t="str">
        <f t="shared" si="0"/>
        <v>01</v>
      </c>
      <c r="E26" t="str">
        <f>VLOOKUP(B26,'HOGARES-ENDLINE'!$A:$B,2,FALSE)</f>
        <v>00010735</v>
      </c>
      <c r="F26" s="6" t="str">
        <f t="shared" si="1"/>
        <v>0001073501</v>
      </c>
    </row>
    <row r="27" spans="1:6" x14ac:dyDescent="0.3">
      <c r="A27" s="6" t="s">
        <v>2539</v>
      </c>
      <c r="B27">
        <v>3445785</v>
      </c>
      <c r="C27">
        <v>2</v>
      </c>
      <c r="D27" t="str">
        <f t="shared" si="0"/>
        <v>02</v>
      </c>
      <c r="E27" t="str">
        <f>VLOOKUP(B27,'HOGARES-ENDLINE'!$A:$B,2,FALSE)</f>
        <v>00010735</v>
      </c>
      <c r="F27" s="6" t="str">
        <f t="shared" si="1"/>
        <v>0001073502</v>
      </c>
    </row>
    <row r="28" spans="1:6" x14ac:dyDescent="0.3">
      <c r="A28" s="6" t="s">
        <v>2573</v>
      </c>
      <c r="B28">
        <v>3569578</v>
      </c>
      <c r="C28">
        <v>1</v>
      </c>
      <c r="D28" t="str">
        <f t="shared" si="0"/>
        <v>01</v>
      </c>
      <c r="E28" t="str">
        <f>VLOOKUP(B28,'HOGARES-ENDLINE'!$A:$B,2,FALSE)</f>
        <v>01010743</v>
      </c>
      <c r="F28" s="6" t="str">
        <f t="shared" si="1"/>
        <v>0101074301</v>
      </c>
    </row>
    <row r="29" spans="1:6" x14ac:dyDescent="0.3">
      <c r="A29" s="6" t="s">
        <v>2576</v>
      </c>
      <c r="B29">
        <v>3575338</v>
      </c>
      <c r="C29">
        <v>1</v>
      </c>
      <c r="D29" t="str">
        <f t="shared" si="0"/>
        <v>01</v>
      </c>
      <c r="E29" t="str">
        <f>VLOOKUP(B29,'HOGARES-ENDLINE'!$A:$B,2,FALSE)</f>
        <v>01010744</v>
      </c>
      <c r="F29" s="6" t="str">
        <f t="shared" si="1"/>
        <v>0101074401</v>
      </c>
    </row>
    <row r="30" spans="1:6" x14ac:dyDescent="0.3">
      <c r="A30" s="6" t="s">
        <v>2577</v>
      </c>
      <c r="B30">
        <v>3575338</v>
      </c>
      <c r="C30">
        <v>2</v>
      </c>
      <c r="D30" t="str">
        <f t="shared" si="0"/>
        <v>02</v>
      </c>
      <c r="E30" t="str">
        <f>VLOOKUP(B30,'HOGARES-ENDLINE'!$A:$B,2,FALSE)</f>
        <v>01010744</v>
      </c>
      <c r="F30" s="6" t="str">
        <f t="shared" si="1"/>
        <v>0101074402</v>
      </c>
    </row>
    <row r="31" spans="1:6" x14ac:dyDescent="0.3">
      <c r="A31" s="6" t="s">
        <v>2575</v>
      </c>
      <c r="B31">
        <v>3575338</v>
      </c>
      <c r="C31">
        <v>3</v>
      </c>
      <c r="D31" t="str">
        <f t="shared" si="0"/>
        <v>03</v>
      </c>
      <c r="E31" t="str">
        <f>VLOOKUP(B31,'HOGARES-ENDLINE'!$A:$B,2,FALSE)</f>
        <v>01010744</v>
      </c>
      <c r="F31" s="6" t="str">
        <f t="shared" si="1"/>
        <v>0101074403</v>
      </c>
    </row>
    <row r="32" spans="1:6" x14ac:dyDescent="0.3">
      <c r="A32" s="6" t="s">
        <v>2594</v>
      </c>
      <c r="B32">
        <v>3774099</v>
      </c>
      <c r="C32">
        <v>2</v>
      </c>
      <c r="D32" t="str">
        <f t="shared" si="0"/>
        <v>02</v>
      </c>
      <c r="E32" t="str">
        <f>VLOOKUP(B32,'HOGARES-ENDLINE'!$A:$B,2,FALSE)</f>
        <v>00030751</v>
      </c>
      <c r="F32" s="6" t="str">
        <f t="shared" si="1"/>
        <v>0003075102</v>
      </c>
    </row>
    <row r="33" spans="1:6" x14ac:dyDescent="0.3">
      <c r="A33" s="6" t="s">
        <v>2592</v>
      </c>
      <c r="B33">
        <v>3774099</v>
      </c>
      <c r="C33">
        <v>1</v>
      </c>
      <c r="D33" t="str">
        <f t="shared" si="0"/>
        <v>01</v>
      </c>
      <c r="E33" t="str">
        <f>VLOOKUP(B33,'HOGARES-ENDLINE'!$A:$B,2,FALSE)</f>
        <v>00030751</v>
      </c>
      <c r="F33" s="6" t="str">
        <f t="shared" si="1"/>
        <v>0003075101</v>
      </c>
    </row>
    <row r="34" spans="1:6" x14ac:dyDescent="0.3">
      <c r="A34" s="6" t="s">
        <v>2593</v>
      </c>
      <c r="B34">
        <v>3774099</v>
      </c>
      <c r="C34">
        <v>3</v>
      </c>
      <c r="D34" t="str">
        <f t="shared" si="0"/>
        <v>03</v>
      </c>
      <c r="E34" t="str">
        <f>VLOOKUP(B34,'HOGARES-ENDLINE'!$A:$B,2,FALSE)</f>
        <v>00030751</v>
      </c>
      <c r="F34" s="6" t="str">
        <f t="shared" si="1"/>
        <v>0003075103</v>
      </c>
    </row>
    <row r="35" spans="1:6" x14ac:dyDescent="0.3">
      <c r="A35" s="6" t="s">
        <v>2918</v>
      </c>
      <c r="B35">
        <v>4335238</v>
      </c>
      <c r="C35">
        <v>1</v>
      </c>
      <c r="D35" t="str">
        <f t="shared" si="0"/>
        <v>01</v>
      </c>
      <c r="E35" t="str">
        <f>VLOOKUP(B35,'HOGARES-ENDLINE'!$A:$B,2,FALSE)</f>
        <v>01020849</v>
      </c>
      <c r="F35" s="6" t="str">
        <f t="shared" si="1"/>
        <v>0102084901</v>
      </c>
    </row>
    <row r="36" spans="1:6" x14ac:dyDescent="0.3">
      <c r="A36" s="6" t="s">
        <v>3226</v>
      </c>
      <c r="B36">
        <v>4698774</v>
      </c>
      <c r="C36">
        <v>1</v>
      </c>
      <c r="D36" t="str">
        <f t="shared" si="0"/>
        <v>01</v>
      </c>
      <c r="E36" t="str">
        <f>VLOOKUP(B36,'HOGARES-ENDLINE'!$A:$B,2,FALSE)</f>
        <v>01020934</v>
      </c>
      <c r="F36" s="6" t="str">
        <f t="shared" si="1"/>
        <v>0102093401</v>
      </c>
    </row>
    <row r="37" spans="1:6" x14ac:dyDescent="0.3">
      <c r="A37" s="6" t="s">
        <v>3227</v>
      </c>
      <c r="B37">
        <v>4698774</v>
      </c>
      <c r="C37">
        <v>2</v>
      </c>
      <c r="D37" t="str">
        <f t="shared" si="0"/>
        <v>02</v>
      </c>
      <c r="E37" t="str">
        <f>VLOOKUP(B37,'HOGARES-ENDLINE'!$A:$B,2,FALSE)</f>
        <v>01020934</v>
      </c>
      <c r="F37" s="6" t="str">
        <f t="shared" si="1"/>
        <v>0102093402</v>
      </c>
    </row>
    <row r="38" spans="1:6" x14ac:dyDescent="0.3">
      <c r="A38" s="6" t="s">
        <v>3229</v>
      </c>
      <c r="B38">
        <v>4698828</v>
      </c>
      <c r="C38">
        <v>1</v>
      </c>
      <c r="D38" t="str">
        <f t="shared" si="0"/>
        <v>01</v>
      </c>
      <c r="E38" t="str">
        <f>VLOOKUP(B38,'HOGARES-ENDLINE'!$A:$B,2,FALSE)</f>
        <v>00020935</v>
      </c>
      <c r="F38" s="6" t="str">
        <f t="shared" si="1"/>
        <v>0002093501</v>
      </c>
    </row>
    <row r="39" spans="1:6" x14ac:dyDescent="0.3">
      <c r="A39" s="6" t="s">
        <v>3228</v>
      </c>
      <c r="B39">
        <v>4698828</v>
      </c>
      <c r="C39">
        <v>2</v>
      </c>
      <c r="D39" t="str">
        <f t="shared" si="0"/>
        <v>02</v>
      </c>
      <c r="E39" t="str">
        <f>VLOOKUP(B39,'HOGARES-ENDLINE'!$A:$B,2,FALSE)</f>
        <v>00020935</v>
      </c>
      <c r="F39" s="6" t="str">
        <f t="shared" si="1"/>
        <v>0002093502</v>
      </c>
    </row>
    <row r="40" spans="1:6" x14ac:dyDescent="0.3">
      <c r="A40" s="6" t="s">
        <v>3230</v>
      </c>
      <c r="B40">
        <v>4721794</v>
      </c>
      <c r="C40">
        <v>1</v>
      </c>
      <c r="D40" t="str">
        <f t="shared" si="0"/>
        <v>01</v>
      </c>
      <c r="E40" t="str">
        <f>VLOOKUP(B40,'HOGARES-ENDLINE'!$A:$B,2,FALSE)</f>
        <v>01020936</v>
      </c>
      <c r="F40" s="6" t="str">
        <f t="shared" si="1"/>
        <v>0102093601</v>
      </c>
    </row>
    <row r="41" spans="1:6" x14ac:dyDescent="0.3">
      <c r="A41" s="6" t="s">
        <v>3250</v>
      </c>
      <c r="B41">
        <v>4995718</v>
      </c>
      <c r="C41">
        <v>1</v>
      </c>
      <c r="D41" t="str">
        <f t="shared" si="0"/>
        <v>01</v>
      </c>
      <c r="E41" t="str">
        <f>VLOOKUP(B41,'HOGARES-ENDLINE'!$A:$B,2,FALSE)</f>
        <v>00030943</v>
      </c>
      <c r="F41" s="6" t="str">
        <f t="shared" si="1"/>
        <v>0003094301</v>
      </c>
    </row>
    <row r="42" spans="1:6" x14ac:dyDescent="0.3">
      <c r="A42" s="6" t="s">
        <v>3256</v>
      </c>
      <c r="B42">
        <v>5122512</v>
      </c>
      <c r="C42">
        <v>2</v>
      </c>
      <c r="D42" t="str">
        <f t="shared" si="0"/>
        <v>02</v>
      </c>
      <c r="E42" t="str">
        <f>VLOOKUP(B42,'HOGARES-ENDLINE'!$A:$B,2,FALSE)</f>
        <v>01030945</v>
      </c>
      <c r="F42" s="6" t="str">
        <f t="shared" si="1"/>
        <v>0103094502</v>
      </c>
    </row>
    <row r="43" spans="1:6" x14ac:dyDescent="0.3">
      <c r="A43" s="6" t="s">
        <v>3255</v>
      </c>
      <c r="B43">
        <v>5122512</v>
      </c>
      <c r="C43">
        <v>1</v>
      </c>
      <c r="D43" t="str">
        <f t="shared" si="0"/>
        <v>01</v>
      </c>
      <c r="E43" t="str">
        <f>VLOOKUP(B43,'HOGARES-ENDLINE'!$A:$B,2,FALSE)</f>
        <v>01030945</v>
      </c>
      <c r="F43" s="6" t="str">
        <f t="shared" si="1"/>
        <v>0103094501</v>
      </c>
    </row>
    <row r="44" spans="1:6" x14ac:dyDescent="0.3">
      <c r="A44" s="6" t="s">
        <v>3261</v>
      </c>
      <c r="B44">
        <v>5217736</v>
      </c>
      <c r="C44">
        <v>1</v>
      </c>
      <c r="D44" t="str">
        <f t="shared" si="0"/>
        <v>01</v>
      </c>
      <c r="E44" t="str">
        <f>VLOOKUP(B44,'HOGARES-ENDLINE'!$A:$B,2,FALSE)</f>
        <v>01020947</v>
      </c>
      <c r="F44" s="6" t="str">
        <f t="shared" si="1"/>
        <v>0102094701</v>
      </c>
    </row>
    <row r="45" spans="1:6" x14ac:dyDescent="0.3">
      <c r="A45" s="6" t="s">
        <v>3310</v>
      </c>
      <c r="B45">
        <v>6307220</v>
      </c>
      <c r="C45">
        <v>2</v>
      </c>
      <c r="D45" t="str">
        <f t="shared" si="0"/>
        <v>02</v>
      </c>
      <c r="E45" t="str">
        <f>VLOOKUP(B45,'HOGARES-ENDLINE'!$A:$B,2,FALSE)</f>
        <v>01020957</v>
      </c>
      <c r="F45" s="6" t="str">
        <f t="shared" si="1"/>
        <v>0102095702</v>
      </c>
    </row>
    <row r="46" spans="1:6" x14ac:dyDescent="0.3">
      <c r="A46" s="6" t="s">
        <v>3311</v>
      </c>
      <c r="B46">
        <v>6307220</v>
      </c>
      <c r="C46">
        <v>1</v>
      </c>
      <c r="D46" t="str">
        <f t="shared" si="0"/>
        <v>01</v>
      </c>
      <c r="E46" t="str">
        <f>VLOOKUP(B46,'HOGARES-ENDLINE'!$A:$B,2,FALSE)</f>
        <v>01020957</v>
      </c>
      <c r="F46" s="6" t="str">
        <f t="shared" si="1"/>
        <v>0102095701</v>
      </c>
    </row>
    <row r="47" spans="1:6" x14ac:dyDescent="0.3">
      <c r="A47" s="6" t="s">
        <v>5120</v>
      </c>
      <c r="B47">
        <v>7411480</v>
      </c>
      <c r="C47">
        <v>11</v>
      </c>
      <c r="D47">
        <f>C47</f>
        <v>11</v>
      </c>
      <c r="E47" t="str">
        <f>VLOOKUP(B47,'HOGARES-ENDLINE'!$A:$B,2,FALSE)</f>
        <v>00031081</v>
      </c>
      <c r="F47" s="6" t="str">
        <f t="shared" si="1"/>
        <v>0003108111</v>
      </c>
    </row>
    <row r="48" spans="1:6" x14ac:dyDescent="0.3">
      <c r="A48" s="6" t="s">
        <v>5121</v>
      </c>
      <c r="B48">
        <v>7411480</v>
      </c>
      <c r="C48">
        <v>4</v>
      </c>
      <c r="D48" t="str">
        <f t="shared" ref="D48:D50" si="2">_xlfn.CONCAT(0,C48)</f>
        <v>04</v>
      </c>
      <c r="E48" t="str">
        <f>VLOOKUP(B48,'HOGARES-ENDLINE'!$A:$B,2,FALSE)</f>
        <v>00031081</v>
      </c>
      <c r="F48" s="6" t="str">
        <f t="shared" si="1"/>
        <v>0003108104</v>
      </c>
    </row>
    <row r="49" spans="1:6" x14ac:dyDescent="0.3">
      <c r="A49" s="6" t="s">
        <v>3720</v>
      </c>
      <c r="B49">
        <v>7411480</v>
      </c>
      <c r="C49">
        <v>3</v>
      </c>
      <c r="D49" t="str">
        <f t="shared" si="2"/>
        <v>03</v>
      </c>
      <c r="E49" t="str">
        <f>VLOOKUP(B49,'HOGARES-ENDLINE'!$A:$B,2,FALSE)</f>
        <v>00031081</v>
      </c>
      <c r="F49" s="6" t="str">
        <f t="shared" si="1"/>
        <v>0003108103</v>
      </c>
    </row>
    <row r="50" spans="1:6" x14ac:dyDescent="0.3">
      <c r="A50" s="6" t="s">
        <v>5122</v>
      </c>
      <c r="B50">
        <v>7411480</v>
      </c>
      <c r="C50">
        <v>8</v>
      </c>
      <c r="D50" t="str">
        <f t="shared" si="2"/>
        <v>08</v>
      </c>
      <c r="E50" t="str">
        <f>VLOOKUP(B50,'HOGARES-ENDLINE'!$A:$B,2,FALSE)</f>
        <v>00031081</v>
      </c>
      <c r="F50" s="6" t="str">
        <f t="shared" si="1"/>
        <v>0003108108</v>
      </c>
    </row>
    <row r="51" spans="1:6" x14ac:dyDescent="0.3">
      <c r="A51" s="6" t="s">
        <v>5123</v>
      </c>
      <c r="B51">
        <v>7411480</v>
      </c>
      <c r="C51">
        <v>13</v>
      </c>
      <c r="D51">
        <f t="shared" ref="D51:D52" si="3">C51</f>
        <v>13</v>
      </c>
      <c r="E51" t="str">
        <f>VLOOKUP(B51,'HOGARES-ENDLINE'!$A:$B,2,FALSE)</f>
        <v>00031081</v>
      </c>
      <c r="F51" s="6" t="str">
        <f t="shared" si="1"/>
        <v>0003108113</v>
      </c>
    </row>
    <row r="52" spans="1:6" x14ac:dyDescent="0.3">
      <c r="A52" s="6" t="s">
        <v>5124</v>
      </c>
      <c r="B52">
        <v>7411480</v>
      </c>
      <c r="C52">
        <v>10</v>
      </c>
      <c r="D52">
        <f t="shared" si="3"/>
        <v>10</v>
      </c>
      <c r="E52" t="str">
        <f>VLOOKUP(B52,'HOGARES-ENDLINE'!$A:$B,2,FALSE)</f>
        <v>00031081</v>
      </c>
      <c r="F52" s="6" t="str">
        <f t="shared" si="1"/>
        <v>0003108110</v>
      </c>
    </row>
    <row r="53" spans="1:6" x14ac:dyDescent="0.3">
      <c r="A53" s="6" t="s">
        <v>5125</v>
      </c>
      <c r="B53">
        <v>7411480</v>
      </c>
      <c r="C53">
        <v>6</v>
      </c>
      <c r="D53" t="str">
        <f>_xlfn.CONCAT(0,C53)</f>
        <v>06</v>
      </c>
      <c r="E53" t="str">
        <f>VLOOKUP(B53,'HOGARES-ENDLINE'!$A:$B,2,FALSE)</f>
        <v>00031081</v>
      </c>
      <c r="F53" s="6" t="str">
        <f t="shared" si="1"/>
        <v>0003108106</v>
      </c>
    </row>
    <row r="54" spans="1:6" x14ac:dyDescent="0.3">
      <c r="A54" s="6" t="s">
        <v>5126</v>
      </c>
      <c r="B54">
        <v>7411480</v>
      </c>
      <c r="C54">
        <v>12</v>
      </c>
      <c r="D54">
        <f>C54</f>
        <v>12</v>
      </c>
      <c r="E54" t="str">
        <f>VLOOKUP(B54,'HOGARES-ENDLINE'!$A:$B,2,FALSE)</f>
        <v>00031081</v>
      </c>
      <c r="F54" s="6" t="str">
        <f t="shared" si="1"/>
        <v>0003108112</v>
      </c>
    </row>
    <row r="55" spans="1:6" x14ac:dyDescent="0.3">
      <c r="A55" s="6" t="s">
        <v>5127</v>
      </c>
      <c r="B55">
        <v>7411480</v>
      </c>
      <c r="C55">
        <v>9</v>
      </c>
      <c r="D55" t="str">
        <f t="shared" ref="D55:D118" si="4">_xlfn.CONCAT(0,C55)</f>
        <v>09</v>
      </c>
      <c r="E55" t="str">
        <f>VLOOKUP(B55,'HOGARES-ENDLINE'!$A:$B,2,FALSE)</f>
        <v>00031081</v>
      </c>
      <c r="F55" s="6" t="str">
        <f t="shared" si="1"/>
        <v>0003108109</v>
      </c>
    </row>
    <row r="56" spans="1:6" x14ac:dyDescent="0.3">
      <c r="A56" s="6" t="s">
        <v>5128</v>
      </c>
      <c r="B56">
        <v>7411480</v>
      </c>
      <c r="C56">
        <v>7</v>
      </c>
      <c r="D56" t="str">
        <f t="shared" si="4"/>
        <v>07</v>
      </c>
      <c r="E56" t="str">
        <f>VLOOKUP(B56,'HOGARES-ENDLINE'!$A:$B,2,FALSE)</f>
        <v>00031081</v>
      </c>
      <c r="F56" s="6" t="str">
        <f t="shared" si="1"/>
        <v>0003108107</v>
      </c>
    </row>
    <row r="57" spans="1:6" x14ac:dyDescent="0.3">
      <c r="A57" s="6" t="s">
        <v>3721</v>
      </c>
      <c r="B57">
        <v>7411480</v>
      </c>
      <c r="C57">
        <v>2</v>
      </c>
      <c r="D57" t="str">
        <f t="shared" si="4"/>
        <v>02</v>
      </c>
      <c r="E57" t="str">
        <f>VLOOKUP(B57,'HOGARES-ENDLINE'!$A:$B,2,FALSE)</f>
        <v>00031081</v>
      </c>
      <c r="F57" s="6" t="str">
        <f t="shared" si="1"/>
        <v>0003108102</v>
      </c>
    </row>
    <row r="58" spans="1:6" x14ac:dyDescent="0.3">
      <c r="A58" s="6" t="s">
        <v>3719</v>
      </c>
      <c r="B58">
        <v>7411480</v>
      </c>
      <c r="C58">
        <v>1</v>
      </c>
      <c r="D58" t="str">
        <f t="shared" si="4"/>
        <v>01</v>
      </c>
      <c r="E58" t="str">
        <f>VLOOKUP(B58,'HOGARES-ENDLINE'!$A:$B,2,FALSE)</f>
        <v>00031081</v>
      </c>
      <c r="F58" s="6" t="str">
        <f t="shared" si="1"/>
        <v>0003108101</v>
      </c>
    </row>
    <row r="59" spans="1:6" x14ac:dyDescent="0.3">
      <c r="A59" s="6" t="s">
        <v>5129</v>
      </c>
      <c r="B59">
        <v>7411480</v>
      </c>
      <c r="C59">
        <v>5</v>
      </c>
      <c r="D59" t="str">
        <f t="shared" si="4"/>
        <v>05</v>
      </c>
      <c r="E59" t="str">
        <f>VLOOKUP(B59,'HOGARES-ENDLINE'!$A:$B,2,FALSE)</f>
        <v>00031081</v>
      </c>
      <c r="F59" s="6" t="str">
        <f t="shared" si="1"/>
        <v>0003108105</v>
      </c>
    </row>
    <row r="60" spans="1:6" x14ac:dyDescent="0.3">
      <c r="A60" s="6" t="s">
        <v>3723</v>
      </c>
      <c r="B60">
        <v>7420358</v>
      </c>
      <c r="C60">
        <v>1</v>
      </c>
      <c r="D60" t="str">
        <f t="shared" si="4"/>
        <v>01</v>
      </c>
      <c r="E60" t="str">
        <f>VLOOKUP(B60,'HOGARES-ENDLINE'!$A:$B,2,FALSE)</f>
        <v>00031082</v>
      </c>
      <c r="F60" s="6" t="str">
        <f t="shared" si="1"/>
        <v>0003108201</v>
      </c>
    </row>
    <row r="61" spans="1:6" x14ac:dyDescent="0.3">
      <c r="A61" s="6" t="s">
        <v>3722</v>
      </c>
      <c r="B61">
        <v>7420358</v>
      </c>
      <c r="C61">
        <v>2</v>
      </c>
      <c r="D61" t="str">
        <f t="shared" si="4"/>
        <v>02</v>
      </c>
      <c r="E61" t="str">
        <f>VLOOKUP(B61,'HOGARES-ENDLINE'!$A:$B,2,FALSE)</f>
        <v>00031082</v>
      </c>
      <c r="F61" s="6" t="str">
        <f t="shared" si="1"/>
        <v>0003108202</v>
      </c>
    </row>
    <row r="62" spans="1:6" x14ac:dyDescent="0.3">
      <c r="A62" s="6" t="s">
        <v>3730</v>
      </c>
      <c r="B62">
        <v>7435553</v>
      </c>
      <c r="C62">
        <v>6</v>
      </c>
      <c r="D62" t="str">
        <f t="shared" si="4"/>
        <v>06</v>
      </c>
      <c r="E62" t="str">
        <f>VLOOKUP(B62,'HOGARES-ENDLINE'!$A:$B,2,FALSE)</f>
        <v>00031083</v>
      </c>
      <c r="F62" s="6" t="str">
        <f t="shared" si="1"/>
        <v>0003108306</v>
      </c>
    </row>
    <row r="63" spans="1:6" x14ac:dyDescent="0.3">
      <c r="A63" s="6" t="s">
        <v>3731</v>
      </c>
      <c r="B63">
        <v>7435553</v>
      </c>
      <c r="C63">
        <v>5</v>
      </c>
      <c r="D63" t="str">
        <f t="shared" si="4"/>
        <v>05</v>
      </c>
      <c r="E63" t="str">
        <f>VLOOKUP(B63,'HOGARES-ENDLINE'!$A:$B,2,FALSE)</f>
        <v>00031083</v>
      </c>
      <c r="F63" s="6" t="str">
        <f t="shared" si="1"/>
        <v>0003108305</v>
      </c>
    </row>
    <row r="64" spans="1:6" x14ac:dyDescent="0.3">
      <c r="A64" s="6" t="s">
        <v>3727</v>
      </c>
      <c r="B64">
        <v>7435553</v>
      </c>
      <c r="C64">
        <v>3</v>
      </c>
      <c r="D64" t="str">
        <f t="shared" si="4"/>
        <v>03</v>
      </c>
      <c r="E64" t="str">
        <f>VLOOKUP(B64,'HOGARES-ENDLINE'!$A:$B,2,FALSE)</f>
        <v>00031083</v>
      </c>
      <c r="F64" s="6" t="str">
        <f t="shared" si="1"/>
        <v>0003108303</v>
      </c>
    </row>
    <row r="65" spans="1:6" x14ac:dyDescent="0.3">
      <c r="A65" s="6" t="s">
        <v>3729</v>
      </c>
      <c r="B65">
        <v>7435553</v>
      </c>
      <c r="C65">
        <v>1</v>
      </c>
      <c r="D65" t="str">
        <f t="shared" si="4"/>
        <v>01</v>
      </c>
      <c r="E65" t="str">
        <f>VLOOKUP(B65,'HOGARES-ENDLINE'!$A:$B,2,FALSE)</f>
        <v>00031083</v>
      </c>
      <c r="F65" s="6" t="str">
        <f t="shared" si="1"/>
        <v>0003108301</v>
      </c>
    </row>
    <row r="66" spans="1:6" x14ac:dyDescent="0.3">
      <c r="A66" s="6" t="s">
        <v>3726</v>
      </c>
      <c r="B66">
        <v>7435553</v>
      </c>
      <c r="C66">
        <v>2</v>
      </c>
      <c r="D66" t="str">
        <f t="shared" si="4"/>
        <v>02</v>
      </c>
      <c r="E66" t="str">
        <f>VLOOKUP(B66,'HOGARES-ENDLINE'!$A:$B,2,FALSE)</f>
        <v>00031083</v>
      </c>
      <c r="F66" s="6" t="str">
        <f t="shared" si="1"/>
        <v>0003108302</v>
      </c>
    </row>
    <row r="67" spans="1:6" x14ac:dyDescent="0.3">
      <c r="A67" s="6" t="s">
        <v>3728</v>
      </c>
      <c r="B67">
        <v>7435553</v>
      </c>
      <c r="C67">
        <v>4</v>
      </c>
      <c r="D67" t="str">
        <f t="shared" si="4"/>
        <v>04</v>
      </c>
      <c r="E67" t="str">
        <f>VLOOKUP(B67,'HOGARES-ENDLINE'!$A:$B,2,FALSE)</f>
        <v>00031083</v>
      </c>
      <c r="F67" s="6" t="str">
        <f t="shared" ref="F67:F130" si="5">_xlfn.CONCAT(E67,D67)</f>
        <v>0003108304</v>
      </c>
    </row>
    <row r="68" spans="1:6" x14ac:dyDescent="0.3">
      <c r="A68" s="6" t="s">
        <v>3732</v>
      </c>
      <c r="B68">
        <v>7438297</v>
      </c>
      <c r="C68">
        <v>3</v>
      </c>
      <c r="D68" t="str">
        <f t="shared" si="4"/>
        <v>03</v>
      </c>
      <c r="E68" t="str">
        <f>VLOOKUP(B68,'HOGARES-ENDLINE'!$A:$B,2,FALSE)</f>
        <v>00031084</v>
      </c>
      <c r="F68" s="6" t="str">
        <f t="shared" si="5"/>
        <v>0003108403</v>
      </c>
    </row>
    <row r="69" spans="1:6" x14ac:dyDescent="0.3">
      <c r="A69" s="6" t="s">
        <v>3733</v>
      </c>
      <c r="B69">
        <v>7438297</v>
      </c>
      <c r="C69">
        <v>2</v>
      </c>
      <c r="D69" t="str">
        <f t="shared" si="4"/>
        <v>02</v>
      </c>
      <c r="E69" t="str">
        <f>VLOOKUP(B69,'HOGARES-ENDLINE'!$A:$B,2,FALSE)</f>
        <v>00031084</v>
      </c>
      <c r="F69" s="6" t="str">
        <f t="shared" si="5"/>
        <v>0003108402</v>
      </c>
    </row>
    <row r="70" spans="1:6" x14ac:dyDescent="0.3">
      <c r="A70" s="6" t="s">
        <v>3734</v>
      </c>
      <c r="B70">
        <v>7438297</v>
      </c>
      <c r="C70">
        <v>1</v>
      </c>
      <c r="D70" t="str">
        <f t="shared" si="4"/>
        <v>01</v>
      </c>
      <c r="E70" t="str">
        <f>VLOOKUP(B70,'HOGARES-ENDLINE'!$A:$B,2,FALSE)</f>
        <v>00031084</v>
      </c>
      <c r="F70" s="6" t="str">
        <f t="shared" si="5"/>
        <v>0003108401</v>
      </c>
    </row>
    <row r="71" spans="1:6" x14ac:dyDescent="0.3">
      <c r="A71" s="6" t="s">
        <v>3736</v>
      </c>
      <c r="B71">
        <v>7444585</v>
      </c>
      <c r="C71">
        <v>2</v>
      </c>
      <c r="D71" t="str">
        <f t="shared" si="4"/>
        <v>02</v>
      </c>
      <c r="E71" t="str">
        <f>VLOOKUP(B71,'HOGARES-ENDLINE'!$A:$B,2,FALSE)</f>
        <v>01031085</v>
      </c>
      <c r="F71" s="6" t="str">
        <f t="shared" si="5"/>
        <v>0103108502</v>
      </c>
    </row>
    <row r="72" spans="1:6" x14ac:dyDescent="0.3">
      <c r="A72" s="6" t="s">
        <v>3735</v>
      </c>
      <c r="B72">
        <v>7444585</v>
      </c>
      <c r="C72">
        <v>1</v>
      </c>
      <c r="D72" t="str">
        <f t="shared" si="4"/>
        <v>01</v>
      </c>
      <c r="E72" t="str">
        <f>VLOOKUP(B72,'HOGARES-ENDLINE'!$A:$B,2,FALSE)</f>
        <v>01031085</v>
      </c>
      <c r="F72" s="6" t="str">
        <f t="shared" si="5"/>
        <v>0103108501</v>
      </c>
    </row>
    <row r="73" spans="1:6" x14ac:dyDescent="0.3">
      <c r="A73" s="6" t="s">
        <v>3737</v>
      </c>
      <c r="B73">
        <v>7447628</v>
      </c>
      <c r="C73">
        <v>1</v>
      </c>
      <c r="D73" t="str">
        <f t="shared" si="4"/>
        <v>01</v>
      </c>
      <c r="E73" t="str">
        <f>VLOOKUP(B73,'HOGARES-ENDLINE'!$A:$B,2,FALSE)</f>
        <v>00031086</v>
      </c>
      <c r="F73" s="6" t="str">
        <f t="shared" si="5"/>
        <v>0003108601</v>
      </c>
    </row>
    <row r="74" spans="1:6" x14ac:dyDescent="0.3">
      <c r="A74" s="6" t="s">
        <v>3738</v>
      </c>
      <c r="B74">
        <v>7454371</v>
      </c>
      <c r="C74">
        <v>1</v>
      </c>
      <c r="D74" t="str">
        <f t="shared" si="4"/>
        <v>01</v>
      </c>
      <c r="E74" t="str">
        <f>VLOOKUP(B74,'HOGARES-ENDLINE'!$A:$B,2,FALSE)</f>
        <v>01031087</v>
      </c>
      <c r="F74" s="6" t="str">
        <f t="shared" si="5"/>
        <v>0103108701</v>
      </c>
    </row>
    <row r="75" spans="1:6" x14ac:dyDescent="0.3">
      <c r="A75" s="6" t="s">
        <v>5130</v>
      </c>
      <c r="B75">
        <v>7454371</v>
      </c>
      <c r="C75">
        <v>2</v>
      </c>
      <c r="D75" t="str">
        <f t="shared" si="4"/>
        <v>02</v>
      </c>
      <c r="E75" t="str">
        <f>VLOOKUP(B75,'HOGARES-ENDLINE'!$A:$B,2,FALSE)</f>
        <v>01031087</v>
      </c>
      <c r="F75" s="6" t="str">
        <f t="shared" si="5"/>
        <v>0103108702</v>
      </c>
    </row>
    <row r="76" spans="1:6" x14ac:dyDescent="0.3">
      <c r="A76" s="6" t="s">
        <v>5131</v>
      </c>
      <c r="B76">
        <v>7454371</v>
      </c>
      <c r="C76">
        <v>3</v>
      </c>
      <c r="D76" t="str">
        <f t="shared" si="4"/>
        <v>03</v>
      </c>
      <c r="E76" t="str">
        <f>VLOOKUP(B76,'HOGARES-ENDLINE'!$A:$B,2,FALSE)</f>
        <v>01031087</v>
      </c>
      <c r="F76" s="6" t="str">
        <f t="shared" si="5"/>
        <v>0103108703</v>
      </c>
    </row>
    <row r="77" spans="1:6" x14ac:dyDescent="0.3">
      <c r="A77" s="6" t="s">
        <v>3743</v>
      </c>
      <c r="B77">
        <v>7459447</v>
      </c>
      <c r="C77">
        <v>5</v>
      </c>
      <c r="D77" t="str">
        <f t="shared" si="4"/>
        <v>05</v>
      </c>
      <c r="E77" t="str">
        <f>VLOOKUP(B77,'HOGARES-ENDLINE'!$A:$B,2,FALSE)</f>
        <v>00031088</v>
      </c>
      <c r="F77" s="6" t="str">
        <f t="shared" si="5"/>
        <v>0003108805</v>
      </c>
    </row>
    <row r="78" spans="1:6" x14ac:dyDescent="0.3">
      <c r="A78" s="6" t="s">
        <v>3740</v>
      </c>
      <c r="B78">
        <v>7459447</v>
      </c>
      <c r="C78">
        <v>4</v>
      </c>
      <c r="D78" t="str">
        <f t="shared" si="4"/>
        <v>04</v>
      </c>
      <c r="E78" t="str">
        <f>VLOOKUP(B78,'HOGARES-ENDLINE'!$A:$B,2,FALSE)</f>
        <v>00031088</v>
      </c>
      <c r="F78" s="6" t="str">
        <f t="shared" si="5"/>
        <v>0003108804</v>
      </c>
    </row>
    <row r="79" spans="1:6" x14ac:dyDescent="0.3">
      <c r="A79" s="6" t="s">
        <v>3742</v>
      </c>
      <c r="B79">
        <v>7459447</v>
      </c>
      <c r="C79">
        <v>3</v>
      </c>
      <c r="D79" t="str">
        <f t="shared" si="4"/>
        <v>03</v>
      </c>
      <c r="E79" t="str">
        <f>VLOOKUP(B79,'HOGARES-ENDLINE'!$A:$B,2,FALSE)</f>
        <v>00031088</v>
      </c>
      <c r="F79" s="6" t="str">
        <f t="shared" si="5"/>
        <v>0003108803</v>
      </c>
    </row>
    <row r="80" spans="1:6" x14ac:dyDescent="0.3">
      <c r="A80" s="6" t="s">
        <v>3741</v>
      </c>
      <c r="B80">
        <v>7459447</v>
      </c>
      <c r="C80">
        <v>2</v>
      </c>
      <c r="D80" t="str">
        <f t="shared" si="4"/>
        <v>02</v>
      </c>
      <c r="E80" t="str">
        <f>VLOOKUP(B80,'HOGARES-ENDLINE'!$A:$B,2,FALSE)</f>
        <v>00031088</v>
      </c>
      <c r="F80" s="6" t="str">
        <f t="shared" si="5"/>
        <v>0003108802</v>
      </c>
    </row>
    <row r="81" spans="1:6" x14ac:dyDescent="0.3">
      <c r="A81" s="6" t="s">
        <v>3739</v>
      </c>
      <c r="B81">
        <v>7459447</v>
      </c>
      <c r="C81">
        <v>1</v>
      </c>
      <c r="D81" t="str">
        <f t="shared" si="4"/>
        <v>01</v>
      </c>
      <c r="E81" t="str">
        <f>VLOOKUP(B81,'HOGARES-ENDLINE'!$A:$B,2,FALSE)</f>
        <v>00031088</v>
      </c>
      <c r="F81" s="6" t="str">
        <f t="shared" si="5"/>
        <v>0003108801</v>
      </c>
    </row>
    <row r="82" spans="1:6" x14ac:dyDescent="0.3">
      <c r="A82" s="6" t="s">
        <v>3744</v>
      </c>
      <c r="B82">
        <v>7460942</v>
      </c>
      <c r="C82">
        <v>4</v>
      </c>
      <c r="D82" t="str">
        <f t="shared" si="4"/>
        <v>04</v>
      </c>
      <c r="E82" t="str">
        <f>VLOOKUP(B82,'HOGARES-ENDLINE'!$A:$B,2,FALSE)</f>
        <v>00031089</v>
      </c>
      <c r="F82" s="6" t="str">
        <f t="shared" si="5"/>
        <v>0003108904</v>
      </c>
    </row>
    <row r="83" spans="1:6" x14ac:dyDescent="0.3">
      <c r="A83" s="6" t="s">
        <v>3745</v>
      </c>
      <c r="B83">
        <v>7460942</v>
      </c>
      <c r="C83">
        <v>1</v>
      </c>
      <c r="D83" t="str">
        <f t="shared" si="4"/>
        <v>01</v>
      </c>
      <c r="E83" t="str">
        <f>VLOOKUP(B83,'HOGARES-ENDLINE'!$A:$B,2,FALSE)</f>
        <v>00031089</v>
      </c>
      <c r="F83" s="6" t="str">
        <f t="shared" si="5"/>
        <v>0003108901</v>
      </c>
    </row>
    <row r="84" spans="1:6" x14ac:dyDescent="0.3">
      <c r="A84" s="6" t="s">
        <v>3746</v>
      </c>
      <c r="B84">
        <v>7460942</v>
      </c>
      <c r="C84">
        <v>3</v>
      </c>
      <c r="D84" t="str">
        <f t="shared" si="4"/>
        <v>03</v>
      </c>
      <c r="E84" t="str">
        <f>VLOOKUP(B84,'HOGARES-ENDLINE'!$A:$B,2,FALSE)</f>
        <v>00031089</v>
      </c>
      <c r="F84" s="6" t="str">
        <f t="shared" si="5"/>
        <v>0003108903</v>
      </c>
    </row>
    <row r="85" spans="1:6" x14ac:dyDescent="0.3">
      <c r="A85" s="6" t="s">
        <v>3748</v>
      </c>
      <c r="B85">
        <v>7460942</v>
      </c>
      <c r="C85">
        <v>5</v>
      </c>
      <c r="D85" t="str">
        <f t="shared" si="4"/>
        <v>05</v>
      </c>
      <c r="E85" t="str">
        <f>VLOOKUP(B85,'HOGARES-ENDLINE'!$A:$B,2,FALSE)</f>
        <v>00031089</v>
      </c>
      <c r="F85" s="6" t="str">
        <f t="shared" si="5"/>
        <v>0003108905</v>
      </c>
    </row>
    <row r="86" spans="1:6" x14ac:dyDescent="0.3">
      <c r="A86" s="6" t="s">
        <v>3747</v>
      </c>
      <c r="B86">
        <v>7460942</v>
      </c>
      <c r="C86">
        <v>2</v>
      </c>
      <c r="D86" t="str">
        <f t="shared" si="4"/>
        <v>02</v>
      </c>
      <c r="E86" t="str">
        <f>VLOOKUP(B86,'HOGARES-ENDLINE'!$A:$B,2,FALSE)</f>
        <v>00031089</v>
      </c>
      <c r="F86" s="6" t="str">
        <f t="shared" si="5"/>
        <v>0003108902</v>
      </c>
    </row>
    <row r="87" spans="1:6" x14ac:dyDescent="0.3">
      <c r="A87" s="6" t="s">
        <v>3752</v>
      </c>
      <c r="B87">
        <v>7471998</v>
      </c>
      <c r="C87">
        <v>2</v>
      </c>
      <c r="D87" t="str">
        <f t="shared" si="4"/>
        <v>02</v>
      </c>
      <c r="E87" t="str">
        <f>VLOOKUP(B87,'HOGARES-ENDLINE'!$A:$B,2,FALSE)</f>
        <v>00031090</v>
      </c>
      <c r="F87" s="6" t="str">
        <f t="shared" si="5"/>
        <v>0003109002</v>
      </c>
    </row>
    <row r="88" spans="1:6" x14ac:dyDescent="0.3">
      <c r="A88" s="6" t="s">
        <v>3750</v>
      </c>
      <c r="B88">
        <v>7471998</v>
      </c>
      <c r="C88">
        <v>4</v>
      </c>
      <c r="D88" t="str">
        <f t="shared" si="4"/>
        <v>04</v>
      </c>
      <c r="E88" t="str">
        <f>VLOOKUP(B88,'HOGARES-ENDLINE'!$A:$B,2,FALSE)</f>
        <v>00031090</v>
      </c>
      <c r="F88" s="6" t="str">
        <f t="shared" si="5"/>
        <v>0003109004</v>
      </c>
    </row>
    <row r="89" spans="1:6" x14ac:dyDescent="0.3">
      <c r="A89" s="6" t="s">
        <v>3749</v>
      </c>
      <c r="B89">
        <v>7471998</v>
      </c>
      <c r="C89">
        <v>5</v>
      </c>
      <c r="D89" t="str">
        <f t="shared" si="4"/>
        <v>05</v>
      </c>
      <c r="E89" t="str">
        <f>VLOOKUP(B89,'HOGARES-ENDLINE'!$A:$B,2,FALSE)</f>
        <v>00031090</v>
      </c>
      <c r="F89" s="6" t="str">
        <f t="shared" si="5"/>
        <v>0003109005</v>
      </c>
    </row>
    <row r="90" spans="1:6" x14ac:dyDescent="0.3">
      <c r="A90" s="6" t="s">
        <v>3753</v>
      </c>
      <c r="B90">
        <v>7471998</v>
      </c>
      <c r="C90">
        <v>3</v>
      </c>
      <c r="D90" t="str">
        <f t="shared" si="4"/>
        <v>03</v>
      </c>
      <c r="E90" t="str">
        <f>VLOOKUP(B90,'HOGARES-ENDLINE'!$A:$B,2,FALSE)</f>
        <v>00031090</v>
      </c>
      <c r="F90" s="6" t="str">
        <f t="shared" si="5"/>
        <v>0003109003</v>
      </c>
    </row>
    <row r="91" spans="1:6" x14ac:dyDescent="0.3">
      <c r="A91" s="6" t="s">
        <v>3751</v>
      </c>
      <c r="B91">
        <v>7471998</v>
      </c>
      <c r="C91">
        <v>1</v>
      </c>
      <c r="D91" t="str">
        <f t="shared" si="4"/>
        <v>01</v>
      </c>
      <c r="E91" t="str">
        <f>VLOOKUP(B91,'HOGARES-ENDLINE'!$A:$B,2,FALSE)</f>
        <v>00031090</v>
      </c>
      <c r="F91" s="6" t="str">
        <f t="shared" si="5"/>
        <v>0003109001</v>
      </c>
    </row>
    <row r="92" spans="1:6" x14ac:dyDescent="0.3">
      <c r="A92" s="6" t="s">
        <v>3757</v>
      </c>
      <c r="B92">
        <v>7473926</v>
      </c>
      <c r="C92">
        <v>6</v>
      </c>
      <c r="D92" t="str">
        <f t="shared" si="4"/>
        <v>06</v>
      </c>
      <c r="E92" t="str">
        <f>VLOOKUP(B92,'HOGARES-ENDLINE'!$A:$B,2,FALSE)</f>
        <v>00031091</v>
      </c>
      <c r="F92" s="6" t="str">
        <f t="shared" si="5"/>
        <v>0003109106</v>
      </c>
    </row>
    <row r="93" spans="1:6" x14ac:dyDescent="0.3">
      <c r="A93" s="6" t="s">
        <v>3754</v>
      </c>
      <c r="B93">
        <v>7473926</v>
      </c>
      <c r="C93">
        <v>2</v>
      </c>
      <c r="D93" t="str">
        <f t="shared" si="4"/>
        <v>02</v>
      </c>
      <c r="E93" t="str">
        <f>VLOOKUP(B93,'HOGARES-ENDLINE'!$A:$B,2,FALSE)</f>
        <v>00031091</v>
      </c>
      <c r="F93" s="6" t="str">
        <f t="shared" si="5"/>
        <v>0003109102</v>
      </c>
    </row>
    <row r="94" spans="1:6" x14ac:dyDescent="0.3">
      <c r="A94" s="6" t="s">
        <v>3758</v>
      </c>
      <c r="B94">
        <v>7473926</v>
      </c>
      <c r="C94">
        <v>4</v>
      </c>
      <c r="D94" t="str">
        <f t="shared" si="4"/>
        <v>04</v>
      </c>
      <c r="E94" t="str">
        <f>VLOOKUP(B94,'HOGARES-ENDLINE'!$A:$B,2,FALSE)</f>
        <v>00031091</v>
      </c>
      <c r="F94" s="6" t="str">
        <f t="shared" si="5"/>
        <v>0003109104</v>
      </c>
    </row>
    <row r="95" spans="1:6" x14ac:dyDescent="0.3">
      <c r="A95" s="6" t="s">
        <v>3756</v>
      </c>
      <c r="B95">
        <v>7473926</v>
      </c>
      <c r="C95">
        <v>5</v>
      </c>
      <c r="D95" t="str">
        <f t="shared" si="4"/>
        <v>05</v>
      </c>
      <c r="E95" t="str">
        <f>VLOOKUP(B95,'HOGARES-ENDLINE'!$A:$B,2,FALSE)</f>
        <v>00031091</v>
      </c>
      <c r="F95" s="6" t="str">
        <f t="shared" si="5"/>
        <v>0003109105</v>
      </c>
    </row>
    <row r="96" spans="1:6" x14ac:dyDescent="0.3">
      <c r="A96" s="6" t="s">
        <v>3755</v>
      </c>
      <c r="B96">
        <v>7473926</v>
      </c>
      <c r="C96">
        <v>1</v>
      </c>
      <c r="D96" t="str">
        <f t="shared" si="4"/>
        <v>01</v>
      </c>
      <c r="E96" t="str">
        <f>VLOOKUP(B96,'HOGARES-ENDLINE'!$A:$B,2,FALSE)</f>
        <v>00031091</v>
      </c>
      <c r="F96" s="6" t="str">
        <f t="shared" si="5"/>
        <v>0003109101</v>
      </c>
    </row>
    <row r="97" spans="1:6" x14ac:dyDescent="0.3">
      <c r="A97" s="6" t="s">
        <v>3759</v>
      </c>
      <c r="B97">
        <v>7473926</v>
      </c>
      <c r="C97">
        <v>3</v>
      </c>
      <c r="D97" t="str">
        <f t="shared" si="4"/>
        <v>03</v>
      </c>
      <c r="E97" t="str">
        <f>VLOOKUP(B97,'HOGARES-ENDLINE'!$A:$B,2,FALSE)</f>
        <v>00031091</v>
      </c>
      <c r="F97" s="6" t="str">
        <f t="shared" si="5"/>
        <v>0003109103</v>
      </c>
    </row>
    <row r="98" spans="1:6" x14ac:dyDescent="0.3">
      <c r="A98" s="6" t="s">
        <v>3760</v>
      </c>
      <c r="B98">
        <v>7474428</v>
      </c>
      <c r="C98">
        <v>2</v>
      </c>
      <c r="D98" t="str">
        <f t="shared" si="4"/>
        <v>02</v>
      </c>
      <c r="E98" t="str">
        <f>VLOOKUP(B98,'HOGARES-ENDLINE'!$A:$B,2,FALSE)</f>
        <v>01031092</v>
      </c>
      <c r="F98" s="6" t="str">
        <f t="shared" si="5"/>
        <v>0103109202</v>
      </c>
    </row>
    <row r="99" spans="1:6" x14ac:dyDescent="0.3">
      <c r="A99" s="6" t="s">
        <v>3761</v>
      </c>
      <c r="B99">
        <v>7474428</v>
      </c>
      <c r="C99">
        <v>1</v>
      </c>
      <c r="D99" t="str">
        <f t="shared" si="4"/>
        <v>01</v>
      </c>
      <c r="E99" t="str">
        <f>VLOOKUP(B99,'HOGARES-ENDLINE'!$A:$B,2,FALSE)</f>
        <v>01031092</v>
      </c>
      <c r="F99" s="6" t="str">
        <f t="shared" si="5"/>
        <v>0103109201</v>
      </c>
    </row>
    <row r="100" spans="1:6" x14ac:dyDescent="0.3">
      <c r="A100" s="6" t="s">
        <v>3762</v>
      </c>
      <c r="B100">
        <v>7476537</v>
      </c>
      <c r="C100">
        <v>1</v>
      </c>
      <c r="D100" t="str">
        <f t="shared" si="4"/>
        <v>01</v>
      </c>
      <c r="E100" t="str">
        <f>VLOOKUP(B100,'HOGARES-ENDLINE'!$A:$B,2,FALSE)</f>
        <v>01031093</v>
      </c>
      <c r="F100" s="6" t="str">
        <f t="shared" si="5"/>
        <v>0103109301</v>
      </c>
    </row>
    <row r="101" spans="1:6" x14ac:dyDescent="0.3">
      <c r="A101" s="6" t="s">
        <v>3763</v>
      </c>
      <c r="B101">
        <v>7476537</v>
      </c>
      <c r="C101">
        <v>2</v>
      </c>
      <c r="D101" t="str">
        <f t="shared" si="4"/>
        <v>02</v>
      </c>
      <c r="E101" t="str">
        <f>VLOOKUP(B101,'HOGARES-ENDLINE'!$A:$B,2,FALSE)</f>
        <v>01031093</v>
      </c>
      <c r="F101" s="6" t="str">
        <f t="shared" si="5"/>
        <v>0103109302</v>
      </c>
    </row>
    <row r="102" spans="1:6" x14ac:dyDescent="0.3">
      <c r="A102" s="6" t="s">
        <v>3764</v>
      </c>
      <c r="B102">
        <v>7476784</v>
      </c>
      <c r="C102">
        <v>1</v>
      </c>
      <c r="D102" t="str">
        <f t="shared" si="4"/>
        <v>01</v>
      </c>
      <c r="E102" t="str">
        <f>VLOOKUP(B102,'HOGARES-ENDLINE'!$A:$B,2,FALSE)</f>
        <v>01031094</v>
      </c>
      <c r="F102" s="6" t="str">
        <f t="shared" si="5"/>
        <v>0103109401</v>
      </c>
    </row>
    <row r="103" spans="1:6" x14ac:dyDescent="0.3">
      <c r="A103" s="6" t="s">
        <v>3793</v>
      </c>
      <c r="B103">
        <v>7884262</v>
      </c>
      <c r="C103">
        <v>4</v>
      </c>
      <c r="D103" t="str">
        <f t="shared" si="4"/>
        <v>04</v>
      </c>
      <c r="E103" t="str">
        <f>VLOOKUP(B103,'HOGARES-ENDLINE'!$A:$B,2,FALSE)</f>
        <v>00011103</v>
      </c>
      <c r="F103" s="6" t="str">
        <f t="shared" si="5"/>
        <v>0001110304</v>
      </c>
    </row>
    <row r="104" spans="1:6" x14ac:dyDescent="0.3">
      <c r="A104" s="6" t="s">
        <v>3795</v>
      </c>
      <c r="B104">
        <v>7884262</v>
      </c>
      <c r="C104">
        <v>1</v>
      </c>
      <c r="D104" t="str">
        <f t="shared" si="4"/>
        <v>01</v>
      </c>
      <c r="E104" t="str">
        <f>VLOOKUP(B104,'HOGARES-ENDLINE'!$A:$B,2,FALSE)</f>
        <v>00011103</v>
      </c>
      <c r="F104" s="6" t="str">
        <f t="shared" si="5"/>
        <v>0001110301</v>
      </c>
    </row>
    <row r="105" spans="1:6" x14ac:dyDescent="0.3">
      <c r="A105" s="6" t="s">
        <v>3792</v>
      </c>
      <c r="B105">
        <v>7884262</v>
      </c>
      <c r="C105">
        <v>3</v>
      </c>
      <c r="D105" t="str">
        <f t="shared" si="4"/>
        <v>03</v>
      </c>
      <c r="E105" t="str">
        <f>VLOOKUP(B105,'HOGARES-ENDLINE'!$A:$B,2,FALSE)</f>
        <v>00011103</v>
      </c>
      <c r="F105" s="6" t="str">
        <f t="shared" si="5"/>
        <v>0001110303</v>
      </c>
    </row>
    <row r="106" spans="1:6" x14ac:dyDescent="0.3">
      <c r="A106" s="6" t="s">
        <v>3794</v>
      </c>
      <c r="B106">
        <v>7884262</v>
      </c>
      <c r="C106">
        <v>5</v>
      </c>
      <c r="D106" t="str">
        <f t="shared" si="4"/>
        <v>05</v>
      </c>
      <c r="E106" t="str">
        <f>VLOOKUP(B106,'HOGARES-ENDLINE'!$A:$B,2,FALSE)</f>
        <v>00011103</v>
      </c>
      <c r="F106" s="6" t="str">
        <f t="shared" si="5"/>
        <v>0001110305</v>
      </c>
    </row>
    <row r="107" spans="1:6" x14ac:dyDescent="0.3">
      <c r="A107" s="6" t="s">
        <v>3796</v>
      </c>
      <c r="B107">
        <v>7884262</v>
      </c>
      <c r="C107">
        <v>2</v>
      </c>
      <c r="D107" t="str">
        <f t="shared" si="4"/>
        <v>02</v>
      </c>
      <c r="E107" t="str">
        <f>VLOOKUP(B107,'HOGARES-ENDLINE'!$A:$B,2,FALSE)</f>
        <v>00011103</v>
      </c>
      <c r="F107" s="6" t="str">
        <f t="shared" si="5"/>
        <v>0001110302</v>
      </c>
    </row>
    <row r="108" spans="1:6" x14ac:dyDescent="0.3">
      <c r="A108" s="6" t="s">
        <v>3798</v>
      </c>
      <c r="B108">
        <v>8299054</v>
      </c>
      <c r="C108">
        <v>1</v>
      </c>
      <c r="D108" t="str">
        <f t="shared" si="4"/>
        <v>01</v>
      </c>
      <c r="E108" t="str">
        <f>VLOOKUP(B108,'HOGARES-ENDLINE'!$A:$B,2,FALSE)</f>
        <v>00011105</v>
      </c>
      <c r="F108" s="6" t="str">
        <f t="shared" si="5"/>
        <v>0001110501</v>
      </c>
    </row>
    <row r="109" spans="1:6" x14ac:dyDescent="0.3">
      <c r="A109" s="6" t="s">
        <v>3801</v>
      </c>
      <c r="B109">
        <v>8316734</v>
      </c>
      <c r="C109">
        <v>2</v>
      </c>
      <c r="D109" t="str">
        <f t="shared" si="4"/>
        <v>02</v>
      </c>
      <c r="E109" t="str">
        <f>VLOOKUP(B109,'HOGARES-ENDLINE'!$A:$B,2,FALSE)</f>
        <v>00011107</v>
      </c>
      <c r="F109" s="6" t="str">
        <f t="shared" si="5"/>
        <v>0001110702</v>
      </c>
    </row>
    <row r="110" spans="1:6" x14ac:dyDescent="0.3">
      <c r="A110" s="6" t="s">
        <v>3800</v>
      </c>
      <c r="B110">
        <v>8316734</v>
      </c>
      <c r="C110">
        <v>1</v>
      </c>
      <c r="D110" t="str">
        <f t="shared" si="4"/>
        <v>01</v>
      </c>
      <c r="E110" t="str">
        <f>VLOOKUP(B110,'HOGARES-ENDLINE'!$A:$B,2,FALSE)</f>
        <v>00011107</v>
      </c>
      <c r="F110" s="6" t="str">
        <f t="shared" si="5"/>
        <v>0001110701</v>
      </c>
    </row>
    <row r="111" spans="1:6" x14ac:dyDescent="0.3">
      <c r="A111" s="6" t="s">
        <v>3802</v>
      </c>
      <c r="B111">
        <v>8316734</v>
      </c>
      <c r="C111">
        <v>3</v>
      </c>
      <c r="D111" t="str">
        <f t="shared" si="4"/>
        <v>03</v>
      </c>
      <c r="E111" t="str">
        <f>VLOOKUP(B111,'HOGARES-ENDLINE'!$A:$B,2,FALSE)</f>
        <v>00011107</v>
      </c>
      <c r="F111" s="6" t="str">
        <f t="shared" si="5"/>
        <v>0001110703</v>
      </c>
    </row>
    <row r="112" spans="1:6" x14ac:dyDescent="0.3">
      <c r="A112" s="6" t="s">
        <v>3808</v>
      </c>
      <c r="B112">
        <v>8371433</v>
      </c>
      <c r="C112">
        <v>1</v>
      </c>
      <c r="D112" t="str">
        <f t="shared" si="4"/>
        <v>01</v>
      </c>
      <c r="E112" t="str">
        <f>VLOOKUP(B112,'HOGARES-ENDLINE'!$A:$B,2,FALSE)</f>
        <v>00011109</v>
      </c>
      <c r="F112" s="6" t="str">
        <f t="shared" si="5"/>
        <v>0001110901</v>
      </c>
    </row>
    <row r="113" spans="1:6" x14ac:dyDescent="0.3">
      <c r="A113" s="6" t="s">
        <v>3807</v>
      </c>
      <c r="B113">
        <v>8371433</v>
      </c>
      <c r="C113">
        <v>2</v>
      </c>
      <c r="D113" t="str">
        <f t="shared" si="4"/>
        <v>02</v>
      </c>
      <c r="E113" t="str">
        <f>VLOOKUP(B113,'HOGARES-ENDLINE'!$A:$B,2,FALSE)</f>
        <v>00011109</v>
      </c>
      <c r="F113" s="6" t="str">
        <f t="shared" si="5"/>
        <v>0001110902</v>
      </c>
    </row>
    <row r="114" spans="1:6" x14ac:dyDescent="0.3">
      <c r="A114" s="6" t="s">
        <v>3809</v>
      </c>
      <c r="B114">
        <v>8538228</v>
      </c>
      <c r="C114">
        <v>1</v>
      </c>
      <c r="D114" t="str">
        <f t="shared" si="4"/>
        <v>01</v>
      </c>
      <c r="E114" t="str">
        <f>VLOOKUP(B114,'HOGARES-ENDLINE'!$A:$B,2,FALSE)</f>
        <v>00031110</v>
      </c>
      <c r="F114" s="6" t="str">
        <f t="shared" si="5"/>
        <v>0003111001</v>
      </c>
    </row>
    <row r="115" spans="1:6" x14ac:dyDescent="0.3">
      <c r="A115" s="6" t="s">
        <v>3810</v>
      </c>
      <c r="B115">
        <v>8661897</v>
      </c>
      <c r="C115">
        <v>3</v>
      </c>
      <c r="D115" t="str">
        <f t="shared" si="4"/>
        <v>03</v>
      </c>
      <c r="E115" t="str">
        <f>VLOOKUP(B115,'HOGARES-ENDLINE'!$A:$B,2,FALSE)</f>
        <v>00031111</v>
      </c>
      <c r="F115" s="6" t="str">
        <f t="shared" si="5"/>
        <v>0003111103</v>
      </c>
    </row>
    <row r="116" spans="1:6" x14ac:dyDescent="0.3">
      <c r="A116" s="6" t="s">
        <v>3812</v>
      </c>
      <c r="B116">
        <v>8661897</v>
      </c>
      <c r="C116">
        <v>2</v>
      </c>
      <c r="D116" t="str">
        <f t="shared" si="4"/>
        <v>02</v>
      </c>
      <c r="E116" t="str">
        <f>VLOOKUP(B116,'HOGARES-ENDLINE'!$A:$B,2,FALSE)</f>
        <v>00031111</v>
      </c>
      <c r="F116" s="6" t="str">
        <f t="shared" si="5"/>
        <v>0003111102</v>
      </c>
    </row>
    <row r="117" spans="1:6" x14ac:dyDescent="0.3">
      <c r="A117" s="6" t="s">
        <v>3811</v>
      </c>
      <c r="B117">
        <v>8661897</v>
      </c>
      <c r="C117">
        <v>1</v>
      </c>
      <c r="D117" t="str">
        <f t="shared" si="4"/>
        <v>01</v>
      </c>
      <c r="E117" t="str">
        <f>VLOOKUP(B117,'HOGARES-ENDLINE'!$A:$B,2,FALSE)</f>
        <v>00031111</v>
      </c>
      <c r="F117" s="6" t="str">
        <f t="shared" si="5"/>
        <v>0003111101</v>
      </c>
    </row>
    <row r="118" spans="1:6" x14ac:dyDescent="0.3">
      <c r="A118" s="6" t="s">
        <v>3813</v>
      </c>
      <c r="B118">
        <v>8663792</v>
      </c>
      <c r="C118">
        <v>2</v>
      </c>
      <c r="D118" t="str">
        <f t="shared" si="4"/>
        <v>02</v>
      </c>
      <c r="E118" t="str">
        <f>VLOOKUP(B118,'HOGARES-ENDLINE'!$A:$B,2,FALSE)</f>
        <v>00031112</v>
      </c>
      <c r="F118" s="6" t="str">
        <f t="shared" si="5"/>
        <v>0003111202</v>
      </c>
    </row>
    <row r="119" spans="1:6" x14ac:dyDescent="0.3">
      <c r="A119" s="6" t="s">
        <v>3815</v>
      </c>
      <c r="B119">
        <v>8663792</v>
      </c>
      <c r="C119">
        <v>3</v>
      </c>
      <c r="D119" t="str">
        <f t="shared" ref="D119:D182" si="6">_xlfn.CONCAT(0,C119)</f>
        <v>03</v>
      </c>
      <c r="E119" t="str">
        <f>VLOOKUP(B119,'HOGARES-ENDLINE'!$A:$B,2,FALSE)</f>
        <v>00031112</v>
      </c>
      <c r="F119" s="6" t="str">
        <f t="shared" si="5"/>
        <v>0003111203</v>
      </c>
    </row>
    <row r="120" spans="1:6" x14ac:dyDescent="0.3">
      <c r="A120" s="6" t="s">
        <v>3814</v>
      </c>
      <c r="B120">
        <v>8663792</v>
      </c>
      <c r="C120">
        <v>1</v>
      </c>
      <c r="D120" t="str">
        <f t="shared" si="6"/>
        <v>01</v>
      </c>
      <c r="E120" t="str">
        <f>VLOOKUP(B120,'HOGARES-ENDLINE'!$A:$B,2,FALSE)</f>
        <v>00031112</v>
      </c>
      <c r="F120" s="6" t="str">
        <f t="shared" si="5"/>
        <v>0003111201</v>
      </c>
    </row>
    <row r="121" spans="1:6" x14ac:dyDescent="0.3">
      <c r="A121" s="6" t="s">
        <v>3816</v>
      </c>
      <c r="B121">
        <v>8664032</v>
      </c>
      <c r="C121">
        <v>1</v>
      </c>
      <c r="D121" t="str">
        <f t="shared" si="6"/>
        <v>01</v>
      </c>
      <c r="E121" t="str">
        <f>VLOOKUP(B121,'HOGARES-ENDLINE'!$A:$B,2,FALSE)</f>
        <v>01031113</v>
      </c>
      <c r="F121" s="6" t="str">
        <f t="shared" si="5"/>
        <v>0103111301</v>
      </c>
    </row>
    <row r="122" spans="1:6" x14ac:dyDescent="0.3">
      <c r="A122" s="6" t="s">
        <v>3817</v>
      </c>
      <c r="B122">
        <v>8668925</v>
      </c>
      <c r="C122">
        <v>5</v>
      </c>
      <c r="D122" t="str">
        <f t="shared" si="6"/>
        <v>05</v>
      </c>
      <c r="E122" t="str">
        <f>VLOOKUP(B122,'HOGARES-ENDLINE'!$A:$B,2,FALSE)</f>
        <v>00031114</v>
      </c>
      <c r="F122" s="6" t="str">
        <f t="shared" si="5"/>
        <v>0003111405</v>
      </c>
    </row>
    <row r="123" spans="1:6" x14ac:dyDescent="0.3">
      <c r="A123" s="6" t="s">
        <v>3818</v>
      </c>
      <c r="B123">
        <v>8668925</v>
      </c>
      <c r="C123">
        <v>3</v>
      </c>
      <c r="D123" t="str">
        <f t="shared" si="6"/>
        <v>03</v>
      </c>
      <c r="E123" t="str">
        <f>VLOOKUP(B123,'HOGARES-ENDLINE'!$A:$B,2,FALSE)</f>
        <v>00031114</v>
      </c>
      <c r="F123" s="6" t="str">
        <f t="shared" si="5"/>
        <v>0003111403</v>
      </c>
    </row>
    <row r="124" spans="1:6" x14ac:dyDescent="0.3">
      <c r="A124" s="6" t="s">
        <v>3821</v>
      </c>
      <c r="B124">
        <v>8668925</v>
      </c>
      <c r="C124">
        <v>1</v>
      </c>
      <c r="D124" t="str">
        <f t="shared" si="6"/>
        <v>01</v>
      </c>
      <c r="E124" t="str">
        <f>VLOOKUP(B124,'HOGARES-ENDLINE'!$A:$B,2,FALSE)</f>
        <v>00031114</v>
      </c>
      <c r="F124" s="6" t="str">
        <f t="shared" si="5"/>
        <v>0003111401</v>
      </c>
    </row>
    <row r="125" spans="1:6" x14ac:dyDescent="0.3">
      <c r="A125" s="6" t="s">
        <v>3820</v>
      </c>
      <c r="B125">
        <v>8668925</v>
      </c>
      <c r="C125">
        <v>2</v>
      </c>
      <c r="D125" t="str">
        <f t="shared" si="6"/>
        <v>02</v>
      </c>
      <c r="E125" t="str">
        <f>VLOOKUP(B125,'HOGARES-ENDLINE'!$A:$B,2,FALSE)</f>
        <v>00031114</v>
      </c>
      <c r="F125" s="6" t="str">
        <f t="shared" si="5"/>
        <v>0003111402</v>
      </c>
    </row>
    <row r="126" spans="1:6" x14ac:dyDescent="0.3">
      <c r="A126" s="6" t="s">
        <v>3827</v>
      </c>
      <c r="B126">
        <v>8675682</v>
      </c>
      <c r="C126">
        <v>1</v>
      </c>
      <c r="D126" t="str">
        <f t="shared" si="6"/>
        <v>01</v>
      </c>
      <c r="E126" t="str">
        <f>VLOOKUP(B126,'HOGARES-ENDLINE'!$A:$B,2,FALSE)</f>
        <v>00031116</v>
      </c>
      <c r="F126" s="6" t="str">
        <f t="shared" si="5"/>
        <v>0003111601</v>
      </c>
    </row>
    <row r="127" spans="1:6" x14ac:dyDescent="0.3">
      <c r="A127" s="6" t="s">
        <v>3833</v>
      </c>
      <c r="B127">
        <v>8681506</v>
      </c>
      <c r="C127">
        <v>5</v>
      </c>
      <c r="D127" t="str">
        <f t="shared" si="6"/>
        <v>05</v>
      </c>
      <c r="E127" t="str">
        <f>VLOOKUP(B127,'HOGARES-ENDLINE'!$A:$B,2,FALSE)</f>
        <v>01031117</v>
      </c>
      <c r="F127" s="6" t="str">
        <f t="shared" si="5"/>
        <v>0103111705</v>
      </c>
    </row>
    <row r="128" spans="1:6" x14ac:dyDescent="0.3">
      <c r="A128" s="6" t="s">
        <v>3830</v>
      </c>
      <c r="B128">
        <v>8681506</v>
      </c>
      <c r="C128">
        <v>3</v>
      </c>
      <c r="D128" t="str">
        <f t="shared" si="6"/>
        <v>03</v>
      </c>
      <c r="E128" t="str">
        <f>VLOOKUP(B128,'HOGARES-ENDLINE'!$A:$B,2,FALSE)</f>
        <v>01031117</v>
      </c>
      <c r="F128" s="6" t="str">
        <f t="shared" si="5"/>
        <v>0103111703</v>
      </c>
    </row>
    <row r="129" spans="1:6" x14ac:dyDescent="0.3">
      <c r="A129" s="6" t="s">
        <v>3829</v>
      </c>
      <c r="B129">
        <v>8681506</v>
      </c>
      <c r="C129">
        <v>2</v>
      </c>
      <c r="D129" t="str">
        <f t="shared" si="6"/>
        <v>02</v>
      </c>
      <c r="E129" t="str">
        <f>VLOOKUP(B129,'HOGARES-ENDLINE'!$A:$B,2,FALSE)</f>
        <v>01031117</v>
      </c>
      <c r="F129" s="6" t="str">
        <f t="shared" si="5"/>
        <v>0103111702</v>
      </c>
    </row>
    <row r="130" spans="1:6" x14ac:dyDescent="0.3">
      <c r="A130" s="6" t="s">
        <v>3831</v>
      </c>
      <c r="B130">
        <v>8681506</v>
      </c>
      <c r="C130">
        <v>1</v>
      </c>
      <c r="D130" t="str">
        <f t="shared" si="6"/>
        <v>01</v>
      </c>
      <c r="E130" t="str">
        <f>VLOOKUP(B130,'HOGARES-ENDLINE'!$A:$B,2,FALSE)</f>
        <v>01031117</v>
      </c>
      <c r="F130" s="6" t="str">
        <f t="shared" si="5"/>
        <v>0103111701</v>
      </c>
    </row>
    <row r="131" spans="1:6" x14ac:dyDescent="0.3">
      <c r="A131" s="6" t="s">
        <v>3832</v>
      </c>
      <c r="B131">
        <v>8681506</v>
      </c>
      <c r="C131">
        <v>4</v>
      </c>
      <c r="D131" t="str">
        <f t="shared" si="6"/>
        <v>04</v>
      </c>
      <c r="E131" t="str">
        <f>VLOOKUP(B131,'HOGARES-ENDLINE'!$A:$B,2,FALSE)</f>
        <v>01031117</v>
      </c>
      <c r="F131" s="6" t="str">
        <f t="shared" ref="F131:F194" si="7">_xlfn.CONCAT(E131,D131)</f>
        <v>0103111704</v>
      </c>
    </row>
    <row r="132" spans="1:6" x14ac:dyDescent="0.3">
      <c r="A132" s="6" t="s">
        <v>3834</v>
      </c>
      <c r="B132">
        <v>8686374</v>
      </c>
      <c r="C132">
        <v>1</v>
      </c>
      <c r="D132" t="str">
        <f t="shared" si="6"/>
        <v>01</v>
      </c>
      <c r="E132" t="str">
        <f>VLOOKUP(B132,'HOGARES-ENDLINE'!$A:$B,2,FALSE)</f>
        <v>01031118</v>
      </c>
      <c r="F132" s="6" t="str">
        <f t="shared" si="7"/>
        <v>0103111801</v>
      </c>
    </row>
    <row r="133" spans="1:6" x14ac:dyDescent="0.3">
      <c r="A133" s="6" t="s">
        <v>3837</v>
      </c>
      <c r="B133">
        <v>8686397</v>
      </c>
      <c r="C133">
        <v>1</v>
      </c>
      <c r="D133" t="str">
        <f t="shared" si="6"/>
        <v>01</v>
      </c>
      <c r="E133" t="str">
        <f>VLOOKUP(B133,'HOGARES-ENDLINE'!$A:$B,2,FALSE)</f>
        <v>00031119</v>
      </c>
      <c r="F133" s="6" t="str">
        <f t="shared" si="7"/>
        <v>0003111901</v>
      </c>
    </row>
    <row r="134" spans="1:6" x14ac:dyDescent="0.3">
      <c r="A134" s="6" t="s">
        <v>3841</v>
      </c>
      <c r="B134">
        <v>8688105</v>
      </c>
      <c r="C134">
        <v>3</v>
      </c>
      <c r="D134" t="str">
        <f t="shared" si="6"/>
        <v>03</v>
      </c>
      <c r="E134" t="str">
        <f>VLOOKUP(B134,'HOGARES-ENDLINE'!$A:$B,2,FALSE)</f>
        <v>00031120</v>
      </c>
      <c r="F134" s="6" t="str">
        <f t="shared" si="7"/>
        <v>0003112003</v>
      </c>
    </row>
    <row r="135" spans="1:6" x14ac:dyDescent="0.3">
      <c r="A135" s="6" t="s">
        <v>3840</v>
      </c>
      <c r="B135">
        <v>8688105</v>
      </c>
      <c r="C135">
        <v>4</v>
      </c>
      <c r="D135" t="str">
        <f t="shared" si="6"/>
        <v>04</v>
      </c>
      <c r="E135" t="str">
        <f>VLOOKUP(B135,'HOGARES-ENDLINE'!$A:$B,2,FALSE)</f>
        <v>00031120</v>
      </c>
      <c r="F135" s="6" t="str">
        <f t="shared" si="7"/>
        <v>0003112004</v>
      </c>
    </row>
    <row r="136" spans="1:6" x14ac:dyDescent="0.3">
      <c r="A136" s="6" t="s">
        <v>3838</v>
      </c>
      <c r="B136">
        <v>8688105</v>
      </c>
      <c r="C136">
        <v>6</v>
      </c>
      <c r="D136" t="str">
        <f t="shared" si="6"/>
        <v>06</v>
      </c>
      <c r="E136" t="str">
        <f>VLOOKUP(B136,'HOGARES-ENDLINE'!$A:$B,2,FALSE)</f>
        <v>00031120</v>
      </c>
      <c r="F136" s="6" t="str">
        <f t="shared" si="7"/>
        <v>0003112006</v>
      </c>
    </row>
    <row r="137" spans="1:6" x14ac:dyDescent="0.3">
      <c r="A137" s="6" t="s">
        <v>3842</v>
      </c>
      <c r="B137">
        <v>8688105</v>
      </c>
      <c r="C137">
        <v>1</v>
      </c>
      <c r="D137" t="str">
        <f t="shared" si="6"/>
        <v>01</v>
      </c>
      <c r="E137" t="str">
        <f>VLOOKUP(B137,'HOGARES-ENDLINE'!$A:$B,2,FALSE)</f>
        <v>00031120</v>
      </c>
      <c r="F137" s="6" t="str">
        <f t="shared" si="7"/>
        <v>0003112001</v>
      </c>
    </row>
    <row r="138" spans="1:6" x14ac:dyDescent="0.3">
      <c r="A138" s="6" t="s">
        <v>3843</v>
      </c>
      <c r="B138">
        <v>8688105</v>
      </c>
      <c r="C138">
        <v>5</v>
      </c>
      <c r="D138" t="str">
        <f t="shared" si="6"/>
        <v>05</v>
      </c>
      <c r="E138" t="str">
        <f>VLOOKUP(B138,'HOGARES-ENDLINE'!$A:$B,2,FALSE)</f>
        <v>00031120</v>
      </c>
      <c r="F138" s="6" t="str">
        <f t="shared" si="7"/>
        <v>0003112005</v>
      </c>
    </row>
    <row r="139" spans="1:6" x14ac:dyDescent="0.3">
      <c r="A139" s="6" t="s">
        <v>3839</v>
      </c>
      <c r="B139">
        <v>8688105</v>
      </c>
      <c r="C139">
        <v>2</v>
      </c>
      <c r="D139" t="str">
        <f t="shared" si="6"/>
        <v>02</v>
      </c>
      <c r="E139" t="str">
        <f>VLOOKUP(B139,'HOGARES-ENDLINE'!$A:$B,2,FALSE)</f>
        <v>00031120</v>
      </c>
      <c r="F139" s="6" t="str">
        <f t="shared" si="7"/>
        <v>0003112002</v>
      </c>
    </row>
    <row r="140" spans="1:6" x14ac:dyDescent="0.3">
      <c r="A140" s="6" t="s">
        <v>3844</v>
      </c>
      <c r="B140">
        <v>8695283</v>
      </c>
      <c r="C140">
        <v>3</v>
      </c>
      <c r="D140" t="str">
        <f t="shared" si="6"/>
        <v>03</v>
      </c>
      <c r="E140" t="str">
        <f>VLOOKUP(B140,'HOGARES-ENDLINE'!$A:$B,2,FALSE)</f>
        <v>00031121</v>
      </c>
      <c r="F140" s="6" t="str">
        <f t="shared" si="7"/>
        <v>0003112103</v>
      </c>
    </row>
    <row r="141" spans="1:6" x14ac:dyDescent="0.3">
      <c r="A141" s="6" t="s">
        <v>3845</v>
      </c>
      <c r="B141">
        <v>8695283</v>
      </c>
      <c r="C141">
        <v>1</v>
      </c>
      <c r="D141" t="str">
        <f t="shared" si="6"/>
        <v>01</v>
      </c>
      <c r="E141" t="str">
        <f>VLOOKUP(B141,'HOGARES-ENDLINE'!$A:$B,2,FALSE)</f>
        <v>00031121</v>
      </c>
      <c r="F141" s="6" t="str">
        <f t="shared" si="7"/>
        <v>0003112101</v>
      </c>
    </row>
    <row r="142" spans="1:6" x14ac:dyDescent="0.3">
      <c r="A142" s="6" t="s">
        <v>3846</v>
      </c>
      <c r="B142">
        <v>8695283</v>
      </c>
      <c r="C142">
        <v>2</v>
      </c>
      <c r="D142" t="str">
        <f t="shared" si="6"/>
        <v>02</v>
      </c>
      <c r="E142" t="str">
        <f>VLOOKUP(B142,'HOGARES-ENDLINE'!$A:$B,2,FALSE)</f>
        <v>00031121</v>
      </c>
      <c r="F142" s="6" t="str">
        <f t="shared" si="7"/>
        <v>0003112102</v>
      </c>
    </row>
    <row r="143" spans="1:6" x14ac:dyDescent="0.3">
      <c r="A143" s="6" t="s">
        <v>3853</v>
      </c>
      <c r="B143">
        <v>8696703</v>
      </c>
      <c r="C143">
        <v>1</v>
      </c>
      <c r="D143" t="str">
        <f t="shared" si="6"/>
        <v>01</v>
      </c>
      <c r="E143" t="str">
        <f>VLOOKUP(B143,'HOGARES-ENDLINE'!$A:$B,2,FALSE)</f>
        <v>00031122</v>
      </c>
      <c r="F143" s="6" t="str">
        <f t="shared" si="7"/>
        <v>0003112201</v>
      </c>
    </row>
    <row r="144" spans="1:6" x14ac:dyDescent="0.3">
      <c r="A144" s="6" t="s">
        <v>3854</v>
      </c>
      <c r="B144">
        <v>8704553</v>
      </c>
      <c r="C144">
        <v>1</v>
      </c>
      <c r="D144" t="str">
        <f t="shared" si="6"/>
        <v>01</v>
      </c>
      <c r="E144" t="str">
        <f>VLOOKUP(B144,'HOGARES-ENDLINE'!$A:$B,2,FALSE)</f>
        <v>00031123</v>
      </c>
      <c r="F144" s="6" t="str">
        <f t="shared" si="7"/>
        <v>0003112301</v>
      </c>
    </row>
    <row r="145" spans="1:6" x14ac:dyDescent="0.3">
      <c r="A145" s="6" t="s">
        <v>3856</v>
      </c>
      <c r="B145">
        <v>8706854</v>
      </c>
      <c r="C145">
        <v>1</v>
      </c>
      <c r="D145" t="str">
        <f t="shared" si="6"/>
        <v>01</v>
      </c>
      <c r="E145" t="str">
        <f>VLOOKUP(B145,'HOGARES-ENDLINE'!$A:$B,2,FALSE)</f>
        <v>00031124</v>
      </c>
      <c r="F145" s="6" t="str">
        <f t="shared" si="7"/>
        <v>0003112401</v>
      </c>
    </row>
    <row r="146" spans="1:6" x14ac:dyDescent="0.3">
      <c r="A146" s="6" t="s">
        <v>3855</v>
      </c>
      <c r="B146">
        <v>8706854</v>
      </c>
      <c r="C146">
        <v>2</v>
      </c>
      <c r="D146" t="str">
        <f t="shared" si="6"/>
        <v>02</v>
      </c>
      <c r="E146" t="str">
        <f>VLOOKUP(B146,'HOGARES-ENDLINE'!$A:$B,2,FALSE)</f>
        <v>00031124</v>
      </c>
      <c r="F146" s="6" t="str">
        <f t="shared" si="7"/>
        <v>0003112402</v>
      </c>
    </row>
    <row r="147" spans="1:6" x14ac:dyDescent="0.3">
      <c r="A147" s="6" t="s">
        <v>3857</v>
      </c>
      <c r="B147">
        <v>8706854</v>
      </c>
      <c r="C147">
        <v>3</v>
      </c>
      <c r="D147" t="str">
        <f t="shared" si="6"/>
        <v>03</v>
      </c>
      <c r="E147" t="str">
        <f>VLOOKUP(B147,'HOGARES-ENDLINE'!$A:$B,2,FALSE)</f>
        <v>00031124</v>
      </c>
      <c r="F147" s="6" t="str">
        <f t="shared" si="7"/>
        <v>0003112403</v>
      </c>
    </row>
    <row r="148" spans="1:6" x14ac:dyDescent="0.3">
      <c r="A148" s="6" t="s">
        <v>3862</v>
      </c>
      <c r="B148">
        <v>8722562</v>
      </c>
      <c r="C148">
        <v>1</v>
      </c>
      <c r="D148" t="str">
        <f t="shared" si="6"/>
        <v>01</v>
      </c>
      <c r="E148" t="str">
        <f>VLOOKUP(B148,'HOGARES-ENDLINE'!$A:$B,2,FALSE)</f>
        <v>00031127</v>
      </c>
      <c r="F148" s="6" t="str">
        <f t="shared" si="7"/>
        <v>0003112701</v>
      </c>
    </row>
    <row r="149" spans="1:6" x14ac:dyDescent="0.3">
      <c r="A149" s="6" t="s">
        <v>3863</v>
      </c>
      <c r="B149">
        <v>8724214</v>
      </c>
      <c r="C149">
        <v>1</v>
      </c>
      <c r="D149" t="str">
        <f t="shared" si="6"/>
        <v>01</v>
      </c>
      <c r="E149" t="str">
        <f>VLOOKUP(B149,'HOGARES-ENDLINE'!$A:$B,2,FALSE)</f>
        <v>01031128</v>
      </c>
      <c r="F149" s="6" t="str">
        <f t="shared" si="7"/>
        <v>0103112801</v>
      </c>
    </row>
    <row r="150" spans="1:6" x14ac:dyDescent="0.3">
      <c r="A150" s="6" t="s">
        <v>3865</v>
      </c>
      <c r="B150">
        <v>8732595</v>
      </c>
      <c r="C150">
        <v>1</v>
      </c>
      <c r="D150" t="str">
        <f t="shared" si="6"/>
        <v>01</v>
      </c>
      <c r="E150" t="str">
        <f>VLOOKUP(B150,'HOGARES-ENDLINE'!$A:$B,2,FALSE)</f>
        <v>00031129</v>
      </c>
      <c r="F150" s="6" t="str">
        <f t="shared" si="7"/>
        <v>0003112901</v>
      </c>
    </row>
    <row r="151" spans="1:6" x14ac:dyDescent="0.3">
      <c r="A151" s="6" t="s">
        <v>3864</v>
      </c>
      <c r="B151">
        <v>8732595</v>
      </c>
      <c r="C151">
        <v>2</v>
      </c>
      <c r="D151" t="str">
        <f t="shared" si="6"/>
        <v>02</v>
      </c>
      <c r="E151" t="str">
        <f>VLOOKUP(B151,'HOGARES-ENDLINE'!$A:$B,2,FALSE)</f>
        <v>00031129</v>
      </c>
      <c r="F151" s="6" t="str">
        <f t="shared" si="7"/>
        <v>0003112902</v>
      </c>
    </row>
    <row r="152" spans="1:6" x14ac:dyDescent="0.3">
      <c r="A152" s="6" t="s">
        <v>3866</v>
      </c>
      <c r="B152">
        <v>8734568</v>
      </c>
      <c r="C152">
        <v>2</v>
      </c>
      <c r="D152" t="str">
        <f t="shared" si="6"/>
        <v>02</v>
      </c>
      <c r="E152" t="str">
        <f>VLOOKUP(B152,'HOGARES-ENDLINE'!$A:$B,2,FALSE)</f>
        <v>01031130</v>
      </c>
      <c r="F152" s="6" t="str">
        <f t="shared" si="7"/>
        <v>0103113002</v>
      </c>
    </row>
    <row r="153" spans="1:6" x14ac:dyDescent="0.3">
      <c r="A153" s="6" t="s">
        <v>3868</v>
      </c>
      <c r="B153">
        <v>8734568</v>
      </c>
      <c r="C153">
        <v>3</v>
      </c>
      <c r="D153" t="str">
        <f t="shared" si="6"/>
        <v>03</v>
      </c>
      <c r="E153" t="str">
        <f>VLOOKUP(B153,'HOGARES-ENDLINE'!$A:$B,2,FALSE)</f>
        <v>01031130</v>
      </c>
      <c r="F153" s="6" t="str">
        <f t="shared" si="7"/>
        <v>0103113003</v>
      </c>
    </row>
    <row r="154" spans="1:6" x14ac:dyDescent="0.3">
      <c r="A154" s="6" t="s">
        <v>3867</v>
      </c>
      <c r="B154">
        <v>8734568</v>
      </c>
      <c r="C154">
        <v>1</v>
      </c>
      <c r="D154" t="str">
        <f t="shared" si="6"/>
        <v>01</v>
      </c>
      <c r="E154" t="str">
        <f>VLOOKUP(B154,'HOGARES-ENDLINE'!$A:$B,2,FALSE)</f>
        <v>01031130</v>
      </c>
      <c r="F154" s="6" t="str">
        <f t="shared" si="7"/>
        <v>0103113001</v>
      </c>
    </row>
    <row r="155" spans="1:6" x14ac:dyDescent="0.3">
      <c r="A155" s="6" t="s">
        <v>3869</v>
      </c>
      <c r="B155">
        <v>8737489</v>
      </c>
      <c r="C155">
        <v>1</v>
      </c>
      <c r="D155" t="str">
        <f t="shared" si="6"/>
        <v>01</v>
      </c>
      <c r="E155" t="str">
        <f>VLOOKUP(B155,'HOGARES-ENDLINE'!$A:$B,2,FALSE)</f>
        <v>01031131</v>
      </c>
      <c r="F155" s="6" t="str">
        <f t="shared" si="7"/>
        <v>0103113101</v>
      </c>
    </row>
    <row r="156" spans="1:6" x14ac:dyDescent="0.3">
      <c r="A156" s="6" t="s">
        <v>3870</v>
      </c>
      <c r="B156">
        <v>8739487</v>
      </c>
      <c r="C156">
        <v>1</v>
      </c>
      <c r="D156" t="str">
        <f t="shared" si="6"/>
        <v>01</v>
      </c>
      <c r="E156" t="str">
        <f>VLOOKUP(B156,'HOGARES-ENDLINE'!$A:$B,2,FALSE)</f>
        <v>00031132</v>
      </c>
      <c r="F156" s="6" t="str">
        <f t="shared" si="7"/>
        <v>0003113201</v>
      </c>
    </row>
    <row r="157" spans="1:6" x14ac:dyDescent="0.3">
      <c r="A157" s="6" t="s">
        <v>3871</v>
      </c>
      <c r="B157">
        <v>8739487</v>
      </c>
      <c r="C157">
        <v>2</v>
      </c>
      <c r="D157" t="str">
        <f t="shared" si="6"/>
        <v>02</v>
      </c>
      <c r="E157" t="str">
        <f>VLOOKUP(B157,'HOGARES-ENDLINE'!$A:$B,2,FALSE)</f>
        <v>00031132</v>
      </c>
      <c r="F157" s="6" t="str">
        <f t="shared" si="7"/>
        <v>0003113202</v>
      </c>
    </row>
    <row r="158" spans="1:6" x14ac:dyDescent="0.3">
      <c r="A158" s="6" t="s">
        <v>3874</v>
      </c>
      <c r="B158">
        <v>8754897</v>
      </c>
      <c r="C158">
        <v>2</v>
      </c>
      <c r="D158" t="str">
        <f t="shared" si="6"/>
        <v>02</v>
      </c>
      <c r="E158" t="str">
        <f>VLOOKUP(B158,'HOGARES-ENDLINE'!$A:$B,2,FALSE)</f>
        <v>01031134</v>
      </c>
      <c r="F158" s="6" t="str">
        <f t="shared" si="7"/>
        <v>0103113402</v>
      </c>
    </row>
    <row r="159" spans="1:6" x14ac:dyDescent="0.3">
      <c r="A159" s="6" t="s">
        <v>3873</v>
      </c>
      <c r="B159">
        <v>8754897</v>
      </c>
      <c r="C159">
        <v>1</v>
      </c>
      <c r="D159" t="str">
        <f t="shared" si="6"/>
        <v>01</v>
      </c>
      <c r="E159" t="str">
        <f>VLOOKUP(B159,'HOGARES-ENDLINE'!$A:$B,2,FALSE)</f>
        <v>01031134</v>
      </c>
      <c r="F159" s="6" t="str">
        <f t="shared" si="7"/>
        <v>0103113401</v>
      </c>
    </row>
    <row r="160" spans="1:6" x14ac:dyDescent="0.3">
      <c r="A160" s="6" t="s">
        <v>3880</v>
      </c>
      <c r="B160">
        <v>8758157</v>
      </c>
      <c r="C160">
        <v>1</v>
      </c>
      <c r="D160" t="str">
        <f t="shared" si="6"/>
        <v>01</v>
      </c>
      <c r="E160" t="str">
        <f>VLOOKUP(B160,'HOGARES-ENDLINE'!$A:$B,2,FALSE)</f>
        <v>01031136</v>
      </c>
      <c r="F160" s="6" t="str">
        <f t="shared" si="7"/>
        <v>0103113601</v>
      </c>
    </row>
    <row r="161" spans="1:6" x14ac:dyDescent="0.3">
      <c r="A161" s="6" t="s">
        <v>3881</v>
      </c>
      <c r="B161">
        <v>8775124</v>
      </c>
      <c r="C161">
        <v>2</v>
      </c>
      <c r="D161" t="str">
        <f t="shared" si="6"/>
        <v>02</v>
      </c>
      <c r="E161" t="str">
        <f>VLOOKUP(B161,'HOGARES-ENDLINE'!$A:$B,2,FALSE)</f>
        <v>00031137</v>
      </c>
      <c r="F161" s="6" t="str">
        <f t="shared" si="7"/>
        <v>0003113702</v>
      </c>
    </row>
    <row r="162" spans="1:6" x14ac:dyDescent="0.3">
      <c r="A162" s="6" t="s">
        <v>3883</v>
      </c>
      <c r="B162">
        <v>8775124</v>
      </c>
      <c r="C162">
        <v>1</v>
      </c>
      <c r="D162" t="str">
        <f t="shared" si="6"/>
        <v>01</v>
      </c>
      <c r="E162" t="str">
        <f>VLOOKUP(B162,'HOGARES-ENDLINE'!$A:$B,2,FALSE)</f>
        <v>00031137</v>
      </c>
      <c r="F162" s="6" t="str">
        <f t="shared" si="7"/>
        <v>0003113701</v>
      </c>
    </row>
    <row r="163" spans="1:6" x14ac:dyDescent="0.3">
      <c r="A163" s="6" t="s">
        <v>3884</v>
      </c>
      <c r="B163">
        <v>8779085</v>
      </c>
      <c r="C163">
        <v>1</v>
      </c>
      <c r="D163" t="str">
        <f t="shared" si="6"/>
        <v>01</v>
      </c>
      <c r="E163" t="str">
        <f>VLOOKUP(B163,'HOGARES-ENDLINE'!$A:$B,2,FALSE)</f>
        <v>01031138</v>
      </c>
      <c r="F163" s="6" t="str">
        <f t="shared" si="7"/>
        <v>0103113801</v>
      </c>
    </row>
    <row r="164" spans="1:6" x14ac:dyDescent="0.3">
      <c r="A164" s="6" t="s">
        <v>3887</v>
      </c>
      <c r="B164">
        <v>8793580</v>
      </c>
      <c r="C164">
        <v>2</v>
      </c>
      <c r="D164" t="str">
        <f t="shared" si="6"/>
        <v>02</v>
      </c>
      <c r="E164" t="str">
        <f>VLOOKUP(B164,'HOGARES-ENDLINE'!$A:$B,2,FALSE)</f>
        <v>00031139</v>
      </c>
      <c r="F164" s="6" t="str">
        <f t="shared" si="7"/>
        <v>0003113902</v>
      </c>
    </row>
    <row r="165" spans="1:6" x14ac:dyDescent="0.3">
      <c r="A165" s="6" t="s">
        <v>3885</v>
      </c>
      <c r="B165">
        <v>8793580</v>
      </c>
      <c r="C165">
        <v>5</v>
      </c>
      <c r="D165" t="str">
        <f t="shared" si="6"/>
        <v>05</v>
      </c>
      <c r="E165" t="str">
        <f>VLOOKUP(B165,'HOGARES-ENDLINE'!$A:$B,2,FALSE)</f>
        <v>00031139</v>
      </c>
      <c r="F165" s="6" t="str">
        <f t="shared" si="7"/>
        <v>0003113905</v>
      </c>
    </row>
    <row r="166" spans="1:6" x14ac:dyDescent="0.3">
      <c r="A166" s="6" t="s">
        <v>3889</v>
      </c>
      <c r="B166">
        <v>8793580</v>
      </c>
      <c r="C166">
        <v>4</v>
      </c>
      <c r="D166" t="str">
        <f t="shared" si="6"/>
        <v>04</v>
      </c>
      <c r="E166" t="str">
        <f>VLOOKUP(B166,'HOGARES-ENDLINE'!$A:$B,2,FALSE)</f>
        <v>00031139</v>
      </c>
      <c r="F166" s="6" t="str">
        <f t="shared" si="7"/>
        <v>0003113904</v>
      </c>
    </row>
    <row r="167" spans="1:6" x14ac:dyDescent="0.3">
      <c r="A167" s="6" t="s">
        <v>3886</v>
      </c>
      <c r="B167">
        <v>8793580</v>
      </c>
      <c r="C167">
        <v>1</v>
      </c>
      <c r="D167" t="str">
        <f t="shared" si="6"/>
        <v>01</v>
      </c>
      <c r="E167" t="str">
        <f>VLOOKUP(B167,'HOGARES-ENDLINE'!$A:$B,2,FALSE)</f>
        <v>00031139</v>
      </c>
      <c r="F167" s="6" t="str">
        <f t="shared" si="7"/>
        <v>0003113901</v>
      </c>
    </row>
    <row r="168" spans="1:6" x14ac:dyDescent="0.3">
      <c r="A168" s="6" t="s">
        <v>3888</v>
      </c>
      <c r="B168">
        <v>8793580</v>
      </c>
      <c r="C168">
        <v>3</v>
      </c>
      <c r="D168" t="str">
        <f t="shared" si="6"/>
        <v>03</v>
      </c>
      <c r="E168" t="str">
        <f>VLOOKUP(B168,'HOGARES-ENDLINE'!$A:$B,2,FALSE)</f>
        <v>00031139</v>
      </c>
      <c r="F168" s="6" t="str">
        <f t="shared" si="7"/>
        <v>0003113903</v>
      </c>
    </row>
    <row r="169" spans="1:6" x14ac:dyDescent="0.3">
      <c r="A169" s="6" t="s">
        <v>3891</v>
      </c>
      <c r="B169">
        <v>8799243</v>
      </c>
      <c r="C169">
        <v>2</v>
      </c>
      <c r="D169" t="str">
        <f t="shared" si="6"/>
        <v>02</v>
      </c>
      <c r="E169" t="str">
        <f>VLOOKUP(B169,'HOGARES-ENDLINE'!$A:$B,2,FALSE)</f>
        <v>01031140</v>
      </c>
      <c r="F169" s="6" t="str">
        <f t="shared" si="7"/>
        <v>0103114002</v>
      </c>
    </row>
    <row r="170" spans="1:6" x14ac:dyDescent="0.3">
      <c r="A170" s="6" t="s">
        <v>3892</v>
      </c>
      <c r="B170">
        <v>8799243</v>
      </c>
      <c r="C170">
        <v>1</v>
      </c>
      <c r="D170" t="str">
        <f t="shared" si="6"/>
        <v>01</v>
      </c>
      <c r="E170" t="str">
        <f>VLOOKUP(B170,'HOGARES-ENDLINE'!$A:$B,2,FALSE)</f>
        <v>01031140</v>
      </c>
      <c r="F170" s="6" t="str">
        <f t="shared" si="7"/>
        <v>0103114001</v>
      </c>
    </row>
    <row r="171" spans="1:6" x14ac:dyDescent="0.3">
      <c r="A171" s="6" t="s">
        <v>3893</v>
      </c>
      <c r="B171">
        <v>8799243</v>
      </c>
      <c r="C171">
        <v>4</v>
      </c>
      <c r="D171" t="str">
        <f t="shared" si="6"/>
        <v>04</v>
      </c>
      <c r="E171" t="str">
        <f>VLOOKUP(B171,'HOGARES-ENDLINE'!$A:$B,2,FALSE)</f>
        <v>01031140</v>
      </c>
      <c r="F171" s="6" t="str">
        <f t="shared" si="7"/>
        <v>0103114004</v>
      </c>
    </row>
    <row r="172" spans="1:6" x14ac:dyDescent="0.3">
      <c r="A172" s="6" t="s">
        <v>3896</v>
      </c>
      <c r="B172">
        <v>9142652</v>
      </c>
      <c r="C172">
        <v>1</v>
      </c>
      <c r="D172" t="str">
        <f t="shared" si="6"/>
        <v>01</v>
      </c>
      <c r="E172" t="str">
        <f>VLOOKUP(B172,'HOGARES-ENDLINE'!$A:$B,2,FALSE)</f>
        <v>00011142</v>
      </c>
      <c r="F172" s="6" t="str">
        <f t="shared" si="7"/>
        <v>0001114201</v>
      </c>
    </row>
    <row r="173" spans="1:6" x14ac:dyDescent="0.3">
      <c r="A173" s="6" t="s">
        <v>3895</v>
      </c>
      <c r="B173">
        <v>9142652</v>
      </c>
      <c r="C173">
        <v>3</v>
      </c>
      <c r="D173" t="str">
        <f t="shared" si="6"/>
        <v>03</v>
      </c>
      <c r="E173" t="str">
        <f>VLOOKUP(B173,'HOGARES-ENDLINE'!$A:$B,2,FALSE)</f>
        <v>00011142</v>
      </c>
      <c r="F173" s="6" t="str">
        <f t="shared" si="7"/>
        <v>0001114203</v>
      </c>
    </row>
    <row r="174" spans="1:6" x14ac:dyDescent="0.3">
      <c r="A174" s="6" t="s">
        <v>3897</v>
      </c>
      <c r="B174">
        <v>9142652</v>
      </c>
      <c r="C174">
        <v>2</v>
      </c>
      <c r="D174" t="str">
        <f t="shared" si="6"/>
        <v>02</v>
      </c>
      <c r="E174" t="str">
        <f>VLOOKUP(B174,'HOGARES-ENDLINE'!$A:$B,2,FALSE)</f>
        <v>00011142</v>
      </c>
      <c r="F174" s="6" t="str">
        <f t="shared" si="7"/>
        <v>0001114202</v>
      </c>
    </row>
    <row r="175" spans="1:6" x14ac:dyDescent="0.3">
      <c r="A175" s="6" t="s">
        <v>3940</v>
      </c>
      <c r="B175">
        <v>9825002</v>
      </c>
      <c r="C175">
        <v>1</v>
      </c>
      <c r="D175" t="str">
        <f t="shared" si="6"/>
        <v>01</v>
      </c>
      <c r="E175" t="str">
        <f>VLOOKUP(B175,'HOGARES-ENDLINE'!$A:$B,2,FALSE)</f>
        <v>00021161</v>
      </c>
      <c r="F175" s="6" t="str">
        <f t="shared" si="7"/>
        <v>0002116101</v>
      </c>
    </row>
    <row r="176" spans="1:6" x14ac:dyDescent="0.3">
      <c r="A176" s="6" t="s">
        <v>5132</v>
      </c>
      <c r="B176">
        <v>9825002</v>
      </c>
      <c r="C176">
        <v>3</v>
      </c>
      <c r="D176" t="str">
        <f t="shared" si="6"/>
        <v>03</v>
      </c>
      <c r="E176" t="str">
        <f>VLOOKUP(B176,'HOGARES-ENDLINE'!$A:$B,2,FALSE)</f>
        <v>00021161</v>
      </c>
      <c r="F176" s="6" t="str">
        <f t="shared" si="7"/>
        <v>0002116103</v>
      </c>
    </row>
    <row r="177" spans="1:6" x14ac:dyDescent="0.3">
      <c r="A177" s="6" t="s">
        <v>99</v>
      </c>
      <c r="B177">
        <v>10068285</v>
      </c>
      <c r="C177">
        <v>1</v>
      </c>
      <c r="D177" t="str">
        <f t="shared" si="6"/>
        <v>01</v>
      </c>
      <c r="E177" t="str">
        <f>VLOOKUP(B177,'HOGARES-ENDLINE'!$A:$B,2,FALSE)</f>
        <v>00020026</v>
      </c>
      <c r="F177" s="6" t="str">
        <f t="shared" si="7"/>
        <v>0002002601</v>
      </c>
    </row>
    <row r="178" spans="1:6" x14ac:dyDescent="0.3">
      <c r="A178" s="6" t="s">
        <v>100</v>
      </c>
      <c r="B178">
        <v>10068285</v>
      </c>
      <c r="C178">
        <v>2</v>
      </c>
      <c r="D178" t="str">
        <f t="shared" si="6"/>
        <v>02</v>
      </c>
      <c r="E178" t="str">
        <f>VLOOKUP(B178,'HOGARES-ENDLINE'!$A:$B,2,FALSE)</f>
        <v>00020026</v>
      </c>
      <c r="F178" s="6" t="str">
        <f t="shared" si="7"/>
        <v>0002002602</v>
      </c>
    </row>
    <row r="179" spans="1:6" x14ac:dyDescent="0.3">
      <c r="A179" s="6" t="s">
        <v>120</v>
      </c>
      <c r="B179">
        <v>10122125</v>
      </c>
      <c r="C179">
        <v>1</v>
      </c>
      <c r="D179" t="str">
        <f t="shared" si="6"/>
        <v>01</v>
      </c>
      <c r="E179" t="str">
        <f>VLOOKUP(B179,'HOGARES-ENDLINE'!$A:$B,2,FALSE)</f>
        <v>01030032</v>
      </c>
      <c r="F179" s="6" t="str">
        <f t="shared" si="7"/>
        <v>0103003201</v>
      </c>
    </row>
    <row r="180" spans="1:6" x14ac:dyDescent="0.3">
      <c r="A180" s="6" t="s">
        <v>122</v>
      </c>
      <c r="B180">
        <v>10122125</v>
      </c>
      <c r="C180">
        <v>2</v>
      </c>
      <c r="D180" t="str">
        <f t="shared" si="6"/>
        <v>02</v>
      </c>
      <c r="E180" t="str">
        <f>VLOOKUP(B180,'HOGARES-ENDLINE'!$A:$B,2,FALSE)</f>
        <v>01030032</v>
      </c>
      <c r="F180" s="6" t="str">
        <f t="shared" si="7"/>
        <v>0103003202</v>
      </c>
    </row>
    <row r="181" spans="1:6" x14ac:dyDescent="0.3">
      <c r="A181" s="6" t="s">
        <v>121</v>
      </c>
      <c r="B181">
        <v>10122125</v>
      </c>
      <c r="C181">
        <v>4</v>
      </c>
      <c r="D181" t="str">
        <f t="shared" si="6"/>
        <v>04</v>
      </c>
      <c r="E181" t="str">
        <f>VLOOKUP(B181,'HOGARES-ENDLINE'!$A:$B,2,FALSE)</f>
        <v>01030032</v>
      </c>
      <c r="F181" s="6" t="str">
        <f t="shared" si="7"/>
        <v>0103003204</v>
      </c>
    </row>
    <row r="182" spans="1:6" x14ac:dyDescent="0.3">
      <c r="A182" s="6" t="s">
        <v>119</v>
      </c>
      <c r="B182">
        <v>10122125</v>
      </c>
      <c r="C182">
        <v>3</v>
      </c>
      <c r="D182" t="str">
        <f t="shared" si="6"/>
        <v>03</v>
      </c>
      <c r="E182" t="str">
        <f>VLOOKUP(B182,'HOGARES-ENDLINE'!$A:$B,2,FALSE)</f>
        <v>01030032</v>
      </c>
      <c r="F182" s="6" t="str">
        <f t="shared" si="7"/>
        <v>0103003203</v>
      </c>
    </row>
    <row r="183" spans="1:6" x14ac:dyDescent="0.3">
      <c r="A183" s="6" t="s">
        <v>223</v>
      </c>
      <c r="B183">
        <v>10239436</v>
      </c>
      <c r="C183">
        <v>2</v>
      </c>
      <c r="D183" t="str">
        <f t="shared" ref="D183:D246" si="8">_xlfn.CONCAT(0,C183)</f>
        <v>02</v>
      </c>
      <c r="E183" t="str">
        <f>VLOOKUP(B183,'HOGARES-ENDLINE'!$A:$B,2,FALSE)</f>
        <v>00010058</v>
      </c>
      <c r="F183" s="6" t="str">
        <f t="shared" si="7"/>
        <v>0001005802</v>
      </c>
    </row>
    <row r="184" spans="1:6" x14ac:dyDescent="0.3">
      <c r="A184" s="6" t="s">
        <v>220</v>
      </c>
      <c r="B184">
        <v>10239436</v>
      </c>
      <c r="C184">
        <v>5</v>
      </c>
      <c r="D184" t="str">
        <f t="shared" si="8"/>
        <v>05</v>
      </c>
      <c r="E184" t="str">
        <f>VLOOKUP(B184,'HOGARES-ENDLINE'!$A:$B,2,FALSE)</f>
        <v>00010058</v>
      </c>
      <c r="F184" s="6" t="str">
        <f t="shared" si="7"/>
        <v>0001005805</v>
      </c>
    </row>
    <row r="185" spans="1:6" x14ac:dyDescent="0.3">
      <c r="A185" s="6" t="s">
        <v>224</v>
      </c>
      <c r="B185">
        <v>10239436</v>
      </c>
      <c r="C185">
        <v>4</v>
      </c>
      <c r="D185" t="str">
        <f t="shared" si="8"/>
        <v>04</v>
      </c>
      <c r="E185" t="str">
        <f>VLOOKUP(B185,'HOGARES-ENDLINE'!$A:$B,2,FALSE)</f>
        <v>00010058</v>
      </c>
      <c r="F185" s="6" t="str">
        <f t="shared" si="7"/>
        <v>0001005804</v>
      </c>
    </row>
    <row r="186" spans="1:6" x14ac:dyDescent="0.3">
      <c r="A186" s="6" t="s">
        <v>222</v>
      </c>
      <c r="B186">
        <v>10239436</v>
      </c>
      <c r="C186">
        <v>1</v>
      </c>
      <c r="D186" t="str">
        <f t="shared" si="8"/>
        <v>01</v>
      </c>
      <c r="E186" t="str">
        <f>VLOOKUP(B186,'HOGARES-ENDLINE'!$A:$B,2,FALSE)</f>
        <v>00010058</v>
      </c>
      <c r="F186" s="6" t="str">
        <f t="shared" si="7"/>
        <v>0001005801</v>
      </c>
    </row>
    <row r="187" spans="1:6" x14ac:dyDescent="0.3">
      <c r="A187" s="6" t="s">
        <v>277</v>
      </c>
      <c r="B187">
        <v>10375239</v>
      </c>
      <c r="C187">
        <v>2</v>
      </c>
      <c r="D187" t="str">
        <f t="shared" si="8"/>
        <v>02</v>
      </c>
      <c r="E187" t="str">
        <f>VLOOKUP(B187,'HOGARES-ENDLINE'!$A:$B,2,FALSE)</f>
        <v>01020072</v>
      </c>
      <c r="F187" s="6" t="str">
        <f t="shared" si="7"/>
        <v>0102007202</v>
      </c>
    </row>
    <row r="188" spans="1:6" x14ac:dyDescent="0.3">
      <c r="A188" s="6" t="s">
        <v>274</v>
      </c>
      <c r="B188">
        <v>10375239</v>
      </c>
      <c r="C188">
        <v>3</v>
      </c>
      <c r="D188" t="str">
        <f t="shared" si="8"/>
        <v>03</v>
      </c>
      <c r="E188" t="str">
        <f>VLOOKUP(B188,'HOGARES-ENDLINE'!$A:$B,2,FALSE)</f>
        <v>01020072</v>
      </c>
      <c r="F188" s="6" t="str">
        <f t="shared" si="7"/>
        <v>0102007203</v>
      </c>
    </row>
    <row r="189" spans="1:6" x14ac:dyDescent="0.3">
      <c r="A189" s="6" t="s">
        <v>278</v>
      </c>
      <c r="B189">
        <v>10375239</v>
      </c>
      <c r="C189">
        <v>5</v>
      </c>
      <c r="D189" t="str">
        <f t="shared" si="8"/>
        <v>05</v>
      </c>
      <c r="E189" t="str">
        <f>VLOOKUP(B189,'HOGARES-ENDLINE'!$A:$B,2,FALSE)</f>
        <v>01020072</v>
      </c>
      <c r="F189" s="6" t="str">
        <f t="shared" si="7"/>
        <v>0102007205</v>
      </c>
    </row>
    <row r="190" spans="1:6" x14ac:dyDescent="0.3">
      <c r="A190" s="6" t="s">
        <v>276</v>
      </c>
      <c r="B190">
        <v>10375239</v>
      </c>
      <c r="C190">
        <v>1</v>
      </c>
      <c r="D190" t="str">
        <f t="shared" si="8"/>
        <v>01</v>
      </c>
      <c r="E190" t="str">
        <f>VLOOKUP(B190,'HOGARES-ENDLINE'!$A:$B,2,FALSE)</f>
        <v>01020072</v>
      </c>
      <c r="F190" s="6" t="str">
        <f t="shared" si="7"/>
        <v>0102007201</v>
      </c>
    </row>
    <row r="191" spans="1:6" x14ac:dyDescent="0.3">
      <c r="A191" s="6" t="s">
        <v>275</v>
      </c>
      <c r="B191">
        <v>10375239</v>
      </c>
      <c r="C191">
        <v>4</v>
      </c>
      <c r="D191" t="str">
        <f t="shared" si="8"/>
        <v>04</v>
      </c>
      <c r="E191" t="str">
        <f>VLOOKUP(B191,'HOGARES-ENDLINE'!$A:$B,2,FALSE)</f>
        <v>01020072</v>
      </c>
      <c r="F191" s="6" t="str">
        <f t="shared" si="7"/>
        <v>0102007204</v>
      </c>
    </row>
    <row r="192" spans="1:6" x14ac:dyDescent="0.3">
      <c r="A192" s="6" t="s">
        <v>415</v>
      </c>
      <c r="B192">
        <v>10472271</v>
      </c>
      <c r="C192">
        <v>1</v>
      </c>
      <c r="D192" t="str">
        <f t="shared" si="8"/>
        <v>01</v>
      </c>
      <c r="E192" t="str">
        <f>VLOOKUP(B192,'HOGARES-ENDLINE'!$A:$B,2,FALSE)</f>
        <v>01020110</v>
      </c>
      <c r="F192" s="6" t="str">
        <f t="shared" si="7"/>
        <v>0102011001</v>
      </c>
    </row>
    <row r="193" spans="1:6" x14ac:dyDescent="0.3">
      <c r="A193" s="6" t="s">
        <v>472</v>
      </c>
      <c r="B193">
        <v>10741712</v>
      </c>
      <c r="C193">
        <v>1</v>
      </c>
      <c r="D193" t="str">
        <f t="shared" si="8"/>
        <v>01</v>
      </c>
      <c r="E193" t="str">
        <f>VLOOKUP(B193,'HOGARES-ENDLINE'!$A:$B,2,FALSE)</f>
        <v>01020123</v>
      </c>
      <c r="F193" s="6" t="str">
        <f t="shared" si="7"/>
        <v>0102012301</v>
      </c>
    </row>
    <row r="194" spans="1:6" x14ac:dyDescent="0.3">
      <c r="A194" s="6" t="s">
        <v>478</v>
      </c>
      <c r="B194">
        <v>10885223</v>
      </c>
      <c r="C194">
        <v>1</v>
      </c>
      <c r="D194" t="str">
        <f t="shared" si="8"/>
        <v>01</v>
      </c>
      <c r="E194" t="str">
        <f>VLOOKUP(B194,'HOGARES-ENDLINE'!$A:$B,2,FALSE)</f>
        <v>00030125</v>
      </c>
      <c r="F194" s="6" t="str">
        <f t="shared" si="7"/>
        <v>0003012501</v>
      </c>
    </row>
    <row r="195" spans="1:6" x14ac:dyDescent="0.3">
      <c r="A195" s="6" t="s">
        <v>5133</v>
      </c>
      <c r="B195">
        <v>12207323</v>
      </c>
      <c r="C195">
        <v>2</v>
      </c>
      <c r="D195" t="str">
        <f t="shared" si="8"/>
        <v>02</v>
      </c>
      <c r="E195" t="str">
        <f>VLOOKUP(B195,'HOGARES-ENDLINE'!$A:$B,2,FALSE)</f>
        <v>01020253</v>
      </c>
      <c r="F195" s="6" t="str">
        <f t="shared" ref="F195:F258" si="9">_xlfn.CONCAT(E195,D195)</f>
        <v>0102025302</v>
      </c>
    </row>
    <row r="196" spans="1:6" x14ac:dyDescent="0.3">
      <c r="A196" s="6" t="s">
        <v>948</v>
      </c>
      <c r="B196">
        <v>12207323</v>
      </c>
      <c r="C196">
        <v>1</v>
      </c>
      <c r="D196" t="str">
        <f t="shared" si="8"/>
        <v>01</v>
      </c>
      <c r="E196" t="str">
        <f>VLOOKUP(B196,'HOGARES-ENDLINE'!$A:$B,2,FALSE)</f>
        <v>01020253</v>
      </c>
      <c r="F196" s="6" t="str">
        <f t="shared" si="9"/>
        <v>0102025301</v>
      </c>
    </row>
    <row r="197" spans="1:6" x14ac:dyDescent="0.3">
      <c r="A197" s="6" t="s">
        <v>950</v>
      </c>
      <c r="B197">
        <v>12534970</v>
      </c>
      <c r="C197">
        <v>2</v>
      </c>
      <c r="D197" t="str">
        <f t="shared" si="8"/>
        <v>02</v>
      </c>
      <c r="E197" t="str">
        <f>VLOOKUP(B197,'HOGARES-ENDLINE'!$A:$B,2,FALSE)</f>
        <v>01030254</v>
      </c>
      <c r="F197" s="6" t="str">
        <f t="shared" si="9"/>
        <v>0103025402</v>
      </c>
    </row>
    <row r="198" spans="1:6" x14ac:dyDescent="0.3">
      <c r="A198" s="6" t="s">
        <v>949</v>
      </c>
      <c r="B198">
        <v>12534970</v>
      </c>
      <c r="C198">
        <v>1</v>
      </c>
      <c r="D198" t="str">
        <f t="shared" si="8"/>
        <v>01</v>
      </c>
      <c r="E198" t="str">
        <f>VLOOKUP(B198,'HOGARES-ENDLINE'!$A:$B,2,FALSE)</f>
        <v>01030254</v>
      </c>
      <c r="F198" s="6" t="str">
        <f t="shared" si="9"/>
        <v>0103025401</v>
      </c>
    </row>
    <row r="199" spans="1:6" x14ac:dyDescent="0.3">
      <c r="A199" s="6" t="s">
        <v>951</v>
      </c>
      <c r="B199">
        <v>12549369</v>
      </c>
      <c r="C199">
        <v>2</v>
      </c>
      <c r="D199" t="str">
        <f t="shared" si="8"/>
        <v>02</v>
      </c>
      <c r="E199" t="str">
        <f>VLOOKUP(B199,'HOGARES-ENDLINE'!$A:$B,2,FALSE)</f>
        <v>01030255</v>
      </c>
      <c r="F199" s="6" t="str">
        <f t="shared" si="9"/>
        <v>0103025502</v>
      </c>
    </row>
    <row r="200" spans="1:6" x14ac:dyDescent="0.3">
      <c r="A200" s="6" t="s">
        <v>952</v>
      </c>
      <c r="B200">
        <v>12549369</v>
      </c>
      <c r="C200">
        <v>1</v>
      </c>
      <c r="D200" t="str">
        <f t="shared" si="8"/>
        <v>01</v>
      </c>
      <c r="E200" t="str">
        <f>VLOOKUP(B200,'HOGARES-ENDLINE'!$A:$B,2,FALSE)</f>
        <v>01030255</v>
      </c>
      <c r="F200" s="6" t="str">
        <f t="shared" si="9"/>
        <v>0103025501</v>
      </c>
    </row>
    <row r="201" spans="1:6" x14ac:dyDescent="0.3">
      <c r="A201" s="6" t="s">
        <v>957</v>
      </c>
      <c r="B201">
        <v>12593159</v>
      </c>
      <c r="C201">
        <v>1</v>
      </c>
      <c r="D201" t="str">
        <f t="shared" si="8"/>
        <v>01</v>
      </c>
      <c r="E201" t="str">
        <f>VLOOKUP(B201,'HOGARES-ENDLINE'!$A:$B,2,FALSE)</f>
        <v>00030256</v>
      </c>
      <c r="F201" s="6" t="str">
        <f t="shared" si="9"/>
        <v>0003025601</v>
      </c>
    </row>
    <row r="202" spans="1:6" x14ac:dyDescent="0.3">
      <c r="A202" s="6" t="s">
        <v>960</v>
      </c>
      <c r="B202">
        <v>12621053</v>
      </c>
      <c r="C202">
        <v>1</v>
      </c>
      <c r="D202" t="str">
        <f t="shared" si="8"/>
        <v>01</v>
      </c>
      <c r="E202" t="str">
        <f>VLOOKUP(B202,'HOGARES-ENDLINE'!$A:$B,2,FALSE)</f>
        <v>00030257</v>
      </c>
      <c r="F202" s="6" t="str">
        <f t="shared" si="9"/>
        <v>0003025701</v>
      </c>
    </row>
    <row r="203" spans="1:6" x14ac:dyDescent="0.3">
      <c r="A203" s="6" t="s">
        <v>965</v>
      </c>
      <c r="B203">
        <v>12798984</v>
      </c>
      <c r="C203">
        <v>1</v>
      </c>
      <c r="D203" t="str">
        <f t="shared" si="8"/>
        <v>01</v>
      </c>
      <c r="E203" t="str">
        <f>VLOOKUP(B203,'HOGARES-ENDLINE'!$A:$B,2,FALSE)</f>
        <v>01020258</v>
      </c>
      <c r="F203" s="6" t="str">
        <f t="shared" si="9"/>
        <v>0102025801</v>
      </c>
    </row>
    <row r="204" spans="1:6" x14ac:dyDescent="0.3">
      <c r="A204" s="6" t="s">
        <v>967</v>
      </c>
      <c r="B204">
        <v>13665069</v>
      </c>
      <c r="C204">
        <v>2</v>
      </c>
      <c r="D204" t="str">
        <f t="shared" si="8"/>
        <v>02</v>
      </c>
      <c r="E204" t="str">
        <f>VLOOKUP(B204,'HOGARES-ENDLINE'!$A:$B,2,FALSE)</f>
        <v>01030259</v>
      </c>
      <c r="F204" s="6" t="str">
        <f t="shared" si="9"/>
        <v>0103025902</v>
      </c>
    </row>
    <row r="205" spans="1:6" x14ac:dyDescent="0.3">
      <c r="A205" s="6" t="s">
        <v>974</v>
      </c>
      <c r="B205">
        <v>14446046</v>
      </c>
      <c r="C205">
        <v>1</v>
      </c>
      <c r="D205" t="str">
        <f t="shared" si="8"/>
        <v>01</v>
      </c>
      <c r="E205" t="str">
        <f>VLOOKUP(B205,'HOGARES-ENDLINE'!$A:$B,2,FALSE)</f>
        <v>01020262</v>
      </c>
      <c r="F205" s="6" t="str">
        <f t="shared" si="9"/>
        <v>0102026201</v>
      </c>
    </row>
    <row r="206" spans="1:6" x14ac:dyDescent="0.3">
      <c r="A206" s="6" t="s">
        <v>972</v>
      </c>
      <c r="B206">
        <v>14446046</v>
      </c>
      <c r="C206">
        <v>3</v>
      </c>
      <c r="D206" t="str">
        <f t="shared" si="8"/>
        <v>03</v>
      </c>
      <c r="E206" t="str">
        <f>VLOOKUP(B206,'HOGARES-ENDLINE'!$A:$B,2,FALSE)</f>
        <v>01020262</v>
      </c>
      <c r="F206" s="6" t="str">
        <f t="shared" si="9"/>
        <v>0102026203</v>
      </c>
    </row>
    <row r="207" spans="1:6" x14ac:dyDescent="0.3">
      <c r="A207" s="6" t="s">
        <v>973</v>
      </c>
      <c r="B207">
        <v>14446046</v>
      </c>
      <c r="C207">
        <v>5</v>
      </c>
      <c r="D207" t="str">
        <f t="shared" si="8"/>
        <v>05</v>
      </c>
      <c r="E207" t="str">
        <f>VLOOKUP(B207,'HOGARES-ENDLINE'!$A:$B,2,FALSE)</f>
        <v>01020262</v>
      </c>
      <c r="F207" s="6" t="str">
        <f t="shared" si="9"/>
        <v>0102026205</v>
      </c>
    </row>
    <row r="208" spans="1:6" x14ac:dyDescent="0.3">
      <c r="A208" s="6" t="s">
        <v>975</v>
      </c>
      <c r="B208">
        <v>14446046</v>
      </c>
      <c r="C208">
        <v>4</v>
      </c>
      <c r="D208" t="str">
        <f t="shared" si="8"/>
        <v>04</v>
      </c>
      <c r="E208" t="str">
        <f>VLOOKUP(B208,'HOGARES-ENDLINE'!$A:$B,2,FALSE)</f>
        <v>01020262</v>
      </c>
      <c r="F208" s="6" t="str">
        <f t="shared" si="9"/>
        <v>0102026204</v>
      </c>
    </row>
    <row r="209" spans="1:6" x14ac:dyDescent="0.3">
      <c r="A209" s="6" t="s">
        <v>977</v>
      </c>
      <c r="B209">
        <v>14465565</v>
      </c>
      <c r="C209">
        <v>2</v>
      </c>
      <c r="D209" t="str">
        <f t="shared" si="8"/>
        <v>02</v>
      </c>
      <c r="E209" t="str">
        <f>VLOOKUP(B209,'HOGARES-ENDLINE'!$A:$B,2,FALSE)</f>
        <v>00020263</v>
      </c>
      <c r="F209" s="6" t="str">
        <f t="shared" si="9"/>
        <v>0002026302</v>
      </c>
    </row>
    <row r="210" spans="1:6" x14ac:dyDescent="0.3">
      <c r="A210" s="6" t="s">
        <v>980</v>
      </c>
      <c r="B210">
        <v>14465565</v>
      </c>
      <c r="C210">
        <v>3</v>
      </c>
      <c r="D210" t="str">
        <f t="shared" si="8"/>
        <v>03</v>
      </c>
      <c r="E210" t="str">
        <f>VLOOKUP(B210,'HOGARES-ENDLINE'!$A:$B,2,FALSE)</f>
        <v>00020263</v>
      </c>
      <c r="F210" s="6" t="str">
        <f t="shared" si="9"/>
        <v>0002026303</v>
      </c>
    </row>
    <row r="211" spans="1:6" x14ac:dyDescent="0.3">
      <c r="A211" s="6" t="s">
        <v>978</v>
      </c>
      <c r="B211">
        <v>14465565</v>
      </c>
      <c r="C211">
        <v>5</v>
      </c>
      <c r="D211" t="str">
        <f t="shared" si="8"/>
        <v>05</v>
      </c>
      <c r="E211" t="str">
        <f>VLOOKUP(B211,'HOGARES-ENDLINE'!$A:$B,2,FALSE)</f>
        <v>00020263</v>
      </c>
      <c r="F211" s="6" t="str">
        <f t="shared" si="9"/>
        <v>0002026305</v>
      </c>
    </row>
    <row r="212" spans="1:6" x14ac:dyDescent="0.3">
      <c r="A212" s="6" t="s">
        <v>981</v>
      </c>
      <c r="B212">
        <v>14465565</v>
      </c>
      <c r="C212">
        <v>1</v>
      </c>
      <c r="D212" t="str">
        <f t="shared" si="8"/>
        <v>01</v>
      </c>
      <c r="E212" t="str">
        <f>VLOOKUP(B212,'HOGARES-ENDLINE'!$A:$B,2,FALSE)</f>
        <v>00020263</v>
      </c>
      <c r="F212" s="6" t="str">
        <f t="shared" si="9"/>
        <v>0002026301</v>
      </c>
    </row>
    <row r="213" spans="1:6" x14ac:dyDescent="0.3">
      <c r="A213" s="6" t="s">
        <v>979</v>
      </c>
      <c r="B213">
        <v>14465565</v>
      </c>
      <c r="C213">
        <v>4</v>
      </c>
      <c r="D213" t="str">
        <f t="shared" si="8"/>
        <v>04</v>
      </c>
      <c r="E213" t="str">
        <f>VLOOKUP(B213,'HOGARES-ENDLINE'!$A:$B,2,FALSE)</f>
        <v>00020263</v>
      </c>
      <c r="F213" s="6" t="str">
        <f t="shared" si="9"/>
        <v>0002026304</v>
      </c>
    </row>
    <row r="214" spans="1:6" x14ac:dyDescent="0.3">
      <c r="A214" s="6" t="s">
        <v>982</v>
      </c>
      <c r="B214">
        <v>14468000</v>
      </c>
      <c r="C214">
        <v>2</v>
      </c>
      <c r="D214" t="str">
        <f t="shared" si="8"/>
        <v>02</v>
      </c>
      <c r="E214" t="str">
        <f>VLOOKUP(B214,'HOGARES-ENDLINE'!$A:$B,2,FALSE)</f>
        <v>01020264</v>
      </c>
      <c r="F214" s="6" t="str">
        <f t="shared" si="9"/>
        <v>0102026402</v>
      </c>
    </row>
    <row r="215" spans="1:6" x14ac:dyDescent="0.3">
      <c r="A215" s="6" t="s">
        <v>983</v>
      </c>
      <c r="B215">
        <v>14468000</v>
      </c>
      <c r="C215">
        <v>1</v>
      </c>
      <c r="D215" t="str">
        <f t="shared" si="8"/>
        <v>01</v>
      </c>
      <c r="E215" t="str">
        <f>VLOOKUP(B215,'HOGARES-ENDLINE'!$A:$B,2,FALSE)</f>
        <v>01020264</v>
      </c>
      <c r="F215" s="6" t="str">
        <f t="shared" si="9"/>
        <v>0102026401</v>
      </c>
    </row>
    <row r="216" spans="1:6" x14ac:dyDescent="0.3">
      <c r="A216" s="6" t="s">
        <v>5134</v>
      </c>
      <c r="B216">
        <v>14469075</v>
      </c>
      <c r="C216">
        <v>2</v>
      </c>
      <c r="D216" t="str">
        <f t="shared" si="8"/>
        <v>02</v>
      </c>
      <c r="E216" t="str">
        <f>VLOOKUP(B216,'HOGARES-ENDLINE'!$A:$B,2,FALSE)</f>
        <v>01020265</v>
      </c>
      <c r="F216" s="6" t="str">
        <f t="shared" si="9"/>
        <v>0102026502</v>
      </c>
    </row>
    <row r="217" spans="1:6" x14ac:dyDescent="0.3">
      <c r="A217" s="6" t="s">
        <v>984</v>
      </c>
      <c r="B217">
        <v>14469075</v>
      </c>
      <c r="C217">
        <v>1</v>
      </c>
      <c r="D217" t="str">
        <f t="shared" si="8"/>
        <v>01</v>
      </c>
      <c r="E217" t="str">
        <f>VLOOKUP(B217,'HOGARES-ENDLINE'!$A:$B,2,FALSE)</f>
        <v>01020265</v>
      </c>
      <c r="F217" s="6" t="str">
        <f t="shared" si="9"/>
        <v>0102026501</v>
      </c>
    </row>
    <row r="218" spans="1:6" x14ac:dyDescent="0.3">
      <c r="A218" s="6" t="s">
        <v>985</v>
      </c>
      <c r="B218">
        <v>14940320</v>
      </c>
      <c r="C218">
        <v>2</v>
      </c>
      <c r="D218" t="str">
        <f t="shared" si="8"/>
        <v>02</v>
      </c>
      <c r="E218" t="str">
        <f>VLOOKUP(B218,'HOGARES-ENDLINE'!$A:$B,2,FALSE)</f>
        <v>00020266</v>
      </c>
      <c r="F218" s="6" t="str">
        <f t="shared" si="9"/>
        <v>0002026602</v>
      </c>
    </row>
    <row r="219" spans="1:6" x14ac:dyDescent="0.3">
      <c r="A219" s="6" t="s">
        <v>986</v>
      </c>
      <c r="B219">
        <v>14940320</v>
      </c>
      <c r="C219">
        <v>1</v>
      </c>
      <c r="D219" t="str">
        <f t="shared" si="8"/>
        <v>01</v>
      </c>
      <c r="E219" t="str">
        <f>VLOOKUP(B219,'HOGARES-ENDLINE'!$A:$B,2,FALSE)</f>
        <v>00020266</v>
      </c>
      <c r="F219" s="6" t="str">
        <f t="shared" si="9"/>
        <v>0002026601</v>
      </c>
    </row>
    <row r="220" spans="1:6" x14ac:dyDescent="0.3">
      <c r="A220" s="6" t="s">
        <v>988</v>
      </c>
      <c r="B220">
        <v>14947608</v>
      </c>
      <c r="C220">
        <v>1</v>
      </c>
      <c r="D220" t="str">
        <f t="shared" si="8"/>
        <v>01</v>
      </c>
      <c r="E220" t="str">
        <f>VLOOKUP(B220,'HOGARES-ENDLINE'!$A:$B,2,FALSE)</f>
        <v>00020267</v>
      </c>
      <c r="F220" s="6" t="str">
        <f t="shared" si="9"/>
        <v>0002026701</v>
      </c>
    </row>
    <row r="221" spans="1:6" x14ac:dyDescent="0.3">
      <c r="A221" s="6" t="s">
        <v>987</v>
      </c>
      <c r="B221">
        <v>14947608</v>
      </c>
      <c r="C221">
        <v>2</v>
      </c>
      <c r="D221" t="str">
        <f t="shared" si="8"/>
        <v>02</v>
      </c>
      <c r="E221" t="str">
        <f>VLOOKUP(B221,'HOGARES-ENDLINE'!$A:$B,2,FALSE)</f>
        <v>00020267</v>
      </c>
      <c r="F221" s="6" t="str">
        <f t="shared" si="9"/>
        <v>0002026702</v>
      </c>
    </row>
    <row r="222" spans="1:6" x14ac:dyDescent="0.3">
      <c r="A222" s="6" t="s">
        <v>989</v>
      </c>
      <c r="B222">
        <v>14949573</v>
      </c>
      <c r="C222">
        <v>1</v>
      </c>
      <c r="D222" t="str">
        <f t="shared" si="8"/>
        <v>01</v>
      </c>
      <c r="E222" t="str">
        <f>VLOOKUP(B222,'HOGARES-ENDLINE'!$A:$B,2,FALSE)</f>
        <v>00020268</v>
      </c>
      <c r="F222" s="6" t="str">
        <f t="shared" si="9"/>
        <v>0002026801</v>
      </c>
    </row>
    <row r="223" spans="1:6" x14ac:dyDescent="0.3">
      <c r="A223" s="6" t="s">
        <v>992</v>
      </c>
      <c r="B223">
        <v>14960260</v>
      </c>
      <c r="C223">
        <v>3</v>
      </c>
      <c r="D223" t="str">
        <f t="shared" si="8"/>
        <v>03</v>
      </c>
      <c r="E223" t="str">
        <f>VLOOKUP(B223,'HOGARES-ENDLINE'!$A:$B,2,FALSE)</f>
        <v>00020269</v>
      </c>
      <c r="F223" s="6" t="str">
        <f t="shared" si="9"/>
        <v>0002026903</v>
      </c>
    </row>
    <row r="224" spans="1:6" x14ac:dyDescent="0.3">
      <c r="A224" s="6" t="s">
        <v>990</v>
      </c>
      <c r="B224">
        <v>14960260</v>
      </c>
      <c r="C224">
        <v>2</v>
      </c>
      <c r="D224" t="str">
        <f t="shared" si="8"/>
        <v>02</v>
      </c>
      <c r="E224" t="str">
        <f>VLOOKUP(B224,'HOGARES-ENDLINE'!$A:$B,2,FALSE)</f>
        <v>00020269</v>
      </c>
      <c r="F224" s="6" t="str">
        <f t="shared" si="9"/>
        <v>0002026902</v>
      </c>
    </row>
    <row r="225" spans="1:6" x14ac:dyDescent="0.3">
      <c r="A225" s="6" t="s">
        <v>991</v>
      </c>
      <c r="B225">
        <v>14960260</v>
      </c>
      <c r="C225">
        <v>1</v>
      </c>
      <c r="D225" t="str">
        <f t="shared" si="8"/>
        <v>01</v>
      </c>
      <c r="E225" t="str">
        <f>VLOOKUP(B225,'HOGARES-ENDLINE'!$A:$B,2,FALSE)</f>
        <v>00020269</v>
      </c>
      <c r="F225" s="6" t="str">
        <f t="shared" si="9"/>
        <v>0002026901</v>
      </c>
    </row>
    <row r="226" spans="1:6" x14ac:dyDescent="0.3">
      <c r="A226" s="6" t="s">
        <v>1003</v>
      </c>
      <c r="B226">
        <v>15901804</v>
      </c>
      <c r="C226">
        <v>4</v>
      </c>
      <c r="D226" t="str">
        <f t="shared" si="8"/>
        <v>04</v>
      </c>
      <c r="E226" t="str">
        <f>VLOOKUP(B226,'HOGARES-ENDLINE'!$A:$B,2,FALSE)</f>
        <v>01020273</v>
      </c>
      <c r="F226" s="6" t="str">
        <f t="shared" si="9"/>
        <v>0102027304</v>
      </c>
    </row>
    <row r="227" spans="1:6" x14ac:dyDescent="0.3">
      <c r="A227" s="6" t="s">
        <v>1002</v>
      </c>
      <c r="B227">
        <v>15901804</v>
      </c>
      <c r="C227">
        <v>3</v>
      </c>
      <c r="D227" t="str">
        <f t="shared" si="8"/>
        <v>03</v>
      </c>
      <c r="E227" t="str">
        <f>VLOOKUP(B227,'HOGARES-ENDLINE'!$A:$B,2,FALSE)</f>
        <v>01020273</v>
      </c>
      <c r="F227" s="6" t="str">
        <f t="shared" si="9"/>
        <v>0102027303</v>
      </c>
    </row>
    <row r="228" spans="1:6" x14ac:dyDescent="0.3">
      <c r="A228" s="6" t="s">
        <v>1000</v>
      </c>
      <c r="B228">
        <v>15901804</v>
      </c>
      <c r="C228">
        <v>5</v>
      </c>
      <c r="D228" t="str">
        <f t="shared" si="8"/>
        <v>05</v>
      </c>
      <c r="E228" t="str">
        <f>VLOOKUP(B228,'HOGARES-ENDLINE'!$A:$B,2,FALSE)</f>
        <v>01020273</v>
      </c>
      <c r="F228" s="6" t="str">
        <f t="shared" si="9"/>
        <v>0102027305</v>
      </c>
    </row>
    <row r="229" spans="1:6" x14ac:dyDescent="0.3">
      <c r="A229" s="6" t="s">
        <v>1001</v>
      </c>
      <c r="B229">
        <v>15901804</v>
      </c>
      <c r="C229">
        <v>1</v>
      </c>
      <c r="D229" t="str">
        <f t="shared" si="8"/>
        <v>01</v>
      </c>
      <c r="E229" t="str">
        <f>VLOOKUP(B229,'HOGARES-ENDLINE'!$A:$B,2,FALSE)</f>
        <v>01020273</v>
      </c>
      <c r="F229" s="6" t="str">
        <f t="shared" si="9"/>
        <v>0102027301</v>
      </c>
    </row>
    <row r="230" spans="1:6" x14ac:dyDescent="0.3">
      <c r="A230" s="6" t="s">
        <v>1004</v>
      </c>
      <c r="B230">
        <v>15901804</v>
      </c>
      <c r="C230">
        <v>2</v>
      </c>
      <c r="D230" t="str">
        <f t="shared" si="8"/>
        <v>02</v>
      </c>
      <c r="E230" t="str">
        <f>VLOOKUP(B230,'HOGARES-ENDLINE'!$A:$B,2,FALSE)</f>
        <v>01020273</v>
      </c>
      <c r="F230" s="6" t="str">
        <f t="shared" si="9"/>
        <v>0102027302</v>
      </c>
    </row>
    <row r="231" spans="1:6" x14ac:dyDescent="0.3">
      <c r="A231" s="6" t="s">
        <v>1007</v>
      </c>
      <c r="B231">
        <v>15906342</v>
      </c>
      <c r="C231">
        <v>2</v>
      </c>
      <c r="D231" t="str">
        <f t="shared" si="8"/>
        <v>02</v>
      </c>
      <c r="E231" t="str">
        <f>VLOOKUP(B231,'HOGARES-ENDLINE'!$A:$B,2,FALSE)</f>
        <v>01020274</v>
      </c>
      <c r="F231" s="6" t="str">
        <f t="shared" si="9"/>
        <v>0102027402</v>
      </c>
    </row>
    <row r="232" spans="1:6" x14ac:dyDescent="0.3">
      <c r="A232" s="6" t="s">
        <v>1006</v>
      </c>
      <c r="B232">
        <v>15906342</v>
      </c>
      <c r="C232">
        <v>1</v>
      </c>
      <c r="D232" t="str">
        <f t="shared" si="8"/>
        <v>01</v>
      </c>
      <c r="E232" t="str">
        <f>VLOOKUP(B232,'HOGARES-ENDLINE'!$A:$B,2,FALSE)</f>
        <v>01020274</v>
      </c>
      <c r="F232" s="6" t="str">
        <f t="shared" si="9"/>
        <v>0102027401</v>
      </c>
    </row>
    <row r="233" spans="1:6" x14ac:dyDescent="0.3">
      <c r="A233" s="6" t="s">
        <v>1005</v>
      </c>
      <c r="B233">
        <v>15906342</v>
      </c>
      <c r="C233">
        <v>3</v>
      </c>
      <c r="D233" t="str">
        <f t="shared" si="8"/>
        <v>03</v>
      </c>
      <c r="E233" t="str">
        <f>VLOOKUP(B233,'HOGARES-ENDLINE'!$A:$B,2,FALSE)</f>
        <v>01020274</v>
      </c>
      <c r="F233" s="6" t="str">
        <f t="shared" si="9"/>
        <v>0102027403</v>
      </c>
    </row>
    <row r="234" spans="1:6" x14ac:dyDescent="0.3">
      <c r="A234" s="6" t="s">
        <v>1009</v>
      </c>
      <c r="B234">
        <v>16281450</v>
      </c>
      <c r="C234">
        <v>2</v>
      </c>
      <c r="D234" t="str">
        <f t="shared" si="8"/>
        <v>02</v>
      </c>
      <c r="E234" t="str">
        <f>VLOOKUP(B234,'HOGARES-ENDLINE'!$A:$B,2,FALSE)</f>
        <v>00020275</v>
      </c>
      <c r="F234" s="6" t="str">
        <f t="shared" si="9"/>
        <v>0002027502</v>
      </c>
    </row>
    <row r="235" spans="1:6" x14ac:dyDescent="0.3">
      <c r="A235" s="6" t="s">
        <v>1008</v>
      </c>
      <c r="B235">
        <v>16281450</v>
      </c>
      <c r="C235">
        <v>1</v>
      </c>
      <c r="D235" t="str">
        <f t="shared" si="8"/>
        <v>01</v>
      </c>
      <c r="E235" t="str">
        <f>VLOOKUP(B235,'HOGARES-ENDLINE'!$A:$B,2,FALSE)</f>
        <v>00020275</v>
      </c>
      <c r="F235" s="6" t="str">
        <f t="shared" si="9"/>
        <v>0002027501</v>
      </c>
    </row>
    <row r="236" spans="1:6" x14ac:dyDescent="0.3">
      <c r="A236" s="6" t="s">
        <v>1010</v>
      </c>
      <c r="B236">
        <v>16582114</v>
      </c>
      <c r="C236">
        <v>2</v>
      </c>
      <c r="D236" t="str">
        <f t="shared" si="8"/>
        <v>02</v>
      </c>
      <c r="E236" t="str">
        <f>VLOOKUP(B236,'HOGARES-ENDLINE'!$A:$B,2,FALSE)</f>
        <v>00020276</v>
      </c>
      <c r="F236" s="6" t="str">
        <f t="shared" si="9"/>
        <v>0002027602</v>
      </c>
    </row>
    <row r="237" spans="1:6" x14ac:dyDescent="0.3">
      <c r="A237" s="6" t="s">
        <v>1011</v>
      </c>
      <c r="B237">
        <v>16582114</v>
      </c>
      <c r="C237">
        <v>1</v>
      </c>
      <c r="D237" t="str">
        <f t="shared" si="8"/>
        <v>01</v>
      </c>
      <c r="E237" t="str">
        <f>VLOOKUP(B237,'HOGARES-ENDLINE'!$A:$B,2,FALSE)</f>
        <v>00020276</v>
      </c>
      <c r="F237" s="6" t="str">
        <f t="shared" si="9"/>
        <v>0002027601</v>
      </c>
    </row>
    <row r="238" spans="1:6" x14ac:dyDescent="0.3">
      <c r="A238" s="6" t="s">
        <v>1012</v>
      </c>
      <c r="B238">
        <v>16591744</v>
      </c>
      <c r="C238">
        <v>2</v>
      </c>
      <c r="D238" t="str">
        <f t="shared" si="8"/>
        <v>02</v>
      </c>
      <c r="E238" t="str">
        <f>VLOOKUP(B238,'HOGARES-ENDLINE'!$A:$B,2,FALSE)</f>
        <v>00020277</v>
      </c>
      <c r="F238" s="6" t="str">
        <f t="shared" si="9"/>
        <v>0002027702</v>
      </c>
    </row>
    <row r="239" spans="1:6" x14ac:dyDescent="0.3">
      <c r="A239" s="6" t="s">
        <v>1013</v>
      </c>
      <c r="B239">
        <v>16591744</v>
      </c>
      <c r="C239">
        <v>1</v>
      </c>
      <c r="D239" t="str">
        <f t="shared" si="8"/>
        <v>01</v>
      </c>
      <c r="E239" t="str">
        <f>VLOOKUP(B239,'HOGARES-ENDLINE'!$A:$B,2,FALSE)</f>
        <v>00020277</v>
      </c>
      <c r="F239" s="6" t="str">
        <f t="shared" si="9"/>
        <v>0002027701</v>
      </c>
    </row>
    <row r="240" spans="1:6" x14ac:dyDescent="0.3">
      <c r="A240" s="6" t="s">
        <v>1014</v>
      </c>
      <c r="B240">
        <v>16591848</v>
      </c>
      <c r="C240">
        <v>2</v>
      </c>
      <c r="D240" t="str">
        <f t="shared" si="8"/>
        <v>02</v>
      </c>
      <c r="E240" t="str">
        <f>VLOOKUP(B240,'HOGARES-ENDLINE'!$A:$B,2,FALSE)</f>
        <v>01020278</v>
      </c>
      <c r="F240" s="6" t="str">
        <f t="shared" si="9"/>
        <v>0102027802</v>
      </c>
    </row>
    <row r="241" spans="1:6" x14ac:dyDescent="0.3">
      <c r="A241" s="6" t="s">
        <v>1015</v>
      </c>
      <c r="B241">
        <v>16591848</v>
      </c>
      <c r="C241">
        <v>1</v>
      </c>
      <c r="D241" t="str">
        <f t="shared" si="8"/>
        <v>01</v>
      </c>
      <c r="E241" t="str">
        <f>VLOOKUP(B241,'HOGARES-ENDLINE'!$A:$B,2,FALSE)</f>
        <v>01020278</v>
      </c>
      <c r="F241" s="6" t="str">
        <f t="shared" si="9"/>
        <v>0102027801</v>
      </c>
    </row>
    <row r="242" spans="1:6" x14ac:dyDescent="0.3">
      <c r="A242" s="6" t="s">
        <v>1016</v>
      </c>
      <c r="B242">
        <v>16607117</v>
      </c>
      <c r="C242">
        <v>2</v>
      </c>
      <c r="D242" t="str">
        <f t="shared" si="8"/>
        <v>02</v>
      </c>
      <c r="E242" t="str">
        <f>VLOOKUP(B242,'HOGARES-ENDLINE'!$A:$B,2,FALSE)</f>
        <v>00020279</v>
      </c>
      <c r="F242" s="6" t="str">
        <f t="shared" si="9"/>
        <v>0002027902</v>
      </c>
    </row>
    <row r="243" spans="1:6" x14ac:dyDescent="0.3">
      <c r="A243" s="6" t="s">
        <v>1017</v>
      </c>
      <c r="B243">
        <v>16607117</v>
      </c>
      <c r="C243">
        <v>1</v>
      </c>
      <c r="D243" t="str">
        <f t="shared" si="8"/>
        <v>01</v>
      </c>
      <c r="E243" t="str">
        <f>VLOOKUP(B243,'HOGARES-ENDLINE'!$A:$B,2,FALSE)</f>
        <v>00020279</v>
      </c>
      <c r="F243" s="6" t="str">
        <f t="shared" si="9"/>
        <v>0002027901</v>
      </c>
    </row>
    <row r="244" spans="1:6" x14ac:dyDescent="0.3">
      <c r="A244" s="6" t="s">
        <v>1023</v>
      </c>
      <c r="B244">
        <v>16633533</v>
      </c>
      <c r="C244">
        <v>2</v>
      </c>
      <c r="D244" t="str">
        <f t="shared" si="8"/>
        <v>02</v>
      </c>
      <c r="E244" t="str">
        <f>VLOOKUP(B244,'HOGARES-ENDLINE'!$A:$B,2,FALSE)</f>
        <v>00020280</v>
      </c>
      <c r="F244" s="6" t="str">
        <f t="shared" si="9"/>
        <v>0002028002</v>
      </c>
    </row>
    <row r="245" spans="1:6" x14ac:dyDescent="0.3">
      <c r="A245" s="6" t="s">
        <v>1018</v>
      </c>
      <c r="B245">
        <v>16633533</v>
      </c>
      <c r="C245">
        <v>3</v>
      </c>
      <c r="D245" t="str">
        <f t="shared" si="8"/>
        <v>03</v>
      </c>
      <c r="E245" t="str">
        <f>VLOOKUP(B245,'HOGARES-ENDLINE'!$A:$B,2,FALSE)</f>
        <v>00020280</v>
      </c>
      <c r="F245" s="6" t="str">
        <f t="shared" si="9"/>
        <v>0002028003</v>
      </c>
    </row>
    <row r="246" spans="1:6" x14ac:dyDescent="0.3">
      <c r="A246" s="6" t="s">
        <v>1024</v>
      </c>
      <c r="B246">
        <v>16633533</v>
      </c>
      <c r="C246">
        <v>1</v>
      </c>
      <c r="D246" t="str">
        <f t="shared" si="8"/>
        <v>01</v>
      </c>
      <c r="E246" t="str">
        <f>VLOOKUP(B246,'HOGARES-ENDLINE'!$A:$B,2,FALSE)</f>
        <v>00020280</v>
      </c>
      <c r="F246" s="6" t="str">
        <f t="shared" si="9"/>
        <v>0002028001</v>
      </c>
    </row>
    <row r="247" spans="1:6" x14ac:dyDescent="0.3">
      <c r="A247" s="6" t="s">
        <v>1022</v>
      </c>
      <c r="B247">
        <v>16633533</v>
      </c>
      <c r="C247">
        <v>4</v>
      </c>
      <c r="D247" t="str">
        <f t="shared" ref="D247:D310" si="10">_xlfn.CONCAT(0,C247)</f>
        <v>04</v>
      </c>
      <c r="E247" t="str">
        <f>VLOOKUP(B247,'HOGARES-ENDLINE'!$A:$B,2,FALSE)</f>
        <v>00020280</v>
      </c>
      <c r="F247" s="6" t="str">
        <f t="shared" si="9"/>
        <v>0002028004</v>
      </c>
    </row>
    <row r="248" spans="1:6" x14ac:dyDescent="0.3">
      <c r="A248" s="6" t="s">
        <v>1025</v>
      </c>
      <c r="B248">
        <v>16633533</v>
      </c>
      <c r="C248">
        <v>6</v>
      </c>
      <c r="D248" t="str">
        <f t="shared" si="10"/>
        <v>06</v>
      </c>
      <c r="E248" t="str">
        <f>VLOOKUP(B248,'HOGARES-ENDLINE'!$A:$B,2,FALSE)</f>
        <v>00020280</v>
      </c>
      <c r="F248" s="6" t="str">
        <f t="shared" si="9"/>
        <v>0002028006</v>
      </c>
    </row>
    <row r="249" spans="1:6" x14ac:dyDescent="0.3">
      <c r="A249" s="6" t="s">
        <v>1028</v>
      </c>
      <c r="B249">
        <v>16637843</v>
      </c>
      <c r="C249">
        <v>2</v>
      </c>
      <c r="D249" t="str">
        <f t="shared" si="10"/>
        <v>02</v>
      </c>
      <c r="E249" t="str">
        <f>VLOOKUP(B249,'HOGARES-ENDLINE'!$A:$B,2,FALSE)</f>
        <v>00020281</v>
      </c>
      <c r="F249" s="6" t="str">
        <f t="shared" si="9"/>
        <v>0002028102</v>
      </c>
    </row>
    <row r="250" spans="1:6" x14ac:dyDescent="0.3">
      <c r="A250" s="6" t="s">
        <v>1029</v>
      </c>
      <c r="B250">
        <v>16637843</v>
      </c>
      <c r="C250">
        <v>4</v>
      </c>
      <c r="D250" t="str">
        <f t="shared" si="10"/>
        <v>04</v>
      </c>
      <c r="E250" t="str">
        <f>VLOOKUP(B250,'HOGARES-ENDLINE'!$A:$B,2,FALSE)</f>
        <v>00020281</v>
      </c>
      <c r="F250" s="6" t="str">
        <f t="shared" si="9"/>
        <v>0002028104</v>
      </c>
    </row>
    <row r="251" spans="1:6" x14ac:dyDescent="0.3">
      <c r="A251" s="6" t="s">
        <v>1027</v>
      </c>
      <c r="B251">
        <v>16637843</v>
      </c>
      <c r="C251">
        <v>1</v>
      </c>
      <c r="D251" t="str">
        <f t="shared" si="10"/>
        <v>01</v>
      </c>
      <c r="E251" t="str">
        <f>VLOOKUP(B251,'HOGARES-ENDLINE'!$A:$B,2,FALSE)</f>
        <v>00020281</v>
      </c>
      <c r="F251" s="6" t="str">
        <f t="shared" si="9"/>
        <v>0002028101</v>
      </c>
    </row>
    <row r="252" spans="1:6" x14ac:dyDescent="0.3">
      <c r="A252" s="6" t="s">
        <v>1031</v>
      </c>
      <c r="B252">
        <v>16669439</v>
      </c>
      <c r="C252">
        <v>1</v>
      </c>
      <c r="D252" t="str">
        <f t="shared" si="10"/>
        <v>01</v>
      </c>
      <c r="E252" t="str">
        <f>VLOOKUP(B252,'HOGARES-ENDLINE'!$A:$B,2,FALSE)</f>
        <v>00020282</v>
      </c>
      <c r="F252" s="6" t="str">
        <f t="shared" si="9"/>
        <v>0002028201</v>
      </c>
    </row>
    <row r="253" spans="1:6" x14ac:dyDescent="0.3">
      <c r="A253" s="6" t="s">
        <v>1030</v>
      </c>
      <c r="B253">
        <v>16669439</v>
      </c>
      <c r="C253">
        <v>2</v>
      </c>
      <c r="D253" t="str">
        <f t="shared" si="10"/>
        <v>02</v>
      </c>
      <c r="E253" t="str">
        <f>VLOOKUP(B253,'HOGARES-ENDLINE'!$A:$B,2,FALSE)</f>
        <v>00020282</v>
      </c>
      <c r="F253" s="6" t="str">
        <f t="shared" si="9"/>
        <v>0002028202</v>
      </c>
    </row>
    <row r="254" spans="1:6" x14ac:dyDescent="0.3">
      <c r="A254" s="6" t="s">
        <v>1032</v>
      </c>
      <c r="B254">
        <v>16679467</v>
      </c>
      <c r="C254">
        <v>2</v>
      </c>
      <c r="D254" t="str">
        <f t="shared" si="10"/>
        <v>02</v>
      </c>
      <c r="E254" t="str">
        <f>VLOOKUP(B254,'HOGARES-ENDLINE'!$A:$B,2,FALSE)</f>
        <v>00020283</v>
      </c>
      <c r="F254" s="6" t="str">
        <f t="shared" si="9"/>
        <v>0002028302</v>
      </c>
    </row>
    <row r="255" spans="1:6" x14ac:dyDescent="0.3">
      <c r="A255" s="6" t="s">
        <v>1033</v>
      </c>
      <c r="B255">
        <v>16679467</v>
      </c>
      <c r="C255">
        <v>1</v>
      </c>
      <c r="D255" t="str">
        <f t="shared" si="10"/>
        <v>01</v>
      </c>
      <c r="E255" t="str">
        <f>VLOOKUP(B255,'HOGARES-ENDLINE'!$A:$B,2,FALSE)</f>
        <v>00020283</v>
      </c>
      <c r="F255" s="6" t="str">
        <f t="shared" si="9"/>
        <v>0002028301</v>
      </c>
    </row>
    <row r="256" spans="1:6" x14ac:dyDescent="0.3">
      <c r="A256" s="6" t="s">
        <v>1034</v>
      </c>
      <c r="B256">
        <v>16679467</v>
      </c>
      <c r="C256">
        <v>3</v>
      </c>
      <c r="D256" t="str">
        <f t="shared" si="10"/>
        <v>03</v>
      </c>
      <c r="E256" t="str">
        <f>VLOOKUP(B256,'HOGARES-ENDLINE'!$A:$B,2,FALSE)</f>
        <v>00020283</v>
      </c>
      <c r="F256" s="6" t="str">
        <f t="shared" si="9"/>
        <v>0002028303</v>
      </c>
    </row>
    <row r="257" spans="1:6" x14ac:dyDescent="0.3">
      <c r="A257" s="6" t="s">
        <v>1036</v>
      </c>
      <c r="B257">
        <v>16698500</v>
      </c>
      <c r="C257">
        <v>2</v>
      </c>
      <c r="D257" t="str">
        <f t="shared" si="10"/>
        <v>02</v>
      </c>
      <c r="E257" t="str">
        <f>VLOOKUP(B257,'HOGARES-ENDLINE'!$A:$B,2,FALSE)</f>
        <v>00020284</v>
      </c>
      <c r="F257" s="6" t="str">
        <f t="shared" si="9"/>
        <v>0002028402</v>
      </c>
    </row>
    <row r="258" spans="1:6" x14ac:dyDescent="0.3">
      <c r="A258" s="6" t="s">
        <v>1035</v>
      </c>
      <c r="B258">
        <v>16698500</v>
      </c>
      <c r="C258">
        <v>1</v>
      </c>
      <c r="D258" t="str">
        <f t="shared" si="10"/>
        <v>01</v>
      </c>
      <c r="E258" t="str">
        <f>VLOOKUP(B258,'HOGARES-ENDLINE'!$A:$B,2,FALSE)</f>
        <v>00020284</v>
      </c>
      <c r="F258" s="6" t="str">
        <f t="shared" si="9"/>
        <v>0002028401</v>
      </c>
    </row>
    <row r="259" spans="1:6" x14ac:dyDescent="0.3">
      <c r="A259" s="6" t="s">
        <v>1039</v>
      </c>
      <c r="B259">
        <v>16708888</v>
      </c>
      <c r="C259">
        <v>1</v>
      </c>
      <c r="D259" t="str">
        <f t="shared" si="10"/>
        <v>01</v>
      </c>
      <c r="E259" t="str">
        <f>VLOOKUP(B259,'HOGARES-ENDLINE'!$A:$B,2,FALSE)</f>
        <v>00020285</v>
      </c>
      <c r="F259" s="6" t="str">
        <f t="shared" ref="F259:F322" si="11">_xlfn.CONCAT(E259,D259)</f>
        <v>0002028501</v>
      </c>
    </row>
    <row r="260" spans="1:6" x14ac:dyDescent="0.3">
      <c r="A260" s="6" t="s">
        <v>1041</v>
      </c>
      <c r="B260">
        <v>16708888</v>
      </c>
      <c r="C260">
        <v>4</v>
      </c>
      <c r="D260" t="str">
        <f t="shared" si="10"/>
        <v>04</v>
      </c>
      <c r="E260" t="str">
        <f>VLOOKUP(B260,'HOGARES-ENDLINE'!$A:$B,2,FALSE)</f>
        <v>00020285</v>
      </c>
      <c r="F260" s="6" t="str">
        <f t="shared" si="11"/>
        <v>0002028504</v>
      </c>
    </row>
    <row r="261" spans="1:6" x14ac:dyDescent="0.3">
      <c r="A261" s="6" t="s">
        <v>1038</v>
      </c>
      <c r="B261">
        <v>16708888</v>
      </c>
      <c r="C261">
        <v>3</v>
      </c>
      <c r="D261" t="str">
        <f t="shared" si="10"/>
        <v>03</v>
      </c>
      <c r="E261" t="str">
        <f>VLOOKUP(B261,'HOGARES-ENDLINE'!$A:$B,2,FALSE)</f>
        <v>00020285</v>
      </c>
      <c r="F261" s="6" t="str">
        <f t="shared" si="11"/>
        <v>0002028503</v>
      </c>
    </row>
    <row r="262" spans="1:6" x14ac:dyDescent="0.3">
      <c r="A262" s="6" t="s">
        <v>1037</v>
      </c>
      <c r="B262">
        <v>16708888</v>
      </c>
      <c r="C262">
        <v>2</v>
      </c>
      <c r="D262" t="str">
        <f t="shared" si="10"/>
        <v>02</v>
      </c>
      <c r="E262" t="str">
        <f>VLOOKUP(B262,'HOGARES-ENDLINE'!$A:$B,2,FALSE)</f>
        <v>00020285</v>
      </c>
      <c r="F262" s="6" t="str">
        <f t="shared" si="11"/>
        <v>0002028502</v>
      </c>
    </row>
    <row r="263" spans="1:6" x14ac:dyDescent="0.3">
      <c r="A263" s="6" t="s">
        <v>1040</v>
      </c>
      <c r="B263">
        <v>16708888</v>
      </c>
      <c r="C263">
        <v>5</v>
      </c>
      <c r="D263" t="str">
        <f t="shared" si="10"/>
        <v>05</v>
      </c>
      <c r="E263" t="str">
        <f>VLOOKUP(B263,'HOGARES-ENDLINE'!$A:$B,2,FALSE)</f>
        <v>00020285</v>
      </c>
      <c r="F263" s="6" t="str">
        <f t="shared" si="11"/>
        <v>0002028505</v>
      </c>
    </row>
    <row r="264" spans="1:6" x14ac:dyDescent="0.3">
      <c r="A264" s="6" t="s">
        <v>1042</v>
      </c>
      <c r="B264">
        <v>16723219</v>
      </c>
      <c r="C264">
        <v>4</v>
      </c>
      <c r="D264" t="str">
        <f t="shared" si="10"/>
        <v>04</v>
      </c>
      <c r="E264" t="str">
        <f>VLOOKUP(B264,'HOGARES-ENDLINE'!$A:$B,2,FALSE)</f>
        <v>00020286</v>
      </c>
      <c r="F264" s="6" t="str">
        <f t="shared" si="11"/>
        <v>0002028604</v>
      </c>
    </row>
    <row r="265" spans="1:6" x14ac:dyDescent="0.3">
      <c r="A265" s="6" t="s">
        <v>1044</v>
      </c>
      <c r="B265">
        <v>16723219</v>
      </c>
      <c r="C265">
        <v>1</v>
      </c>
      <c r="D265" t="str">
        <f t="shared" si="10"/>
        <v>01</v>
      </c>
      <c r="E265" t="str">
        <f>VLOOKUP(B265,'HOGARES-ENDLINE'!$A:$B,2,FALSE)</f>
        <v>00020286</v>
      </c>
      <c r="F265" s="6" t="str">
        <f t="shared" si="11"/>
        <v>0002028601</v>
      </c>
    </row>
    <row r="266" spans="1:6" x14ac:dyDescent="0.3">
      <c r="A266" s="6" t="s">
        <v>1043</v>
      </c>
      <c r="B266">
        <v>16723219</v>
      </c>
      <c r="C266">
        <v>3</v>
      </c>
      <c r="D266" t="str">
        <f t="shared" si="10"/>
        <v>03</v>
      </c>
      <c r="E266" t="str">
        <f>VLOOKUP(B266,'HOGARES-ENDLINE'!$A:$B,2,FALSE)</f>
        <v>00020286</v>
      </c>
      <c r="F266" s="6" t="str">
        <f t="shared" si="11"/>
        <v>0002028603</v>
      </c>
    </row>
    <row r="267" spans="1:6" x14ac:dyDescent="0.3">
      <c r="A267" s="6" t="s">
        <v>1045</v>
      </c>
      <c r="B267">
        <v>16723219</v>
      </c>
      <c r="C267">
        <v>2</v>
      </c>
      <c r="D267" t="str">
        <f t="shared" si="10"/>
        <v>02</v>
      </c>
      <c r="E267" t="str">
        <f>VLOOKUP(B267,'HOGARES-ENDLINE'!$A:$B,2,FALSE)</f>
        <v>00020286</v>
      </c>
      <c r="F267" s="6" t="str">
        <f t="shared" si="11"/>
        <v>0002028602</v>
      </c>
    </row>
    <row r="268" spans="1:6" x14ac:dyDescent="0.3">
      <c r="A268" s="6" t="s">
        <v>1048</v>
      </c>
      <c r="B268">
        <v>16730078</v>
      </c>
      <c r="C268">
        <v>3</v>
      </c>
      <c r="D268" t="str">
        <f t="shared" si="10"/>
        <v>03</v>
      </c>
      <c r="E268" t="str">
        <f>VLOOKUP(B268,'HOGARES-ENDLINE'!$A:$B,2,FALSE)</f>
        <v>00020287</v>
      </c>
      <c r="F268" s="6" t="str">
        <f t="shared" si="11"/>
        <v>0002028703</v>
      </c>
    </row>
    <row r="269" spans="1:6" x14ac:dyDescent="0.3">
      <c r="A269" s="6" t="s">
        <v>1046</v>
      </c>
      <c r="B269">
        <v>16730078</v>
      </c>
      <c r="C269">
        <v>1</v>
      </c>
      <c r="D269" t="str">
        <f t="shared" si="10"/>
        <v>01</v>
      </c>
      <c r="E269" t="str">
        <f>VLOOKUP(B269,'HOGARES-ENDLINE'!$A:$B,2,FALSE)</f>
        <v>00020287</v>
      </c>
      <c r="F269" s="6" t="str">
        <f t="shared" si="11"/>
        <v>0002028701</v>
      </c>
    </row>
    <row r="270" spans="1:6" x14ac:dyDescent="0.3">
      <c r="A270" s="6" t="s">
        <v>1047</v>
      </c>
      <c r="B270">
        <v>16730078</v>
      </c>
      <c r="C270">
        <v>4</v>
      </c>
      <c r="D270" t="str">
        <f t="shared" si="10"/>
        <v>04</v>
      </c>
      <c r="E270" t="str">
        <f>VLOOKUP(B270,'HOGARES-ENDLINE'!$A:$B,2,FALSE)</f>
        <v>00020287</v>
      </c>
      <c r="F270" s="6" t="str">
        <f t="shared" si="11"/>
        <v>0002028704</v>
      </c>
    </row>
    <row r="271" spans="1:6" x14ac:dyDescent="0.3">
      <c r="A271" s="6" t="s">
        <v>1049</v>
      </c>
      <c r="B271">
        <v>16730078</v>
      </c>
      <c r="C271">
        <v>2</v>
      </c>
      <c r="D271" t="str">
        <f t="shared" si="10"/>
        <v>02</v>
      </c>
      <c r="E271" t="str">
        <f>VLOOKUP(B271,'HOGARES-ENDLINE'!$A:$B,2,FALSE)</f>
        <v>00020287</v>
      </c>
      <c r="F271" s="6" t="str">
        <f t="shared" si="11"/>
        <v>0002028702</v>
      </c>
    </row>
    <row r="272" spans="1:6" x14ac:dyDescent="0.3">
      <c r="A272" s="6" t="s">
        <v>1051</v>
      </c>
      <c r="B272">
        <v>16749425</v>
      </c>
      <c r="C272">
        <v>3</v>
      </c>
      <c r="D272" t="str">
        <f t="shared" si="10"/>
        <v>03</v>
      </c>
      <c r="E272" t="str">
        <f>VLOOKUP(B272,'HOGARES-ENDLINE'!$A:$B,2,FALSE)</f>
        <v>00020288</v>
      </c>
      <c r="F272" s="6" t="str">
        <f t="shared" si="11"/>
        <v>0002028803</v>
      </c>
    </row>
    <row r="273" spans="1:6" x14ac:dyDescent="0.3">
      <c r="A273" s="6" t="s">
        <v>1050</v>
      </c>
      <c r="B273">
        <v>16749425</v>
      </c>
      <c r="C273">
        <v>1</v>
      </c>
      <c r="D273" t="str">
        <f t="shared" si="10"/>
        <v>01</v>
      </c>
      <c r="E273" t="str">
        <f>VLOOKUP(B273,'HOGARES-ENDLINE'!$A:$B,2,FALSE)</f>
        <v>00020288</v>
      </c>
      <c r="F273" s="6" t="str">
        <f t="shared" si="11"/>
        <v>0002028801</v>
      </c>
    </row>
    <row r="274" spans="1:6" x14ac:dyDescent="0.3">
      <c r="A274" s="6" t="s">
        <v>1052</v>
      </c>
      <c r="B274">
        <v>16749425</v>
      </c>
      <c r="C274">
        <v>2</v>
      </c>
      <c r="D274" t="str">
        <f t="shared" si="10"/>
        <v>02</v>
      </c>
      <c r="E274" t="str">
        <f>VLOOKUP(B274,'HOGARES-ENDLINE'!$A:$B,2,FALSE)</f>
        <v>00020288</v>
      </c>
      <c r="F274" s="6" t="str">
        <f t="shared" si="11"/>
        <v>0002028802</v>
      </c>
    </row>
    <row r="275" spans="1:6" x14ac:dyDescent="0.3">
      <c r="A275" s="6" t="s">
        <v>1053</v>
      </c>
      <c r="B275">
        <v>16751591</v>
      </c>
      <c r="C275">
        <v>3</v>
      </c>
      <c r="D275" t="str">
        <f t="shared" si="10"/>
        <v>03</v>
      </c>
      <c r="E275" t="str">
        <f>VLOOKUP(B275,'HOGARES-ENDLINE'!$A:$B,2,FALSE)</f>
        <v>00020289</v>
      </c>
      <c r="F275" s="6" t="str">
        <f t="shared" si="11"/>
        <v>0002028903</v>
      </c>
    </row>
    <row r="276" spans="1:6" x14ac:dyDescent="0.3">
      <c r="A276" s="6" t="s">
        <v>1054</v>
      </c>
      <c r="B276">
        <v>16751591</v>
      </c>
      <c r="C276">
        <v>1</v>
      </c>
      <c r="D276" t="str">
        <f t="shared" si="10"/>
        <v>01</v>
      </c>
      <c r="E276" t="str">
        <f>VLOOKUP(B276,'HOGARES-ENDLINE'!$A:$B,2,FALSE)</f>
        <v>00020289</v>
      </c>
      <c r="F276" s="6" t="str">
        <f t="shared" si="11"/>
        <v>0002028901</v>
      </c>
    </row>
    <row r="277" spans="1:6" x14ac:dyDescent="0.3">
      <c r="A277" s="6" t="s">
        <v>1055</v>
      </c>
      <c r="B277">
        <v>16751591</v>
      </c>
      <c r="C277">
        <v>2</v>
      </c>
      <c r="D277" t="str">
        <f t="shared" si="10"/>
        <v>02</v>
      </c>
      <c r="E277" t="str">
        <f>VLOOKUP(B277,'HOGARES-ENDLINE'!$A:$B,2,FALSE)</f>
        <v>00020289</v>
      </c>
      <c r="F277" s="6" t="str">
        <f t="shared" si="11"/>
        <v>0002028902</v>
      </c>
    </row>
    <row r="278" spans="1:6" x14ac:dyDescent="0.3">
      <c r="A278" s="6" t="s">
        <v>1058</v>
      </c>
      <c r="B278">
        <v>16761714</v>
      </c>
      <c r="C278">
        <v>4</v>
      </c>
      <c r="D278" t="str">
        <f t="shared" si="10"/>
        <v>04</v>
      </c>
      <c r="E278" t="str">
        <f>VLOOKUP(B278,'HOGARES-ENDLINE'!$A:$B,2,FALSE)</f>
        <v>00020290</v>
      </c>
      <c r="F278" s="6" t="str">
        <f t="shared" si="11"/>
        <v>0002029004</v>
      </c>
    </row>
    <row r="279" spans="1:6" x14ac:dyDescent="0.3">
      <c r="A279" s="6" t="s">
        <v>1057</v>
      </c>
      <c r="B279">
        <v>16761714</v>
      </c>
      <c r="C279">
        <v>1</v>
      </c>
      <c r="D279" t="str">
        <f t="shared" si="10"/>
        <v>01</v>
      </c>
      <c r="E279" t="str">
        <f>VLOOKUP(B279,'HOGARES-ENDLINE'!$A:$B,2,FALSE)</f>
        <v>00020290</v>
      </c>
      <c r="F279" s="6" t="str">
        <f t="shared" si="11"/>
        <v>0002029001</v>
      </c>
    </row>
    <row r="280" spans="1:6" x14ac:dyDescent="0.3">
      <c r="A280" s="6" t="s">
        <v>1056</v>
      </c>
      <c r="B280">
        <v>16761714</v>
      </c>
      <c r="C280">
        <v>2</v>
      </c>
      <c r="D280" t="str">
        <f t="shared" si="10"/>
        <v>02</v>
      </c>
      <c r="E280" t="str">
        <f>VLOOKUP(B280,'HOGARES-ENDLINE'!$A:$B,2,FALSE)</f>
        <v>00020290</v>
      </c>
      <c r="F280" s="6" t="str">
        <f t="shared" si="11"/>
        <v>0002029002</v>
      </c>
    </row>
    <row r="281" spans="1:6" x14ac:dyDescent="0.3">
      <c r="A281" s="6" t="s">
        <v>1061</v>
      </c>
      <c r="B281">
        <v>16778426</v>
      </c>
      <c r="C281">
        <v>1</v>
      </c>
      <c r="D281" t="str">
        <f t="shared" si="10"/>
        <v>01</v>
      </c>
      <c r="E281" t="str">
        <f>VLOOKUP(B281,'HOGARES-ENDLINE'!$A:$B,2,FALSE)</f>
        <v>01020291</v>
      </c>
      <c r="F281" s="6" t="str">
        <f t="shared" si="11"/>
        <v>0102029101</v>
      </c>
    </row>
    <row r="282" spans="1:6" x14ac:dyDescent="0.3">
      <c r="A282" s="6" t="s">
        <v>1060</v>
      </c>
      <c r="B282">
        <v>16778426</v>
      </c>
      <c r="C282">
        <v>2</v>
      </c>
      <c r="D282" t="str">
        <f t="shared" si="10"/>
        <v>02</v>
      </c>
      <c r="E282" t="str">
        <f>VLOOKUP(B282,'HOGARES-ENDLINE'!$A:$B,2,FALSE)</f>
        <v>01020291</v>
      </c>
      <c r="F282" s="6" t="str">
        <f t="shared" si="11"/>
        <v>0102029102</v>
      </c>
    </row>
    <row r="283" spans="1:6" x14ac:dyDescent="0.3">
      <c r="A283" s="6" t="s">
        <v>1064</v>
      </c>
      <c r="B283">
        <v>16781675</v>
      </c>
      <c r="C283">
        <v>2</v>
      </c>
      <c r="D283" t="str">
        <f t="shared" si="10"/>
        <v>02</v>
      </c>
      <c r="E283" t="str">
        <f>VLOOKUP(B283,'HOGARES-ENDLINE'!$A:$B,2,FALSE)</f>
        <v>01020292</v>
      </c>
      <c r="F283" s="6" t="str">
        <f t="shared" si="11"/>
        <v>0102029202</v>
      </c>
    </row>
    <row r="284" spans="1:6" x14ac:dyDescent="0.3">
      <c r="A284" s="6" t="s">
        <v>1062</v>
      </c>
      <c r="B284">
        <v>16781675</v>
      </c>
      <c r="C284">
        <v>4</v>
      </c>
      <c r="D284" t="str">
        <f t="shared" si="10"/>
        <v>04</v>
      </c>
      <c r="E284" t="str">
        <f>VLOOKUP(B284,'HOGARES-ENDLINE'!$A:$B,2,FALSE)</f>
        <v>01020292</v>
      </c>
      <c r="F284" s="6" t="str">
        <f t="shared" si="11"/>
        <v>0102029204</v>
      </c>
    </row>
    <row r="285" spans="1:6" x14ac:dyDescent="0.3">
      <c r="A285" s="6" t="s">
        <v>1065</v>
      </c>
      <c r="B285">
        <v>16781675</v>
      </c>
      <c r="C285">
        <v>3</v>
      </c>
      <c r="D285" t="str">
        <f t="shared" si="10"/>
        <v>03</v>
      </c>
      <c r="E285" t="str">
        <f>VLOOKUP(B285,'HOGARES-ENDLINE'!$A:$B,2,FALSE)</f>
        <v>01020292</v>
      </c>
      <c r="F285" s="6" t="str">
        <f t="shared" si="11"/>
        <v>0102029203</v>
      </c>
    </row>
    <row r="286" spans="1:6" x14ac:dyDescent="0.3">
      <c r="A286" s="6" t="s">
        <v>1063</v>
      </c>
      <c r="B286">
        <v>16781675</v>
      </c>
      <c r="C286">
        <v>1</v>
      </c>
      <c r="D286" t="str">
        <f t="shared" si="10"/>
        <v>01</v>
      </c>
      <c r="E286" t="str">
        <f>VLOOKUP(B286,'HOGARES-ENDLINE'!$A:$B,2,FALSE)</f>
        <v>01020292</v>
      </c>
      <c r="F286" s="6" t="str">
        <f t="shared" si="11"/>
        <v>0102029201</v>
      </c>
    </row>
    <row r="287" spans="1:6" x14ac:dyDescent="0.3">
      <c r="A287" s="6" t="s">
        <v>1067</v>
      </c>
      <c r="B287">
        <v>16820143</v>
      </c>
      <c r="C287">
        <v>2</v>
      </c>
      <c r="D287" t="str">
        <f t="shared" si="10"/>
        <v>02</v>
      </c>
      <c r="E287" t="str">
        <f>VLOOKUP(B287,'HOGARES-ENDLINE'!$A:$B,2,FALSE)</f>
        <v>00020293</v>
      </c>
      <c r="F287" s="6" t="str">
        <f t="shared" si="11"/>
        <v>0002029302</v>
      </c>
    </row>
    <row r="288" spans="1:6" x14ac:dyDescent="0.3">
      <c r="A288" s="6" t="s">
        <v>1066</v>
      </c>
      <c r="B288">
        <v>16820143</v>
      </c>
      <c r="C288">
        <v>1</v>
      </c>
      <c r="D288" t="str">
        <f t="shared" si="10"/>
        <v>01</v>
      </c>
      <c r="E288" t="str">
        <f>VLOOKUP(B288,'HOGARES-ENDLINE'!$A:$B,2,FALSE)</f>
        <v>00020293</v>
      </c>
      <c r="F288" s="6" t="str">
        <f t="shared" si="11"/>
        <v>0002029301</v>
      </c>
    </row>
    <row r="289" spans="1:6" x14ac:dyDescent="0.3">
      <c r="A289" s="6" t="s">
        <v>1070</v>
      </c>
      <c r="B289">
        <v>16824095</v>
      </c>
      <c r="C289">
        <v>1</v>
      </c>
      <c r="D289" t="str">
        <f t="shared" si="10"/>
        <v>01</v>
      </c>
      <c r="E289" t="str">
        <f>VLOOKUP(B289,'HOGARES-ENDLINE'!$A:$B,2,FALSE)</f>
        <v>01020294</v>
      </c>
      <c r="F289" s="6" t="str">
        <f t="shared" si="11"/>
        <v>0102029401</v>
      </c>
    </row>
    <row r="290" spans="1:6" x14ac:dyDescent="0.3">
      <c r="A290" s="6" t="s">
        <v>1071</v>
      </c>
      <c r="B290">
        <v>16827577</v>
      </c>
      <c r="C290">
        <v>1</v>
      </c>
      <c r="D290" t="str">
        <f t="shared" si="10"/>
        <v>01</v>
      </c>
      <c r="E290" t="str">
        <f>VLOOKUP(B290,'HOGARES-ENDLINE'!$A:$B,2,FALSE)</f>
        <v>01020295</v>
      </c>
      <c r="F290" s="6" t="str">
        <f t="shared" si="11"/>
        <v>0102029501</v>
      </c>
    </row>
    <row r="291" spans="1:6" x14ac:dyDescent="0.3">
      <c r="A291" s="6" t="s">
        <v>1075</v>
      </c>
      <c r="B291">
        <v>16828126</v>
      </c>
      <c r="C291">
        <v>1</v>
      </c>
      <c r="D291" t="str">
        <f t="shared" si="10"/>
        <v>01</v>
      </c>
      <c r="E291" t="str">
        <f>VLOOKUP(B291,'HOGARES-ENDLINE'!$A:$B,2,FALSE)</f>
        <v>00020296</v>
      </c>
      <c r="F291" s="6" t="str">
        <f t="shared" si="11"/>
        <v>0002029601</v>
      </c>
    </row>
    <row r="292" spans="1:6" x14ac:dyDescent="0.3">
      <c r="A292" s="6" t="s">
        <v>1076</v>
      </c>
      <c r="B292">
        <v>16828126</v>
      </c>
      <c r="C292">
        <v>2</v>
      </c>
      <c r="D292" t="str">
        <f t="shared" si="10"/>
        <v>02</v>
      </c>
      <c r="E292" t="str">
        <f>VLOOKUP(B292,'HOGARES-ENDLINE'!$A:$B,2,FALSE)</f>
        <v>00020296</v>
      </c>
      <c r="F292" s="6" t="str">
        <f t="shared" si="11"/>
        <v>0002029602</v>
      </c>
    </row>
    <row r="293" spans="1:6" x14ac:dyDescent="0.3">
      <c r="A293" s="6" t="s">
        <v>1077</v>
      </c>
      <c r="B293">
        <v>16830582</v>
      </c>
      <c r="C293">
        <v>1</v>
      </c>
      <c r="D293" t="str">
        <f t="shared" si="10"/>
        <v>01</v>
      </c>
      <c r="E293" t="str">
        <f>VLOOKUP(B293,'HOGARES-ENDLINE'!$A:$B,2,FALSE)</f>
        <v>00020297</v>
      </c>
      <c r="F293" s="6" t="str">
        <f t="shared" si="11"/>
        <v>0002029701</v>
      </c>
    </row>
    <row r="294" spans="1:6" x14ac:dyDescent="0.3">
      <c r="A294" s="6" t="s">
        <v>1081</v>
      </c>
      <c r="B294">
        <v>16881076</v>
      </c>
      <c r="C294">
        <v>1</v>
      </c>
      <c r="D294" t="str">
        <f t="shared" si="10"/>
        <v>01</v>
      </c>
      <c r="E294" t="str">
        <f>VLOOKUP(B294,'HOGARES-ENDLINE'!$A:$B,2,FALSE)</f>
        <v>01020298</v>
      </c>
      <c r="F294" s="6" t="str">
        <f t="shared" si="11"/>
        <v>0102029801</v>
      </c>
    </row>
    <row r="295" spans="1:6" x14ac:dyDescent="0.3">
      <c r="A295" s="6" t="s">
        <v>1079</v>
      </c>
      <c r="B295">
        <v>16881076</v>
      </c>
      <c r="C295">
        <v>3</v>
      </c>
      <c r="D295" t="str">
        <f t="shared" si="10"/>
        <v>03</v>
      </c>
      <c r="E295" t="str">
        <f>VLOOKUP(B295,'HOGARES-ENDLINE'!$A:$B,2,FALSE)</f>
        <v>01020298</v>
      </c>
      <c r="F295" s="6" t="str">
        <f t="shared" si="11"/>
        <v>0102029803</v>
      </c>
    </row>
    <row r="296" spans="1:6" x14ac:dyDescent="0.3">
      <c r="A296" s="6" t="s">
        <v>1082</v>
      </c>
      <c r="B296">
        <v>16881076</v>
      </c>
      <c r="C296">
        <v>5</v>
      </c>
      <c r="D296" t="str">
        <f t="shared" si="10"/>
        <v>05</v>
      </c>
      <c r="E296" t="str">
        <f>VLOOKUP(B296,'HOGARES-ENDLINE'!$A:$B,2,FALSE)</f>
        <v>01020298</v>
      </c>
      <c r="F296" s="6" t="str">
        <f t="shared" si="11"/>
        <v>0102029805</v>
      </c>
    </row>
    <row r="297" spans="1:6" x14ac:dyDescent="0.3">
      <c r="A297" s="6" t="s">
        <v>1080</v>
      </c>
      <c r="B297">
        <v>16881076</v>
      </c>
      <c r="C297">
        <v>2</v>
      </c>
      <c r="D297" t="str">
        <f t="shared" si="10"/>
        <v>02</v>
      </c>
      <c r="E297" t="str">
        <f>VLOOKUP(B297,'HOGARES-ENDLINE'!$A:$B,2,FALSE)</f>
        <v>01020298</v>
      </c>
      <c r="F297" s="6" t="str">
        <f t="shared" si="11"/>
        <v>0102029802</v>
      </c>
    </row>
    <row r="298" spans="1:6" x14ac:dyDescent="0.3">
      <c r="A298" s="6" t="s">
        <v>1078</v>
      </c>
      <c r="B298">
        <v>16881076</v>
      </c>
      <c r="C298">
        <v>4</v>
      </c>
      <c r="D298" t="str">
        <f t="shared" si="10"/>
        <v>04</v>
      </c>
      <c r="E298" t="str">
        <f>VLOOKUP(B298,'HOGARES-ENDLINE'!$A:$B,2,FALSE)</f>
        <v>01020298</v>
      </c>
      <c r="F298" s="6" t="str">
        <f t="shared" si="11"/>
        <v>0102029804</v>
      </c>
    </row>
    <row r="299" spans="1:6" x14ac:dyDescent="0.3">
      <c r="A299" s="6" t="s">
        <v>1084</v>
      </c>
      <c r="B299">
        <v>16881275</v>
      </c>
      <c r="C299">
        <v>2</v>
      </c>
      <c r="D299" t="str">
        <f t="shared" si="10"/>
        <v>02</v>
      </c>
      <c r="E299" t="str">
        <f>VLOOKUP(B299,'HOGARES-ENDLINE'!$A:$B,2,FALSE)</f>
        <v>00020299</v>
      </c>
      <c r="F299" s="6" t="str">
        <f t="shared" si="11"/>
        <v>0002029902</v>
      </c>
    </row>
    <row r="300" spans="1:6" x14ac:dyDescent="0.3">
      <c r="A300" s="6" t="s">
        <v>1083</v>
      </c>
      <c r="B300">
        <v>16881275</v>
      </c>
      <c r="C300">
        <v>1</v>
      </c>
      <c r="D300" t="str">
        <f t="shared" si="10"/>
        <v>01</v>
      </c>
      <c r="E300" t="str">
        <f>VLOOKUP(B300,'HOGARES-ENDLINE'!$A:$B,2,FALSE)</f>
        <v>00020299</v>
      </c>
      <c r="F300" s="6" t="str">
        <f t="shared" si="11"/>
        <v>0002029901</v>
      </c>
    </row>
    <row r="301" spans="1:6" x14ac:dyDescent="0.3">
      <c r="A301" s="6" t="s">
        <v>1089</v>
      </c>
      <c r="B301">
        <v>16917385</v>
      </c>
      <c r="C301">
        <v>2</v>
      </c>
      <c r="D301" t="str">
        <f t="shared" si="10"/>
        <v>02</v>
      </c>
      <c r="E301" t="str">
        <f>VLOOKUP(B301,'HOGARES-ENDLINE'!$A:$B,2,FALSE)</f>
        <v>00020300</v>
      </c>
      <c r="F301" s="6" t="str">
        <f t="shared" si="11"/>
        <v>0002030002</v>
      </c>
    </row>
    <row r="302" spans="1:6" x14ac:dyDescent="0.3">
      <c r="A302" s="6" t="s">
        <v>1088</v>
      </c>
      <c r="B302">
        <v>16917385</v>
      </c>
      <c r="C302">
        <v>5</v>
      </c>
      <c r="D302" t="str">
        <f t="shared" si="10"/>
        <v>05</v>
      </c>
      <c r="E302" t="str">
        <f>VLOOKUP(B302,'HOGARES-ENDLINE'!$A:$B,2,FALSE)</f>
        <v>00020300</v>
      </c>
      <c r="F302" s="6" t="str">
        <f t="shared" si="11"/>
        <v>0002030005</v>
      </c>
    </row>
    <row r="303" spans="1:6" x14ac:dyDescent="0.3">
      <c r="A303" s="6" t="s">
        <v>1085</v>
      </c>
      <c r="B303">
        <v>16917385</v>
      </c>
      <c r="C303">
        <v>4</v>
      </c>
      <c r="D303" t="str">
        <f t="shared" si="10"/>
        <v>04</v>
      </c>
      <c r="E303" t="str">
        <f>VLOOKUP(B303,'HOGARES-ENDLINE'!$A:$B,2,FALSE)</f>
        <v>00020300</v>
      </c>
      <c r="F303" s="6" t="str">
        <f t="shared" si="11"/>
        <v>0002030004</v>
      </c>
    </row>
    <row r="304" spans="1:6" x14ac:dyDescent="0.3">
      <c r="A304" s="6" t="s">
        <v>1086</v>
      </c>
      <c r="B304">
        <v>16917385</v>
      </c>
      <c r="C304">
        <v>1</v>
      </c>
      <c r="D304" t="str">
        <f t="shared" si="10"/>
        <v>01</v>
      </c>
      <c r="E304" t="str">
        <f>VLOOKUP(B304,'HOGARES-ENDLINE'!$A:$B,2,FALSE)</f>
        <v>00020300</v>
      </c>
      <c r="F304" s="6" t="str">
        <f t="shared" si="11"/>
        <v>0002030001</v>
      </c>
    </row>
    <row r="305" spans="1:6" x14ac:dyDescent="0.3">
      <c r="A305" s="6" t="s">
        <v>1092</v>
      </c>
      <c r="B305">
        <v>16936771</v>
      </c>
      <c r="C305">
        <v>1</v>
      </c>
      <c r="D305" t="str">
        <f t="shared" si="10"/>
        <v>01</v>
      </c>
      <c r="E305" t="str">
        <f>VLOOKUP(B305,'HOGARES-ENDLINE'!$A:$B,2,FALSE)</f>
        <v>01020301</v>
      </c>
      <c r="F305" s="6" t="str">
        <f t="shared" si="11"/>
        <v>0102030101</v>
      </c>
    </row>
    <row r="306" spans="1:6" x14ac:dyDescent="0.3">
      <c r="A306" s="6" t="s">
        <v>1094</v>
      </c>
      <c r="B306">
        <v>17152604</v>
      </c>
      <c r="C306">
        <v>2</v>
      </c>
      <c r="D306" t="str">
        <f t="shared" si="10"/>
        <v>02</v>
      </c>
      <c r="E306" t="str">
        <f>VLOOKUP(B306,'HOGARES-ENDLINE'!$A:$B,2,FALSE)</f>
        <v>01030302</v>
      </c>
      <c r="F306" s="6" t="str">
        <f t="shared" si="11"/>
        <v>0103030202</v>
      </c>
    </row>
    <row r="307" spans="1:6" x14ac:dyDescent="0.3">
      <c r="A307" s="6" t="s">
        <v>1095</v>
      </c>
      <c r="B307">
        <v>17152604</v>
      </c>
      <c r="C307">
        <v>1</v>
      </c>
      <c r="D307" t="str">
        <f t="shared" si="10"/>
        <v>01</v>
      </c>
      <c r="E307" t="str">
        <f>VLOOKUP(B307,'HOGARES-ENDLINE'!$A:$B,2,FALSE)</f>
        <v>01030302</v>
      </c>
      <c r="F307" s="6" t="str">
        <f t="shared" si="11"/>
        <v>0103030201</v>
      </c>
    </row>
    <row r="308" spans="1:6" x14ac:dyDescent="0.3">
      <c r="A308" s="6" t="s">
        <v>1099</v>
      </c>
      <c r="B308">
        <v>17632722</v>
      </c>
      <c r="C308">
        <v>2</v>
      </c>
      <c r="D308" t="str">
        <f t="shared" si="10"/>
        <v>02</v>
      </c>
      <c r="E308" t="str">
        <f>VLOOKUP(B308,'HOGARES-ENDLINE'!$A:$B,2,FALSE)</f>
        <v>01020304</v>
      </c>
      <c r="F308" s="6" t="str">
        <f t="shared" si="11"/>
        <v>0102030402</v>
      </c>
    </row>
    <row r="309" spans="1:6" x14ac:dyDescent="0.3">
      <c r="A309" s="6" t="s">
        <v>1098</v>
      </c>
      <c r="B309">
        <v>17632722</v>
      </c>
      <c r="C309">
        <v>1</v>
      </c>
      <c r="D309" t="str">
        <f t="shared" si="10"/>
        <v>01</v>
      </c>
      <c r="E309" t="str">
        <f>VLOOKUP(B309,'HOGARES-ENDLINE'!$A:$B,2,FALSE)</f>
        <v>01020304</v>
      </c>
      <c r="F309" s="6" t="str">
        <f t="shared" si="11"/>
        <v>0102030401</v>
      </c>
    </row>
    <row r="310" spans="1:6" x14ac:dyDescent="0.3">
      <c r="A310" s="6" t="s">
        <v>1101</v>
      </c>
      <c r="B310">
        <v>17808718</v>
      </c>
      <c r="C310">
        <v>1</v>
      </c>
      <c r="D310" t="str">
        <f t="shared" si="10"/>
        <v>01</v>
      </c>
      <c r="E310" t="str">
        <f>VLOOKUP(B310,'HOGARES-ENDLINE'!$A:$B,2,FALSE)</f>
        <v>01030305</v>
      </c>
      <c r="F310" s="6" t="str">
        <f t="shared" si="11"/>
        <v>0103030501</v>
      </c>
    </row>
    <row r="311" spans="1:6" x14ac:dyDescent="0.3">
      <c r="A311" s="6" t="s">
        <v>1100</v>
      </c>
      <c r="B311">
        <v>17808718</v>
      </c>
      <c r="C311">
        <v>2</v>
      </c>
      <c r="D311" t="str">
        <f t="shared" ref="D311:D374" si="12">_xlfn.CONCAT(0,C311)</f>
        <v>02</v>
      </c>
      <c r="E311" t="str">
        <f>VLOOKUP(B311,'HOGARES-ENDLINE'!$A:$B,2,FALSE)</f>
        <v>01030305</v>
      </c>
      <c r="F311" s="6" t="str">
        <f t="shared" si="11"/>
        <v>0103030502</v>
      </c>
    </row>
    <row r="312" spans="1:6" x14ac:dyDescent="0.3">
      <c r="A312" s="6" t="s">
        <v>1102</v>
      </c>
      <c r="B312">
        <v>17849804</v>
      </c>
      <c r="C312">
        <v>2</v>
      </c>
      <c r="D312" t="str">
        <f t="shared" si="12"/>
        <v>02</v>
      </c>
      <c r="E312" t="str">
        <f>VLOOKUP(B312,'HOGARES-ENDLINE'!$A:$B,2,FALSE)</f>
        <v>01030306</v>
      </c>
      <c r="F312" s="6" t="str">
        <f t="shared" si="11"/>
        <v>0103030602</v>
      </c>
    </row>
    <row r="313" spans="1:6" x14ac:dyDescent="0.3">
      <c r="A313" s="6" t="s">
        <v>1106</v>
      </c>
      <c r="B313">
        <v>17849804</v>
      </c>
      <c r="C313">
        <v>4</v>
      </c>
      <c r="D313" t="str">
        <f t="shared" si="12"/>
        <v>04</v>
      </c>
      <c r="E313" t="str">
        <f>VLOOKUP(B313,'HOGARES-ENDLINE'!$A:$B,2,FALSE)</f>
        <v>01030306</v>
      </c>
      <c r="F313" s="6" t="str">
        <f t="shared" si="11"/>
        <v>0103030604</v>
      </c>
    </row>
    <row r="314" spans="1:6" x14ac:dyDescent="0.3">
      <c r="A314" s="6" t="s">
        <v>1107</v>
      </c>
      <c r="B314">
        <v>17849804</v>
      </c>
      <c r="C314">
        <v>5</v>
      </c>
      <c r="D314" t="str">
        <f t="shared" si="12"/>
        <v>05</v>
      </c>
      <c r="E314" t="str">
        <f>VLOOKUP(B314,'HOGARES-ENDLINE'!$A:$B,2,FALSE)</f>
        <v>01030306</v>
      </c>
      <c r="F314" s="6" t="str">
        <f t="shared" si="11"/>
        <v>0103030605</v>
      </c>
    </row>
    <row r="315" spans="1:6" x14ac:dyDescent="0.3">
      <c r="A315" s="6" t="s">
        <v>1103</v>
      </c>
      <c r="B315">
        <v>17849804</v>
      </c>
      <c r="C315">
        <v>3</v>
      </c>
      <c r="D315" t="str">
        <f t="shared" si="12"/>
        <v>03</v>
      </c>
      <c r="E315" t="str">
        <f>VLOOKUP(B315,'HOGARES-ENDLINE'!$A:$B,2,FALSE)</f>
        <v>01030306</v>
      </c>
      <c r="F315" s="6" t="str">
        <f t="shared" si="11"/>
        <v>0103030603</v>
      </c>
    </row>
    <row r="316" spans="1:6" x14ac:dyDescent="0.3">
      <c r="A316" s="6" t="s">
        <v>1105</v>
      </c>
      <c r="B316">
        <v>17849804</v>
      </c>
      <c r="C316">
        <v>1</v>
      </c>
      <c r="D316" t="str">
        <f t="shared" si="12"/>
        <v>01</v>
      </c>
      <c r="E316" t="str">
        <f>VLOOKUP(B316,'HOGARES-ENDLINE'!$A:$B,2,FALSE)</f>
        <v>01030306</v>
      </c>
      <c r="F316" s="6" t="str">
        <f t="shared" si="11"/>
        <v>0103030601</v>
      </c>
    </row>
    <row r="317" spans="1:6" x14ac:dyDescent="0.3">
      <c r="A317" s="6" t="s">
        <v>1110</v>
      </c>
      <c r="B317">
        <v>18932393</v>
      </c>
      <c r="C317">
        <v>1</v>
      </c>
      <c r="D317" t="str">
        <f t="shared" si="12"/>
        <v>01</v>
      </c>
      <c r="E317" t="str">
        <f>VLOOKUP(B317,'HOGARES-ENDLINE'!$A:$B,2,FALSE)</f>
        <v>01030307</v>
      </c>
      <c r="F317" s="6" t="str">
        <f t="shared" si="11"/>
        <v>0103030701</v>
      </c>
    </row>
    <row r="318" spans="1:6" x14ac:dyDescent="0.3">
      <c r="A318" s="6" t="s">
        <v>1111</v>
      </c>
      <c r="B318">
        <v>19143848</v>
      </c>
      <c r="C318">
        <v>1</v>
      </c>
      <c r="D318" t="str">
        <f t="shared" si="12"/>
        <v>01</v>
      </c>
      <c r="E318" t="str">
        <f>VLOOKUP(B318,'HOGARES-ENDLINE'!$A:$B,2,FALSE)</f>
        <v>00010308</v>
      </c>
      <c r="F318" s="6" t="str">
        <f t="shared" si="11"/>
        <v>0001030801</v>
      </c>
    </row>
    <row r="319" spans="1:6" x14ac:dyDescent="0.3">
      <c r="A319" s="6" t="s">
        <v>1112</v>
      </c>
      <c r="B319">
        <v>19218873</v>
      </c>
      <c r="C319">
        <v>1</v>
      </c>
      <c r="D319" t="str">
        <f t="shared" si="12"/>
        <v>01</v>
      </c>
      <c r="E319" t="str">
        <f>VLOOKUP(B319,'HOGARES-ENDLINE'!$A:$B,2,FALSE)</f>
        <v>00030309</v>
      </c>
      <c r="F319" s="6" t="str">
        <f t="shared" si="11"/>
        <v>0003030901</v>
      </c>
    </row>
    <row r="320" spans="1:6" x14ac:dyDescent="0.3">
      <c r="A320" s="6" t="s">
        <v>1113</v>
      </c>
      <c r="B320">
        <v>19288937</v>
      </c>
      <c r="C320">
        <v>1</v>
      </c>
      <c r="D320" t="str">
        <f t="shared" si="12"/>
        <v>01</v>
      </c>
      <c r="E320" t="str">
        <f>VLOOKUP(B320,'HOGARES-ENDLINE'!$A:$B,2,FALSE)</f>
        <v>00020310</v>
      </c>
      <c r="F320" s="6" t="str">
        <f t="shared" si="11"/>
        <v>0002031001</v>
      </c>
    </row>
    <row r="321" spans="1:6" x14ac:dyDescent="0.3">
      <c r="A321" s="6" t="s">
        <v>1114</v>
      </c>
      <c r="B321">
        <v>19288937</v>
      </c>
      <c r="C321">
        <v>2</v>
      </c>
      <c r="D321" t="str">
        <f t="shared" si="12"/>
        <v>02</v>
      </c>
      <c r="E321" t="str">
        <f>VLOOKUP(B321,'HOGARES-ENDLINE'!$A:$B,2,FALSE)</f>
        <v>00020310</v>
      </c>
      <c r="F321" s="6" t="str">
        <f t="shared" si="11"/>
        <v>0002031002</v>
      </c>
    </row>
    <row r="322" spans="1:6" x14ac:dyDescent="0.3">
      <c r="A322" s="6" t="s">
        <v>1115</v>
      </c>
      <c r="B322">
        <v>19582075</v>
      </c>
      <c r="C322">
        <v>1</v>
      </c>
      <c r="D322" t="str">
        <f t="shared" si="12"/>
        <v>01</v>
      </c>
      <c r="E322" t="str">
        <f>VLOOKUP(B322,'HOGARES-ENDLINE'!$A:$B,2,FALSE)</f>
        <v>01030311</v>
      </c>
      <c r="F322" s="6" t="str">
        <f t="shared" si="11"/>
        <v>0103031101</v>
      </c>
    </row>
    <row r="323" spans="1:6" x14ac:dyDescent="0.3">
      <c r="A323" s="6" t="s">
        <v>1118</v>
      </c>
      <c r="B323">
        <v>19596310</v>
      </c>
      <c r="C323">
        <v>2</v>
      </c>
      <c r="D323" t="str">
        <f t="shared" si="12"/>
        <v>02</v>
      </c>
      <c r="E323" t="str">
        <f>VLOOKUP(B323,'HOGARES-ENDLINE'!$A:$B,2,FALSE)</f>
        <v>00030312</v>
      </c>
      <c r="F323" s="6" t="str">
        <f t="shared" ref="F323:F386" si="13">_xlfn.CONCAT(E323,D323)</f>
        <v>0003031202</v>
      </c>
    </row>
    <row r="324" spans="1:6" x14ac:dyDescent="0.3">
      <c r="A324" s="6" t="s">
        <v>1120</v>
      </c>
      <c r="B324">
        <v>19596310</v>
      </c>
      <c r="C324">
        <v>6</v>
      </c>
      <c r="D324" t="str">
        <f t="shared" si="12"/>
        <v>06</v>
      </c>
      <c r="E324" t="str">
        <f>VLOOKUP(B324,'HOGARES-ENDLINE'!$A:$B,2,FALSE)</f>
        <v>00030312</v>
      </c>
      <c r="F324" s="6" t="str">
        <f t="shared" si="13"/>
        <v>0003031206</v>
      </c>
    </row>
    <row r="325" spans="1:6" x14ac:dyDescent="0.3">
      <c r="A325" s="6" t="s">
        <v>1121</v>
      </c>
      <c r="B325">
        <v>19596310</v>
      </c>
      <c r="C325">
        <v>1</v>
      </c>
      <c r="D325" t="str">
        <f t="shared" si="12"/>
        <v>01</v>
      </c>
      <c r="E325" t="str">
        <f>VLOOKUP(B325,'HOGARES-ENDLINE'!$A:$B,2,FALSE)</f>
        <v>00030312</v>
      </c>
      <c r="F325" s="6" t="str">
        <f t="shared" si="13"/>
        <v>0003031201</v>
      </c>
    </row>
    <row r="326" spans="1:6" x14ac:dyDescent="0.3">
      <c r="A326" s="6" t="s">
        <v>1117</v>
      </c>
      <c r="B326">
        <v>19596310</v>
      </c>
      <c r="C326">
        <v>3</v>
      </c>
      <c r="D326" t="str">
        <f t="shared" si="12"/>
        <v>03</v>
      </c>
      <c r="E326" t="str">
        <f>VLOOKUP(B326,'HOGARES-ENDLINE'!$A:$B,2,FALSE)</f>
        <v>00030312</v>
      </c>
      <c r="F326" s="6" t="str">
        <f t="shared" si="13"/>
        <v>0003031203</v>
      </c>
    </row>
    <row r="327" spans="1:6" x14ac:dyDescent="0.3">
      <c r="A327" s="6" t="s">
        <v>1116</v>
      </c>
      <c r="B327">
        <v>19596310</v>
      </c>
      <c r="C327">
        <v>5</v>
      </c>
      <c r="D327" t="str">
        <f t="shared" si="12"/>
        <v>05</v>
      </c>
      <c r="E327" t="str">
        <f>VLOOKUP(B327,'HOGARES-ENDLINE'!$A:$B,2,FALSE)</f>
        <v>00030312</v>
      </c>
      <c r="F327" s="6" t="str">
        <f t="shared" si="13"/>
        <v>0003031205</v>
      </c>
    </row>
    <row r="328" spans="1:6" x14ac:dyDescent="0.3">
      <c r="A328" s="6" t="s">
        <v>1124</v>
      </c>
      <c r="B328">
        <v>21311154</v>
      </c>
      <c r="C328">
        <v>1</v>
      </c>
      <c r="D328" t="str">
        <f t="shared" si="12"/>
        <v>01</v>
      </c>
      <c r="E328" t="str">
        <f>VLOOKUP(B328,'HOGARES-ENDLINE'!$A:$B,2,FALSE)</f>
        <v>00010314</v>
      </c>
      <c r="F328" s="6" t="str">
        <f t="shared" si="13"/>
        <v>0001031401</v>
      </c>
    </row>
    <row r="329" spans="1:6" x14ac:dyDescent="0.3">
      <c r="A329" s="6" t="s">
        <v>1125</v>
      </c>
      <c r="B329">
        <v>21386259</v>
      </c>
      <c r="C329">
        <v>1</v>
      </c>
      <c r="D329" t="str">
        <f t="shared" si="12"/>
        <v>01</v>
      </c>
      <c r="E329" t="str">
        <f>VLOOKUP(B329,'HOGARES-ENDLINE'!$A:$B,2,FALSE)</f>
        <v>01010315</v>
      </c>
      <c r="F329" s="6" t="str">
        <f t="shared" si="13"/>
        <v>0101031501</v>
      </c>
    </row>
    <row r="330" spans="1:6" x14ac:dyDescent="0.3">
      <c r="A330" s="6" t="s">
        <v>1126</v>
      </c>
      <c r="B330">
        <v>21386259</v>
      </c>
      <c r="C330">
        <v>2</v>
      </c>
      <c r="D330" t="str">
        <f t="shared" si="12"/>
        <v>02</v>
      </c>
      <c r="E330" t="str">
        <f>VLOOKUP(B330,'HOGARES-ENDLINE'!$A:$B,2,FALSE)</f>
        <v>01010315</v>
      </c>
      <c r="F330" s="6" t="str">
        <f t="shared" si="13"/>
        <v>0101031502</v>
      </c>
    </row>
    <row r="331" spans="1:6" x14ac:dyDescent="0.3">
      <c r="A331" s="6" t="s">
        <v>1128</v>
      </c>
      <c r="B331">
        <v>21399690</v>
      </c>
      <c r="C331">
        <v>1</v>
      </c>
      <c r="D331" t="str">
        <f t="shared" si="12"/>
        <v>01</v>
      </c>
      <c r="E331" t="str">
        <f>VLOOKUP(B331,'HOGARES-ENDLINE'!$A:$B,2,FALSE)</f>
        <v>01010316</v>
      </c>
      <c r="F331" s="6" t="str">
        <f t="shared" si="13"/>
        <v>0101031601</v>
      </c>
    </row>
    <row r="332" spans="1:6" x14ac:dyDescent="0.3">
      <c r="A332" s="6" t="s">
        <v>1127</v>
      </c>
      <c r="B332">
        <v>21399690</v>
      </c>
      <c r="C332">
        <v>2</v>
      </c>
      <c r="D332" t="str">
        <f t="shared" si="12"/>
        <v>02</v>
      </c>
      <c r="E332" t="str">
        <f>VLOOKUP(B332,'HOGARES-ENDLINE'!$A:$B,2,FALSE)</f>
        <v>01010316</v>
      </c>
      <c r="F332" s="6" t="str">
        <f t="shared" si="13"/>
        <v>0101031602</v>
      </c>
    </row>
    <row r="333" spans="1:6" x14ac:dyDescent="0.3">
      <c r="A333" s="6" t="s">
        <v>1129</v>
      </c>
      <c r="B333">
        <v>21400273</v>
      </c>
      <c r="C333">
        <v>1</v>
      </c>
      <c r="D333" t="str">
        <f t="shared" si="12"/>
        <v>01</v>
      </c>
      <c r="E333" t="str">
        <f>VLOOKUP(B333,'HOGARES-ENDLINE'!$A:$B,2,FALSE)</f>
        <v>01010317</v>
      </c>
      <c r="F333" s="6" t="str">
        <f t="shared" si="13"/>
        <v>0101031701</v>
      </c>
    </row>
    <row r="334" spans="1:6" x14ac:dyDescent="0.3">
      <c r="A334" s="6" t="s">
        <v>1130</v>
      </c>
      <c r="B334">
        <v>21451130</v>
      </c>
      <c r="C334">
        <v>1</v>
      </c>
      <c r="D334" t="str">
        <f t="shared" si="12"/>
        <v>01</v>
      </c>
      <c r="E334" t="str">
        <f>VLOOKUP(B334,'HOGARES-ENDLINE'!$A:$B,2,FALSE)</f>
        <v>00010318</v>
      </c>
      <c r="F334" s="6" t="str">
        <f t="shared" si="13"/>
        <v>0001031801</v>
      </c>
    </row>
    <row r="335" spans="1:6" x14ac:dyDescent="0.3">
      <c r="A335" s="6" t="s">
        <v>1132</v>
      </c>
      <c r="B335">
        <v>21451506</v>
      </c>
      <c r="C335">
        <v>1</v>
      </c>
      <c r="D335" t="str">
        <f t="shared" si="12"/>
        <v>01</v>
      </c>
      <c r="E335" t="str">
        <f>VLOOKUP(B335,'HOGARES-ENDLINE'!$A:$B,2,FALSE)</f>
        <v>01010319</v>
      </c>
      <c r="F335" s="6" t="str">
        <f t="shared" si="13"/>
        <v>0101031901</v>
      </c>
    </row>
    <row r="336" spans="1:6" x14ac:dyDescent="0.3">
      <c r="A336" s="6" t="s">
        <v>1131</v>
      </c>
      <c r="B336">
        <v>21451506</v>
      </c>
      <c r="C336">
        <v>2</v>
      </c>
      <c r="D336" t="str">
        <f t="shared" si="12"/>
        <v>02</v>
      </c>
      <c r="E336" t="str">
        <f>VLOOKUP(B336,'HOGARES-ENDLINE'!$A:$B,2,FALSE)</f>
        <v>01010319</v>
      </c>
      <c r="F336" s="6" t="str">
        <f t="shared" si="13"/>
        <v>0101031902</v>
      </c>
    </row>
    <row r="337" spans="1:6" x14ac:dyDescent="0.3">
      <c r="A337" s="6" t="s">
        <v>1134</v>
      </c>
      <c r="B337">
        <v>21464825</v>
      </c>
      <c r="C337">
        <v>3</v>
      </c>
      <c r="D337" t="str">
        <f t="shared" si="12"/>
        <v>03</v>
      </c>
      <c r="E337" t="str">
        <f>VLOOKUP(B337,'HOGARES-ENDLINE'!$A:$B,2,FALSE)</f>
        <v>01010320</v>
      </c>
      <c r="F337" s="6" t="str">
        <f t="shared" si="13"/>
        <v>0101032003</v>
      </c>
    </row>
    <row r="338" spans="1:6" x14ac:dyDescent="0.3">
      <c r="A338" s="6" t="s">
        <v>1135</v>
      </c>
      <c r="B338">
        <v>21464825</v>
      </c>
      <c r="C338">
        <v>1</v>
      </c>
      <c r="D338" t="str">
        <f t="shared" si="12"/>
        <v>01</v>
      </c>
      <c r="E338" t="str">
        <f>VLOOKUP(B338,'HOGARES-ENDLINE'!$A:$B,2,FALSE)</f>
        <v>01010320</v>
      </c>
      <c r="F338" s="6" t="str">
        <f t="shared" si="13"/>
        <v>0101032001</v>
      </c>
    </row>
    <row r="339" spans="1:6" x14ac:dyDescent="0.3">
      <c r="A339" s="6" t="s">
        <v>1133</v>
      </c>
      <c r="B339">
        <v>21464825</v>
      </c>
      <c r="C339">
        <v>2</v>
      </c>
      <c r="D339" t="str">
        <f t="shared" si="12"/>
        <v>02</v>
      </c>
      <c r="E339" t="str">
        <f>VLOOKUP(B339,'HOGARES-ENDLINE'!$A:$B,2,FALSE)</f>
        <v>01010320</v>
      </c>
      <c r="F339" s="6" t="str">
        <f t="shared" si="13"/>
        <v>0101032002</v>
      </c>
    </row>
    <row r="340" spans="1:6" x14ac:dyDescent="0.3">
      <c r="A340" s="6" t="s">
        <v>1137</v>
      </c>
      <c r="B340">
        <v>21467983</v>
      </c>
      <c r="C340">
        <v>2</v>
      </c>
      <c r="D340" t="str">
        <f t="shared" si="12"/>
        <v>02</v>
      </c>
      <c r="E340" t="str">
        <f>VLOOKUP(B340,'HOGARES-ENDLINE'!$A:$B,2,FALSE)</f>
        <v>01010321</v>
      </c>
      <c r="F340" s="6" t="str">
        <f t="shared" si="13"/>
        <v>0101032102</v>
      </c>
    </row>
    <row r="341" spans="1:6" x14ac:dyDescent="0.3">
      <c r="A341" s="6" t="s">
        <v>1136</v>
      </c>
      <c r="B341">
        <v>21467983</v>
      </c>
      <c r="C341">
        <v>1</v>
      </c>
      <c r="D341" t="str">
        <f t="shared" si="12"/>
        <v>01</v>
      </c>
      <c r="E341" t="str">
        <f>VLOOKUP(B341,'HOGARES-ENDLINE'!$A:$B,2,FALSE)</f>
        <v>01010321</v>
      </c>
      <c r="F341" s="6" t="str">
        <f t="shared" si="13"/>
        <v>0101032101</v>
      </c>
    </row>
    <row r="342" spans="1:6" x14ac:dyDescent="0.3">
      <c r="A342" s="6" t="s">
        <v>1139</v>
      </c>
      <c r="B342">
        <v>21469067</v>
      </c>
      <c r="C342">
        <v>3</v>
      </c>
      <c r="D342" t="str">
        <f t="shared" si="12"/>
        <v>03</v>
      </c>
      <c r="E342" t="str">
        <f>VLOOKUP(B342,'HOGARES-ENDLINE'!$A:$B,2,FALSE)</f>
        <v>00010322</v>
      </c>
      <c r="F342" s="6" t="str">
        <f t="shared" si="13"/>
        <v>0001032203</v>
      </c>
    </row>
    <row r="343" spans="1:6" x14ac:dyDescent="0.3">
      <c r="A343" s="6" t="s">
        <v>1141</v>
      </c>
      <c r="B343">
        <v>21469067</v>
      </c>
      <c r="C343">
        <v>1</v>
      </c>
      <c r="D343" t="str">
        <f t="shared" si="12"/>
        <v>01</v>
      </c>
      <c r="E343" t="str">
        <f>VLOOKUP(B343,'HOGARES-ENDLINE'!$A:$B,2,FALSE)</f>
        <v>00010322</v>
      </c>
      <c r="F343" s="6" t="str">
        <f t="shared" si="13"/>
        <v>0001032201</v>
      </c>
    </row>
    <row r="344" spans="1:6" x14ac:dyDescent="0.3">
      <c r="A344" s="6" t="s">
        <v>1142</v>
      </c>
      <c r="B344">
        <v>21469067</v>
      </c>
      <c r="C344">
        <v>4</v>
      </c>
      <c r="D344" t="str">
        <f t="shared" si="12"/>
        <v>04</v>
      </c>
      <c r="E344" t="str">
        <f>VLOOKUP(B344,'HOGARES-ENDLINE'!$A:$B,2,FALSE)</f>
        <v>00010322</v>
      </c>
      <c r="F344" s="6" t="str">
        <f t="shared" si="13"/>
        <v>0001032204</v>
      </c>
    </row>
    <row r="345" spans="1:6" x14ac:dyDescent="0.3">
      <c r="A345" s="6" t="s">
        <v>1140</v>
      </c>
      <c r="B345">
        <v>21469067</v>
      </c>
      <c r="C345">
        <v>2</v>
      </c>
      <c r="D345" t="str">
        <f t="shared" si="12"/>
        <v>02</v>
      </c>
      <c r="E345" t="str">
        <f>VLOOKUP(B345,'HOGARES-ENDLINE'!$A:$B,2,FALSE)</f>
        <v>00010322</v>
      </c>
      <c r="F345" s="6" t="str">
        <f t="shared" si="13"/>
        <v>0001032202</v>
      </c>
    </row>
    <row r="346" spans="1:6" x14ac:dyDescent="0.3">
      <c r="A346" s="6" t="s">
        <v>5135</v>
      </c>
      <c r="B346">
        <v>21508452</v>
      </c>
      <c r="C346">
        <v>2</v>
      </c>
      <c r="D346" t="str">
        <f t="shared" si="12"/>
        <v>02</v>
      </c>
      <c r="E346" t="str">
        <f>VLOOKUP(B346,'HOGARES-ENDLINE'!$A:$B,2,FALSE)</f>
        <v>01010324</v>
      </c>
      <c r="F346" s="6" t="str">
        <f t="shared" si="13"/>
        <v>0101032402</v>
      </c>
    </row>
    <row r="347" spans="1:6" x14ac:dyDescent="0.3">
      <c r="A347" s="6" t="s">
        <v>1146</v>
      </c>
      <c r="B347">
        <v>21508452</v>
      </c>
      <c r="C347">
        <v>1</v>
      </c>
      <c r="D347" t="str">
        <f t="shared" si="12"/>
        <v>01</v>
      </c>
      <c r="E347" t="str">
        <f>VLOOKUP(B347,'HOGARES-ENDLINE'!$A:$B,2,FALSE)</f>
        <v>01010324</v>
      </c>
      <c r="F347" s="6" t="str">
        <f t="shared" si="13"/>
        <v>0101032401</v>
      </c>
    </row>
    <row r="348" spans="1:6" x14ac:dyDescent="0.3">
      <c r="A348" s="6" t="s">
        <v>1148</v>
      </c>
      <c r="B348">
        <v>21521912</v>
      </c>
      <c r="C348">
        <v>3</v>
      </c>
      <c r="D348" t="str">
        <f t="shared" si="12"/>
        <v>03</v>
      </c>
      <c r="E348" t="str">
        <f>VLOOKUP(B348,'HOGARES-ENDLINE'!$A:$B,2,FALSE)</f>
        <v>01010325</v>
      </c>
      <c r="F348" s="6" t="str">
        <f t="shared" si="13"/>
        <v>0101032503</v>
      </c>
    </row>
    <row r="349" spans="1:6" x14ac:dyDescent="0.3">
      <c r="A349" s="6" t="s">
        <v>1150</v>
      </c>
      <c r="B349">
        <v>21521912</v>
      </c>
      <c r="C349">
        <v>2</v>
      </c>
      <c r="D349" t="str">
        <f t="shared" si="12"/>
        <v>02</v>
      </c>
      <c r="E349" t="str">
        <f>VLOOKUP(B349,'HOGARES-ENDLINE'!$A:$B,2,FALSE)</f>
        <v>01010325</v>
      </c>
      <c r="F349" s="6" t="str">
        <f t="shared" si="13"/>
        <v>0101032502</v>
      </c>
    </row>
    <row r="350" spans="1:6" x14ac:dyDescent="0.3">
      <c r="A350" s="6" t="s">
        <v>5136</v>
      </c>
      <c r="B350">
        <v>21521912</v>
      </c>
      <c r="C350">
        <v>6</v>
      </c>
      <c r="D350" t="str">
        <f t="shared" si="12"/>
        <v>06</v>
      </c>
      <c r="E350" t="str">
        <f>VLOOKUP(B350,'HOGARES-ENDLINE'!$A:$B,2,FALSE)</f>
        <v>01010325</v>
      </c>
      <c r="F350" s="6" t="str">
        <f t="shared" si="13"/>
        <v>0101032506</v>
      </c>
    </row>
    <row r="351" spans="1:6" x14ac:dyDescent="0.3">
      <c r="A351" s="6" t="s">
        <v>5137</v>
      </c>
      <c r="B351">
        <v>21521912</v>
      </c>
      <c r="C351">
        <v>5</v>
      </c>
      <c r="D351" t="str">
        <f t="shared" si="12"/>
        <v>05</v>
      </c>
      <c r="E351" t="str">
        <f>VLOOKUP(B351,'HOGARES-ENDLINE'!$A:$B,2,FALSE)</f>
        <v>01010325</v>
      </c>
      <c r="F351" s="6" t="str">
        <f t="shared" si="13"/>
        <v>0101032505</v>
      </c>
    </row>
    <row r="352" spans="1:6" x14ac:dyDescent="0.3">
      <c r="A352" s="6" t="s">
        <v>1147</v>
      </c>
      <c r="B352">
        <v>21521912</v>
      </c>
      <c r="C352">
        <v>1</v>
      </c>
      <c r="D352" t="str">
        <f t="shared" si="12"/>
        <v>01</v>
      </c>
      <c r="E352" t="str">
        <f>VLOOKUP(B352,'HOGARES-ENDLINE'!$A:$B,2,FALSE)</f>
        <v>01010325</v>
      </c>
      <c r="F352" s="6" t="str">
        <f t="shared" si="13"/>
        <v>0101032501</v>
      </c>
    </row>
    <row r="353" spans="1:6" x14ac:dyDescent="0.3">
      <c r="A353" s="6" t="s">
        <v>1149</v>
      </c>
      <c r="B353">
        <v>21521912</v>
      </c>
      <c r="C353">
        <v>4</v>
      </c>
      <c r="D353" t="str">
        <f t="shared" si="12"/>
        <v>04</v>
      </c>
      <c r="E353" t="str">
        <f>VLOOKUP(B353,'HOGARES-ENDLINE'!$A:$B,2,FALSE)</f>
        <v>01010325</v>
      </c>
      <c r="F353" s="6" t="str">
        <f t="shared" si="13"/>
        <v>0101032504</v>
      </c>
    </row>
    <row r="354" spans="1:6" x14ac:dyDescent="0.3">
      <c r="A354" s="6" t="s">
        <v>1153</v>
      </c>
      <c r="B354">
        <v>21559816</v>
      </c>
      <c r="C354">
        <v>6</v>
      </c>
      <c r="D354" t="str">
        <f t="shared" si="12"/>
        <v>06</v>
      </c>
      <c r="E354" t="str">
        <f>VLOOKUP(B354,'HOGARES-ENDLINE'!$A:$B,2,FALSE)</f>
        <v>01010326</v>
      </c>
      <c r="F354" s="6" t="str">
        <f t="shared" si="13"/>
        <v>0101032606</v>
      </c>
    </row>
    <row r="355" spans="1:6" x14ac:dyDescent="0.3">
      <c r="A355" s="6" t="s">
        <v>1154</v>
      </c>
      <c r="B355">
        <v>21559816</v>
      </c>
      <c r="C355">
        <v>4</v>
      </c>
      <c r="D355" t="str">
        <f t="shared" si="12"/>
        <v>04</v>
      </c>
      <c r="E355" t="str">
        <f>VLOOKUP(B355,'HOGARES-ENDLINE'!$A:$B,2,FALSE)</f>
        <v>01010326</v>
      </c>
      <c r="F355" s="6" t="str">
        <f t="shared" si="13"/>
        <v>0101032604</v>
      </c>
    </row>
    <row r="356" spans="1:6" x14ac:dyDescent="0.3">
      <c r="A356" s="6" t="s">
        <v>1152</v>
      </c>
      <c r="B356">
        <v>21559816</v>
      </c>
      <c r="C356">
        <v>3</v>
      </c>
      <c r="D356" t="str">
        <f t="shared" si="12"/>
        <v>03</v>
      </c>
      <c r="E356" t="str">
        <f>VLOOKUP(B356,'HOGARES-ENDLINE'!$A:$B,2,FALSE)</f>
        <v>01010326</v>
      </c>
      <c r="F356" s="6" t="str">
        <f t="shared" si="13"/>
        <v>0101032603</v>
      </c>
    </row>
    <row r="357" spans="1:6" x14ac:dyDescent="0.3">
      <c r="A357" s="6" t="s">
        <v>1151</v>
      </c>
      <c r="B357">
        <v>21559816</v>
      </c>
      <c r="C357">
        <v>1</v>
      </c>
      <c r="D357" t="str">
        <f t="shared" si="12"/>
        <v>01</v>
      </c>
      <c r="E357" t="str">
        <f>VLOOKUP(B357,'HOGARES-ENDLINE'!$A:$B,2,FALSE)</f>
        <v>01010326</v>
      </c>
      <c r="F357" s="6" t="str">
        <f t="shared" si="13"/>
        <v>0101032601</v>
      </c>
    </row>
    <row r="358" spans="1:6" x14ac:dyDescent="0.3">
      <c r="A358" s="6" t="s">
        <v>1156</v>
      </c>
      <c r="B358">
        <v>21559816</v>
      </c>
      <c r="C358">
        <v>2</v>
      </c>
      <c r="D358" t="str">
        <f t="shared" si="12"/>
        <v>02</v>
      </c>
      <c r="E358" t="str">
        <f>VLOOKUP(B358,'HOGARES-ENDLINE'!$A:$B,2,FALSE)</f>
        <v>01010326</v>
      </c>
      <c r="F358" s="6" t="str">
        <f t="shared" si="13"/>
        <v>0101032602</v>
      </c>
    </row>
    <row r="359" spans="1:6" x14ac:dyDescent="0.3">
      <c r="A359" s="6" t="s">
        <v>1155</v>
      </c>
      <c r="B359">
        <v>21559816</v>
      </c>
      <c r="C359">
        <v>5</v>
      </c>
      <c r="D359" t="str">
        <f t="shared" si="12"/>
        <v>05</v>
      </c>
      <c r="E359" t="str">
        <f>VLOOKUP(B359,'HOGARES-ENDLINE'!$A:$B,2,FALSE)</f>
        <v>01010326</v>
      </c>
      <c r="F359" s="6" t="str">
        <f t="shared" si="13"/>
        <v>0101032605</v>
      </c>
    </row>
    <row r="360" spans="1:6" x14ac:dyDescent="0.3">
      <c r="A360" s="6" t="s">
        <v>1157</v>
      </c>
      <c r="B360">
        <v>21573512</v>
      </c>
      <c r="C360">
        <v>1</v>
      </c>
      <c r="D360" t="str">
        <f t="shared" si="12"/>
        <v>01</v>
      </c>
      <c r="E360" t="str">
        <f>VLOOKUP(B360,'HOGARES-ENDLINE'!$A:$B,2,FALSE)</f>
        <v>01010327</v>
      </c>
      <c r="F360" s="6" t="str">
        <f t="shared" si="13"/>
        <v>0101032701</v>
      </c>
    </row>
    <row r="361" spans="1:6" x14ac:dyDescent="0.3">
      <c r="A361" s="6" t="s">
        <v>1158</v>
      </c>
      <c r="B361">
        <v>21575791</v>
      </c>
      <c r="C361">
        <v>1</v>
      </c>
      <c r="D361" t="str">
        <f t="shared" si="12"/>
        <v>01</v>
      </c>
      <c r="E361" t="str">
        <f>VLOOKUP(B361,'HOGARES-ENDLINE'!$A:$B,2,FALSE)</f>
        <v>01010328</v>
      </c>
      <c r="F361" s="6" t="str">
        <f t="shared" si="13"/>
        <v>0101032801</v>
      </c>
    </row>
    <row r="362" spans="1:6" x14ac:dyDescent="0.3">
      <c r="A362" s="6" t="s">
        <v>1162</v>
      </c>
      <c r="B362">
        <v>21584884</v>
      </c>
      <c r="C362">
        <v>4</v>
      </c>
      <c r="D362" t="str">
        <f t="shared" si="12"/>
        <v>04</v>
      </c>
      <c r="E362" t="str">
        <f>VLOOKUP(B362,'HOGARES-ENDLINE'!$A:$B,2,FALSE)</f>
        <v>01010329</v>
      </c>
      <c r="F362" s="6" t="str">
        <f t="shared" si="13"/>
        <v>0101032904</v>
      </c>
    </row>
    <row r="363" spans="1:6" x14ac:dyDescent="0.3">
      <c r="A363" s="6" t="s">
        <v>1161</v>
      </c>
      <c r="B363">
        <v>21584884</v>
      </c>
      <c r="C363">
        <v>1</v>
      </c>
      <c r="D363" t="str">
        <f t="shared" si="12"/>
        <v>01</v>
      </c>
      <c r="E363" t="str">
        <f>VLOOKUP(B363,'HOGARES-ENDLINE'!$A:$B,2,FALSE)</f>
        <v>01010329</v>
      </c>
      <c r="F363" s="6" t="str">
        <f t="shared" si="13"/>
        <v>0101032901</v>
      </c>
    </row>
    <row r="364" spans="1:6" x14ac:dyDescent="0.3">
      <c r="A364" s="6" t="s">
        <v>1160</v>
      </c>
      <c r="B364">
        <v>21584884</v>
      </c>
      <c r="C364">
        <v>2</v>
      </c>
      <c r="D364" t="str">
        <f t="shared" si="12"/>
        <v>02</v>
      </c>
      <c r="E364" t="str">
        <f>VLOOKUP(B364,'HOGARES-ENDLINE'!$A:$B,2,FALSE)</f>
        <v>01010329</v>
      </c>
      <c r="F364" s="6" t="str">
        <f t="shared" si="13"/>
        <v>0101032902</v>
      </c>
    </row>
    <row r="365" spans="1:6" x14ac:dyDescent="0.3">
      <c r="A365" s="6" t="s">
        <v>1159</v>
      </c>
      <c r="B365">
        <v>21584884</v>
      </c>
      <c r="C365">
        <v>3</v>
      </c>
      <c r="D365" t="str">
        <f t="shared" si="12"/>
        <v>03</v>
      </c>
      <c r="E365" t="str">
        <f>VLOOKUP(B365,'HOGARES-ENDLINE'!$A:$B,2,FALSE)</f>
        <v>01010329</v>
      </c>
      <c r="F365" s="6" t="str">
        <f t="shared" si="13"/>
        <v>0101032903</v>
      </c>
    </row>
    <row r="366" spans="1:6" x14ac:dyDescent="0.3">
      <c r="A366" s="6" t="s">
        <v>1164</v>
      </c>
      <c r="B366">
        <v>21610540</v>
      </c>
      <c r="C366">
        <v>2</v>
      </c>
      <c r="D366" t="str">
        <f t="shared" si="12"/>
        <v>02</v>
      </c>
      <c r="E366" t="str">
        <f>VLOOKUP(B366,'HOGARES-ENDLINE'!$A:$B,2,FALSE)</f>
        <v>00010330</v>
      </c>
      <c r="F366" s="6" t="str">
        <f t="shared" si="13"/>
        <v>0001033002</v>
      </c>
    </row>
    <row r="367" spans="1:6" x14ac:dyDescent="0.3">
      <c r="A367" s="6" t="s">
        <v>1163</v>
      </c>
      <c r="B367">
        <v>21610540</v>
      </c>
      <c r="C367">
        <v>1</v>
      </c>
      <c r="D367" t="str">
        <f t="shared" si="12"/>
        <v>01</v>
      </c>
      <c r="E367" t="str">
        <f>VLOOKUP(B367,'HOGARES-ENDLINE'!$A:$B,2,FALSE)</f>
        <v>00010330</v>
      </c>
      <c r="F367" s="6" t="str">
        <f t="shared" si="13"/>
        <v>0001033001</v>
      </c>
    </row>
    <row r="368" spans="1:6" x14ac:dyDescent="0.3">
      <c r="A368" s="6" t="s">
        <v>1165</v>
      </c>
      <c r="B368">
        <v>21620314</v>
      </c>
      <c r="C368">
        <v>2</v>
      </c>
      <c r="D368" t="str">
        <f t="shared" si="12"/>
        <v>02</v>
      </c>
      <c r="E368" t="str">
        <f>VLOOKUP(B368,'HOGARES-ENDLINE'!$A:$B,2,FALSE)</f>
        <v>01010331</v>
      </c>
      <c r="F368" s="6" t="str">
        <f t="shared" si="13"/>
        <v>0101033102</v>
      </c>
    </row>
    <row r="369" spans="1:6" x14ac:dyDescent="0.3">
      <c r="A369" s="6" t="s">
        <v>1166</v>
      </c>
      <c r="B369">
        <v>21620314</v>
      </c>
      <c r="C369">
        <v>1</v>
      </c>
      <c r="D369" t="str">
        <f t="shared" si="12"/>
        <v>01</v>
      </c>
      <c r="E369" t="str">
        <f>VLOOKUP(B369,'HOGARES-ENDLINE'!$A:$B,2,FALSE)</f>
        <v>01010331</v>
      </c>
      <c r="F369" s="6" t="str">
        <f t="shared" si="13"/>
        <v>0101033101</v>
      </c>
    </row>
    <row r="370" spans="1:6" x14ac:dyDescent="0.3">
      <c r="A370" s="6" t="s">
        <v>1167</v>
      </c>
      <c r="B370">
        <v>21691463</v>
      </c>
      <c r="C370">
        <v>1</v>
      </c>
      <c r="D370" t="str">
        <f t="shared" si="12"/>
        <v>01</v>
      </c>
      <c r="E370" t="str">
        <f>VLOOKUP(B370,'HOGARES-ENDLINE'!$A:$B,2,FALSE)</f>
        <v>01010332</v>
      </c>
      <c r="F370" s="6" t="str">
        <f t="shared" si="13"/>
        <v>0101033201</v>
      </c>
    </row>
    <row r="371" spans="1:6" x14ac:dyDescent="0.3">
      <c r="A371" s="6" t="s">
        <v>1168</v>
      </c>
      <c r="B371">
        <v>21693354</v>
      </c>
      <c r="C371">
        <v>1</v>
      </c>
      <c r="D371" t="str">
        <f t="shared" si="12"/>
        <v>01</v>
      </c>
      <c r="E371" t="str">
        <f>VLOOKUP(B371,'HOGARES-ENDLINE'!$A:$B,2,FALSE)</f>
        <v>01010333</v>
      </c>
      <c r="F371" s="6" t="str">
        <f t="shared" si="13"/>
        <v>0101033301</v>
      </c>
    </row>
    <row r="372" spans="1:6" x14ac:dyDescent="0.3">
      <c r="A372" s="6" t="s">
        <v>1174</v>
      </c>
      <c r="B372">
        <v>21693424</v>
      </c>
      <c r="C372">
        <v>1</v>
      </c>
      <c r="D372" t="str">
        <f t="shared" si="12"/>
        <v>01</v>
      </c>
      <c r="E372" t="str">
        <f>VLOOKUP(B372,'HOGARES-ENDLINE'!$A:$B,2,FALSE)</f>
        <v>00010334</v>
      </c>
      <c r="F372" s="6" t="str">
        <f t="shared" si="13"/>
        <v>0001033401</v>
      </c>
    </row>
    <row r="373" spans="1:6" x14ac:dyDescent="0.3">
      <c r="A373" s="6" t="s">
        <v>1176</v>
      </c>
      <c r="B373">
        <v>21693424</v>
      </c>
      <c r="C373">
        <v>3</v>
      </c>
      <c r="D373" t="str">
        <f t="shared" si="12"/>
        <v>03</v>
      </c>
      <c r="E373" t="str">
        <f>VLOOKUP(B373,'HOGARES-ENDLINE'!$A:$B,2,FALSE)</f>
        <v>00010334</v>
      </c>
      <c r="F373" s="6" t="str">
        <f t="shared" si="13"/>
        <v>0001033403</v>
      </c>
    </row>
    <row r="374" spans="1:6" x14ac:dyDescent="0.3">
      <c r="A374" s="6" t="s">
        <v>1175</v>
      </c>
      <c r="B374">
        <v>21693424</v>
      </c>
      <c r="C374">
        <v>2</v>
      </c>
      <c r="D374" t="str">
        <f t="shared" si="12"/>
        <v>02</v>
      </c>
      <c r="E374" t="str">
        <f>VLOOKUP(B374,'HOGARES-ENDLINE'!$A:$B,2,FALSE)</f>
        <v>00010334</v>
      </c>
      <c r="F374" s="6" t="str">
        <f t="shared" si="13"/>
        <v>0001033402</v>
      </c>
    </row>
    <row r="375" spans="1:6" x14ac:dyDescent="0.3">
      <c r="A375" s="6" t="s">
        <v>1182</v>
      </c>
      <c r="B375">
        <v>21697063</v>
      </c>
      <c r="C375">
        <v>1</v>
      </c>
      <c r="D375" t="str">
        <f t="shared" ref="D375:D438" si="14">_xlfn.CONCAT(0,C375)</f>
        <v>01</v>
      </c>
      <c r="E375" t="str">
        <f>VLOOKUP(B375,'HOGARES-ENDLINE'!$A:$B,2,FALSE)</f>
        <v>01010336</v>
      </c>
      <c r="F375" s="6" t="str">
        <f t="shared" si="13"/>
        <v>0101033601</v>
      </c>
    </row>
    <row r="376" spans="1:6" x14ac:dyDescent="0.3">
      <c r="A376" s="6" t="s">
        <v>1180</v>
      </c>
      <c r="B376">
        <v>21697063</v>
      </c>
      <c r="C376">
        <v>3</v>
      </c>
      <c r="D376" t="str">
        <f t="shared" si="14"/>
        <v>03</v>
      </c>
      <c r="E376" t="str">
        <f>VLOOKUP(B376,'HOGARES-ENDLINE'!$A:$B,2,FALSE)</f>
        <v>01010336</v>
      </c>
      <c r="F376" s="6" t="str">
        <f t="shared" si="13"/>
        <v>0101033603</v>
      </c>
    </row>
    <row r="377" spans="1:6" x14ac:dyDescent="0.3">
      <c r="A377" s="6" t="s">
        <v>1181</v>
      </c>
      <c r="B377">
        <v>21697063</v>
      </c>
      <c r="C377">
        <v>2</v>
      </c>
      <c r="D377" t="str">
        <f t="shared" si="14"/>
        <v>02</v>
      </c>
      <c r="E377" t="str">
        <f>VLOOKUP(B377,'HOGARES-ENDLINE'!$A:$B,2,FALSE)</f>
        <v>01010336</v>
      </c>
      <c r="F377" s="6" t="str">
        <f t="shared" si="13"/>
        <v>0101033602</v>
      </c>
    </row>
    <row r="378" spans="1:6" x14ac:dyDescent="0.3">
      <c r="A378" s="6" t="s">
        <v>1183</v>
      </c>
      <c r="B378">
        <v>21697063</v>
      </c>
      <c r="C378">
        <v>4</v>
      </c>
      <c r="D378" t="str">
        <f t="shared" si="14"/>
        <v>04</v>
      </c>
      <c r="E378" t="str">
        <f>VLOOKUP(B378,'HOGARES-ENDLINE'!$A:$B,2,FALSE)</f>
        <v>01010336</v>
      </c>
      <c r="F378" s="6" t="str">
        <f t="shared" si="13"/>
        <v>0101033604</v>
      </c>
    </row>
    <row r="379" spans="1:6" x14ac:dyDescent="0.3">
      <c r="A379" s="6" t="s">
        <v>1185</v>
      </c>
      <c r="B379">
        <v>21697589</v>
      </c>
      <c r="C379">
        <v>2</v>
      </c>
      <c r="D379" t="str">
        <f t="shared" si="14"/>
        <v>02</v>
      </c>
      <c r="E379" t="str">
        <f>VLOOKUP(B379,'HOGARES-ENDLINE'!$A:$B,2,FALSE)</f>
        <v>01010337</v>
      </c>
      <c r="F379" s="6" t="str">
        <f t="shared" si="13"/>
        <v>0101033702</v>
      </c>
    </row>
    <row r="380" spans="1:6" x14ac:dyDescent="0.3">
      <c r="A380" s="6" t="s">
        <v>1184</v>
      </c>
      <c r="B380">
        <v>21697589</v>
      </c>
      <c r="C380">
        <v>3</v>
      </c>
      <c r="D380" t="str">
        <f t="shared" si="14"/>
        <v>03</v>
      </c>
      <c r="E380" t="str">
        <f>VLOOKUP(B380,'HOGARES-ENDLINE'!$A:$B,2,FALSE)</f>
        <v>01010337</v>
      </c>
      <c r="F380" s="6" t="str">
        <f t="shared" si="13"/>
        <v>0101033703</v>
      </c>
    </row>
    <row r="381" spans="1:6" x14ac:dyDescent="0.3">
      <c r="A381" s="6" t="s">
        <v>1186</v>
      </c>
      <c r="B381">
        <v>21697589</v>
      </c>
      <c r="C381">
        <v>1</v>
      </c>
      <c r="D381" t="str">
        <f t="shared" si="14"/>
        <v>01</v>
      </c>
      <c r="E381" t="str">
        <f>VLOOKUP(B381,'HOGARES-ENDLINE'!$A:$B,2,FALSE)</f>
        <v>01010337</v>
      </c>
      <c r="F381" s="6" t="str">
        <f t="shared" si="13"/>
        <v>0101033701</v>
      </c>
    </row>
    <row r="382" spans="1:6" x14ac:dyDescent="0.3">
      <c r="A382" s="6" t="s">
        <v>1187</v>
      </c>
      <c r="B382">
        <v>21709045</v>
      </c>
      <c r="C382">
        <v>1</v>
      </c>
      <c r="D382" t="str">
        <f t="shared" si="14"/>
        <v>01</v>
      </c>
      <c r="E382" t="str">
        <f>VLOOKUP(B382,'HOGARES-ENDLINE'!$A:$B,2,FALSE)</f>
        <v>01010338</v>
      </c>
      <c r="F382" s="6" t="str">
        <f t="shared" si="13"/>
        <v>0101033801</v>
      </c>
    </row>
    <row r="383" spans="1:6" x14ac:dyDescent="0.3">
      <c r="A383" s="6" t="s">
        <v>1188</v>
      </c>
      <c r="B383">
        <v>21744070</v>
      </c>
      <c r="C383">
        <v>1</v>
      </c>
      <c r="D383" t="str">
        <f t="shared" si="14"/>
        <v>01</v>
      </c>
      <c r="E383" t="str">
        <f>VLOOKUP(B383,'HOGARES-ENDLINE'!$A:$B,2,FALSE)</f>
        <v>01010339</v>
      </c>
      <c r="F383" s="6" t="str">
        <f t="shared" si="13"/>
        <v>0101033901</v>
      </c>
    </row>
    <row r="384" spans="1:6" x14ac:dyDescent="0.3">
      <c r="A384" s="6" t="s">
        <v>1190</v>
      </c>
      <c r="B384">
        <v>21757096</v>
      </c>
      <c r="C384">
        <v>1</v>
      </c>
      <c r="D384" t="str">
        <f t="shared" si="14"/>
        <v>01</v>
      </c>
      <c r="E384" t="str">
        <f>VLOOKUP(B384,'HOGARES-ENDLINE'!$A:$B,2,FALSE)</f>
        <v>00010340</v>
      </c>
      <c r="F384" s="6" t="str">
        <f t="shared" si="13"/>
        <v>0001034001</v>
      </c>
    </row>
    <row r="385" spans="1:6" x14ac:dyDescent="0.3">
      <c r="A385" s="6" t="s">
        <v>1192</v>
      </c>
      <c r="B385">
        <v>21757096</v>
      </c>
      <c r="C385">
        <v>3</v>
      </c>
      <c r="D385" t="str">
        <f t="shared" si="14"/>
        <v>03</v>
      </c>
      <c r="E385" t="str">
        <f>VLOOKUP(B385,'HOGARES-ENDLINE'!$A:$B,2,FALSE)</f>
        <v>00010340</v>
      </c>
      <c r="F385" s="6" t="str">
        <f t="shared" si="13"/>
        <v>0001034003</v>
      </c>
    </row>
    <row r="386" spans="1:6" x14ac:dyDescent="0.3">
      <c r="A386" s="6" t="s">
        <v>1191</v>
      </c>
      <c r="B386">
        <v>21757096</v>
      </c>
      <c r="C386">
        <v>5</v>
      </c>
      <c r="D386" t="str">
        <f t="shared" si="14"/>
        <v>05</v>
      </c>
      <c r="E386" t="str">
        <f>VLOOKUP(B386,'HOGARES-ENDLINE'!$A:$B,2,FALSE)</f>
        <v>00010340</v>
      </c>
      <c r="F386" s="6" t="str">
        <f t="shared" si="13"/>
        <v>0001034005</v>
      </c>
    </row>
    <row r="387" spans="1:6" x14ac:dyDescent="0.3">
      <c r="A387" s="6" t="s">
        <v>1195</v>
      </c>
      <c r="B387">
        <v>21785236</v>
      </c>
      <c r="C387">
        <v>2</v>
      </c>
      <c r="D387" t="str">
        <f t="shared" si="14"/>
        <v>02</v>
      </c>
      <c r="E387" t="str">
        <f>VLOOKUP(B387,'HOGARES-ENDLINE'!$A:$B,2,FALSE)</f>
        <v>01010341</v>
      </c>
      <c r="F387" s="6" t="str">
        <f t="shared" ref="F387:F450" si="15">_xlfn.CONCAT(E387,D387)</f>
        <v>0101034102</v>
      </c>
    </row>
    <row r="388" spans="1:6" x14ac:dyDescent="0.3">
      <c r="A388" s="6" t="s">
        <v>1194</v>
      </c>
      <c r="B388">
        <v>21785236</v>
      </c>
      <c r="C388">
        <v>1</v>
      </c>
      <c r="D388" t="str">
        <f t="shared" si="14"/>
        <v>01</v>
      </c>
      <c r="E388" t="str">
        <f>VLOOKUP(B388,'HOGARES-ENDLINE'!$A:$B,2,FALSE)</f>
        <v>01010341</v>
      </c>
      <c r="F388" s="6" t="str">
        <f t="shared" si="15"/>
        <v>0101034101</v>
      </c>
    </row>
    <row r="389" spans="1:6" x14ac:dyDescent="0.3">
      <c r="A389" s="6" t="s">
        <v>1196</v>
      </c>
      <c r="B389">
        <v>21792037</v>
      </c>
      <c r="C389">
        <v>1</v>
      </c>
      <c r="D389" t="str">
        <f t="shared" si="14"/>
        <v>01</v>
      </c>
      <c r="E389" t="str">
        <f>VLOOKUP(B389,'HOGARES-ENDLINE'!$A:$B,2,FALSE)</f>
        <v>00010342</v>
      </c>
      <c r="F389" s="6" t="str">
        <f t="shared" si="15"/>
        <v>0001034201</v>
      </c>
    </row>
    <row r="390" spans="1:6" x14ac:dyDescent="0.3">
      <c r="A390" s="6" t="s">
        <v>1198</v>
      </c>
      <c r="B390">
        <v>21808751</v>
      </c>
      <c r="C390">
        <v>2</v>
      </c>
      <c r="D390" t="str">
        <f t="shared" si="14"/>
        <v>02</v>
      </c>
      <c r="E390" t="str">
        <f>VLOOKUP(B390,'HOGARES-ENDLINE'!$A:$B,2,FALSE)</f>
        <v>01010343</v>
      </c>
      <c r="F390" s="6" t="str">
        <f t="shared" si="15"/>
        <v>0101034302</v>
      </c>
    </row>
    <row r="391" spans="1:6" x14ac:dyDescent="0.3">
      <c r="A391" s="6" t="s">
        <v>1197</v>
      </c>
      <c r="B391">
        <v>21808751</v>
      </c>
      <c r="C391">
        <v>1</v>
      </c>
      <c r="D391" t="str">
        <f t="shared" si="14"/>
        <v>01</v>
      </c>
      <c r="E391" t="str">
        <f>VLOOKUP(B391,'HOGARES-ENDLINE'!$A:$B,2,FALSE)</f>
        <v>01010343</v>
      </c>
      <c r="F391" s="6" t="str">
        <f t="shared" si="15"/>
        <v>0101034301</v>
      </c>
    </row>
    <row r="392" spans="1:6" x14ac:dyDescent="0.3">
      <c r="A392" s="6" t="s">
        <v>1202</v>
      </c>
      <c r="B392">
        <v>21808821</v>
      </c>
      <c r="C392">
        <v>1</v>
      </c>
      <c r="D392" t="str">
        <f t="shared" si="14"/>
        <v>01</v>
      </c>
      <c r="E392" t="str">
        <f>VLOOKUP(B392,'HOGARES-ENDLINE'!$A:$B,2,FALSE)</f>
        <v>01010344</v>
      </c>
      <c r="F392" s="6" t="str">
        <f t="shared" si="15"/>
        <v>0101034401</v>
      </c>
    </row>
    <row r="393" spans="1:6" x14ac:dyDescent="0.3">
      <c r="A393" s="6" t="s">
        <v>1200</v>
      </c>
      <c r="B393">
        <v>21808821</v>
      </c>
      <c r="C393">
        <v>3</v>
      </c>
      <c r="D393" t="str">
        <f t="shared" si="14"/>
        <v>03</v>
      </c>
      <c r="E393" t="str">
        <f>VLOOKUP(B393,'HOGARES-ENDLINE'!$A:$B,2,FALSE)</f>
        <v>01010344</v>
      </c>
      <c r="F393" s="6" t="str">
        <f t="shared" si="15"/>
        <v>0101034403</v>
      </c>
    </row>
    <row r="394" spans="1:6" x14ac:dyDescent="0.3">
      <c r="A394" s="6" t="s">
        <v>1201</v>
      </c>
      <c r="B394">
        <v>21808821</v>
      </c>
      <c r="C394">
        <v>2</v>
      </c>
      <c r="D394" t="str">
        <f t="shared" si="14"/>
        <v>02</v>
      </c>
      <c r="E394" t="str">
        <f>VLOOKUP(B394,'HOGARES-ENDLINE'!$A:$B,2,FALSE)</f>
        <v>01010344</v>
      </c>
      <c r="F394" s="6" t="str">
        <f t="shared" si="15"/>
        <v>0101034402</v>
      </c>
    </row>
    <row r="395" spans="1:6" x14ac:dyDescent="0.3">
      <c r="A395" s="6" t="s">
        <v>1199</v>
      </c>
      <c r="B395">
        <v>21808821</v>
      </c>
      <c r="C395">
        <v>4</v>
      </c>
      <c r="D395" t="str">
        <f t="shared" si="14"/>
        <v>04</v>
      </c>
      <c r="E395" t="str">
        <f>VLOOKUP(B395,'HOGARES-ENDLINE'!$A:$B,2,FALSE)</f>
        <v>01010344</v>
      </c>
      <c r="F395" s="6" t="str">
        <f t="shared" si="15"/>
        <v>0101034404</v>
      </c>
    </row>
    <row r="396" spans="1:6" x14ac:dyDescent="0.3">
      <c r="A396" s="6" t="s">
        <v>1205</v>
      </c>
      <c r="B396">
        <v>21809439</v>
      </c>
      <c r="C396">
        <v>1</v>
      </c>
      <c r="D396" t="str">
        <f t="shared" si="14"/>
        <v>01</v>
      </c>
      <c r="E396" t="str">
        <f>VLOOKUP(B396,'HOGARES-ENDLINE'!$A:$B,2,FALSE)</f>
        <v>01010345</v>
      </c>
      <c r="F396" s="6" t="str">
        <f t="shared" si="15"/>
        <v>0101034501</v>
      </c>
    </row>
    <row r="397" spans="1:6" x14ac:dyDescent="0.3">
      <c r="A397" s="6" t="s">
        <v>1209</v>
      </c>
      <c r="B397">
        <v>21812687</v>
      </c>
      <c r="C397">
        <v>4</v>
      </c>
      <c r="D397" t="str">
        <f t="shared" si="14"/>
        <v>04</v>
      </c>
      <c r="E397" t="str">
        <f>VLOOKUP(B397,'HOGARES-ENDLINE'!$A:$B,2,FALSE)</f>
        <v>01010346</v>
      </c>
      <c r="F397" s="6" t="str">
        <f t="shared" si="15"/>
        <v>0101034604</v>
      </c>
    </row>
    <row r="398" spans="1:6" x14ac:dyDescent="0.3">
      <c r="A398" s="6" t="s">
        <v>1206</v>
      </c>
      <c r="B398">
        <v>21812687</v>
      </c>
      <c r="C398">
        <v>3</v>
      </c>
      <c r="D398" t="str">
        <f t="shared" si="14"/>
        <v>03</v>
      </c>
      <c r="E398" t="str">
        <f>VLOOKUP(B398,'HOGARES-ENDLINE'!$A:$B,2,FALSE)</f>
        <v>01010346</v>
      </c>
      <c r="F398" s="6" t="str">
        <f t="shared" si="15"/>
        <v>0101034603</v>
      </c>
    </row>
    <row r="399" spans="1:6" x14ac:dyDescent="0.3">
      <c r="A399" s="6" t="s">
        <v>1208</v>
      </c>
      <c r="B399">
        <v>21812687</v>
      </c>
      <c r="C399">
        <v>2</v>
      </c>
      <c r="D399" t="str">
        <f t="shared" si="14"/>
        <v>02</v>
      </c>
      <c r="E399" t="str">
        <f>VLOOKUP(B399,'HOGARES-ENDLINE'!$A:$B,2,FALSE)</f>
        <v>01010346</v>
      </c>
      <c r="F399" s="6" t="str">
        <f t="shared" si="15"/>
        <v>0101034602</v>
      </c>
    </row>
    <row r="400" spans="1:6" x14ac:dyDescent="0.3">
      <c r="A400" s="6" t="s">
        <v>1207</v>
      </c>
      <c r="B400">
        <v>21812687</v>
      </c>
      <c r="C400">
        <v>1</v>
      </c>
      <c r="D400" t="str">
        <f t="shared" si="14"/>
        <v>01</v>
      </c>
      <c r="E400" t="str">
        <f>VLOOKUP(B400,'HOGARES-ENDLINE'!$A:$B,2,FALSE)</f>
        <v>01010346</v>
      </c>
      <c r="F400" s="6" t="str">
        <f t="shared" si="15"/>
        <v>0101034601</v>
      </c>
    </row>
    <row r="401" spans="1:6" x14ac:dyDescent="0.3">
      <c r="A401" s="6" t="s">
        <v>1212</v>
      </c>
      <c r="B401">
        <v>21816448</v>
      </c>
      <c r="C401">
        <v>1</v>
      </c>
      <c r="D401" t="str">
        <f t="shared" si="14"/>
        <v>01</v>
      </c>
      <c r="E401" t="str">
        <f>VLOOKUP(B401,'HOGARES-ENDLINE'!$A:$B,2,FALSE)</f>
        <v>01010347</v>
      </c>
      <c r="F401" s="6" t="str">
        <f t="shared" si="15"/>
        <v>0101034701</v>
      </c>
    </row>
    <row r="402" spans="1:6" x14ac:dyDescent="0.3">
      <c r="A402" s="6" t="s">
        <v>1216</v>
      </c>
      <c r="B402">
        <v>21869006</v>
      </c>
      <c r="C402">
        <v>4</v>
      </c>
      <c r="D402" t="str">
        <f t="shared" si="14"/>
        <v>04</v>
      </c>
      <c r="E402" t="str">
        <f>VLOOKUP(B402,'HOGARES-ENDLINE'!$A:$B,2,FALSE)</f>
        <v>00010348</v>
      </c>
      <c r="F402" s="6" t="str">
        <f t="shared" si="15"/>
        <v>0001034804</v>
      </c>
    </row>
    <row r="403" spans="1:6" x14ac:dyDescent="0.3">
      <c r="A403" s="6" t="s">
        <v>1215</v>
      </c>
      <c r="B403">
        <v>21869006</v>
      </c>
      <c r="C403">
        <v>6</v>
      </c>
      <c r="D403" t="str">
        <f t="shared" si="14"/>
        <v>06</v>
      </c>
      <c r="E403" t="str">
        <f>VLOOKUP(B403,'HOGARES-ENDLINE'!$A:$B,2,FALSE)</f>
        <v>00010348</v>
      </c>
      <c r="F403" s="6" t="str">
        <f t="shared" si="15"/>
        <v>0001034806</v>
      </c>
    </row>
    <row r="404" spans="1:6" x14ac:dyDescent="0.3">
      <c r="A404" s="6" t="s">
        <v>1219</v>
      </c>
      <c r="B404">
        <v>21869006</v>
      </c>
      <c r="C404">
        <v>3</v>
      </c>
      <c r="D404" t="str">
        <f t="shared" si="14"/>
        <v>03</v>
      </c>
      <c r="E404" t="str">
        <f>VLOOKUP(B404,'HOGARES-ENDLINE'!$A:$B,2,FALSE)</f>
        <v>00010348</v>
      </c>
      <c r="F404" s="6" t="str">
        <f t="shared" si="15"/>
        <v>0001034803</v>
      </c>
    </row>
    <row r="405" spans="1:6" x14ac:dyDescent="0.3">
      <c r="A405" s="6" t="s">
        <v>1218</v>
      </c>
      <c r="B405">
        <v>21869006</v>
      </c>
      <c r="C405">
        <v>5</v>
      </c>
      <c r="D405" t="str">
        <f t="shared" si="14"/>
        <v>05</v>
      </c>
      <c r="E405" t="str">
        <f>VLOOKUP(B405,'HOGARES-ENDLINE'!$A:$B,2,FALSE)</f>
        <v>00010348</v>
      </c>
      <c r="F405" s="6" t="str">
        <f t="shared" si="15"/>
        <v>0001034805</v>
      </c>
    </row>
    <row r="406" spans="1:6" x14ac:dyDescent="0.3">
      <c r="A406" s="6" t="s">
        <v>1217</v>
      </c>
      <c r="B406">
        <v>21869006</v>
      </c>
      <c r="C406">
        <v>2</v>
      </c>
      <c r="D406" t="str">
        <f t="shared" si="14"/>
        <v>02</v>
      </c>
      <c r="E406" t="str">
        <f>VLOOKUP(B406,'HOGARES-ENDLINE'!$A:$B,2,FALSE)</f>
        <v>00010348</v>
      </c>
      <c r="F406" s="6" t="str">
        <f t="shared" si="15"/>
        <v>0001034802</v>
      </c>
    </row>
    <row r="407" spans="1:6" x14ac:dyDescent="0.3">
      <c r="A407" s="6" t="s">
        <v>1220</v>
      </c>
      <c r="B407">
        <v>21869006</v>
      </c>
      <c r="C407">
        <v>1</v>
      </c>
      <c r="D407" t="str">
        <f t="shared" si="14"/>
        <v>01</v>
      </c>
      <c r="E407" t="str">
        <f>VLOOKUP(B407,'HOGARES-ENDLINE'!$A:$B,2,FALSE)</f>
        <v>00010348</v>
      </c>
      <c r="F407" s="6" t="str">
        <f t="shared" si="15"/>
        <v>0001034801</v>
      </c>
    </row>
    <row r="408" spans="1:6" x14ac:dyDescent="0.3">
      <c r="A408" s="6" t="s">
        <v>1223</v>
      </c>
      <c r="B408">
        <v>21893072</v>
      </c>
      <c r="C408">
        <v>1</v>
      </c>
      <c r="D408" t="str">
        <f t="shared" si="14"/>
        <v>01</v>
      </c>
      <c r="E408" t="str">
        <f>VLOOKUP(B408,'HOGARES-ENDLINE'!$A:$B,2,FALSE)</f>
        <v>01010349</v>
      </c>
      <c r="F408" s="6" t="str">
        <f t="shared" si="15"/>
        <v>0101034901</v>
      </c>
    </row>
    <row r="409" spans="1:6" x14ac:dyDescent="0.3">
      <c r="A409" s="6" t="s">
        <v>1222</v>
      </c>
      <c r="B409">
        <v>21893072</v>
      </c>
      <c r="C409">
        <v>3</v>
      </c>
      <c r="D409" t="str">
        <f t="shared" si="14"/>
        <v>03</v>
      </c>
      <c r="E409" t="str">
        <f>VLOOKUP(B409,'HOGARES-ENDLINE'!$A:$B,2,FALSE)</f>
        <v>01010349</v>
      </c>
      <c r="F409" s="6" t="str">
        <f t="shared" si="15"/>
        <v>0101034903</v>
      </c>
    </row>
    <row r="410" spans="1:6" x14ac:dyDescent="0.3">
      <c r="A410" s="6" t="s">
        <v>1221</v>
      </c>
      <c r="B410">
        <v>21893072</v>
      </c>
      <c r="C410">
        <v>2</v>
      </c>
      <c r="D410" t="str">
        <f t="shared" si="14"/>
        <v>02</v>
      </c>
      <c r="E410" t="str">
        <f>VLOOKUP(B410,'HOGARES-ENDLINE'!$A:$B,2,FALSE)</f>
        <v>01010349</v>
      </c>
      <c r="F410" s="6" t="str">
        <f t="shared" si="15"/>
        <v>0101034902</v>
      </c>
    </row>
    <row r="411" spans="1:6" x14ac:dyDescent="0.3">
      <c r="A411" s="6" t="s">
        <v>1224</v>
      </c>
      <c r="B411">
        <v>21906091</v>
      </c>
      <c r="C411">
        <v>1</v>
      </c>
      <c r="D411" t="str">
        <f t="shared" si="14"/>
        <v>01</v>
      </c>
      <c r="E411" t="str">
        <f>VLOOKUP(B411,'HOGARES-ENDLINE'!$A:$B,2,FALSE)</f>
        <v>00010350</v>
      </c>
      <c r="F411" s="6" t="str">
        <f t="shared" si="15"/>
        <v>0001035001</v>
      </c>
    </row>
    <row r="412" spans="1:6" x14ac:dyDescent="0.3">
      <c r="A412" s="6" t="s">
        <v>1225</v>
      </c>
      <c r="B412">
        <v>21906091</v>
      </c>
      <c r="C412">
        <v>2</v>
      </c>
      <c r="D412" t="str">
        <f t="shared" si="14"/>
        <v>02</v>
      </c>
      <c r="E412" t="str">
        <f>VLOOKUP(B412,'HOGARES-ENDLINE'!$A:$B,2,FALSE)</f>
        <v>00010350</v>
      </c>
      <c r="F412" s="6" t="str">
        <f t="shared" si="15"/>
        <v>0001035002</v>
      </c>
    </row>
    <row r="413" spans="1:6" x14ac:dyDescent="0.3">
      <c r="A413" s="6" t="s">
        <v>1228</v>
      </c>
      <c r="B413">
        <v>21910729</v>
      </c>
      <c r="C413">
        <v>1</v>
      </c>
      <c r="D413" t="str">
        <f t="shared" si="14"/>
        <v>01</v>
      </c>
      <c r="E413" t="str">
        <f>VLOOKUP(B413,'HOGARES-ENDLINE'!$A:$B,2,FALSE)</f>
        <v>01010351</v>
      </c>
      <c r="F413" s="6" t="str">
        <f t="shared" si="15"/>
        <v>0101035101</v>
      </c>
    </row>
    <row r="414" spans="1:6" x14ac:dyDescent="0.3">
      <c r="A414" s="6" t="s">
        <v>1227</v>
      </c>
      <c r="B414">
        <v>21910729</v>
      </c>
      <c r="C414">
        <v>3</v>
      </c>
      <c r="D414" t="str">
        <f t="shared" si="14"/>
        <v>03</v>
      </c>
      <c r="E414" t="str">
        <f>VLOOKUP(B414,'HOGARES-ENDLINE'!$A:$B,2,FALSE)</f>
        <v>01010351</v>
      </c>
      <c r="F414" s="6" t="str">
        <f t="shared" si="15"/>
        <v>0101035103</v>
      </c>
    </row>
    <row r="415" spans="1:6" x14ac:dyDescent="0.3">
      <c r="A415" s="6" t="s">
        <v>1226</v>
      </c>
      <c r="B415">
        <v>21910729</v>
      </c>
      <c r="C415">
        <v>2</v>
      </c>
      <c r="D415" t="str">
        <f t="shared" si="14"/>
        <v>02</v>
      </c>
      <c r="E415" t="str">
        <f>VLOOKUP(B415,'HOGARES-ENDLINE'!$A:$B,2,FALSE)</f>
        <v>01010351</v>
      </c>
      <c r="F415" s="6" t="str">
        <f t="shared" si="15"/>
        <v>0101035102</v>
      </c>
    </row>
    <row r="416" spans="1:6" x14ac:dyDescent="0.3">
      <c r="A416" s="6" t="s">
        <v>1229</v>
      </c>
      <c r="B416">
        <v>21910873</v>
      </c>
      <c r="C416">
        <v>1</v>
      </c>
      <c r="D416" t="str">
        <f t="shared" si="14"/>
        <v>01</v>
      </c>
      <c r="E416" t="str">
        <f>VLOOKUP(B416,'HOGARES-ENDLINE'!$A:$B,2,FALSE)</f>
        <v>01010352</v>
      </c>
      <c r="F416" s="6" t="str">
        <f t="shared" si="15"/>
        <v>0101035201</v>
      </c>
    </row>
    <row r="417" spans="1:6" x14ac:dyDescent="0.3">
      <c r="A417" s="6" t="s">
        <v>1233</v>
      </c>
      <c r="B417">
        <v>21910907</v>
      </c>
      <c r="C417">
        <v>1</v>
      </c>
      <c r="D417" t="str">
        <f t="shared" si="14"/>
        <v>01</v>
      </c>
      <c r="E417" t="str">
        <f>VLOOKUP(B417,'HOGARES-ENDLINE'!$A:$B,2,FALSE)</f>
        <v>01010353</v>
      </c>
      <c r="F417" s="6" t="str">
        <f t="shared" si="15"/>
        <v>0101035301</v>
      </c>
    </row>
    <row r="418" spans="1:6" x14ac:dyDescent="0.3">
      <c r="A418" s="6" t="s">
        <v>1236</v>
      </c>
      <c r="B418">
        <v>21912116</v>
      </c>
      <c r="C418">
        <v>3</v>
      </c>
      <c r="D418" t="str">
        <f t="shared" si="14"/>
        <v>03</v>
      </c>
      <c r="E418" t="str">
        <f>VLOOKUP(B418,'HOGARES-ENDLINE'!$A:$B,2,FALSE)</f>
        <v>01010354</v>
      </c>
      <c r="F418" s="6" t="str">
        <f t="shared" si="15"/>
        <v>0101035403</v>
      </c>
    </row>
    <row r="419" spans="1:6" x14ac:dyDescent="0.3">
      <c r="A419" s="6" t="s">
        <v>1237</v>
      </c>
      <c r="B419">
        <v>21912116</v>
      </c>
      <c r="C419">
        <v>1</v>
      </c>
      <c r="D419" t="str">
        <f t="shared" si="14"/>
        <v>01</v>
      </c>
      <c r="E419" t="str">
        <f>VLOOKUP(B419,'HOGARES-ENDLINE'!$A:$B,2,FALSE)</f>
        <v>01010354</v>
      </c>
      <c r="F419" s="6" t="str">
        <f t="shared" si="15"/>
        <v>0101035401</v>
      </c>
    </row>
    <row r="420" spans="1:6" x14ac:dyDescent="0.3">
      <c r="A420" s="6" t="s">
        <v>1238</v>
      </c>
      <c r="B420">
        <v>21912116</v>
      </c>
      <c r="C420">
        <v>2</v>
      </c>
      <c r="D420" t="str">
        <f t="shared" si="14"/>
        <v>02</v>
      </c>
      <c r="E420" t="str">
        <f>VLOOKUP(B420,'HOGARES-ENDLINE'!$A:$B,2,FALSE)</f>
        <v>01010354</v>
      </c>
      <c r="F420" s="6" t="str">
        <f t="shared" si="15"/>
        <v>0101035402</v>
      </c>
    </row>
    <row r="421" spans="1:6" x14ac:dyDescent="0.3">
      <c r="A421" s="6" t="s">
        <v>1239</v>
      </c>
      <c r="B421">
        <v>21912116</v>
      </c>
      <c r="C421">
        <v>4</v>
      </c>
      <c r="D421" t="str">
        <f t="shared" si="14"/>
        <v>04</v>
      </c>
      <c r="E421" t="str">
        <f>VLOOKUP(B421,'HOGARES-ENDLINE'!$A:$B,2,FALSE)</f>
        <v>01010354</v>
      </c>
      <c r="F421" s="6" t="str">
        <f t="shared" si="15"/>
        <v>0101035404</v>
      </c>
    </row>
    <row r="422" spans="1:6" x14ac:dyDescent="0.3">
      <c r="A422" s="6" t="s">
        <v>1242</v>
      </c>
      <c r="B422">
        <v>21954148</v>
      </c>
      <c r="C422">
        <v>1</v>
      </c>
      <c r="D422" t="str">
        <f t="shared" si="14"/>
        <v>01</v>
      </c>
      <c r="E422" t="str">
        <f>VLOOKUP(B422,'HOGARES-ENDLINE'!$A:$B,2,FALSE)</f>
        <v>01010355</v>
      </c>
      <c r="F422" s="6" t="str">
        <f t="shared" si="15"/>
        <v>0101035501</v>
      </c>
    </row>
    <row r="423" spans="1:6" x14ac:dyDescent="0.3">
      <c r="A423" s="6" t="s">
        <v>1244</v>
      </c>
      <c r="B423">
        <v>21969109</v>
      </c>
      <c r="C423">
        <v>2</v>
      </c>
      <c r="D423" t="str">
        <f t="shared" si="14"/>
        <v>02</v>
      </c>
      <c r="E423" t="str">
        <f>VLOOKUP(B423,'HOGARES-ENDLINE'!$A:$B,2,FALSE)</f>
        <v>00010356</v>
      </c>
      <c r="F423" s="6" t="str">
        <f t="shared" si="15"/>
        <v>0001035602</v>
      </c>
    </row>
    <row r="424" spans="1:6" x14ac:dyDescent="0.3">
      <c r="A424" s="6" t="s">
        <v>1245</v>
      </c>
      <c r="B424">
        <v>21969109</v>
      </c>
      <c r="C424">
        <v>1</v>
      </c>
      <c r="D424" t="str">
        <f t="shared" si="14"/>
        <v>01</v>
      </c>
      <c r="E424" t="str">
        <f>VLOOKUP(B424,'HOGARES-ENDLINE'!$A:$B,2,FALSE)</f>
        <v>00010356</v>
      </c>
      <c r="F424" s="6" t="str">
        <f t="shared" si="15"/>
        <v>0001035601</v>
      </c>
    </row>
    <row r="425" spans="1:6" x14ac:dyDescent="0.3">
      <c r="A425" s="6" t="s">
        <v>1247</v>
      </c>
      <c r="B425">
        <v>21977327</v>
      </c>
      <c r="C425">
        <v>1</v>
      </c>
      <c r="D425" t="str">
        <f t="shared" si="14"/>
        <v>01</v>
      </c>
      <c r="E425" t="str">
        <f>VLOOKUP(B425,'HOGARES-ENDLINE'!$A:$B,2,FALSE)</f>
        <v>01010357</v>
      </c>
      <c r="F425" s="6" t="str">
        <f t="shared" si="15"/>
        <v>0101035701</v>
      </c>
    </row>
    <row r="426" spans="1:6" x14ac:dyDescent="0.3">
      <c r="A426" s="6" t="s">
        <v>1246</v>
      </c>
      <c r="B426">
        <v>21977327</v>
      </c>
      <c r="C426">
        <v>2</v>
      </c>
      <c r="D426" t="str">
        <f t="shared" si="14"/>
        <v>02</v>
      </c>
      <c r="E426" t="str">
        <f>VLOOKUP(B426,'HOGARES-ENDLINE'!$A:$B,2,FALSE)</f>
        <v>01010357</v>
      </c>
      <c r="F426" s="6" t="str">
        <f t="shared" si="15"/>
        <v>0101035702</v>
      </c>
    </row>
    <row r="427" spans="1:6" x14ac:dyDescent="0.3">
      <c r="A427" s="6" t="s">
        <v>1252</v>
      </c>
      <c r="B427">
        <v>21977805</v>
      </c>
      <c r="C427">
        <v>6</v>
      </c>
      <c r="D427" t="str">
        <f t="shared" si="14"/>
        <v>06</v>
      </c>
      <c r="E427" t="str">
        <f>VLOOKUP(B427,'HOGARES-ENDLINE'!$A:$B,2,FALSE)</f>
        <v>00010358</v>
      </c>
      <c r="F427" s="6" t="str">
        <f t="shared" si="15"/>
        <v>0001035806</v>
      </c>
    </row>
    <row r="428" spans="1:6" x14ac:dyDescent="0.3">
      <c r="A428" s="6" t="s">
        <v>1251</v>
      </c>
      <c r="B428">
        <v>21977805</v>
      </c>
      <c r="C428">
        <v>2</v>
      </c>
      <c r="D428" t="str">
        <f t="shared" si="14"/>
        <v>02</v>
      </c>
      <c r="E428" t="str">
        <f>VLOOKUP(B428,'HOGARES-ENDLINE'!$A:$B,2,FALSE)</f>
        <v>00010358</v>
      </c>
      <c r="F428" s="6" t="str">
        <f t="shared" si="15"/>
        <v>0001035802</v>
      </c>
    </row>
    <row r="429" spans="1:6" x14ac:dyDescent="0.3">
      <c r="A429" s="6" t="s">
        <v>1254</v>
      </c>
      <c r="B429">
        <v>21977805</v>
      </c>
      <c r="C429">
        <v>1</v>
      </c>
      <c r="D429" t="str">
        <f t="shared" si="14"/>
        <v>01</v>
      </c>
      <c r="E429" t="str">
        <f>VLOOKUP(B429,'HOGARES-ENDLINE'!$A:$B,2,FALSE)</f>
        <v>00010358</v>
      </c>
      <c r="F429" s="6" t="str">
        <f t="shared" si="15"/>
        <v>0001035801</v>
      </c>
    </row>
    <row r="430" spans="1:6" x14ac:dyDescent="0.3">
      <c r="A430" s="6" t="s">
        <v>1255</v>
      </c>
      <c r="B430">
        <v>21977805</v>
      </c>
      <c r="C430">
        <v>7</v>
      </c>
      <c r="D430" t="str">
        <f t="shared" si="14"/>
        <v>07</v>
      </c>
      <c r="E430" t="str">
        <f>VLOOKUP(B430,'HOGARES-ENDLINE'!$A:$B,2,FALSE)</f>
        <v>00010358</v>
      </c>
      <c r="F430" s="6" t="str">
        <f t="shared" si="15"/>
        <v>0001035807</v>
      </c>
    </row>
    <row r="431" spans="1:6" x14ac:dyDescent="0.3">
      <c r="A431" s="6" t="s">
        <v>1253</v>
      </c>
      <c r="B431">
        <v>21977805</v>
      </c>
      <c r="C431">
        <v>4</v>
      </c>
      <c r="D431" t="str">
        <f t="shared" si="14"/>
        <v>04</v>
      </c>
      <c r="E431" t="str">
        <f>VLOOKUP(B431,'HOGARES-ENDLINE'!$A:$B,2,FALSE)</f>
        <v>00010358</v>
      </c>
      <c r="F431" s="6" t="str">
        <f t="shared" si="15"/>
        <v>0001035804</v>
      </c>
    </row>
    <row r="432" spans="1:6" x14ac:dyDescent="0.3">
      <c r="A432" s="6" t="s">
        <v>1257</v>
      </c>
      <c r="B432">
        <v>22015124</v>
      </c>
      <c r="C432">
        <v>4</v>
      </c>
      <c r="D432" t="str">
        <f t="shared" si="14"/>
        <v>04</v>
      </c>
      <c r="E432" t="str">
        <f>VLOOKUP(B432,'HOGARES-ENDLINE'!$A:$B,2,FALSE)</f>
        <v>00010359</v>
      </c>
      <c r="F432" s="6" t="str">
        <f t="shared" si="15"/>
        <v>0001035904</v>
      </c>
    </row>
    <row r="433" spans="1:6" x14ac:dyDescent="0.3">
      <c r="A433" s="6" t="s">
        <v>1258</v>
      </c>
      <c r="B433">
        <v>22015124</v>
      </c>
      <c r="C433">
        <v>2</v>
      </c>
      <c r="D433" t="str">
        <f t="shared" si="14"/>
        <v>02</v>
      </c>
      <c r="E433" t="str">
        <f>VLOOKUP(B433,'HOGARES-ENDLINE'!$A:$B,2,FALSE)</f>
        <v>00010359</v>
      </c>
      <c r="F433" s="6" t="str">
        <f t="shared" si="15"/>
        <v>0001035902</v>
      </c>
    </row>
    <row r="434" spans="1:6" x14ac:dyDescent="0.3">
      <c r="A434" s="6" t="s">
        <v>1259</v>
      </c>
      <c r="B434">
        <v>22015124</v>
      </c>
      <c r="C434">
        <v>1</v>
      </c>
      <c r="D434" t="str">
        <f t="shared" si="14"/>
        <v>01</v>
      </c>
      <c r="E434" t="str">
        <f>VLOOKUP(B434,'HOGARES-ENDLINE'!$A:$B,2,FALSE)</f>
        <v>00010359</v>
      </c>
      <c r="F434" s="6" t="str">
        <f t="shared" si="15"/>
        <v>0001035901</v>
      </c>
    </row>
    <row r="435" spans="1:6" x14ac:dyDescent="0.3">
      <c r="A435" s="6" t="s">
        <v>1256</v>
      </c>
      <c r="B435">
        <v>22015124</v>
      </c>
      <c r="C435">
        <v>3</v>
      </c>
      <c r="D435" t="str">
        <f t="shared" si="14"/>
        <v>03</v>
      </c>
      <c r="E435" t="str">
        <f>VLOOKUP(B435,'HOGARES-ENDLINE'!$A:$B,2,FALSE)</f>
        <v>00010359</v>
      </c>
      <c r="F435" s="6" t="str">
        <f t="shared" si="15"/>
        <v>0001035903</v>
      </c>
    </row>
    <row r="436" spans="1:6" x14ac:dyDescent="0.3">
      <c r="A436" s="6" t="s">
        <v>1265</v>
      </c>
      <c r="B436">
        <v>22103917</v>
      </c>
      <c r="C436">
        <v>1</v>
      </c>
      <c r="D436" t="str">
        <f t="shared" si="14"/>
        <v>01</v>
      </c>
      <c r="E436" t="str">
        <f>VLOOKUP(B436,'HOGARES-ENDLINE'!$A:$B,2,FALSE)</f>
        <v>01010361</v>
      </c>
      <c r="F436" s="6" t="str">
        <f t="shared" si="15"/>
        <v>0101036101</v>
      </c>
    </row>
    <row r="437" spans="1:6" x14ac:dyDescent="0.3">
      <c r="A437" s="6" t="s">
        <v>1276</v>
      </c>
      <c r="B437">
        <v>22108850</v>
      </c>
      <c r="C437">
        <v>7</v>
      </c>
      <c r="D437" t="str">
        <f t="shared" si="14"/>
        <v>07</v>
      </c>
      <c r="E437" t="str">
        <f>VLOOKUP(B437,'HOGARES-ENDLINE'!$A:$B,2,FALSE)</f>
        <v>01010362</v>
      </c>
      <c r="F437" s="6" t="str">
        <f t="shared" si="15"/>
        <v>0101036207</v>
      </c>
    </row>
    <row r="438" spans="1:6" x14ac:dyDescent="0.3">
      <c r="A438" s="6" t="s">
        <v>1271</v>
      </c>
      <c r="B438">
        <v>22108850</v>
      </c>
      <c r="C438">
        <v>6</v>
      </c>
      <c r="D438" t="str">
        <f t="shared" si="14"/>
        <v>06</v>
      </c>
      <c r="E438" t="str">
        <f>VLOOKUP(B438,'HOGARES-ENDLINE'!$A:$B,2,FALSE)</f>
        <v>01010362</v>
      </c>
      <c r="F438" s="6" t="str">
        <f t="shared" si="15"/>
        <v>0101036206</v>
      </c>
    </row>
    <row r="439" spans="1:6" x14ac:dyDescent="0.3">
      <c r="A439" s="6" t="s">
        <v>1269</v>
      </c>
      <c r="B439">
        <v>22108850</v>
      </c>
      <c r="C439">
        <v>3</v>
      </c>
      <c r="D439" t="str">
        <f t="shared" ref="D439:D502" si="16">_xlfn.CONCAT(0,C439)</f>
        <v>03</v>
      </c>
      <c r="E439" t="str">
        <f>VLOOKUP(B439,'HOGARES-ENDLINE'!$A:$B,2,FALSE)</f>
        <v>01010362</v>
      </c>
      <c r="F439" s="6" t="str">
        <f t="shared" si="15"/>
        <v>0101036203</v>
      </c>
    </row>
    <row r="440" spans="1:6" x14ac:dyDescent="0.3">
      <c r="A440" s="6" t="s">
        <v>1275</v>
      </c>
      <c r="B440">
        <v>22108850</v>
      </c>
      <c r="C440">
        <v>9</v>
      </c>
      <c r="D440" t="str">
        <f t="shared" si="16"/>
        <v>09</v>
      </c>
      <c r="E440" t="str">
        <f>VLOOKUP(B440,'HOGARES-ENDLINE'!$A:$B,2,FALSE)</f>
        <v>01010362</v>
      </c>
      <c r="F440" s="6" t="str">
        <f t="shared" si="15"/>
        <v>0101036209</v>
      </c>
    </row>
    <row r="441" spans="1:6" x14ac:dyDescent="0.3">
      <c r="A441" s="6" t="s">
        <v>1270</v>
      </c>
      <c r="B441">
        <v>22108850</v>
      </c>
      <c r="C441">
        <v>1</v>
      </c>
      <c r="D441" t="str">
        <f t="shared" si="16"/>
        <v>01</v>
      </c>
      <c r="E441" t="str">
        <f>VLOOKUP(B441,'HOGARES-ENDLINE'!$A:$B,2,FALSE)</f>
        <v>01010362</v>
      </c>
      <c r="F441" s="6" t="str">
        <f t="shared" si="15"/>
        <v>0101036201</v>
      </c>
    </row>
    <row r="442" spans="1:6" x14ac:dyDescent="0.3">
      <c r="A442" s="6" t="s">
        <v>1273</v>
      </c>
      <c r="B442">
        <v>22108850</v>
      </c>
      <c r="C442">
        <v>8</v>
      </c>
      <c r="D442" t="str">
        <f t="shared" si="16"/>
        <v>08</v>
      </c>
      <c r="E442" t="str">
        <f>VLOOKUP(B442,'HOGARES-ENDLINE'!$A:$B,2,FALSE)</f>
        <v>01010362</v>
      </c>
      <c r="F442" s="6" t="str">
        <f t="shared" si="15"/>
        <v>0101036208</v>
      </c>
    </row>
    <row r="443" spans="1:6" x14ac:dyDescent="0.3">
      <c r="A443" s="6" t="s">
        <v>1268</v>
      </c>
      <c r="B443">
        <v>22108850</v>
      </c>
      <c r="C443">
        <v>2</v>
      </c>
      <c r="D443" t="str">
        <f t="shared" si="16"/>
        <v>02</v>
      </c>
      <c r="E443" t="str">
        <f>VLOOKUP(B443,'HOGARES-ENDLINE'!$A:$B,2,FALSE)</f>
        <v>01010362</v>
      </c>
      <c r="F443" s="6" t="str">
        <f t="shared" si="15"/>
        <v>0101036202</v>
      </c>
    </row>
    <row r="444" spans="1:6" x14ac:dyDescent="0.3">
      <c r="A444" s="6" t="s">
        <v>1274</v>
      </c>
      <c r="B444">
        <v>22108850</v>
      </c>
      <c r="C444">
        <v>4</v>
      </c>
      <c r="D444" t="str">
        <f t="shared" si="16"/>
        <v>04</v>
      </c>
      <c r="E444" t="str">
        <f>VLOOKUP(B444,'HOGARES-ENDLINE'!$A:$B,2,FALSE)</f>
        <v>01010362</v>
      </c>
      <c r="F444" s="6" t="str">
        <f t="shared" si="15"/>
        <v>0101036204</v>
      </c>
    </row>
    <row r="445" spans="1:6" x14ac:dyDescent="0.3">
      <c r="A445" s="6" t="s">
        <v>1272</v>
      </c>
      <c r="B445">
        <v>22108850</v>
      </c>
      <c r="C445">
        <v>5</v>
      </c>
      <c r="D445" t="str">
        <f t="shared" si="16"/>
        <v>05</v>
      </c>
      <c r="E445" t="str">
        <f>VLOOKUP(B445,'HOGARES-ENDLINE'!$A:$B,2,FALSE)</f>
        <v>01010362</v>
      </c>
      <c r="F445" s="6" t="str">
        <f t="shared" si="15"/>
        <v>0101036205</v>
      </c>
    </row>
    <row r="446" spans="1:6" x14ac:dyDescent="0.3">
      <c r="A446" s="6" t="s">
        <v>1278</v>
      </c>
      <c r="B446">
        <v>22139441</v>
      </c>
      <c r="C446">
        <v>1</v>
      </c>
      <c r="D446" t="str">
        <f t="shared" si="16"/>
        <v>01</v>
      </c>
      <c r="E446" t="str">
        <f>VLOOKUP(B446,'HOGARES-ENDLINE'!$A:$B,2,FALSE)</f>
        <v>01010363</v>
      </c>
      <c r="F446" s="6" t="str">
        <f t="shared" si="15"/>
        <v>0101036301</v>
      </c>
    </row>
    <row r="447" spans="1:6" x14ac:dyDescent="0.3">
      <c r="A447" s="6" t="s">
        <v>1280</v>
      </c>
      <c r="B447">
        <v>22187123</v>
      </c>
      <c r="C447">
        <v>1</v>
      </c>
      <c r="D447" t="str">
        <f t="shared" si="16"/>
        <v>01</v>
      </c>
      <c r="E447" t="str">
        <f>VLOOKUP(B447,'HOGARES-ENDLINE'!$A:$B,2,FALSE)</f>
        <v>00010364</v>
      </c>
      <c r="F447" s="6" t="str">
        <f t="shared" si="15"/>
        <v>0001036401</v>
      </c>
    </row>
    <row r="448" spans="1:6" x14ac:dyDescent="0.3">
      <c r="A448" s="6" t="s">
        <v>5138</v>
      </c>
      <c r="B448">
        <v>22187123</v>
      </c>
      <c r="C448">
        <v>3</v>
      </c>
      <c r="D448" t="str">
        <f t="shared" si="16"/>
        <v>03</v>
      </c>
      <c r="E448" t="str">
        <f>VLOOKUP(B448,'HOGARES-ENDLINE'!$A:$B,2,FALSE)</f>
        <v>00010364</v>
      </c>
      <c r="F448" s="6" t="str">
        <f t="shared" si="15"/>
        <v>0001036403</v>
      </c>
    </row>
    <row r="449" spans="1:6" x14ac:dyDescent="0.3">
      <c r="A449" s="6" t="s">
        <v>5139</v>
      </c>
      <c r="B449">
        <v>22187123</v>
      </c>
      <c r="C449">
        <v>2</v>
      </c>
      <c r="D449" t="str">
        <f t="shared" si="16"/>
        <v>02</v>
      </c>
      <c r="E449" t="str">
        <f>VLOOKUP(B449,'HOGARES-ENDLINE'!$A:$B,2,FALSE)</f>
        <v>00010364</v>
      </c>
      <c r="F449" s="6" t="str">
        <f t="shared" si="15"/>
        <v>0001036402</v>
      </c>
    </row>
    <row r="450" spans="1:6" x14ac:dyDescent="0.3">
      <c r="A450" s="6" t="s">
        <v>1282</v>
      </c>
      <c r="B450">
        <v>22210262</v>
      </c>
      <c r="C450">
        <v>1</v>
      </c>
      <c r="D450" t="str">
        <f t="shared" si="16"/>
        <v>01</v>
      </c>
      <c r="E450" t="str">
        <f>VLOOKUP(B450,'HOGARES-ENDLINE'!$A:$B,2,FALSE)</f>
        <v>01010365</v>
      </c>
      <c r="F450" s="6" t="str">
        <f t="shared" si="15"/>
        <v>0101036501</v>
      </c>
    </row>
    <row r="451" spans="1:6" x14ac:dyDescent="0.3">
      <c r="A451" s="6" t="s">
        <v>1281</v>
      </c>
      <c r="B451">
        <v>22210262</v>
      </c>
      <c r="C451">
        <v>2</v>
      </c>
      <c r="D451" t="str">
        <f t="shared" si="16"/>
        <v>02</v>
      </c>
      <c r="E451" t="str">
        <f>VLOOKUP(B451,'HOGARES-ENDLINE'!$A:$B,2,FALSE)</f>
        <v>01010365</v>
      </c>
      <c r="F451" s="6" t="str">
        <f t="shared" ref="F451:F514" si="17">_xlfn.CONCAT(E451,D451)</f>
        <v>0101036502</v>
      </c>
    </row>
    <row r="452" spans="1:6" x14ac:dyDescent="0.3">
      <c r="A452" s="6" t="s">
        <v>1286</v>
      </c>
      <c r="B452">
        <v>22222115</v>
      </c>
      <c r="C452">
        <v>1</v>
      </c>
      <c r="D452" t="str">
        <f t="shared" si="16"/>
        <v>01</v>
      </c>
      <c r="E452" t="str">
        <f>VLOOKUP(B452,'HOGARES-ENDLINE'!$A:$B,2,FALSE)</f>
        <v>01010366</v>
      </c>
      <c r="F452" s="6" t="str">
        <f t="shared" si="17"/>
        <v>0101036601</v>
      </c>
    </row>
    <row r="453" spans="1:6" x14ac:dyDescent="0.3">
      <c r="A453" s="6" t="s">
        <v>1283</v>
      </c>
      <c r="B453">
        <v>22222115</v>
      </c>
      <c r="C453">
        <v>3</v>
      </c>
      <c r="D453" t="str">
        <f t="shared" si="16"/>
        <v>03</v>
      </c>
      <c r="E453" t="str">
        <f>VLOOKUP(B453,'HOGARES-ENDLINE'!$A:$B,2,FALSE)</f>
        <v>01010366</v>
      </c>
      <c r="F453" s="6" t="str">
        <f t="shared" si="17"/>
        <v>0101036603</v>
      </c>
    </row>
    <row r="454" spans="1:6" x14ac:dyDescent="0.3">
      <c r="A454" s="6" t="s">
        <v>1285</v>
      </c>
      <c r="B454">
        <v>22222115</v>
      </c>
      <c r="C454">
        <v>4</v>
      </c>
      <c r="D454" t="str">
        <f t="shared" si="16"/>
        <v>04</v>
      </c>
      <c r="E454" t="str">
        <f>VLOOKUP(B454,'HOGARES-ENDLINE'!$A:$B,2,FALSE)</f>
        <v>01010366</v>
      </c>
      <c r="F454" s="6" t="str">
        <f t="shared" si="17"/>
        <v>0101036604</v>
      </c>
    </row>
    <row r="455" spans="1:6" x14ac:dyDescent="0.3">
      <c r="A455" s="6" t="s">
        <v>1284</v>
      </c>
      <c r="B455">
        <v>22222115</v>
      </c>
      <c r="C455">
        <v>2</v>
      </c>
      <c r="D455" t="str">
        <f t="shared" si="16"/>
        <v>02</v>
      </c>
      <c r="E455" t="str">
        <f>VLOOKUP(B455,'HOGARES-ENDLINE'!$A:$B,2,FALSE)</f>
        <v>01010366</v>
      </c>
      <c r="F455" s="6" t="str">
        <f t="shared" si="17"/>
        <v>0101036602</v>
      </c>
    </row>
    <row r="456" spans="1:6" x14ac:dyDescent="0.3">
      <c r="A456" s="6" t="s">
        <v>1287</v>
      </c>
      <c r="B456">
        <v>22227595</v>
      </c>
      <c r="C456">
        <v>1</v>
      </c>
      <c r="D456" t="str">
        <f t="shared" si="16"/>
        <v>01</v>
      </c>
      <c r="E456" t="str">
        <f>VLOOKUP(B456,'HOGARES-ENDLINE'!$A:$B,2,FALSE)</f>
        <v>00010367</v>
      </c>
      <c r="F456" s="6" t="str">
        <f t="shared" si="17"/>
        <v>0001036701</v>
      </c>
    </row>
    <row r="457" spans="1:6" x14ac:dyDescent="0.3">
      <c r="A457" s="6" t="s">
        <v>1288</v>
      </c>
      <c r="B457">
        <v>22227595</v>
      </c>
      <c r="C457">
        <v>2</v>
      </c>
      <c r="D457" t="str">
        <f t="shared" si="16"/>
        <v>02</v>
      </c>
      <c r="E457" t="str">
        <f>VLOOKUP(B457,'HOGARES-ENDLINE'!$A:$B,2,FALSE)</f>
        <v>00010367</v>
      </c>
      <c r="F457" s="6" t="str">
        <f t="shared" si="17"/>
        <v>0001036702</v>
      </c>
    </row>
    <row r="458" spans="1:6" x14ac:dyDescent="0.3">
      <c r="A458" s="6" t="s">
        <v>1289</v>
      </c>
      <c r="B458">
        <v>22230457</v>
      </c>
      <c r="C458">
        <v>3</v>
      </c>
      <c r="D458" t="str">
        <f t="shared" si="16"/>
        <v>03</v>
      </c>
      <c r="E458" t="str">
        <f>VLOOKUP(B458,'HOGARES-ENDLINE'!$A:$B,2,FALSE)</f>
        <v>01010368</v>
      </c>
      <c r="F458" s="6" t="str">
        <f t="shared" si="17"/>
        <v>0101036803</v>
      </c>
    </row>
    <row r="459" spans="1:6" x14ac:dyDescent="0.3">
      <c r="A459" s="6" t="s">
        <v>1291</v>
      </c>
      <c r="B459">
        <v>22230457</v>
      </c>
      <c r="C459">
        <v>2</v>
      </c>
      <c r="D459" t="str">
        <f t="shared" si="16"/>
        <v>02</v>
      </c>
      <c r="E459" t="str">
        <f>VLOOKUP(B459,'HOGARES-ENDLINE'!$A:$B,2,FALSE)</f>
        <v>01010368</v>
      </c>
      <c r="F459" s="6" t="str">
        <f t="shared" si="17"/>
        <v>0101036802</v>
      </c>
    </row>
    <row r="460" spans="1:6" x14ac:dyDescent="0.3">
      <c r="A460" s="6" t="s">
        <v>1292</v>
      </c>
      <c r="B460">
        <v>22230457</v>
      </c>
      <c r="C460">
        <v>4</v>
      </c>
      <c r="D460" t="str">
        <f t="shared" si="16"/>
        <v>04</v>
      </c>
      <c r="E460" t="str">
        <f>VLOOKUP(B460,'HOGARES-ENDLINE'!$A:$B,2,FALSE)</f>
        <v>01010368</v>
      </c>
      <c r="F460" s="6" t="str">
        <f t="shared" si="17"/>
        <v>0101036804</v>
      </c>
    </row>
    <row r="461" spans="1:6" x14ac:dyDescent="0.3">
      <c r="A461" s="6" t="s">
        <v>1290</v>
      </c>
      <c r="B461">
        <v>22230457</v>
      </c>
      <c r="C461">
        <v>1</v>
      </c>
      <c r="D461" t="str">
        <f t="shared" si="16"/>
        <v>01</v>
      </c>
      <c r="E461" t="str">
        <f>VLOOKUP(B461,'HOGARES-ENDLINE'!$A:$B,2,FALSE)</f>
        <v>01010368</v>
      </c>
      <c r="F461" s="6" t="str">
        <f t="shared" si="17"/>
        <v>0101036801</v>
      </c>
    </row>
    <row r="462" spans="1:6" x14ac:dyDescent="0.3">
      <c r="A462" s="6" t="s">
        <v>1293</v>
      </c>
      <c r="B462">
        <v>22294421</v>
      </c>
      <c r="C462">
        <v>1</v>
      </c>
      <c r="D462" t="str">
        <f t="shared" si="16"/>
        <v>01</v>
      </c>
      <c r="E462" t="str">
        <f>VLOOKUP(B462,'HOGARES-ENDLINE'!$A:$B,2,FALSE)</f>
        <v>00030369</v>
      </c>
      <c r="F462" s="6" t="str">
        <f t="shared" si="17"/>
        <v>0003036901</v>
      </c>
    </row>
    <row r="463" spans="1:6" x14ac:dyDescent="0.3">
      <c r="A463" s="6" t="s">
        <v>1294</v>
      </c>
      <c r="B463">
        <v>22294421</v>
      </c>
      <c r="C463">
        <v>2</v>
      </c>
      <c r="D463" t="str">
        <f t="shared" si="16"/>
        <v>02</v>
      </c>
      <c r="E463" t="str">
        <f>VLOOKUP(B463,'HOGARES-ENDLINE'!$A:$B,2,FALSE)</f>
        <v>00030369</v>
      </c>
      <c r="F463" s="6" t="str">
        <f t="shared" si="17"/>
        <v>0003036902</v>
      </c>
    </row>
    <row r="464" spans="1:6" x14ac:dyDescent="0.3">
      <c r="A464" s="6" t="s">
        <v>1295</v>
      </c>
      <c r="B464">
        <v>22295551</v>
      </c>
      <c r="C464">
        <v>1</v>
      </c>
      <c r="D464" t="str">
        <f t="shared" si="16"/>
        <v>01</v>
      </c>
      <c r="E464" t="str">
        <f>VLOOKUP(B464,'HOGARES-ENDLINE'!$A:$B,2,FALSE)</f>
        <v>01030370</v>
      </c>
      <c r="F464" s="6" t="str">
        <f t="shared" si="17"/>
        <v>0103037001</v>
      </c>
    </row>
    <row r="465" spans="1:6" x14ac:dyDescent="0.3">
      <c r="A465" s="6" t="s">
        <v>5140</v>
      </c>
      <c r="B465">
        <v>22304817</v>
      </c>
      <c r="C465">
        <v>6</v>
      </c>
      <c r="D465" t="str">
        <f t="shared" si="16"/>
        <v>06</v>
      </c>
      <c r="E465" t="str">
        <f>VLOOKUP(B465,'HOGARES-ENDLINE'!$A:$B,2,FALSE)</f>
        <v>01030371</v>
      </c>
      <c r="F465" s="6" t="str">
        <f t="shared" si="17"/>
        <v>0103037106</v>
      </c>
    </row>
    <row r="466" spans="1:6" x14ac:dyDescent="0.3">
      <c r="A466" s="6" t="s">
        <v>5141</v>
      </c>
      <c r="B466">
        <v>22304817</v>
      </c>
      <c r="C466">
        <v>9</v>
      </c>
      <c r="D466" t="str">
        <f t="shared" si="16"/>
        <v>09</v>
      </c>
      <c r="E466" t="str">
        <f>VLOOKUP(B466,'HOGARES-ENDLINE'!$A:$B,2,FALSE)</f>
        <v>01030371</v>
      </c>
      <c r="F466" s="6" t="str">
        <f t="shared" si="17"/>
        <v>0103037109</v>
      </c>
    </row>
    <row r="467" spans="1:6" x14ac:dyDescent="0.3">
      <c r="A467" s="6" t="s">
        <v>5142</v>
      </c>
      <c r="B467">
        <v>22304817</v>
      </c>
      <c r="C467">
        <v>7</v>
      </c>
      <c r="D467" t="str">
        <f t="shared" si="16"/>
        <v>07</v>
      </c>
      <c r="E467" t="str">
        <f>VLOOKUP(B467,'HOGARES-ENDLINE'!$A:$B,2,FALSE)</f>
        <v>01030371</v>
      </c>
      <c r="F467" s="6" t="str">
        <f t="shared" si="17"/>
        <v>0103037107</v>
      </c>
    </row>
    <row r="468" spans="1:6" x14ac:dyDescent="0.3">
      <c r="A468" s="6" t="s">
        <v>5143</v>
      </c>
      <c r="B468">
        <v>22304817</v>
      </c>
      <c r="C468">
        <v>8</v>
      </c>
      <c r="D468" t="str">
        <f t="shared" si="16"/>
        <v>08</v>
      </c>
      <c r="E468" t="str">
        <f>VLOOKUP(B468,'HOGARES-ENDLINE'!$A:$B,2,FALSE)</f>
        <v>01030371</v>
      </c>
      <c r="F468" s="6" t="str">
        <f t="shared" si="17"/>
        <v>0103037108</v>
      </c>
    </row>
    <row r="469" spans="1:6" x14ac:dyDescent="0.3">
      <c r="A469" s="6" t="s">
        <v>1300</v>
      </c>
      <c r="B469">
        <v>22304817</v>
      </c>
      <c r="C469">
        <v>1</v>
      </c>
      <c r="D469" t="str">
        <f t="shared" si="16"/>
        <v>01</v>
      </c>
      <c r="E469" t="str">
        <f>VLOOKUP(B469,'HOGARES-ENDLINE'!$A:$B,2,FALSE)</f>
        <v>01030371</v>
      </c>
      <c r="F469" s="6" t="str">
        <f t="shared" si="17"/>
        <v>0103037101</v>
      </c>
    </row>
    <row r="470" spans="1:6" x14ac:dyDescent="0.3">
      <c r="A470" s="6" t="s">
        <v>1302</v>
      </c>
      <c r="B470">
        <v>22313863</v>
      </c>
      <c r="C470">
        <v>1</v>
      </c>
      <c r="D470" t="str">
        <f t="shared" si="16"/>
        <v>01</v>
      </c>
      <c r="E470" t="str">
        <f>VLOOKUP(B470,'HOGARES-ENDLINE'!$A:$B,2,FALSE)</f>
        <v>00030372</v>
      </c>
      <c r="F470" s="6" t="str">
        <f t="shared" si="17"/>
        <v>0003037201</v>
      </c>
    </row>
    <row r="471" spans="1:6" x14ac:dyDescent="0.3">
      <c r="A471" s="6" t="s">
        <v>1301</v>
      </c>
      <c r="B471">
        <v>22313863</v>
      </c>
      <c r="C471">
        <v>2</v>
      </c>
      <c r="D471" t="str">
        <f t="shared" si="16"/>
        <v>02</v>
      </c>
      <c r="E471" t="str">
        <f>VLOOKUP(B471,'HOGARES-ENDLINE'!$A:$B,2,FALSE)</f>
        <v>00030372</v>
      </c>
      <c r="F471" s="6" t="str">
        <f t="shared" si="17"/>
        <v>0003037202</v>
      </c>
    </row>
    <row r="472" spans="1:6" x14ac:dyDescent="0.3">
      <c r="A472" s="6" t="s">
        <v>1303</v>
      </c>
      <c r="B472">
        <v>22317957</v>
      </c>
      <c r="C472">
        <v>4</v>
      </c>
      <c r="D472" t="str">
        <f t="shared" si="16"/>
        <v>04</v>
      </c>
      <c r="E472" t="str">
        <f>VLOOKUP(B472,'HOGARES-ENDLINE'!$A:$B,2,FALSE)</f>
        <v>00030373</v>
      </c>
      <c r="F472" s="6" t="str">
        <f t="shared" si="17"/>
        <v>0003037304</v>
      </c>
    </row>
    <row r="473" spans="1:6" x14ac:dyDescent="0.3">
      <c r="A473" s="6" t="s">
        <v>1304</v>
      </c>
      <c r="B473">
        <v>22317957</v>
      </c>
      <c r="C473">
        <v>3</v>
      </c>
      <c r="D473" t="str">
        <f t="shared" si="16"/>
        <v>03</v>
      </c>
      <c r="E473" t="str">
        <f>VLOOKUP(B473,'HOGARES-ENDLINE'!$A:$B,2,FALSE)</f>
        <v>00030373</v>
      </c>
      <c r="F473" s="6" t="str">
        <f t="shared" si="17"/>
        <v>0003037303</v>
      </c>
    </row>
    <row r="474" spans="1:6" x14ac:dyDescent="0.3">
      <c r="A474" s="6" t="s">
        <v>1306</v>
      </c>
      <c r="B474">
        <v>22317957</v>
      </c>
      <c r="C474">
        <v>2</v>
      </c>
      <c r="D474" t="str">
        <f t="shared" si="16"/>
        <v>02</v>
      </c>
      <c r="E474" t="str">
        <f>VLOOKUP(B474,'HOGARES-ENDLINE'!$A:$B,2,FALSE)</f>
        <v>00030373</v>
      </c>
      <c r="F474" s="6" t="str">
        <f t="shared" si="17"/>
        <v>0003037302</v>
      </c>
    </row>
    <row r="475" spans="1:6" x14ac:dyDescent="0.3">
      <c r="A475" s="6" t="s">
        <v>1308</v>
      </c>
      <c r="B475">
        <v>22317957</v>
      </c>
      <c r="C475">
        <v>6</v>
      </c>
      <c r="D475" t="str">
        <f t="shared" si="16"/>
        <v>06</v>
      </c>
      <c r="E475" t="str">
        <f>VLOOKUP(B475,'HOGARES-ENDLINE'!$A:$B,2,FALSE)</f>
        <v>00030373</v>
      </c>
      <c r="F475" s="6" t="str">
        <f t="shared" si="17"/>
        <v>0003037306</v>
      </c>
    </row>
    <row r="476" spans="1:6" x14ac:dyDescent="0.3">
      <c r="A476" s="6" t="s">
        <v>1305</v>
      </c>
      <c r="B476">
        <v>22317957</v>
      </c>
      <c r="C476">
        <v>5</v>
      </c>
      <c r="D476" t="str">
        <f t="shared" si="16"/>
        <v>05</v>
      </c>
      <c r="E476" t="str">
        <f>VLOOKUP(B476,'HOGARES-ENDLINE'!$A:$B,2,FALSE)</f>
        <v>00030373</v>
      </c>
      <c r="F476" s="6" t="str">
        <f t="shared" si="17"/>
        <v>0003037305</v>
      </c>
    </row>
    <row r="477" spans="1:6" x14ac:dyDescent="0.3">
      <c r="A477" s="6" t="s">
        <v>1311</v>
      </c>
      <c r="B477">
        <v>22333001</v>
      </c>
      <c r="C477">
        <v>3</v>
      </c>
      <c r="D477" t="str">
        <f t="shared" si="16"/>
        <v>03</v>
      </c>
      <c r="E477" t="str">
        <f>VLOOKUP(B477,'HOGARES-ENDLINE'!$A:$B,2,FALSE)</f>
        <v>01030374</v>
      </c>
      <c r="F477" s="6" t="str">
        <f t="shared" si="17"/>
        <v>0103037403</v>
      </c>
    </row>
    <row r="478" spans="1:6" x14ac:dyDescent="0.3">
      <c r="A478" s="6" t="s">
        <v>1310</v>
      </c>
      <c r="B478">
        <v>22333001</v>
      </c>
      <c r="C478">
        <v>1</v>
      </c>
      <c r="D478" t="str">
        <f t="shared" si="16"/>
        <v>01</v>
      </c>
      <c r="E478" t="str">
        <f>VLOOKUP(B478,'HOGARES-ENDLINE'!$A:$B,2,FALSE)</f>
        <v>01030374</v>
      </c>
      <c r="F478" s="6" t="str">
        <f t="shared" si="17"/>
        <v>0103037401</v>
      </c>
    </row>
    <row r="479" spans="1:6" x14ac:dyDescent="0.3">
      <c r="A479" s="6" t="s">
        <v>1309</v>
      </c>
      <c r="B479">
        <v>22333001</v>
      </c>
      <c r="C479">
        <v>2</v>
      </c>
      <c r="D479" t="str">
        <f t="shared" si="16"/>
        <v>02</v>
      </c>
      <c r="E479" t="str">
        <f>VLOOKUP(B479,'HOGARES-ENDLINE'!$A:$B,2,FALSE)</f>
        <v>01030374</v>
      </c>
      <c r="F479" s="6" t="str">
        <f t="shared" si="17"/>
        <v>0103037402</v>
      </c>
    </row>
    <row r="480" spans="1:6" x14ac:dyDescent="0.3">
      <c r="A480" s="6" t="s">
        <v>1313</v>
      </c>
      <c r="B480">
        <v>22351069</v>
      </c>
      <c r="C480">
        <v>3</v>
      </c>
      <c r="D480" t="str">
        <f t="shared" si="16"/>
        <v>03</v>
      </c>
      <c r="E480" t="str">
        <f>VLOOKUP(B480,'HOGARES-ENDLINE'!$A:$B,2,FALSE)</f>
        <v>00030375</v>
      </c>
      <c r="F480" s="6" t="str">
        <f t="shared" si="17"/>
        <v>0003037503</v>
      </c>
    </row>
    <row r="481" spans="1:6" x14ac:dyDescent="0.3">
      <c r="A481" s="6" t="s">
        <v>1314</v>
      </c>
      <c r="B481">
        <v>22351069</v>
      </c>
      <c r="C481">
        <v>2</v>
      </c>
      <c r="D481" t="str">
        <f t="shared" si="16"/>
        <v>02</v>
      </c>
      <c r="E481" t="str">
        <f>VLOOKUP(B481,'HOGARES-ENDLINE'!$A:$B,2,FALSE)</f>
        <v>00030375</v>
      </c>
      <c r="F481" s="6" t="str">
        <f t="shared" si="17"/>
        <v>0003037502</v>
      </c>
    </row>
    <row r="482" spans="1:6" x14ac:dyDescent="0.3">
      <c r="A482" s="6" t="s">
        <v>1312</v>
      </c>
      <c r="B482">
        <v>22351069</v>
      </c>
      <c r="C482">
        <v>1</v>
      </c>
      <c r="D482" t="str">
        <f t="shared" si="16"/>
        <v>01</v>
      </c>
      <c r="E482" t="str">
        <f>VLOOKUP(B482,'HOGARES-ENDLINE'!$A:$B,2,FALSE)</f>
        <v>00030375</v>
      </c>
      <c r="F482" s="6" t="str">
        <f t="shared" si="17"/>
        <v>0003037501</v>
      </c>
    </row>
    <row r="483" spans="1:6" x14ac:dyDescent="0.3">
      <c r="A483" s="6" t="s">
        <v>1316</v>
      </c>
      <c r="B483">
        <v>22353868</v>
      </c>
      <c r="C483">
        <v>2</v>
      </c>
      <c r="D483" t="str">
        <f t="shared" si="16"/>
        <v>02</v>
      </c>
      <c r="E483" t="str">
        <f>VLOOKUP(B483,'HOGARES-ENDLINE'!$A:$B,2,FALSE)</f>
        <v>00030376</v>
      </c>
      <c r="F483" s="6" t="str">
        <f t="shared" si="17"/>
        <v>0003037602</v>
      </c>
    </row>
    <row r="484" spans="1:6" x14ac:dyDescent="0.3">
      <c r="A484" s="6" t="s">
        <v>1317</v>
      </c>
      <c r="B484">
        <v>22353868</v>
      </c>
      <c r="C484">
        <v>1</v>
      </c>
      <c r="D484" t="str">
        <f t="shared" si="16"/>
        <v>01</v>
      </c>
      <c r="E484" t="str">
        <f>VLOOKUP(B484,'HOGARES-ENDLINE'!$A:$B,2,FALSE)</f>
        <v>00030376</v>
      </c>
      <c r="F484" s="6" t="str">
        <f t="shared" si="17"/>
        <v>0003037601</v>
      </c>
    </row>
    <row r="485" spans="1:6" x14ac:dyDescent="0.3">
      <c r="A485" s="6" t="s">
        <v>1318</v>
      </c>
      <c r="B485">
        <v>22357171</v>
      </c>
      <c r="C485">
        <v>1</v>
      </c>
      <c r="D485" t="str">
        <f t="shared" si="16"/>
        <v>01</v>
      </c>
      <c r="E485" t="str">
        <f>VLOOKUP(B485,'HOGARES-ENDLINE'!$A:$B,2,FALSE)</f>
        <v>00030377</v>
      </c>
      <c r="F485" s="6" t="str">
        <f t="shared" si="17"/>
        <v>0003037701</v>
      </c>
    </row>
    <row r="486" spans="1:6" x14ac:dyDescent="0.3">
      <c r="A486" s="6" t="s">
        <v>1320</v>
      </c>
      <c r="B486">
        <v>22362412</v>
      </c>
      <c r="C486">
        <v>3</v>
      </c>
      <c r="D486" t="str">
        <f t="shared" si="16"/>
        <v>03</v>
      </c>
      <c r="E486" t="str">
        <f>VLOOKUP(B486,'HOGARES-ENDLINE'!$A:$B,2,FALSE)</f>
        <v>00030378</v>
      </c>
      <c r="F486" s="6" t="str">
        <f t="shared" si="17"/>
        <v>0003037803</v>
      </c>
    </row>
    <row r="487" spans="1:6" x14ac:dyDescent="0.3">
      <c r="A487" s="6" t="s">
        <v>1322</v>
      </c>
      <c r="B487">
        <v>22362412</v>
      </c>
      <c r="C487">
        <v>2</v>
      </c>
      <c r="D487" t="str">
        <f t="shared" si="16"/>
        <v>02</v>
      </c>
      <c r="E487" t="str">
        <f>VLOOKUP(B487,'HOGARES-ENDLINE'!$A:$B,2,FALSE)</f>
        <v>00030378</v>
      </c>
      <c r="F487" s="6" t="str">
        <f t="shared" si="17"/>
        <v>0003037802</v>
      </c>
    </row>
    <row r="488" spans="1:6" x14ac:dyDescent="0.3">
      <c r="A488" s="6" t="s">
        <v>1321</v>
      </c>
      <c r="B488">
        <v>22362412</v>
      </c>
      <c r="C488">
        <v>1</v>
      </c>
      <c r="D488" t="str">
        <f t="shared" si="16"/>
        <v>01</v>
      </c>
      <c r="E488" t="str">
        <f>VLOOKUP(B488,'HOGARES-ENDLINE'!$A:$B,2,FALSE)</f>
        <v>00030378</v>
      </c>
      <c r="F488" s="6" t="str">
        <f t="shared" si="17"/>
        <v>0003037801</v>
      </c>
    </row>
    <row r="489" spans="1:6" x14ac:dyDescent="0.3">
      <c r="A489" s="6" t="s">
        <v>1323</v>
      </c>
      <c r="B489">
        <v>22365884</v>
      </c>
      <c r="C489">
        <v>1</v>
      </c>
      <c r="D489" t="str">
        <f t="shared" si="16"/>
        <v>01</v>
      </c>
      <c r="E489" t="str">
        <f>VLOOKUP(B489,'HOGARES-ENDLINE'!$A:$B,2,FALSE)</f>
        <v>01030379</v>
      </c>
      <c r="F489" s="6" t="str">
        <f t="shared" si="17"/>
        <v>0103037901</v>
      </c>
    </row>
    <row r="490" spans="1:6" x14ac:dyDescent="0.3">
      <c r="A490" s="6" t="s">
        <v>1324</v>
      </c>
      <c r="B490">
        <v>22365884</v>
      </c>
      <c r="C490">
        <v>3</v>
      </c>
      <c r="D490" t="str">
        <f t="shared" si="16"/>
        <v>03</v>
      </c>
      <c r="E490" t="str">
        <f>VLOOKUP(B490,'HOGARES-ENDLINE'!$A:$B,2,FALSE)</f>
        <v>01030379</v>
      </c>
      <c r="F490" s="6" t="str">
        <f t="shared" si="17"/>
        <v>0103037903</v>
      </c>
    </row>
    <row r="491" spans="1:6" x14ac:dyDescent="0.3">
      <c r="A491" s="6" t="s">
        <v>1325</v>
      </c>
      <c r="B491">
        <v>22365884</v>
      </c>
      <c r="C491">
        <v>2</v>
      </c>
      <c r="D491" t="str">
        <f t="shared" si="16"/>
        <v>02</v>
      </c>
      <c r="E491" t="str">
        <f>VLOOKUP(B491,'HOGARES-ENDLINE'!$A:$B,2,FALSE)</f>
        <v>01030379</v>
      </c>
      <c r="F491" s="6" t="str">
        <f t="shared" si="17"/>
        <v>0103037902</v>
      </c>
    </row>
    <row r="492" spans="1:6" x14ac:dyDescent="0.3">
      <c r="A492" s="6" t="s">
        <v>1326</v>
      </c>
      <c r="B492">
        <v>22372597</v>
      </c>
      <c r="C492">
        <v>1</v>
      </c>
      <c r="D492" t="str">
        <f t="shared" si="16"/>
        <v>01</v>
      </c>
      <c r="E492" t="str">
        <f>VLOOKUP(B492,'HOGARES-ENDLINE'!$A:$B,2,FALSE)</f>
        <v>00030380</v>
      </c>
      <c r="F492" s="6" t="str">
        <f t="shared" si="17"/>
        <v>0003038001</v>
      </c>
    </row>
    <row r="493" spans="1:6" x14ac:dyDescent="0.3">
      <c r="A493" s="6" t="s">
        <v>1330</v>
      </c>
      <c r="B493">
        <v>22374314</v>
      </c>
      <c r="C493">
        <v>3</v>
      </c>
      <c r="D493" t="str">
        <f t="shared" si="16"/>
        <v>03</v>
      </c>
      <c r="E493" t="str">
        <f>VLOOKUP(B493,'HOGARES-ENDLINE'!$A:$B,2,FALSE)</f>
        <v>01030381</v>
      </c>
      <c r="F493" s="6" t="str">
        <f t="shared" si="17"/>
        <v>0103038103</v>
      </c>
    </row>
    <row r="494" spans="1:6" x14ac:dyDescent="0.3">
      <c r="A494" s="6" t="s">
        <v>1327</v>
      </c>
      <c r="B494">
        <v>22374314</v>
      </c>
      <c r="C494">
        <v>4</v>
      </c>
      <c r="D494" t="str">
        <f t="shared" si="16"/>
        <v>04</v>
      </c>
      <c r="E494" t="str">
        <f>VLOOKUP(B494,'HOGARES-ENDLINE'!$A:$B,2,FALSE)</f>
        <v>01030381</v>
      </c>
      <c r="F494" s="6" t="str">
        <f t="shared" si="17"/>
        <v>0103038104</v>
      </c>
    </row>
    <row r="495" spans="1:6" x14ac:dyDescent="0.3">
      <c r="A495" s="6" t="s">
        <v>1328</v>
      </c>
      <c r="B495">
        <v>22374314</v>
      </c>
      <c r="C495">
        <v>2</v>
      </c>
      <c r="D495" t="str">
        <f t="shared" si="16"/>
        <v>02</v>
      </c>
      <c r="E495" t="str">
        <f>VLOOKUP(B495,'HOGARES-ENDLINE'!$A:$B,2,FALSE)</f>
        <v>01030381</v>
      </c>
      <c r="F495" s="6" t="str">
        <f t="shared" si="17"/>
        <v>0103038102</v>
      </c>
    </row>
    <row r="496" spans="1:6" x14ac:dyDescent="0.3">
      <c r="A496" s="6" t="s">
        <v>1329</v>
      </c>
      <c r="B496">
        <v>22374314</v>
      </c>
      <c r="C496">
        <v>1</v>
      </c>
      <c r="D496" t="str">
        <f t="shared" si="16"/>
        <v>01</v>
      </c>
      <c r="E496" t="str">
        <f>VLOOKUP(B496,'HOGARES-ENDLINE'!$A:$B,2,FALSE)</f>
        <v>01030381</v>
      </c>
      <c r="F496" s="6" t="str">
        <f t="shared" si="17"/>
        <v>0103038101</v>
      </c>
    </row>
    <row r="497" spans="1:6" x14ac:dyDescent="0.3">
      <c r="A497" s="6" t="s">
        <v>1331</v>
      </c>
      <c r="B497">
        <v>22374314</v>
      </c>
      <c r="C497">
        <v>5</v>
      </c>
      <c r="D497" t="str">
        <f t="shared" si="16"/>
        <v>05</v>
      </c>
      <c r="E497" t="str">
        <f>VLOOKUP(B497,'HOGARES-ENDLINE'!$A:$B,2,FALSE)</f>
        <v>01030381</v>
      </c>
      <c r="F497" s="6" t="str">
        <f t="shared" si="17"/>
        <v>0103038105</v>
      </c>
    </row>
    <row r="498" spans="1:6" x14ac:dyDescent="0.3">
      <c r="A498" s="6" t="s">
        <v>1332</v>
      </c>
      <c r="B498">
        <v>22377867</v>
      </c>
      <c r="C498">
        <v>1</v>
      </c>
      <c r="D498" t="str">
        <f t="shared" si="16"/>
        <v>01</v>
      </c>
      <c r="E498" t="str">
        <f>VLOOKUP(B498,'HOGARES-ENDLINE'!$A:$B,2,FALSE)</f>
        <v>01030382</v>
      </c>
      <c r="F498" s="6" t="str">
        <f t="shared" si="17"/>
        <v>0103038201</v>
      </c>
    </row>
    <row r="499" spans="1:6" x14ac:dyDescent="0.3">
      <c r="A499" s="6" t="s">
        <v>5144</v>
      </c>
      <c r="B499">
        <v>22377867</v>
      </c>
      <c r="C499">
        <v>6</v>
      </c>
      <c r="D499" t="str">
        <f t="shared" si="16"/>
        <v>06</v>
      </c>
      <c r="E499" t="str">
        <f>VLOOKUP(B499,'HOGARES-ENDLINE'!$A:$B,2,FALSE)</f>
        <v>01030382</v>
      </c>
      <c r="F499" s="6" t="str">
        <f t="shared" si="17"/>
        <v>0103038206</v>
      </c>
    </row>
    <row r="500" spans="1:6" x14ac:dyDescent="0.3">
      <c r="A500" s="6" t="s">
        <v>1333</v>
      </c>
      <c r="B500">
        <v>22377867</v>
      </c>
      <c r="C500">
        <v>2</v>
      </c>
      <c r="D500" t="str">
        <f t="shared" si="16"/>
        <v>02</v>
      </c>
      <c r="E500" t="str">
        <f>VLOOKUP(B500,'HOGARES-ENDLINE'!$A:$B,2,FALSE)</f>
        <v>01030382</v>
      </c>
      <c r="F500" s="6" t="str">
        <f t="shared" si="17"/>
        <v>0103038202</v>
      </c>
    </row>
    <row r="501" spans="1:6" x14ac:dyDescent="0.3">
      <c r="A501" s="6" t="s">
        <v>5145</v>
      </c>
      <c r="B501">
        <v>22377867</v>
      </c>
      <c r="C501">
        <v>5</v>
      </c>
      <c r="D501" t="str">
        <f t="shared" si="16"/>
        <v>05</v>
      </c>
      <c r="E501" t="str">
        <f>VLOOKUP(B501,'HOGARES-ENDLINE'!$A:$B,2,FALSE)</f>
        <v>01030382</v>
      </c>
      <c r="F501" s="6" t="str">
        <f t="shared" si="17"/>
        <v>0103038205</v>
      </c>
    </row>
    <row r="502" spans="1:6" x14ac:dyDescent="0.3">
      <c r="A502" s="6" t="s">
        <v>5146</v>
      </c>
      <c r="B502">
        <v>22377867</v>
      </c>
      <c r="C502">
        <v>4</v>
      </c>
      <c r="D502" t="str">
        <f t="shared" si="16"/>
        <v>04</v>
      </c>
      <c r="E502" t="str">
        <f>VLOOKUP(B502,'HOGARES-ENDLINE'!$A:$B,2,FALSE)</f>
        <v>01030382</v>
      </c>
      <c r="F502" s="6" t="str">
        <f t="shared" si="17"/>
        <v>0103038204</v>
      </c>
    </row>
    <row r="503" spans="1:6" x14ac:dyDescent="0.3">
      <c r="A503" s="6" t="s">
        <v>5147</v>
      </c>
      <c r="B503">
        <v>22378889</v>
      </c>
      <c r="C503">
        <v>5</v>
      </c>
      <c r="D503" t="str">
        <f t="shared" ref="D503:D566" si="18">_xlfn.CONCAT(0,C503)</f>
        <v>05</v>
      </c>
      <c r="E503" t="str">
        <f>VLOOKUP(B503,'HOGARES-ENDLINE'!$A:$B,2,FALSE)</f>
        <v>01030383</v>
      </c>
      <c r="F503" s="6" t="str">
        <f t="shared" si="17"/>
        <v>0103038305</v>
      </c>
    </row>
    <row r="504" spans="1:6" x14ac:dyDescent="0.3">
      <c r="A504" s="6" t="s">
        <v>1337</v>
      </c>
      <c r="B504">
        <v>22378889</v>
      </c>
      <c r="C504">
        <v>3</v>
      </c>
      <c r="D504" t="str">
        <f t="shared" si="18"/>
        <v>03</v>
      </c>
      <c r="E504" t="str">
        <f>VLOOKUP(B504,'HOGARES-ENDLINE'!$A:$B,2,FALSE)</f>
        <v>01030383</v>
      </c>
      <c r="F504" s="6" t="str">
        <f t="shared" si="17"/>
        <v>0103038303</v>
      </c>
    </row>
    <row r="505" spans="1:6" x14ac:dyDescent="0.3">
      <c r="A505" s="6" t="s">
        <v>1338</v>
      </c>
      <c r="B505">
        <v>22378889</v>
      </c>
      <c r="C505">
        <v>1</v>
      </c>
      <c r="D505" t="str">
        <f t="shared" si="18"/>
        <v>01</v>
      </c>
      <c r="E505" t="str">
        <f>VLOOKUP(B505,'HOGARES-ENDLINE'!$A:$B,2,FALSE)</f>
        <v>01030383</v>
      </c>
      <c r="F505" s="6" t="str">
        <f t="shared" si="17"/>
        <v>0103038301</v>
      </c>
    </row>
    <row r="506" spans="1:6" x14ac:dyDescent="0.3">
      <c r="A506" s="6" t="s">
        <v>1336</v>
      </c>
      <c r="B506">
        <v>22378889</v>
      </c>
      <c r="C506">
        <v>4</v>
      </c>
      <c r="D506" t="str">
        <f t="shared" si="18"/>
        <v>04</v>
      </c>
      <c r="E506" t="str">
        <f>VLOOKUP(B506,'HOGARES-ENDLINE'!$A:$B,2,FALSE)</f>
        <v>01030383</v>
      </c>
      <c r="F506" s="6" t="str">
        <f t="shared" si="17"/>
        <v>0103038304</v>
      </c>
    </row>
    <row r="507" spans="1:6" x14ac:dyDescent="0.3">
      <c r="A507" s="6" t="s">
        <v>1335</v>
      </c>
      <c r="B507">
        <v>22378889</v>
      </c>
      <c r="C507">
        <v>2</v>
      </c>
      <c r="D507" t="str">
        <f t="shared" si="18"/>
        <v>02</v>
      </c>
      <c r="E507" t="str">
        <f>VLOOKUP(B507,'HOGARES-ENDLINE'!$A:$B,2,FALSE)</f>
        <v>01030383</v>
      </c>
      <c r="F507" s="6" t="str">
        <f t="shared" si="17"/>
        <v>0103038302</v>
      </c>
    </row>
    <row r="508" spans="1:6" x14ac:dyDescent="0.3">
      <c r="A508" s="6" t="s">
        <v>1341</v>
      </c>
      <c r="B508">
        <v>22383297</v>
      </c>
      <c r="C508">
        <v>2</v>
      </c>
      <c r="D508" t="str">
        <f t="shared" si="18"/>
        <v>02</v>
      </c>
      <c r="E508" t="str">
        <f>VLOOKUP(B508,'HOGARES-ENDLINE'!$A:$B,2,FALSE)</f>
        <v>01030384</v>
      </c>
      <c r="F508" s="6" t="str">
        <f t="shared" si="17"/>
        <v>0103038402</v>
      </c>
    </row>
    <row r="509" spans="1:6" x14ac:dyDescent="0.3">
      <c r="A509" s="6" t="s">
        <v>1339</v>
      </c>
      <c r="B509">
        <v>22383297</v>
      </c>
      <c r="C509">
        <v>3</v>
      </c>
      <c r="D509" t="str">
        <f t="shared" si="18"/>
        <v>03</v>
      </c>
      <c r="E509" t="str">
        <f>VLOOKUP(B509,'HOGARES-ENDLINE'!$A:$B,2,FALSE)</f>
        <v>01030384</v>
      </c>
      <c r="F509" s="6" t="str">
        <f t="shared" si="17"/>
        <v>0103038403</v>
      </c>
    </row>
    <row r="510" spans="1:6" x14ac:dyDescent="0.3">
      <c r="A510" s="6" t="s">
        <v>1340</v>
      </c>
      <c r="B510">
        <v>22383297</v>
      </c>
      <c r="C510">
        <v>1</v>
      </c>
      <c r="D510" t="str">
        <f t="shared" si="18"/>
        <v>01</v>
      </c>
      <c r="E510" t="str">
        <f>VLOOKUP(B510,'HOGARES-ENDLINE'!$A:$B,2,FALSE)</f>
        <v>01030384</v>
      </c>
      <c r="F510" s="6" t="str">
        <f t="shared" si="17"/>
        <v>0103038401</v>
      </c>
    </row>
    <row r="511" spans="1:6" x14ac:dyDescent="0.3">
      <c r="A511" s="6" t="s">
        <v>1342</v>
      </c>
      <c r="B511">
        <v>22385229</v>
      </c>
      <c r="C511">
        <v>4</v>
      </c>
      <c r="D511" t="str">
        <f t="shared" si="18"/>
        <v>04</v>
      </c>
      <c r="E511" t="str">
        <f>VLOOKUP(B511,'HOGARES-ENDLINE'!$A:$B,2,FALSE)</f>
        <v>01030385</v>
      </c>
      <c r="F511" s="6" t="str">
        <f t="shared" si="17"/>
        <v>0103038504</v>
      </c>
    </row>
    <row r="512" spans="1:6" x14ac:dyDescent="0.3">
      <c r="A512" s="6" t="s">
        <v>1345</v>
      </c>
      <c r="B512">
        <v>22385229</v>
      </c>
      <c r="C512">
        <v>1</v>
      </c>
      <c r="D512" t="str">
        <f t="shared" si="18"/>
        <v>01</v>
      </c>
      <c r="E512" t="str">
        <f>VLOOKUP(B512,'HOGARES-ENDLINE'!$A:$B,2,FALSE)</f>
        <v>01030385</v>
      </c>
      <c r="F512" s="6" t="str">
        <f t="shared" si="17"/>
        <v>0103038501</v>
      </c>
    </row>
    <row r="513" spans="1:6" x14ac:dyDescent="0.3">
      <c r="A513" s="6" t="s">
        <v>1343</v>
      </c>
      <c r="B513">
        <v>22385229</v>
      </c>
      <c r="C513">
        <v>3</v>
      </c>
      <c r="D513" t="str">
        <f t="shared" si="18"/>
        <v>03</v>
      </c>
      <c r="E513" t="str">
        <f>VLOOKUP(B513,'HOGARES-ENDLINE'!$A:$B,2,FALSE)</f>
        <v>01030385</v>
      </c>
      <c r="F513" s="6" t="str">
        <f t="shared" si="17"/>
        <v>0103038503</v>
      </c>
    </row>
    <row r="514" spans="1:6" x14ac:dyDescent="0.3">
      <c r="A514" s="6" t="s">
        <v>1344</v>
      </c>
      <c r="B514">
        <v>22385229</v>
      </c>
      <c r="C514">
        <v>2</v>
      </c>
      <c r="D514" t="str">
        <f t="shared" si="18"/>
        <v>02</v>
      </c>
      <c r="E514" t="str">
        <f>VLOOKUP(B514,'HOGARES-ENDLINE'!$A:$B,2,FALSE)</f>
        <v>01030385</v>
      </c>
      <c r="F514" s="6" t="str">
        <f t="shared" si="17"/>
        <v>0103038502</v>
      </c>
    </row>
    <row r="515" spans="1:6" x14ac:dyDescent="0.3">
      <c r="A515" s="6" t="s">
        <v>1346</v>
      </c>
      <c r="B515">
        <v>22393271</v>
      </c>
      <c r="C515">
        <v>1</v>
      </c>
      <c r="D515" t="str">
        <f t="shared" si="18"/>
        <v>01</v>
      </c>
      <c r="E515" t="str">
        <f>VLOOKUP(B515,'HOGARES-ENDLINE'!$A:$B,2,FALSE)</f>
        <v>01030386</v>
      </c>
      <c r="F515" s="6" t="str">
        <f t="shared" ref="F515:F578" si="19">_xlfn.CONCAT(E515,D515)</f>
        <v>0103038601</v>
      </c>
    </row>
    <row r="516" spans="1:6" x14ac:dyDescent="0.3">
      <c r="A516" s="6" t="s">
        <v>1347</v>
      </c>
      <c r="B516">
        <v>22410576</v>
      </c>
      <c r="C516">
        <v>2</v>
      </c>
      <c r="D516" t="str">
        <f t="shared" si="18"/>
        <v>02</v>
      </c>
      <c r="E516" t="str">
        <f>VLOOKUP(B516,'HOGARES-ENDLINE'!$A:$B,2,FALSE)</f>
        <v>00030387</v>
      </c>
      <c r="F516" s="6" t="str">
        <f t="shared" si="19"/>
        <v>0003038702</v>
      </c>
    </row>
    <row r="517" spans="1:6" x14ac:dyDescent="0.3">
      <c r="A517" s="6" t="s">
        <v>1350</v>
      </c>
      <c r="B517">
        <v>22410576</v>
      </c>
      <c r="C517">
        <v>1</v>
      </c>
      <c r="D517" t="str">
        <f t="shared" si="18"/>
        <v>01</v>
      </c>
      <c r="E517" t="str">
        <f>VLOOKUP(B517,'HOGARES-ENDLINE'!$A:$B,2,FALSE)</f>
        <v>00030387</v>
      </c>
      <c r="F517" s="6" t="str">
        <f t="shared" si="19"/>
        <v>0003038701</v>
      </c>
    </row>
    <row r="518" spans="1:6" x14ac:dyDescent="0.3">
      <c r="A518" s="6" t="s">
        <v>1349</v>
      </c>
      <c r="B518">
        <v>22410576</v>
      </c>
      <c r="C518">
        <v>3</v>
      </c>
      <c r="D518" t="str">
        <f t="shared" si="18"/>
        <v>03</v>
      </c>
      <c r="E518" t="str">
        <f>VLOOKUP(B518,'HOGARES-ENDLINE'!$A:$B,2,FALSE)</f>
        <v>00030387</v>
      </c>
      <c r="F518" s="6" t="str">
        <f t="shared" si="19"/>
        <v>0003038703</v>
      </c>
    </row>
    <row r="519" spans="1:6" x14ac:dyDescent="0.3">
      <c r="A519" s="6" t="s">
        <v>1348</v>
      </c>
      <c r="B519">
        <v>22410576</v>
      </c>
      <c r="C519">
        <v>4</v>
      </c>
      <c r="D519" t="str">
        <f t="shared" si="18"/>
        <v>04</v>
      </c>
      <c r="E519" t="str">
        <f>VLOOKUP(B519,'HOGARES-ENDLINE'!$A:$B,2,FALSE)</f>
        <v>00030387</v>
      </c>
      <c r="F519" s="6" t="str">
        <f t="shared" si="19"/>
        <v>0003038704</v>
      </c>
    </row>
    <row r="520" spans="1:6" x14ac:dyDescent="0.3">
      <c r="A520" s="6" t="s">
        <v>1353</v>
      </c>
      <c r="B520">
        <v>22414731</v>
      </c>
      <c r="C520">
        <v>1</v>
      </c>
      <c r="D520" t="str">
        <f t="shared" si="18"/>
        <v>01</v>
      </c>
      <c r="E520" t="str">
        <f>VLOOKUP(B520,'HOGARES-ENDLINE'!$A:$B,2,FALSE)</f>
        <v>00030388</v>
      </c>
      <c r="F520" s="6" t="str">
        <f t="shared" si="19"/>
        <v>0003038801</v>
      </c>
    </row>
    <row r="521" spans="1:6" x14ac:dyDescent="0.3">
      <c r="A521" s="6" t="s">
        <v>1356</v>
      </c>
      <c r="B521">
        <v>22414805</v>
      </c>
      <c r="C521">
        <v>1</v>
      </c>
      <c r="D521" t="str">
        <f t="shared" si="18"/>
        <v>01</v>
      </c>
      <c r="E521" t="str">
        <f>VLOOKUP(B521,'HOGARES-ENDLINE'!$A:$B,2,FALSE)</f>
        <v>01030389</v>
      </c>
      <c r="F521" s="6" t="str">
        <f t="shared" si="19"/>
        <v>0103038901</v>
      </c>
    </row>
    <row r="522" spans="1:6" x14ac:dyDescent="0.3">
      <c r="A522" s="6" t="s">
        <v>1357</v>
      </c>
      <c r="B522">
        <v>22414805</v>
      </c>
      <c r="C522">
        <v>2</v>
      </c>
      <c r="D522" t="str">
        <f t="shared" si="18"/>
        <v>02</v>
      </c>
      <c r="E522" t="str">
        <f>VLOOKUP(B522,'HOGARES-ENDLINE'!$A:$B,2,FALSE)</f>
        <v>01030389</v>
      </c>
      <c r="F522" s="6" t="str">
        <f t="shared" si="19"/>
        <v>0103038902</v>
      </c>
    </row>
    <row r="523" spans="1:6" x14ac:dyDescent="0.3">
      <c r="A523" s="6" t="s">
        <v>1354</v>
      </c>
      <c r="B523">
        <v>22414805</v>
      </c>
      <c r="C523">
        <v>6</v>
      </c>
      <c r="D523" t="str">
        <f t="shared" si="18"/>
        <v>06</v>
      </c>
      <c r="E523" t="str">
        <f>VLOOKUP(B523,'HOGARES-ENDLINE'!$A:$B,2,FALSE)</f>
        <v>01030389</v>
      </c>
      <c r="F523" s="6" t="str">
        <f t="shared" si="19"/>
        <v>0103038906</v>
      </c>
    </row>
    <row r="524" spans="1:6" x14ac:dyDescent="0.3">
      <c r="A524" s="6" t="s">
        <v>1359</v>
      </c>
      <c r="B524">
        <v>22414805</v>
      </c>
      <c r="C524">
        <v>4</v>
      </c>
      <c r="D524" t="str">
        <f t="shared" si="18"/>
        <v>04</v>
      </c>
      <c r="E524" t="str">
        <f>VLOOKUP(B524,'HOGARES-ENDLINE'!$A:$B,2,FALSE)</f>
        <v>01030389</v>
      </c>
      <c r="F524" s="6" t="str">
        <f t="shared" si="19"/>
        <v>0103038904</v>
      </c>
    </row>
    <row r="525" spans="1:6" x14ac:dyDescent="0.3">
      <c r="A525" s="6" t="s">
        <v>1355</v>
      </c>
      <c r="B525">
        <v>22414805</v>
      </c>
      <c r="C525">
        <v>3</v>
      </c>
      <c r="D525" t="str">
        <f t="shared" si="18"/>
        <v>03</v>
      </c>
      <c r="E525" t="str">
        <f>VLOOKUP(B525,'HOGARES-ENDLINE'!$A:$B,2,FALSE)</f>
        <v>01030389</v>
      </c>
      <c r="F525" s="6" t="str">
        <f t="shared" si="19"/>
        <v>0103038903</v>
      </c>
    </row>
    <row r="526" spans="1:6" x14ac:dyDescent="0.3">
      <c r="A526" s="6" t="s">
        <v>1358</v>
      </c>
      <c r="B526">
        <v>22414805</v>
      </c>
      <c r="C526">
        <v>5</v>
      </c>
      <c r="D526" t="str">
        <f t="shared" si="18"/>
        <v>05</v>
      </c>
      <c r="E526" t="str">
        <f>VLOOKUP(B526,'HOGARES-ENDLINE'!$A:$B,2,FALSE)</f>
        <v>01030389</v>
      </c>
      <c r="F526" s="6" t="str">
        <f t="shared" si="19"/>
        <v>0103038905</v>
      </c>
    </row>
    <row r="527" spans="1:6" x14ac:dyDescent="0.3">
      <c r="A527" s="6" t="s">
        <v>1361</v>
      </c>
      <c r="B527">
        <v>22415762</v>
      </c>
      <c r="C527">
        <v>1</v>
      </c>
      <c r="D527" t="str">
        <f t="shared" si="18"/>
        <v>01</v>
      </c>
      <c r="E527" t="str">
        <f>VLOOKUP(B527,'HOGARES-ENDLINE'!$A:$B,2,FALSE)</f>
        <v>00030390</v>
      </c>
      <c r="F527" s="6" t="str">
        <f t="shared" si="19"/>
        <v>0003039001</v>
      </c>
    </row>
    <row r="528" spans="1:6" x14ac:dyDescent="0.3">
      <c r="A528" s="6" t="s">
        <v>1360</v>
      </c>
      <c r="B528">
        <v>22415762</v>
      </c>
      <c r="C528">
        <v>2</v>
      </c>
      <c r="D528" t="str">
        <f t="shared" si="18"/>
        <v>02</v>
      </c>
      <c r="E528" t="str">
        <f>VLOOKUP(B528,'HOGARES-ENDLINE'!$A:$B,2,FALSE)</f>
        <v>00030390</v>
      </c>
      <c r="F528" s="6" t="str">
        <f t="shared" si="19"/>
        <v>0003039002</v>
      </c>
    </row>
    <row r="529" spans="1:6" x14ac:dyDescent="0.3">
      <c r="A529" s="6" t="s">
        <v>1367</v>
      </c>
      <c r="B529">
        <v>22420818</v>
      </c>
      <c r="C529">
        <v>4</v>
      </c>
      <c r="D529" t="str">
        <f t="shared" si="18"/>
        <v>04</v>
      </c>
      <c r="E529" t="str">
        <f>VLOOKUP(B529,'HOGARES-ENDLINE'!$A:$B,2,FALSE)</f>
        <v>01030391</v>
      </c>
      <c r="F529" s="6" t="str">
        <f t="shared" si="19"/>
        <v>0103039104</v>
      </c>
    </row>
    <row r="530" spans="1:6" x14ac:dyDescent="0.3">
      <c r="A530" s="6" t="s">
        <v>1363</v>
      </c>
      <c r="B530">
        <v>22420818</v>
      </c>
      <c r="C530">
        <v>5</v>
      </c>
      <c r="D530" t="str">
        <f t="shared" si="18"/>
        <v>05</v>
      </c>
      <c r="E530" t="str">
        <f>VLOOKUP(B530,'HOGARES-ENDLINE'!$A:$B,2,FALSE)</f>
        <v>01030391</v>
      </c>
      <c r="F530" s="6" t="str">
        <f t="shared" si="19"/>
        <v>0103039105</v>
      </c>
    </row>
    <row r="531" spans="1:6" x14ac:dyDescent="0.3">
      <c r="A531" s="6" t="s">
        <v>1362</v>
      </c>
      <c r="B531">
        <v>22420818</v>
      </c>
      <c r="C531">
        <v>3</v>
      </c>
      <c r="D531" t="str">
        <f t="shared" si="18"/>
        <v>03</v>
      </c>
      <c r="E531" t="str">
        <f>VLOOKUP(B531,'HOGARES-ENDLINE'!$A:$B,2,FALSE)</f>
        <v>01030391</v>
      </c>
      <c r="F531" s="6" t="str">
        <f t="shared" si="19"/>
        <v>0103039103</v>
      </c>
    </row>
    <row r="532" spans="1:6" x14ac:dyDescent="0.3">
      <c r="A532" s="6" t="s">
        <v>1365</v>
      </c>
      <c r="B532">
        <v>22420818</v>
      </c>
      <c r="C532">
        <v>6</v>
      </c>
      <c r="D532" t="str">
        <f t="shared" si="18"/>
        <v>06</v>
      </c>
      <c r="E532" t="str">
        <f>VLOOKUP(B532,'HOGARES-ENDLINE'!$A:$B,2,FALSE)</f>
        <v>01030391</v>
      </c>
      <c r="F532" s="6" t="str">
        <f t="shared" si="19"/>
        <v>0103039106</v>
      </c>
    </row>
    <row r="533" spans="1:6" x14ac:dyDescent="0.3">
      <c r="A533" s="6" t="s">
        <v>1366</v>
      </c>
      <c r="B533">
        <v>22420818</v>
      </c>
      <c r="C533">
        <v>1</v>
      </c>
      <c r="D533" t="str">
        <f t="shared" si="18"/>
        <v>01</v>
      </c>
      <c r="E533" t="str">
        <f>VLOOKUP(B533,'HOGARES-ENDLINE'!$A:$B,2,FALSE)</f>
        <v>01030391</v>
      </c>
      <c r="F533" s="6" t="str">
        <f t="shared" si="19"/>
        <v>0103039101</v>
      </c>
    </row>
    <row r="534" spans="1:6" x14ac:dyDescent="0.3">
      <c r="A534" s="6" t="s">
        <v>1364</v>
      </c>
      <c r="B534">
        <v>22420818</v>
      </c>
      <c r="C534">
        <v>2</v>
      </c>
      <c r="D534" t="str">
        <f t="shared" si="18"/>
        <v>02</v>
      </c>
      <c r="E534" t="str">
        <f>VLOOKUP(B534,'HOGARES-ENDLINE'!$A:$B,2,FALSE)</f>
        <v>01030391</v>
      </c>
      <c r="F534" s="6" t="str">
        <f t="shared" si="19"/>
        <v>0103039102</v>
      </c>
    </row>
    <row r="535" spans="1:6" x14ac:dyDescent="0.3">
      <c r="A535" s="6" t="s">
        <v>1370</v>
      </c>
      <c r="B535">
        <v>22421041</v>
      </c>
      <c r="C535">
        <v>2</v>
      </c>
      <c r="D535" t="str">
        <f t="shared" si="18"/>
        <v>02</v>
      </c>
      <c r="E535" t="str">
        <f>VLOOKUP(B535,'HOGARES-ENDLINE'!$A:$B,2,FALSE)</f>
        <v>01030392</v>
      </c>
      <c r="F535" s="6" t="str">
        <f t="shared" si="19"/>
        <v>0103039202</v>
      </c>
    </row>
    <row r="536" spans="1:6" x14ac:dyDescent="0.3">
      <c r="A536" s="6" t="s">
        <v>1372</v>
      </c>
      <c r="B536">
        <v>22421041</v>
      </c>
      <c r="C536">
        <v>1</v>
      </c>
      <c r="D536" t="str">
        <f t="shared" si="18"/>
        <v>01</v>
      </c>
      <c r="E536" t="str">
        <f>VLOOKUP(B536,'HOGARES-ENDLINE'!$A:$B,2,FALSE)</f>
        <v>01030392</v>
      </c>
      <c r="F536" s="6" t="str">
        <f t="shared" si="19"/>
        <v>0103039201</v>
      </c>
    </row>
    <row r="537" spans="1:6" x14ac:dyDescent="0.3">
      <c r="A537" s="6" t="s">
        <v>1369</v>
      </c>
      <c r="B537">
        <v>22421041</v>
      </c>
      <c r="C537">
        <v>5</v>
      </c>
      <c r="D537" t="str">
        <f t="shared" si="18"/>
        <v>05</v>
      </c>
      <c r="E537" t="str">
        <f>VLOOKUP(B537,'HOGARES-ENDLINE'!$A:$B,2,FALSE)</f>
        <v>01030392</v>
      </c>
      <c r="F537" s="6" t="str">
        <f t="shared" si="19"/>
        <v>0103039205</v>
      </c>
    </row>
    <row r="538" spans="1:6" x14ac:dyDescent="0.3">
      <c r="A538" s="6" t="s">
        <v>1371</v>
      </c>
      <c r="B538">
        <v>22421041</v>
      </c>
      <c r="C538">
        <v>4</v>
      </c>
      <c r="D538" t="str">
        <f t="shared" si="18"/>
        <v>04</v>
      </c>
      <c r="E538" t="str">
        <f>VLOOKUP(B538,'HOGARES-ENDLINE'!$A:$B,2,FALSE)</f>
        <v>01030392</v>
      </c>
      <c r="F538" s="6" t="str">
        <f t="shared" si="19"/>
        <v>0103039204</v>
      </c>
    </row>
    <row r="539" spans="1:6" x14ac:dyDescent="0.3">
      <c r="A539" s="6" t="s">
        <v>1379</v>
      </c>
      <c r="B539">
        <v>22421549</v>
      </c>
      <c r="C539">
        <v>9</v>
      </c>
      <c r="D539" t="str">
        <f t="shared" si="18"/>
        <v>09</v>
      </c>
      <c r="E539" t="str">
        <f>VLOOKUP(B539,'HOGARES-ENDLINE'!$A:$B,2,FALSE)</f>
        <v>00030393</v>
      </c>
      <c r="F539" s="6" t="str">
        <f t="shared" si="19"/>
        <v>0003039309</v>
      </c>
    </row>
    <row r="540" spans="1:6" x14ac:dyDescent="0.3">
      <c r="A540" s="6" t="s">
        <v>1377</v>
      </c>
      <c r="B540">
        <v>22421549</v>
      </c>
      <c r="C540">
        <v>2</v>
      </c>
      <c r="D540" t="str">
        <f t="shared" si="18"/>
        <v>02</v>
      </c>
      <c r="E540" t="str">
        <f>VLOOKUP(B540,'HOGARES-ENDLINE'!$A:$B,2,FALSE)</f>
        <v>00030393</v>
      </c>
      <c r="F540" s="6" t="str">
        <f t="shared" si="19"/>
        <v>0003039302</v>
      </c>
    </row>
    <row r="541" spans="1:6" x14ac:dyDescent="0.3">
      <c r="A541" s="6" t="s">
        <v>1376</v>
      </c>
      <c r="B541">
        <v>22421549</v>
      </c>
      <c r="C541">
        <v>3</v>
      </c>
      <c r="D541" t="str">
        <f t="shared" si="18"/>
        <v>03</v>
      </c>
      <c r="E541" t="str">
        <f>VLOOKUP(B541,'HOGARES-ENDLINE'!$A:$B,2,FALSE)</f>
        <v>00030393</v>
      </c>
      <c r="F541" s="6" t="str">
        <f t="shared" si="19"/>
        <v>0003039303</v>
      </c>
    </row>
    <row r="542" spans="1:6" x14ac:dyDescent="0.3">
      <c r="A542" s="6" t="s">
        <v>1383</v>
      </c>
      <c r="B542">
        <v>22421549</v>
      </c>
      <c r="C542">
        <v>4</v>
      </c>
      <c r="D542" t="str">
        <f t="shared" si="18"/>
        <v>04</v>
      </c>
      <c r="E542" t="str">
        <f>VLOOKUP(B542,'HOGARES-ENDLINE'!$A:$B,2,FALSE)</f>
        <v>00030393</v>
      </c>
      <c r="F542" s="6" t="str">
        <f t="shared" si="19"/>
        <v>0003039304</v>
      </c>
    </row>
    <row r="543" spans="1:6" x14ac:dyDescent="0.3">
      <c r="A543" s="6" t="s">
        <v>1380</v>
      </c>
      <c r="B543">
        <v>22421549</v>
      </c>
      <c r="C543">
        <v>7</v>
      </c>
      <c r="D543" t="str">
        <f t="shared" si="18"/>
        <v>07</v>
      </c>
      <c r="E543" t="str">
        <f>VLOOKUP(B543,'HOGARES-ENDLINE'!$A:$B,2,FALSE)</f>
        <v>00030393</v>
      </c>
      <c r="F543" s="6" t="str">
        <f t="shared" si="19"/>
        <v>0003039307</v>
      </c>
    </row>
    <row r="544" spans="1:6" x14ac:dyDescent="0.3">
      <c r="A544" s="6" t="s">
        <v>1374</v>
      </c>
      <c r="B544">
        <v>22421549</v>
      </c>
      <c r="C544">
        <v>1</v>
      </c>
      <c r="D544" t="str">
        <f t="shared" si="18"/>
        <v>01</v>
      </c>
      <c r="E544" t="str">
        <f>VLOOKUP(B544,'HOGARES-ENDLINE'!$A:$B,2,FALSE)</f>
        <v>00030393</v>
      </c>
      <c r="F544" s="6" t="str">
        <f t="shared" si="19"/>
        <v>0003039301</v>
      </c>
    </row>
    <row r="545" spans="1:6" x14ac:dyDescent="0.3">
      <c r="A545" s="6" t="s">
        <v>1381</v>
      </c>
      <c r="B545">
        <v>22421549</v>
      </c>
      <c r="C545">
        <v>6</v>
      </c>
      <c r="D545" t="str">
        <f t="shared" si="18"/>
        <v>06</v>
      </c>
      <c r="E545" t="str">
        <f>VLOOKUP(B545,'HOGARES-ENDLINE'!$A:$B,2,FALSE)</f>
        <v>00030393</v>
      </c>
      <c r="F545" s="6" t="str">
        <f t="shared" si="19"/>
        <v>0003039306</v>
      </c>
    </row>
    <row r="546" spans="1:6" x14ac:dyDescent="0.3">
      <c r="A546" s="6" t="s">
        <v>1382</v>
      </c>
      <c r="B546">
        <v>22421549</v>
      </c>
      <c r="C546">
        <v>8</v>
      </c>
      <c r="D546" t="str">
        <f t="shared" si="18"/>
        <v>08</v>
      </c>
      <c r="E546" t="str">
        <f>VLOOKUP(B546,'HOGARES-ENDLINE'!$A:$B,2,FALSE)</f>
        <v>00030393</v>
      </c>
      <c r="F546" s="6" t="str">
        <f t="shared" si="19"/>
        <v>0003039308</v>
      </c>
    </row>
    <row r="547" spans="1:6" x14ac:dyDescent="0.3">
      <c r="A547" s="6" t="s">
        <v>1384</v>
      </c>
      <c r="B547">
        <v>22436611</v>
      </c>
      <c r="C547">
        <v>2</v>
      </c>
      <c r="D547" t="str">
        <f t="shared" si="18"/>
        <v>02</v>
      </c>
      <c r="E547" t="str">
        <f>VLOOKUP(B547,'HOGARES-ENDLINE'!$A:$B,2,FALSE)</f>
        <v>00030394</v>
      </c>
      <c r="F547" s="6" t="str">
        <f t="shared" si="19"/>
        <v>0003039402</v>
      </c>
    </row>
    <row r="548" spans="1:6" x14ac:dyDescent="0.3">
      <c r="A548" s="6" t="s">
        <v>1385</v>
      </c>
      <c r="B548">
        <v>22436611</v>
      </c>
      <c r="C548">
        <v>1</v>
      </c>
      <c r="D548" t="str">
        <f t="shared" si="18"/>
        <v>01</v>
      </c>
      <c r="E548" t="str">
        <f>VLOOKUP(B548,'HOGARES-ENDLINE'!$A:$B,2,FALSE)</f>
        <v>00030394</v>
      </c>
      <c r="F548" s="6" t="str">
        <f t="shared" si="19"/>
        <v>0003039401</v>
      </c>
    </row>
    <row r="549" spans="1:6" x14ac:dyDescent="0.3">
      <c r="A549" s="6" t="s">
        <v>1386</v>
      </c>
      <c r="B549">
        <v>22440120</v>
      </c>
      <c r="C549">
        <v>2</v>
      </c>
      <c r="D549" t="str">
        <f t="shared" si="18"/>
        <v>02</v>
      </c>
      <c r="E549" t="str">
        <f>VLOOKUP(B549,'HOGARES-ENDLINE'!$A:$B,2,FALSE)</f>
        <v>01030395</v>
      </c>
      <c r="F549" s="6" t="str">
        <f t="shared" si="19"/>
        <v>0103039502</v>
      </c>
    </row>
    <row r="550" spans="1:6" x14ac:dyDescent="0.3">
      <c r="A550" s="6" t="s">
        <v>1389</v>
      </c>
      <c r="B550">
        <v>22440120</v>
      </c>
      <c r="C550">
        <v>3</v>
      </c>
      <c r="D550" t="str">
        <f t="shared" si="18"/>
        <v>03</v>
      </c>
      <c r="E550" t="str">
        <f>VLOOKUP(B550,'HOGARES-ENDLINE'!$A:$B,2,FALSE)</f>
        <v>01030395</v>
      </c>
      <c r="F550" s="6" t="str">
        <f t="shared" si="19"/>
        <v>0103039503</v>
      </c>
    </row>
    <row r="551" spans="1:6" x14ac:dyDescent="0.3">
      <c r="A551" s="6" t="s">
        <v>1390</v>
      </c>
      <c r="B551">
        <v>22440120</v>
      </c>
      <c r="C551">
        <v>1</v>
      </c>
      <c r="D551" t="str">
        <f t="shared" si="18"/>
        <v>01</v>
      </c>
      <c r="E551" t="str">
        <f>VLOOKUP(B551,'HOGARES-ENDLINE'!$A:$B,2,FALSE)</f>
        <v>01030395</v>
      </c>
      <c r="F551" s="6" t="str">
        <f t="shared" si="19"/>
        <v>0103039501</v>
      </c>
    </row>
    <row r="552" spans="1:6" x14ac:dyDescent="0.3">
      <c r="A552" s="6" t="s">
        <v>1388</v>
      </c>
      <c r="B552">
        <v>22440120</v>
      </c>
      <c r="C552">
        <v>4</v>
      </c>
      <c r="D552" t="str">
        <f t="shared" si="18"/>
        <v>04</v>
      </c>
      <c r="E552" t="str">
        <f>VLOOKUP(B552,'HOGARES-ENDLINE'!$A:$B,2,FALSE)</f>
        <v>01030395</v>
      </c>
      <c r="F552" s="6" t="str">
        <f t="shared" si="19"/>
        <v>0103039504</v>
      </c>
    </row>
    <row r="553" spans="1:6" x14ac:dyDescent="0.3">
      <c r="A553" s="6" t="s">
        <v>1392</v>
      </c>
      <c r="B553">
        <v>22442480</v>
      </c>
      <c r="C553">
        <v>2</v>
      </c>
      <c r="D553" t="str">
        <f t="shared" si="18"/>
        <v>02</v>
      </c>
      <c r="E553" t="str">
        <f>VLOOKUP(B553,'HOGARES-ENDLINE'!$A:$B,2,FALSE)</f>
        <v>00030396</v>
      </c>
      <c r="F553" s="6" t="str">
        <f t="shared" si="19"/>
        <v>0003039602</v>
      </c>
    </row>
    <row r="554" spans="1:6" x14ac:dyDescent="0.3">
      <c r="A554" s="6" t="s">
        <v>1393</v>
      </c>
      <c r="B554">
        <v>22442480</v>
      </c>
      <c r="C554">
        <v>1</v>
      </c>
      <c r="D554" t="str">
        <f t="shared" si="18"/>
        <v>01</v>
      </c>
      <c r="E554" t="str">
        <f>VLOOKUP(B554,'HOGARES-ENDLINE'!$A:$B,2,FALSE)</f>
        <v>00030396</v>
      </c>
      <c r="F554" s="6" t="str">
        <f t="shared" si="19"/>
        <v>0003039601</v>
      </c>
    </row>
    <row r="555" spans="1:6" x14ac:dyDescent="0.3">
      <c r="A555" s="6" t="s">
        <v>1394</v>
      </c>
      <c r="B555">
        <v>22442480</v>
      </c>
      <c r="C555">
        <v>4</v>
      </c>
      <c r="D555" t="str">
        <f t="shared" si="18"/>
        <v>04</v>
      </c>
      <c r="E555" t="str">
        <f>VLOOKUP(B555,'HOGARES-ENDLINE'!$A:$B,2,FALSE)</f>
        <v>00030396</v>
      </c>
      <c r="F555" s="6" t="str">
        <f t="shared" si="19"/>
        <v>0003039604</v>
      </c>
    </row>
    <row r="556" spans="1:6" x14ac:dyDescent="0.3">
      <c r="A556" s="6" t="s">
        <v>1391</v>
      </c>
      <c r="B556">
        <v>22442480</v>
      </c>
      <c r="C556">
        <v>3</v>
      </c>
      <c r="D556" t="str">
        <f t="shared" si="18"/>
        <v>03</v>
      </c>
      <c r="E556" t="str">
        <f>VLOOKUP(B556,'HOGARES-ENDLINE'!$A:$B,2,FALSE)</f>
        <v>00030396</v>
      </c>
      <c r="F556" s="6" t="str">
        <f t="shared" si="19"/>
        <v>0003039603</v>
      </c>
    </row>
    <row r="557" spans="1:6" x14ac:dyDescent="0.3">
      <c r="A557" s="6" t="s">
        <v>1395</v>
      </c>
      <c r="B557">
        <v>22445534</v>
      </c>
      <c r="C557">
        <v>2</v>
      </c>
      <c r="D557" t="str">
        <f t="shared" si="18"/>
        <v>02</v>
      </c>
      <c r="E557" t="str">
        <f>VLOOKUP(B557,'HOGARES-ENDLINE'!$A:$B,2,FALSE)</f>
        <v>00030397</v>
      </c>
      <c r="F557" s="6" t="str">
        <f t="shared" si="19"/>
        <v>0003039702</v>
      </c>
    </row>
    <row r="558" spans="1:6" x14ac:dyDescent="0.3">
      <c r="A558" s="6" t="s">
        <v>1396</v>
      </c>
      <c r="B558">
        <v>22445534</v>
      </c>
      <c r="C558">
        <v>1</v>
      </c>
      <c r="D558" t="str">
        <f t="shared" si="18"/>
        <v>01</v>
      </c>
      <c r="E558" t="str">
        <f>VLOOKUP(B558,'HOGARES-ENDLINE'!$A:$B,2,FALSE)</f>
        <v>00030397</v>
      </c>
      <c r="F558" s="6" t="str">
        <f t="shared" si="19"/>
        <v>0003039701</v>
      </c>
    </row>
    <row r="559" spans="1:6" x14ac:dyDescent="0.3">
      <c r="A559" s="6" t="s">
        <v>1397</v>
      </c>
      <c r="B559">
        <v>22446557</v>
      </c>
      <c r="C559">
        <v>1</v>
      </c>
      <c r="D559" t="str">
        <f t="shared" si="18"/>
        <v>01</v>
      </c>
      <c r="E559" t="str">
        <f>VLOOKUP(B559,'HOGARES-ENDLINE'!$A:$B,2,FALSE)</f>
        <v>01030398</v>
      </c>
      <c r="F559" s="6" t="str">
        <f t="shared" si="19"/>
        <v>0103039801</v>
      </c>
    </row>
    <row r="560" spans="1:6" x14ac:dyDescent="0.3">
      <c r="A560" s="6" t="s">
        <v>1398</v>
      </c>
      <c r="B560">
        <v>22446587</v>
      </c>
      <c r="C560">
        <v>5</v>
      </c>
      <c r="D560" t="str">
        <f t="shared" si="18"/>
        <v>05</v>
      </c>
      <c r="E560" t="str">
        <f>VLOOKUP(B560,'HOGARES-ENDLINE'!$A:$B,2,FALSE)</f>
        <v>01030399</v>
      </c>
      <c r="F560" s="6" t="str">
        <f t="shared" si="19"/>
        <v>0103039905</v>
      </c>
    </row>
    <row r="561" spans="1:6" x14ac:dyDescent="0.3">
      <c r="A561" s="6" t="s">
        <v>1400</v>
      </c>
      <c r="B561">
        <v>22446587</v>
      </c>
      <c r="C561">
        <v>6</v>
      </c>
      <c r="D561" t="str">
        <f t="shared" si="18"/>
        <v>06</v>
      </c>
      <c r="E561" t="str">
        <f>VLOOKUP(B561,'HOGARES-ENDLINE'!$A:$B,2,FALSE)</f>
        <v>01030399</v>
      </c>
      <c r="F561" s="6" t="str">
        <f t="shared" si="19"/>
        <v>0103039906</v>
      </c>
    </row>
    <row r="562" spans="1:6" x14ac:dyDescent="0.3">
      <c r="A562" s="6" t="s">
        <v>1403</v>
      </c>
      <c r="B562">
        <v>22446587</v>
      </c>
      <c r="C562">
        <v>1</v>
      </c>
      <c r="D562" t="str">
        <f t="shared" si="18"/>
        <v>01</v>
      </c>
      <c r="E562" t="str">
        <f>VLOOKUP(B562,'HOGARES-ENDLINE'!$A:$B,2,FALSE)</f>
        <v>01030399</v>
      </c>
      <c r="F562" s="6" t="str">
        <f t="shared" si="19"/>
        <v>0103039901</v>
      </c>
    </row>
    <row r="563" spans="1:6" x14ac:dyDescent="0.3">
      <c r="A563" s="6" t="s">
        <v>1399</v>
      </c>
      <c r="B563">
        <v>22446587</v>
      </c>
      <c r="C563">
        <v>2</v>
      </c>
      <c r="D563" t="str">
        <f t="shared" si="18"/>
        <v>02</v>
      </c>
      <c r="E563" t="str">
        <f>VLOOKUP(B563,'HOGARES-ENDLINE'!$A:$B,2,FALSE)</f>
        <v>01030399</v>
      </c>
      <c r="F563" s="6" t="str">
        <f t="shared" si="19"/>
        <v>0103039902</v>
      </c>
    </row>
    <row r="564" spans="1:6" x14ac:dyDescent="0.3">
      <c r="A564" s="6" t="s">
        <v>1402</v>
      </c>
      <c r="B564">
        <v>22446587</v>
      </c>
      <c r="C564">
        <v>4</v>
      </c>
      <c r="D564" t="str">
        <f t="shared" si="18"/>
        <v>04</v>
      </c>
      <c r="E564" t="str">
        <f>VLOOKUP(B564,'HOGARES-ENDLINE'!$A:$B,2,FALSE)</f>
        <v>01030399</v>
      </c>
      <c r="F564" s="6" t="str">
        <f t="shared" si="19"/>
        <v>0103039904</v>
      </c>
    </row>
    <row r="565" spans="1:6" x14ac:dyDescent="0.3">
      <c r="A565" s="6" t="s">
        <v>1401</v>
      </c>
      <c r="B565">
        <v>22446587</v>
      </c>
      <c r="C565">
        <v>3</v>
      </c>
      <c r="D565" t="str">
        <f t="shared" si="18"/>
        <v>03</v>
      </c>
      <c r="E565" t="str">
        <f>VLOOKUP(B565,'HOGARES-ENDLINE'!$A:$B,2,FALSE)</f>
        <v>01030399</v>
      </c>
      <c r="F565" s="6" t="str">
        <f t="shared" si="19"/>
        <v>0103039903</v>
      </c>
    </row>
    <row r="566" spans="1:6" x14ac:dyDescent="0.3">
      <c r="A566" s="6" t="s">
        <v>1406</v>
      </c>
      <c r="B566">
        <v>22466720</v>
      </c>
      <c r="C566">
        <v>2</v>
      </c>
      <c r="D566" t="str">
        <f t="shared" si="18"/>
        <v>02</v>
      </c>
      <c r="E566" t="str">
        <f>VLOOKUP(B566,'HOGARES-ENDLINE'!$A:$B,2,FALSE)</f>
        <v>00030401</v>
      </c>
      <c r="F566" s="6" t="str">
        <f t="shared" si="19"/>
        <v>0003040102</v>
      </c>
    </row>
    <row r="567" spans="1:6" x14ac:dyDescent="0.3">
      <c r="A567" s="6" t="s">
        <v>1407</v>
      </c>
      <c r="B567">
        <v>22466720</v>
      </c>
      <c r="C567">
        <v>1</v>
      </c>
      <c r="D567" t="str">
        <f t="shared" ref="D567:D630" si="20">_xlfn.CONCAT(0,C567)</f>
        <v>01</v>
      </c>
      <c r="E567" t="str">
        <f>VLOOKUP(B567,'HOGARES-ENDLINE'!$A:$B,2,FALSE)</f>
        <v>00030401</v>
      </c>
      <c r="F567" s="6" t="str">
        <f t="shared" si="19"/>
        <v>0003040101</v>
      </c>
    </row>
    <row r="568" spans="1:6" x14ac:dyDescent="0.3">
      <c r="A568" s="6" t="s">
        <v>1409</v>
      </c>
      <c r="B568">
        <v>22466720</v>
      </c>
      <c r="C568">
        <v>3</v>
      </c>
      <c r="D568" t="str">
        <f t="shared" si="20"/>
        <v>03</v>
      </c>
      <c r="E568" t="str">
        <f>VLOOKUP(B568,'HOGARES-ENDLINE'!$A:$B,2,FALSE)</f>
        <v>00030401</v>
      </c>
      <c r="F568" s="6" t="str">
        <f t="shared" si="19"/>
        <v>0003040103</v>
      </c>
    </row>
    <row r="569" spans="1:6" x14ac:dyDescent="0.3">
      <c r="A569" s="6" t="s">
        <v>1408</v>
      </c>
      <c r="B569">
        <v>22466720</v>
      </c>
      <c r="C569">
        <v>4</v>
      </c>
      <c r="D569" t="str">
        <f t="shared" si="20"/>
        <v>04</v>
      </c>
      <c r="E569" t="str">
        <f>VLOOKUP(B569,'HOGARES-ENDLINE'!$A:$B,2,FALSE)</f>
        <v>00030401</v>
      </c>
      <c r="F569" s="6" t="str">
        <f t="shared" si="19"/>
        <v>0003040104</v>
      </c>
    </row>
    <row r="570" spans="1:6" x14ac:dyDescent="0.3">
      <c r="A570" s="6" t="s">
        <v>1412</v>
      </c>
      <c r="B570">
        <v>22467946</v>
      </c>
      <c r="C570">
        <v>3</v>
      </c>
      <c r="D570" t="str">
        <f t="shared" si="20"/>
        <v>03</v>
      </c>
      <c r="E570" t="str">
        <f>VLOOKUP(B570,'HOGARES-ENDLINE'!$A:$B,2,FALSE)</f>
        <v>01030402</v>
      </c>
      <c r="F570" s="6" t="str">
        <f t="shared" si="19"/>
        <v>0103040203</v>
      </c>
    </row>
    <row r="571" spans="1:6" x14ac:dyDescent="0.3">
      <c r="A571" s="6" t="s">
        <v>1410</v>
      </c>
      <c r="B571">
        <v>22467946</v>
      </c>
      <c r="C571">
        <v>1</v>
      </c>
      <c r="D571" t="str">
        <f t="shared" si="20"/>
        <v>01</v>
      </c>
      <c r="E571" t="str">
        <f>VLOOKUP(B571,'HOGARES-ENDLINE'!$A:$B,2,FALSE)</f>
        <v>01030402</v>
      </c>
      <c r="F571" s="6" t="str">
        <f t="shared" si="19"/>
        <v>0103040201</v>
      </c>
    </row>
    <row r="572" spans="1:6" x14ac:dyDescent="0.3">
      <c r="A572" s="6" t="s">
        <v>1411</v>
      </c>
      <c r="B572">
        <v>22467946</v>
      </c>
      <c r="C572">
        <v>2</v>
      </c>
      <c r="D572" t="str">
        <f t="shared" si="20"/>
        <v>02</v>
      </c>
      <c r="E572" t="str">
        <f>VLOOKUP(B572,'HOGARES-ENDLINE'!$A:$B,2,FALSE)</f>
        <v>01030402</v>
      </c>
      <c r="F572" s="6" t="str">
        <f t="shared" si="19"/>
        <v>0103040202</v>
      </c>
    </row>
    <row r="573" spans="1:6" x14ac:dyDescent="0.3">
      <c r="A573" s="6" t="s">
        <v>1413</v>
      </c>
      <c r="B573">
        <v>22468227</v>
      </c>
      <c r="C573">
        <v>1</v>
      </c>
      <c r="D573" t="str">
        <f t="shared" si="20"/>
        <v>01</v>
      </c>
      <c r="E573" t="str">
        <f>VLOOKUP(B573,'HOGARES-ENDLINE'!$A:$B,2,FALSE)</f>
        <v>00030403</v>
      </c>
      <c r="F573" s="6" t="str">
        <f t="shared" si="19"/>
        <v>0003040301</v>
      </c>
    </row>
    <row r="574" spans="1:6" x14ac:dyDescent="0.3">
      <c r="A574" s="6" t="s">
        <v>1414</v>
      </c>
      <c r="B574">
        <v>22474518</v>
      </c>
      <c r="C574">
        <v>2</v>
      </c>
      <c r="D574" t="str">
        <f t="shared" si="20"/>
        <v>02</v>
      </c>
      <c r="E574" t="str">
        <f>VLOOKUP(B574,'HOGARES-ENDLINE'!$A:$B,2,FALSE)</f>
        <v>00030404</v>
      </c>
      <c r="F574" s="6" t="str">
        <f t="shared" si="19"/>
        <v>0003040402</v>
      </c>
    </row>
    <row r="575" spans="1:6" x14ac:dyDescent="0.3">
      <c r="A575" s="6" t="s">
        <v>1415</v>
      </c>
      <c r="B575">
        <v>22474518</v>
      </c>
      <c r="C575">
        <v>1</v>
      </c>
      <c r="D575" t="str">
        <f t="shared" si="20"/>
        <v>01</v>
      </c>
      <c r="E575" t="str">
        <f>VLOOKUP(B575,'HOGARES-ENDLINE'!$A:$B,2,FALSE)</f>
        <v>00030404</v>
      </c>
      <c r="F575" s="6" t="str">
        <f t="shared" si="19"/>
        <v>0003040401</v>
      </c>
    </row>
    <row r="576" spans="1:6" x14ac:dyDescent="0.3">
      <c r="A576" s="6" t="s">
        <v>5148</v>
      </c>
      <c r="B576">
        <v>22478356</v>
      </c>
      <c r="C576">
        <v>7</v>
      </c>
      <c r="D576" t="str">
        <f t="shared" si="20"/>
        <v>07</v>
      </c>
      <c r="E576" t="str">
        <f>VLOOKUP(B576,'HOGARES-ENDLINE'!$A:$B,2,FALSE)</f>
        <v>00030405</v>
      </c>
      <c r="F576" s="6" t="str">
        <f t="shared" si="19"/>
        <v>0003040507</v>
      </c>
    </row>
    <row r="577" spans="1:6" x14ac:dyDescent="0.3">
      <c r="A577" s="6" t="s">
        <v>1417</v>
      </c>
      <c r="B577">
        <v>22478356</v>
      </c>
      <c r="C577">
        <v>4</v>
      </c>
      <c r="D577" t="str">
        <f t="shared" si="20"/>
        <v>04</v>
      </c>
      <c r="E577" t="str">
        <f>VLOOKUP(B577,'HOGARES-ENDLINE'!$A:$B,2,FALSE)</f>
        <v>00030405</v>
      </c>
      <c r="F577" s="6" t="str">
        <f t="shared" si="19"/>
        <v>0003040504</v>
      </c>
    </row>
    <row r="578" spans="1:6" x14ac:dyDescent="0.3">
      <c r="A578" s="6" t="s">
        <v>1419</v>
      </c>
      <c r="B578">
        <v>22478356</v>
      </c>
      <c r="C578">
        <v>3</v>
      </c>
      <c r="D578" t="str">
        <f t="shared" si="20"/>
        <v>03</v>
      </c>
      <c r="E578" t="str">
        <f>VLOOKUP(B578,'HOGARES-ENDLINE'!$A:$B,2,FALSE)</f>
        <v>00030405</v>
      </c>
      <c r="F578" s="6" t="str">
        <f t="shared" si="19"/>
        <v>0003040503</v>
      </c>
    </row>
    <row r="579" spans="1:6" x14ac:dyDescent="0.3">
      <c r="A579" s="6" t="s">
        <v>5149</v>
      </c>
      <c r="B579">
        <v>22478356</v>
      </c>
      <c r="C579">
        <v>6</v>
      </c>
      <c r="D579" t="str">
        <f t="shared" si="20"/>
        <v>06</v>
      </c>
      <c r="E579" t="str">
        <f>VLOOKUP(B579,'HOGARES-ENDLINE'!$A:$B,2,FALSE)</f>
        <v>00030405</v>
      </c>
      <c r="F579" s="6" t="str">
        <f t="shared" ref="F579:F642" si="21">_xlfn.CONCAT(E579,D579)</f>
        <v>0003040506</v>
      </c>
    </row>
    <row r="580" spans="1:6" x14ac:dyDescent="0.3">
      <c r="A580" s="6" t="s">
        <v>5150</v>
      </c>
      <c r="B580">
        <v>22478356</v>
      </c>
      <c r="C580">
        <v>5</v>
      </c>
      <c r="D580" t="str">
        <f t="shared" si="20"/>
        <v>05</v>
      </c>
      <c r="E580" t="str">
        <f>VLOOKUP(B580,'HOGARES-ENDLINE'!$A:$B,2,FALSE)</f>
        <v>00030405</v>
      </c>
      <c r="F580" s="6" t="str">
        <f t="shared" si="21"/>
        <v>0003040505</v>
      </c>
    </row>
    <row r="581" spans="1:6" x14ac:dyDescent="0.3">
      <c r="A581" s="6" t="s">
        <v>1418</v>
      </c>
      <c r="B581">
        <v>22478356</v>
      </c>
      <c r="C581">
        <v>1</v>
      </c>
      <c r="D581" t="str">
        <f t="shared" si="20"/>
        <v>01</v>
      </c>
      <c r="E581" t="str">
        <f>VLOOKUP(B581,'HOGARES-ENDLINE'!$A:$B,2,FALSE)</f>
        <v>00030405</v>
      </c>
      <c r="F581" s="6" t="str">
        <f t="shared" si="21"/>
        <v>0003040501</v>
      </c>
    </row>
    <row r="582" spans="1:6" x14ac:dyDescent="0.3">
      <c r="A582" s="6" t="s">
        <v>1416</v>
      </c>
      <c r="B582">
        <v>22478356</v>
      </c>
      <c r="C582">
        <v>2</v>
      </c>
      <c r="D582" t="str">
        <f t="shared" si="20"/>
        <v>02</v>
      </c>
      <c r="E582" t="str">
        <f>VLOOKUP(B582,'HOGARES-ENDLINE'!$A:$B,2,FALSE)</f>
        <v>00030405</v>
      </c>
      <c r="F582" s="6" t="str">
        <f t="shared" si="21"/>
        <v>0003040502</v>
      </c>
    </row>
    <row r="583" spans="1:6" x14ac:dyDescent="0.3">
      <c r="A583" s="6" t="s">
        <v>5151</v>
      </c>
      <c r="B583">
        <v>22502121</v>
      </c>
      <c r="C583">
        <v>6</v>
      </c>
      <c r="D583" t="str">
        <f t="shared" si="20"/>
        <v>06</v>
      </c>
      <c r="E583" t="str">
        <f>VLOOKUP(B583,'HOGARES-ENDLINE'!$A:$B,2,FALSE)</f>
        <v>01030406</v>
      </c>
      <c r="F583" s="6" t="str">
        <f t="shared" si="21"/>
        <v>0103040606</v>
      </c>
    </row>
    <row r="584" spans="1:6" x14ac:dyDescent="0.3">
      <c r="A584" s="6" t="s">
        <v>5152</v>
      </c>
      <c r="B584">
        <v>22502121</v>
      </c>
      <c r="C584">
        <v>5</v>
      </c>
      <c r="D584" t="str">
        <f t="shared" si="20"/>
        <v>05</v>
      </c>
      <c r="E584" t="str">
        <f>VLOOKUP(B584,'HOGARES-ENDLINE'!$A:$B,2,FALSE)</f>
        <v>01030406</v>
      </c>
      <c r="F584" s="6" t="str">
        <f t="shared" si="21"/>
        <v>0103040605</v>
      </c>
    </row>
    <row r="585" spans="1:6" x14ac:dyDescent="0.3">
      <c r="A585" s="6" t="s">
        <v>5153</v>
      </c>
      <c r="B585">
        <v>22502121</v>
      </c>
      <c r="C585">
        <v>9</v>
      </c>
      <c r="D585" t="str">
        <f t="shared" si="20"/>
        <v>09</v>
      </c>
      <c r="E585" t="str">
        <f>VLOOKUP(B585,'HOGARES-ENDLINE'!$A:$B,2,FALSE)</f>
        <v>01030406</v>
      </c>
      <c r="F585" s="6" t="str">
        <f t="shared" si="21"/>
        <v>0103040609</v>
      </c>
    </row>
    <row r="586" spans="1:6" x14ac:dyDescent="0.3">
      <c r="A586" s="6" t="s">
        <v>5154</v>
      </c>
      <c r="B586">
        <v>22502121</v>
      </c>
      <c r="C586">
        <v>7</v>
      </c>
      <c r="D586" t="str">
        <f t="shared" si="20"/>
        <v>07</v>
      </c>
      <c r="E586" t="str">
        <f>VLOOKUP(B586,'HOGARES-ENDLINE'!$A:$B,2,FALSE)</f>
        <v>01030406</v>
      </c>
      <c r="F586" s="6" t="str">
        <f t="shared" si="21"/>
        <v>0103040607</v>
      </c>
    </row>
    <row r="587" spans="1:6" x14ac:dyDescent="0.3">
      <c r="A587" s="6" t="s">
        <v>1422</v>
      </c>
      <c r="B587">
        <v>22502121</v>
      </c>
      <c r="C587">
        <v>3</v>
      </c>
      <c r="D587" t="str">
        <f t="shared" si="20"/>
        <v>03</v>
      </c>
      <c r="E587" t="str">
        <f>VLOOKUP(B587,'HOGARES-ENDLINE'!$A:$B,2,FALSE)</f>
        <v>01030406</v>
      </c>
      <c r="F587" s="6" t="str">
        <f t="shared" si="21"/>
        <v>0103040603</v>
      </c>
    </row>
    <row r="588" spans="1:6" x14ac:dyDescent="0.3">
      <c r="A588" s="6" t="s">
        <v>5155</v>
      </c>
      <c r="B588">
        <v>22502121</v>
      </c>
      <c r="C588">
        <v>8</v>
      </c>
      <c r="D588" t="str">
        <f t="shared" si="20"/>
        <v>08</v>
      </c>
      <c r="E588" t="str">
        <f>VLOOKUP(B588,'HOGARES-ENDLINE'!$A:$B,2,FALSE)</f>
        <v>01030406</v>
      </c>
      <c r="F588" s="6" t="str">
        <f t="shared" si="21"/>
        <v>0103040608</v>
      </c>
    </row>
    <row r="589" spans="1:6" x14ac:dyDescent="0.3">
      <c r="A589" s="6" t="s">
        <v>1423</v>
      </c>
      <c r="B589">
        <v>22502121</v>
      </c>
      <c r="C589">
        <v>4</v>
      </c>
      <c r="D589" t="str">
        <f t="shared" si="20"/>
        <v>04</v>
      </c>
      <c r="E589" t="str">
        <f>VLOOKUP(B589,'HOGARES-ENDLINE'!$A:$B,2,FALSE)</f>
        <v>01030406</v>
      </c>
      <c r="F589" s="6" t="str">
        <f t="shared" si="21"/>
        <v>0103040604</v>
      </c>
    </row>
    <row r="590" spans="1:6" x14ac:dyDescent="0.3">
      <c r="A590" s="6" t="s">
        <v>1421</v>
      </c>
      <c r="B590">
        <v>22502121</v>
      </c>
      <c r="C590">
        <v>1</v>
      </c>
      <c r="D590" t="str">
        <f t="shared" si="20"/>
        <v>01</v>
      </c>
      <c r="E590" t="str">
        <f>VLOOKUP(B590,'HOGARES-ENDLINE'!$A:$B,2,FALSE)</f>
        <v>01030406</v>
      </c>
      <c r="F590" s="6" t="str">
        <f t="shared" si="21"/>
        <v>0103040601</v>
      </c>
    </row>
    <row r="591" spans="1:6" x14ac:dyDescent="0.3">
      <c r="A591" s="6" t="s">
        <v>1420</v>
      </c>
      <c r="B591">
        <v>22502121</v>
      </c>
      <c r="C591">
        <v>2</v>
      </c>
      <c r="D591" t="str">
        <f t="shared" si="20"/>
        <v>02</v>
      </c>
      <c r="E591" t="str">
        <f>VLOOKUP(B591,'HOGARES-ENDLINE'!$A:$B,2,FALSE)</f>
        <v>01030406</v>
      </c>
      <c r="F591" s="6" t="str">
        <f t="shared" si="21"/>
        <v>0103040602</v>
      </c>
    </row>
    <row r="592" spans="1:6" x14ac:dyDescent="0.3">
      <c r="A592" s="6" t="s">
        <v>1424</v>
      </c>
      <c r="B592">
        <v>22502647</v>
      </c>
      <c r="C592">
        <v>1</v>
      </c>
      <c r="D592" t="str">
        <f t="shared" si="20"/>
        <v>01</v>
      </c>
      <c r="E592" t="str">
        <f>VLOOKUP(B592,'HOGARES-ENDLINE'!$A:$B,2,FALSE)</f>
        <v>01030407</v>
      </c>
      <c r="F592" s="6" t="str">
        <f t="shared" si="21"/>
        <v>0103040701</v>
      </c>
    </row>
    <row r="593" spans="1:6" x14ac:dyDescent="0.3">
      <c r="A593" s="6" t="s">
        <v>1425</v>
      </c>
      <c r="B593">
        <v>22502647</v>
      </c>
      <c r="C593">
        <v>2</v>
      </c>
      <c r="D593" t="str">
        <f t="shared" si="20"/>
        <v>02</v>
      </c>
      <c r="E593" t="str">
        <f>VLOOKUP(B593,'HOGARES-ENDLINE'!$A:$B,2,FALSE)</f>
        <v>01030407</v>
      </c>
      <c r="F593" s="6" t="str">
        <f t="shared" si="21"/>
        <v>0103040702</v>
      </c>
    </row>
    <row r="594" spans="1:6" x14ac:dyDescent="0.3">
      <c r="A594" s="6" t="s">
        <v>1432</v>
      </c>
      <c r="B594">
        <v>22503243</v>
      </c>
      <c r="C594">
        <v>4</v>
      </c>
      <c r="D594" t="str">
        <f t="shared" si="20"/>
        <v>04</v>
      </c>
      <c r="E594" t="str">
        <f>VLOOKUP(B594,'HOGARES-ENDLINE'!$A:$B,2,FALSE)</f>
        <v>01030408</v>
      </c>
      <c r="F594" s="6" t="str">
        <f t="shared" si="21"/>
        <v>0103040804</v>
      </c>
    </row>
    <row r="595" spans="1:6" x14ac:dyDescent="0.3">
      <c r="A595" s="6" t="s">
        <v>1426</v>
      </c>
      <c r="B595">
        <v>22503243</v>
      </c>
      <c r="C595">
        <v>7</v>
      </c>
      <c r="D595" t="str">
        <f t="shared" si="20"/>
        <v>07</v>
      </c>
      <c r="E595" t="str">
        <f>VLOOKUP(B595,'HOGARES-ENDLINE'!$A:$B,2,FALSE)</f>
        <v>01030408</v>
      </c>
      <c r="F595" s="6" t="str">
        <f t="shared" si="21"/>
        <v>0103040807</v>
      </c>
    </row>
    <row r="596" spans="1:6" x14ac:dyDescent="0.3">
      <c r="A596" s="6" t="s">
        <v>1428</v>
      </c>
      <c r="B596">
        <v>22503243</v>
      </c>
      <c r="C596">
        <v>2</v>
      </c>
      <c r="D596" t="str">
        <f t="shared" si="20"/>
        <v>02</v>
      </c>
      <c r="E596" t="str">
        <f>VLOOKUP(B596,'HOGARES-ENDLINE'!$A:$B,2,FALSE)</f>
        <v>01030408</v>
      </c>
      <c r="F596" s="6" t="str">
        <f t="shared" si="21"/>
        <v>0103040802</v>
      </c>
    </row>
    <row r="597" spans="1:6" x14ac:dyDescent="0.3">
      <c r="A597" s="6" t="s">
        <v>1429</v>
      </c>
      <c r="B597">
        <v>22503243</v>
      </c>
      <c r="C597">
        <v>3</v>
      </c>
      <c r="D597" t="str">
        <f t="shared" si="20"/>
        <v>03</v>
      </c>
      <c r="E597" t="str">
        <f>VLOOKUP(B597,'HOGARES-ENDLINE'!$A:$B,2,FALSE)</f>
        <v>01030408</v>
      </c>
      <c r="F597" s="6" t="str">
        <f t="shared" si="21"/>
        <v>0103040803</v>
      </c>
    </row>
    <row r="598" spans="1:6" x14ac:dyDescent="0.3">
      <c r="A598" s="6" t="s">
        <v>1431</v>
      </c>
      <c r="B598">
        <v>22503243</v>
      </c>
      <c r="C598">
        <v>6</v>
      </c>
      <c r="D598" t="str">
        <f t="shared" si="20"/>
        <v>06</v>
      </c>
      <c r="E598" t="str">
        <f>VLOOKUP(B598,'HOGARES-ENDLINE'!$A:$B,2,FALSE)</f>
        <v>01030408</v>
      </c>
      <c r="F598" s="6" t="str">
        <f t="shared" si="21"/>
        <v>0103040806</v>
      </c>
    </row>
    <row r="599" spans="1:6" x14ac:dyDescent="0.3">
      <c r="A599" s="6" t="s">
        <v>1430</v>
      </c>
      <c r="B599">
        <v>22503243</v>
      </c>
      <c r="C599">
        <v>1</v>
      </c>
      <c r="D599" t="str">
        <f t="shared" si="20"/>
        <v>01</v>
      </c>
      <c r="E599" t="str">
        <f>VLOOKUP(B599,'HOGARES-ENDLINE'!$A:$B,2,FALSE)</f>
        <v>01030408</v>
      </c>
      <c r="F599" s="6" t="str">
        <f t="shared" si="21"/>
        <v>0103040801</v>
      </c>
    </row>
    <row r="600" spans="1:6" x14ac:dyDescent="0.3">
      <c r="A600" s="6" t="s">
        <v>5156</v>
      </c>
      <c r="B600">
        <v>22505364</v>
      </c>
      <c r="C600">
        <v>4</v>
      </c>
      <c r="D600" t="str">
        <f t="shared" si="20"/>
        <v>04</v>
      </c>
      <c r="E600" t="str">
        <f>VLOOKUP(B600,'HOGARES-ENDLINE'!$A:$B,2,FALSE)</f>
        <v>01030409</v>
      </c>
      <c r="F600" s="6" t="str">
        <f t="shared" si="21"/>
        <v>0103040904</v>
      </c>
    </row>
    <row r="601" spans="1:6" x14ac:dyDescent="0.3">
      <c r="A601" s="6" t="s">
        <v>1433</v>
      </c>
      <c r="B601">
        <v>22505364</v>
      </c>
      <c r="C601">
        <v>3</v>
      </c>
      <c r="D601" t="str">
        <f t="shared" si="20"/>
        <v>03</v>
      </c>
      <c r="E601" t="str">
        <f>VLOOKUP(B601,'HOGARES-ENDLINE'!$A:$B,2,FALSE)</f>
        <v>01030409</v>
      </c>
      <c r="F601" s="6" t="str">
        <f t="shared" si="21"/>
        <v>0103040903</v>
      </c>
    </row>
    <row r="602" spans="1:6" x14ac:dyDescent="0.3">
      <c r="A602" s="6" t="s">
        <v>1434</v>
      </c>
      <c r="B602">
        <v>22505364</v>
      </c>
      <c r="C602">
        <v>1</v>
      </c>
      <c r="D602" t="str">
        <f t="shared" si="20"/>
        <v>01</v>
      </c>
      <c r="E602" t="str">
        <f>VLOOKUP(B602,'HOGARES-ENDLINE'!$A:$B,2,FALSE)</f>
        <v>01030409</v>
      </c>
      <c r="F602" s="6" t="str">
        <f t="shared" si="21"/>
        <v>0103040901</v>
      </c>
    </row>
    <row r="603" spans="1:6" x14ac:dyDescent="0.3">
      <c r="A603" s="6" t="s">
        <v>1435</v>
      </c>
      <c r="B603">
        <v>22505364</v>
      </c>
      <c r="C603">
        <v>2</v>
      </c>
      <c r="D603" t="str">
        <f t="shared" si="20"/>
        <v>02</v>
      </c>
      <c r="E603" t="str">
        <f>VLOOKUP(B603,'HOGARES-ENDLINE'!$A:$B,2,FALSE)</f>
        <v>01030409</v>
      </c>
      <c r="F603" s="6" t="str">
        <f t="shared" si="21"/>
        <v>0103040902</v>
      </c>
    </row>
    <row r="604" spans="1:6" x14ac:dyDescent="0.3">
      <c r="A604" s="6" t="s">
        <v>5157</v>
      </c>
      <c r="B604">
        <v>22505364</v>
      </c>
      <c r="C604">
        <v>5</v>
      </c>
      <c r="D604" t="str">
        <f t="shared" si="20"/>
        <v>05</v>
      </c>
      <c r="E604" t="str">
        <f>VLOOKUP(B604,'HOGARES-ENDLINE'!$A:$B,2,FALSE)</f>
        <v>01030409</v>
      </c>
      <c r="F604" s="6" t="str">
        <f t="shared" si="21"/>
        <v>0103040905</v>
      </c>
    </row>
    <row r="605" spans="1:6" x14ac:dyDescent="0.3">
      <c r="A605" s="6" t="s">
        <v>1436</v>
      </c>
      <c r="B605">
        <v>22506208</v>
      </c>
      <c r="C605">
        <v>1</v>
      </c>
      <c r="D605" t="str">
        <f t="shared" si="20"/>
        <v>01</v>
      </c>
      <c r="E605" t="str">
        <f>VLOOKUP(B605,'HOGARES-ENDLINE'!$A:$B,2,FALSE)</f>
        <v>00030410</v>
      </c>
      <c r="F605" s="6" t="str">
        <f t="shared" si="21"/>
        <v>0003041001</v>
      </c>
    </row>
    <row r="606" spans="1:6" x14ac:dyDescent="0.3">
      <c r="A606" s="6" t="s">
        <v>1441</v>
      </c>
      <c r="B606">
        <v>22506208</v>
      </c>
      <c r="C606">
        <v>6</v>
      </c>
      <c r="D606" t="str">
        <f t="shared" si="20"/>
        <v>06</v>
      </c>
      <c r="E606" t="str">
        <f>VLOOKUP(B606,'HOGARES-ENDLINE'!$A:$B,2,FALSE)</f>
        <v>00030410</v>
      </c>
      <c r="F606" s="6" t="str">
        <f t="shared" si="21"/>
        <v>0003041006</v>
      </c>
    </row>
    <row r="607" spans="1:6" x14ac:dyDescent="0.3">
      <c r="A607" s="6" t="s">
        <v>1440</v>
      </c>
      <c r="B607">
        <v>22506208</v>
      </c>
      <c r="C607">
        <v>2</v>
      </c>
      <c r="D607" t="str">
        <f t="shared" si="20"/>
        <v>02</v>
      </c>
      <c r="E607" t="str">
        <f>VLOOKUP(B607,'HOGARES-ENDLINE'!$A:$B,2,FALSE)</f>
        <v>00030410</v>
      </c>
      <c r="F607" s="6" t="str">
        <f t="shared" si="21"/>
        <v>0003041002</v>
      </c>
    </row>
    <row r="608" spans="1:6" x14ac:dyDescent="0.3">
      <c r="A608" s="6" t="s">
        <v>1437</v>
      </c>
      <c r="B608">
        <v>22506208</v>
      </c>
      <c r="C608">
        <v>3</v>
      </c>
      <c r="D608" t="str">
        <f t="shared" si="20"/>
        <v>03</v>
      </c>
      <c r="E608" t="str">
        <f>VLOOKUP(B608,'HOGARES-ENDLINE'!$A:$B,2,FALSE)</f>
        <v>00030410</v>
      </c>
      <c r="F608" s="6" t="str">
        <f t="shared" si="21"/>
        <v>0003041003</v>
      </c>
    </row>
    <row r="609" spans="1:6" x14ac:dyDescent="0.3">
      <c r="A609" s="6" t="s">
        <v>1438</v>
      </c>
      <c r="B609">
        <v>22506208</v>
      </c>
      <c r="C609">
        <v>5</v>
      </c>
      <c r="D609" t="str">
        <f t="shared" si="20"/>
        <v>05</v>
      </c>
      <c r="E609" t="str">
        <f>VLOOKUP(B609,'HOGARES-ENDLINE'!$A:$B,2,FALSE)</f>
        <v>00030410</v>
      </c>
      <c r="F609" s="6" t="str">
        <f t="shared" si="21"/>
        <v>0003041005</v>
      </c>
    </row>
    <row r="610" spans="1:6" x14ac:dyDescent="0.3">
      <c r="A610" s="6" t="s">
        <v>1439</v>
      </c>
      <c r="B610">
        <v>22506208</v>
      </c>
      <c r="C610">
        <v>4</v>
      </c>
      <c r="D610" t="str">
        <f t="shared" si="20"/>
        <v>04</v>
      </c>
      <c r="E610" t="str">
        <f>VLOOKUP(B610,'HOGARES-ENDLINE'!$A:$B,2,FALSE)</f>
        <v>00030410</v>
      </c>
      <c r="F610" s="6" t="str">
        <f t="shared" si="21"/>
        <v>0003041004</v>
      </c>
    </row>
    <row r="611" spans="1:6" x14ac:dyDescent="0.3">
      <c r="A611" s="6" t="s">
        <v>1442</v>
      </c>
      <c r="B611">
        <v>22506504</v>
      </c>
      <c r="C611">
        <v>1</v>
      </c>
      <c r="D611" t="str">
        <f t="shared" si="20"/>
        <v>01</v>
      </c>
      <c r="E611" t="str">
        <f>VLOOKUP(B611,'HOGARES-ENDLINE'!$A:$B,2,FALSE)</f>
        <v>00030411</v>
      </c>
      <c r="F611" s="6" t="str">
        <f t="shared" si="21"/>
        <v>0003041101</v>
      </c>
    </row>
    <row r="612" spans="1:6" x14ac:dyDescent="0.3">
      <c r="A612" s="6" t="s">
        <v>5158</v>
      </c>
      <c r="B612">
        <v>22518128</v>
      </c>
      <c r="C612">
        <v>8</v>
      </c>
      <c r="D612" t="str">
        <f t="shared" si="20"/>
        <v>08</v>
      </c>
      <c r="E612" t="str">
        <f>VLOOKUP(B612,'HOGARES-ENDLINE'!$A:$B,2,FALSE)</f>
        <v>01030412</v>
      </c>
      <c r="F612" s="6" t="str">
        <f t="shared" si="21"/>
        <v>0103041208</v>
      </c>
    </row>
    <row r="613" spans="1:6" x14ac:dyDescent="0.3">
      <c r="A613" s="6" t="s">
        <v>1446</v>
      </c>
      <c r="B613">
        <v>22518128</v>
      </c>
      <c r="C613">
        <v>4</v>
      </c>
      <c r="D613" t="str">
        <f t="shared" si="20"/>
        <v>04</v>
      </c>
      <c r="E613" t="str">
        <f>VLOOKUP(B613,'HOGARES-ENDLINE'!$A:$B,2,FALSE)</f>
        <v>01030412</v>
      </c>
      <c r="F613" s="6" t="str">
        <f t="shared" si="21"/>
        <v>0103041204</v>
      </c>
    </row>
    <row r="614" spans="1:6" x14ac:dyDescent="0.3">
      <c r="A614" s="6" t="s">
        <v>5159</v>
      </c>
      <c r="B614">
        <v>22518128</v>
      </c>
      <c r="C614">
        <v>9</v>
      </c>
      <c r="D614" t="str">
        <f t="shared" si="20"/>
        <v>09</v>
      </c>
      <c r="E614" t="str">
        <f>VLOOKUP(B614,'HOGARES-ENDLINE'!$A:$B,2,FALSE)</f>
        <v>01030412</v>
      </c>
      <c r="F614" s="6" t="str">
        <f t="shared" si="21"/>
        <v>0103041209</v>
      </c>
    </row>
    <row r="615" spans="1:6" x14ac:dyDescent="0.3">
      <c r="A615" s="6" t="s">
        <v>5160</v>
      </c>
      <c r="B615">
        <v>22518128</v>
      </c>
      <c r="C615">
        <v>7</v>
      </c>
      <c r="D615" t="str">
        <f t="shared" si="20"/>
        <v>07</v>
      </c>
      <c r="E615" t="str">
        <f>VLOOKUP(B615,'HOGARES-ENDLINE'!$A:$B,2,FALSE)</f>
        <v>01030412</v>
      </c>
      <c r="F615" s="6" t="str">
        <f t="shared" si="21"/>
        <v>0103041207</v>
      </c>
    </row>
    <row r="616" spans="1:6" x14ac:dyDescent="0.3">
      <c r="A616" s="6" t="s">
        <v>5161</v>
      </c>
      <c r="B616">
        <v>22518128</v>
      </c>
      <c r="C616">
        <v>5</v>
      </c>
      <c r="D616" t="str">
        <f t="shared" si="20"/>
        <v>05</v>
      </c>
      <c r="E616" t="str">
        <f>VLOOKUP(B616,'HOGARES-ENDLINE'!$A:$B,2,FALSE)</f>
        <v>01030412</v>
      </c>
      <c r="F616" s="6" t="str">
        <f t="shared" si="21"/>
        <v>0103041205</v>
      </c>
    </row>
    <row r="617" spans="1:6" x14ac:dyDescent="0.3">
      <c r="A617" s="6" t="s">
        <v>1445</v>
      </c>
      <c r="B617">
        <v>22518128</v>
      </c>
      <c r="C617">
        <v>1</v>
      </c>
      <c r="D617" t="str">
        <f t="shared" si="20"/>
        <v>01</v>
      </c>
      <c r="E617" t="str">
        <f>VLOOKUP(B617,'HOGARES-ENDLINE'!$A:$B,2,FALSE)</f>
        <v>01030412</v>
      </c>
      <c r="F617" s="6" t="str">
        <f t="shared" si="21"/>
        <v>0103041201</v>
      </c>
    </row>
    <row r="618" spans="1:6" x14ac:dyDescent="0.3">
      <c r="A618" s="6" t="s">
        <v>5162</v>
      </c>
      <c r="B618">
        <v>22518128</v>
      </c>
      <c r="C618">
        <v>6</v>
      </c>
      <c r="D618" t="str">
        <f t="shared" si="20"/>
        <v>06</v>
      </c>
      <c r="E618" t="str">
        <f>VLOOKUP(B618,'HOGARES-ENDLINE'!$A:$B,2,FALSE)</f>
        <v>01030412</v>
      </c>
      <c r="F618" s="6" t="str">
        <f t="shared" si="21"/>
        <v>0103041206</v>
      </c>
    </row>
    <row r="619" spans="1:6" x14ac:dyDescent="0.3">
      <c r="A619" s="6" t="s">
        <v>1444</v>
      </c>
      <c r="B619">
        <v>22518128</v>
      </c>
      <c r="C619">
        <v>2</v>
      </c>
      <c r="D619" t="str">
        <f t="shared" si="20"/>
        <v>02</v>
      </c>
      <c r="E619" t="str">
        <f>VLOOKUP(B619,'HOGARES-ENDLINE'!$A:$B,2,FALSE)</f>
        <v>01030412</v>
      </c>
      <c r="F619" s="6" t="str">
        <f t="shared" si="21"/>
        <v>0103041202</v>
      </c>
    </row>
    <row r="620" spans="1:6" x14ac:dyDescent="0.3">
      <c r="A620" s="6" t="s">
        <v>1447</v>
      </c>
      <c r="B620">
        <v>22527893</v>
      </c>
      <c r="C620">
        <v>1</v>
      </c>
      <c r="D620" t="str">
        <f t="shared" si="20"/>
        <v>01</v>
      </c>
      <c r="E620" t="str">
        <f>VLOOKUP(B620,'HOGARES-ENDLINE'!$A:$B,2,FALSE)</f>
        <v>00030413</v>
      </c>
      <c r="F620" s="6" t="str">
        <f t="shared" si="21"/>
        <v>0003041301</v>
      </c>
    </row>
    <row r="621" spans="1:6" x14ac:dyDescent="0.3">
      <c r="A621" s="6" t="s">
        <v>1449</v>
      </c>
      <c r="B621">
        <v>22532457</v>
      </c>
      <c r="C621">
        <v>2</v>
      </c>
      <c r="D621" t="str">
        <f t="shared" si="20"/>
        <v>02</v>
      </c>
      <c r="E621" t="str">
        <f>VLOOKUP(B621,'HOGARES-ENDLINE'!$A:$B,2,FALSE)</f>
        <v>01030414</v>
      </c>
      <c r="F621" s="6" t="str">
        <f t="shared" si="21"/>
        <v>0103041402</v>
      </c>
    </row>
    <row r="622" spans="1:6" x14ac:dyDescent="0.3">
      <c r="A622" s="6" t="s">
        <v>1448</v>
      </c>
      <c r="B622">
        <v>22532457</v>
      </c>
      <c r="C622">
        <v>4</v>
      </c>
      <c r="D622" t="str">
        <f t="shared" si="20"/>
        <v>04</v>
      </c>
      <c r="E622" t="str">
        <f>VLOOKUP(B622,'HOGARES-ENDLINE'!$A:$B,2,FALSE)</f>
        <v>01030414</v>
      </c>
      <c r="F622" s="6" t="str">
        <f t="shared" si="21"/>
        <v>0103041404</v>
      </c>
    </row>
    <row r="623" spans="1:6" x14ac:dyDescent="0.3">
      <c r="A623" s="6" t="s">
        <v>1450</v>
      </c>
      <c r="B623">
        <v>22532457</v>
      </c>
      <c r="C623">
        <v>3</v>
      </c>
      <c r="D623" t="str">
        <f t="shared" si="20"/>
        <v>03</v>
      </c>
      <c r="E623" t="str">
        <f>VLOOKUP(B623,'HOGARES-ENDLINE'!$A:$B,2,FALSE)</f>
        <v>01030414</v>
      </c>
      <c r="F623" s="6" t="str">
        <f t="shared" si="21"/>
        <v>0103041403</v>
      </c>
    </row>
    <row r="624" spans="1:6" x14ac:dyDescent="0.3">
      <c r="A624" s="6" t="s">
        <v>1451</v>
      </c>
      <c r="B624">
        <v>22532457</v>
      </c>
      <c r="C624">
        <v>1</v>
      </c>
      <c r="D624" t="str">
        <f t="shared" si="20"/>
        <v>01</v>
      </c>
      <c r="E624" t="str">
        <f>VLOOKUP(B624,'HOGARES-ENDLINE'!$A:$B,2,FALSE)</f>
        <v>01030414</v>
      </c>
      <c r="F624" s="6" t="str">
        <f t="shared" si="21"/>
        <v>0103041401</v>
      </c>
    </row>
    <row r="625" spans="1:6" x14ac:dyDescent="0.3">
      <c r="A625" s="6" t="s">
        <v>1453</v>
      </c>
      <c r="B625">
        <v>22532796</v>
      </c>
      <c r="C625">
        <v>1</v>
      </c>
      <c r="D625" t="str">
        <f t="shared" si="20"/>
        <v>01</v>
      </c>
      <c r="E625" t="str">
        <f>VLOOKUP(B625,'HOGARES-ENDLINE'!$A:$B,2,FALSE)</f>
        <v>00030415</v>
      </c>
      <c r="F625" s="6" t="str">
        <f t="shared" si="21"/>
        <v>0003041501</v>
      </c>
    </row>
    <row r="626" spans="1:6" x14ac:dyDescent="0.3">
      <c r="A626" s="6" t="s">
        <v>1452</v>
      </c>
      <c r="B626">
        <v>22532796</v>
      </c>
      <c r="C626">
        <v>2</v>
      </c>
      <c r="D626" t="str">
        <f t="shared" si="20"/>
        <v>02</v>
      </c>
      <c r="E626" t="str">
        <f>VLOOKUP(B626,'HOGARES-ENDLINE'!$A:$B,2,FALSE)</f>
        <v>00030415</v>
      </c>
      <c r="F626" s="6" t="str">
        <f t="shared" si="21"/>
        <v>0003041502</v>
      </c>
    </row>
    <row r="627" spans="1:6" x14ac:dyDescent="0.3">
      <c r="A627" s="6" t="s">
        <v>1454</v>
      </c>
      <c r="B627">
        <v>22548648</v>
      </c>
      <c r="C627">
        <v>1</v>
      </c>
      <c r="D627" t="str">
        <f t="shared" si="20"/>
        <v>01</v>
      </c>
      <c r="E627" t="str">
        <f>VLOOKUP(B627,'HOGARES-ENDLINE'!$A:$B,2,FALSE)</f>
        <v>01030416</v>
      </c>
      <c r="F627" s="6" t="str">
        <f t="shared" si="21"/>
        <v>0103041601</v>
      </c>
    </row>
    <row r="628" spans="1:6" x14ac:dyDescent="0.3">
      <c r="A628" s="6" t="s">
        <v>1456</v>
      </c>
      <c r="B628">
        <v>22548648</v>
      </c>
      <c r="C628">
        <v>2</v>
      </c>
      <c r="D628" t="str">
        <f t="shared" si="20"/>
        <v>02</v>
      </c>
      <c r="E628" t="str">
        <f>VLOOKUP(B628,'HOGARES-ENDLINE'!$A:$B,2,FALSE)</f>
        <v>01030416</v>
      </c>
      <c r="F628" s="6" t="str">
        <f t="shared" si="21"/>
        <v>0103041602</v>
      </c>
    </row>
    <row r="629" spans="1:6" x14ac:dyDescent="0.3">
      <c r="A629" s="6" t="s">
        <v>1455</v>
      </c>
      <c r="B629">
        <v>22548648</v>
      </c>
      <c r="C629">
        <v>3</v>
      </c>
      <c r="D629" t="str">
        <f t="shared" si="20"/>
        <v>03</v>
      </c>
      <c r="E629" t="str">
        <f>VLOOKUP(B629,'HOGARES-ENDLINE'!$A:$B,2,FALSE)</f>
        <v>01030416</v>
      </c>
      <c r="F629" s="6" t="str">
        <f t="shared" si="21"/>
        <v>0103041603</v>
      </c>
    </row>
    <row r="630" spans="1:6" x14ac:dyDescent="0.3">
      <c r="A630" s="6" t="s">
        <v>1457</v>
      </c>
      <c r="B630">
        <v>22563805</v>
      </c>
      <c r="C630">
        <v>1</v>
      </c>
      <c r="D630" t="str">
        <f t="shared" si="20"/>
        <v>01</v>
      </c>
      <c r="E630" t="str">
        <f>VLOOKUP(B630,'HOGARES-ENDLINE'!$A:$B,2,FALSE)</f>
        <v>00030417</v>
      </c>
      <c r="F630" s="6" t="str">
        <f t="shared" si="21"/>
        <v>0003041701</v>
      </c>
    </row>
    <row r="631" spans="1:6" x14ac:dyDescent="0.3">
      <c r="A631" s="6" t="s">
        <v>1458</v>
      </c>
      <c r="B631">
        <v>22564910</v>
      </c>
      <c r="C631">
        <v>1</v>
      </c>
      <c r="D631" t="str">
        <f t="shared" ref="D631:D694" si="22">_xlfn.CONCAT(0,C631)</f>
        <v>01</v>
      </c>
      <c r="E631" t="str">
        <f>VLOOKUP(B631,'HOGARES-ENDLINE'!$A:$B,2,FALSE)</f>
        <v>00030418</v>
      </c>
      <c r="F631" s="6" t="str">
        <f t="shared" si="21"/>
        <v>0003041801</v>
      </c>
    </row>
    <row r="632" spans="1:6" x14ac:dyDescent="0.3">
      <c r="A632" s="6" t="s">
        <v>1459</v>
      </c>
      <c r="B632">
        <v>22567435</v>
      </c>
      <c r="C632">
        <v>2</v>
      </c>
      <c r="D632" t="str">
        <f t="shared" si="22"/>
        <v>02</v>
      </c>
      <c r="E632" t="str">
        <f>VLOOKUP(B632,'HOGARES-ENDLINE'!$A:$B,2,FALSE)</f>
        <v>01030419</v>
      </c>
      <c r="F632" s="6" t="str">
        <f t="shared" si="21"/>
        <v>0103041902</v>
      </c>
    </row>
    <row r="633" spans="1:6" x14ac:dyDescent="0.3">
      <c r="A633" s="6" t="s">
        <v>1461</v>
      </c>
      <c r="B633">
        <v>22567435</v>
      </c>
      <c r="C633">
        <v>1</v>
      </c>
      <c r="D633" t="str">
        <f t="shared" si="22"/>
        <v>01</v>
      </c>
      <c r="E633" t="str">
        <f>VLOOKUP(B633,'HOGARES-ENDLINE'!$A:$B,2,FALSE)</f>
        <v>01030419</v>
      </c>
      <c r="F633" s="6" t="str">
        <f t="shared" si="21"/>
        <v>0103041901</v>
      </c>
    </row>
    <row r="634" spans="1:6" x14ac:dyDescent="0.3">
      <c r="A634" s="6" t="s">
        <v>1460</v>
      </c>
      <c r="B634">
        <v>22567435</v>
      </c>
      <c r="C634">
        <v>3</v>
      </c>
      <c r="D634" t="str">
        <f t="shared" si="22"/>
        <v>03</v>
      </c>
      <c r="E634" t="str">
        <f>VLOOKUP(B634,'HOGARES-ENDLINE'!$A:$B,2,FALSE)</f>
        <v>01030419</v>
      </c>
      <c r="F634" s="6" t="str">
        <f t="shared" si="21"/>
        <v>0103041903</v>
      </c>
    </row>
    <row r="635" spans="1:6" x14ac:dyDescent="0.3">
      <c r="A635" s="6" t="s">
        <v>1464</v>
      </c>
      <c r="B635">
        <v>22590461</v>
      </c>
      <c r="C635">
        <v>2</v>
      </c>
      <c r="D635" t="str">
        <f t="shared" si="22"/>
        <v>02</v>
      </c>
      <c r="E635" t="str">
        <f>VLOOKUP(B635,'HOGARES-ENDLINE'!$A:$B,2,FALSE)</f>
        <v>01030420</v>
      </c>
      <c r="F635" s="6" t="str">
        <f t="shared" si="21"/>
        <v>0103042002</v>
      </c>
    </row>
    <row r="636" spans="1:6" x14ac:dyDescent="0.3">
      <c r="A636" s="6" t="s">
        <v>1463</v>
      </c>
      <c r="B636">
        <v>22590461</v>
      </c>
      <c r="C636">
        <v>3</v>
      </c>
      <c r="D636" t="str">
        <f t="shared" si="22"/>
        <v>03</v>
      </c>
      <c r="E636" t="str">
        <f>VLOOKUP(B636,'HOGARES-ENDLINE'!$A:$B,2,FALSE)</f>
        <v>01030420</v>
      </c>
      <c r="F636" s="6" t="str">
        <f t="shared" si="21"/>
        <v>0103042003</v>
      </c>
    </row>
    <row r="637" spans="1:6" x14ac:dyDescent="0.3">
      <c r="A637" s="6" t="s">
        <v>1462</v>
      </c>
      <c r="B637">
        <v>22590461</v>
      </c>
      <c r="C637">
        <v>1</v>
      </c>
      <c r="D637" t="str">
        <f t="shared" si="22"/>
        <v>01</v>
      </c>
      <c r="E637" t="str">
        <f>VLOOKUP(B637,'HOGARES-ENDLINE'!$A:$B,2,FALSE)</f>
        <v>01030420</v>
      </c>
      <c r="F637" s="6" t="str">
        <f t="shared" si="21"/>
        <v>0103042001</v>
      </c>
    </row>
    <row r="638" spans="1:6" x14ac:dyDescent="0.3">
      <c r="A638" s="6" t="s">
        <v>1468</v>
      </c>
      <c r="B638">
        <v>22599446</v>
      </c>
      <c r="C638">
        <v>4</v>
      </c>
      <c r="D638" t="str">
        <f t="shared" si="22"/>
        <v>04</v>
      </c>
      <c r="E638" t="str">
        <f>VLOOKUP(B638,'HOGARES-ENDLINE'!$A:$B,2,FALSE)</f>
        <v>00030421</v>
      </c>
      <c r="F638" s="6" t="str">
        <f t="shared" si="21"/>
        <v>0003042104</v>
      </c>
    </row>
    <row r="639" spans="1:6" x14ac:dyDescent="0.3">
      <c r="A639" s="6" t="s">
        <v>1467</v>
      </c>
      <c r="B639">
        <v>22599446</v>
      </c>
      <c r="C639">
        <v>2</v>
      </c>
      <c r="D639" t="str">
        <f t="shared" si="22"/>
        <v>02</v>
      </c>
      <c r="E639" t="str">
        <f>VLOOKUP(B639,'HOGARES-ENDLINE'!$A:$B,2,FALSE)</f>
        <v>00030421</v>
      </c>
      <c r="F639" s="6" t="str">
        <f t="shared" si="21"/>
        <v>0003042102</v>
      </c>
    </row>
    <row r="640" spans="1:6" x14ac:dyDescent="0.3">
      <c r="A640" s="6" t="s">
        <v>1465</v>
      </c>
      <c r="B640">
        <v>22599446</v>
      </c>
      <c r="C640">
        <v>3</v>
      </c>
      <c r="D640" t="str">
        <f t="shared" si="22"/>
        <v>03</v>
      </c>
      <c r="E640" t="str">
        <f>VLOOKUP(B640,'HOGARES-ENDLINE'!$A:$B,2,FALSE)</f>
        <v>00030421</v>
      </c>
      <c r="F640" s="6" t="str">
        <f t="shared" si="21"/>
        <v>0003042103</v>
      </c>
    </row>
    <row r="641" spans="1:6" x14ac:dyDescent="0.3">
      <c r="A641" s="6" t="s">
        <v>1466</v>
      </c>
      <c r="B641">
        <v>22599446</v>
      </c>
      <c r="C641">
        <v>1</v>
      </c>
      <c r="D641" t="str">
        <f t="shared" si="22"/>
        <v>01</v>
      </c>
      <c r="E641" t="str">
        <f>VLOOKUP(B641,'HOGARES-ENDLINE'!$A:$B,2,FALSE)</f>
        <v>00030421</v>
      </c>
      <c r="F641" s="6" t="str">
        <f t="shared" si="21"/>
        <v>0003042101</v>
      </c>
    </row>
    <row r="642" spans="1:6" x14ac:dyDescent="0.3">
      <c r="A642" s="6" t="s">
        <v>1471</v>
      </c>
      <c r="B642">
        <v>22645705</v>
      </c>
      <c r="C642">
        <v>2</v>
      </c>
      <c r="D642" t="str">
        <f t="shared" si="22"/>
        <v>02</v>
      </c>
      <c r="E642" t="str">
        <f>VLOOKUP(B642,'HOGARES-ENDLINE'!$A:$B,2,FALSE)</f>
        <v>00030422</v>
      </c>
      <c r="F642" s="6" t="str">
        <f t="shared" si="21"/>
        <v>0003042202</v>
      </c>
    </row>
    <row r="643" spans="1:6" x14ac:dyDescent="0.3">
      <c r="A643" s="6" t="s">
        <v>1470</v>
      </c>
      <c r="B643">
        <v>22645705</v>
      </c>
      <c r="C643">
        <v>3</v>
      </c>
      <c r="D643" t="str">
        <f t="shared" si="22"/>
        <v>03</v>
      </c>
      <c r="E643" t="str">
        <f>VLOOKUP(B643,'HOGARES-ENDLINE'!$A:$B,2,FALSE)</f>
        <v>00030422</v>
      </c>
      <c r="F643" s="6" t="str">
        <f t="shared" ref="F643:F706" si="23">_xlfn.CONCAT(E643,D643)</f>
        <v>0003042203</v>
      </c>
    </row>
    <row r="644" spans="1:6" x14ac:dyDescent="0.3">
      <c r="A644" s="6" t="s">
        <v>1469</v>
      </c>
      <c r="B644">
        <v>22645705</v>
      </c>
      <c r="C644">
        <v>1</v>
      </c>
      <c r="D644" t="str">
        <f t="shared" si="22"/>
        <v>01</v>
      </c>
      <c r="E644" t="str">
        <f>VLOOKUP(B644,'HOGARES-ENDLINE'!$A:$B,2,FALSE)</f>
        <v>00030422</v>
      </c>
      <c r="F644" s="6" t="str">
        <f t="shared" si="23"/>
        <v>0003042201</v>
      </c>
    </row>
    <row r="645" spans="1:6" x14ac:dyDescent="0.3">
      <c r="A645" s="6" t="s">
        <v>1476</v>
      </c>
      <c r="B645">
        <v>22645794</v>
      </c>
      <c r="C645">
        <v>5</v>
      </c>
      <c r="D645" t="str">
        <f t="shared" si="22"/>
        <v>05</v>
      </c>
      <c r="E645" t="str">
        <f>VLOOKUP(B645,'HOGARES-ENDLINE'!$A:$B,2,FALSE)</f>
        <v>01030423</v>
      </c>
      <c r="F645" s="6" t="str">
        <f t="shared" si="23"/>
        <v>0103042305</v>
      </c>
    </row>
    <row r="646" spans="1:6" x14ac:dyDescent="0.3">
      <c r="A646" s="6" t="s">
        <v>5163</v>
      </c>
      <c r="B646">
        <v>22645794</v>
      </c>
      <c r="C646">
        <v>6</v>
      </c>
      <c r="D646" t="str">
        <f t="shared" si="22"/>
        <v>06</v>
      </c>
      <c r="E646" t="str">
        <f>VLOOKUP(B646,'HOGARES-ENDLINE'!$A:$B,2,FALSE)</f>
        <v>01030423</v>
      </c>
      <c r="F646" s="6" t="str">
        <f t="shared" si="23"/>
        <v>0103042306</v>
      </c>
    </row>
    <row r="647" spans="1:6" x14ac:dyDescent="0.3">
      <c r="A647" s="6" t="s">
        <v>1474</v>
      </c>
      <c r="B647">
        <v>22645794</v>
      </c>
      <c r="C647">
        <v>2</v>
      </c>
      <c r="D647" t="str">
        <f t="shared" si="22"/>
        <v>02</v>
      </c>
      <c r="E647" t="str">
        <f>VLOOKUP(B647,'HOGARES-ENDLINE'!$A:$B,2,FALSE)</f>
        <v>01030423</v>
      </c>
      <c r="F647" s="6" t="str">
        <f t="shared" si="23"/>
        <v>0103042302</v>
      </c>
    </row>
    <row r="648" spans="1:6" x14ac:dyDescent="0.3">
      <c r="A648" s="6" t="s">
        <v>1475</v>
      </c>
      <c r="B648">
        <v>22645794</v>
      </c>
      <c r="C648">
        <v>4</v>
      </c>
      <c r="D648" t="str">
        <f t="shared" si="22"/>
        <v>04</v>
      </c>
      <c r="E648" t="str">
        <f>VLOOKUP(B648,'HOGARES-ENDLINE'!$A:$B,2,FALSE)</f>
        <v>01030423</v>
      </c>
      <c r="F648" s="6" t="str">
        <f t="shared" si="23"/>
        <v>0103042304</v>
      </c>
    </row>
    <row r="649" spans="1:6" x14ac:dyDescent="0.3">
      <c r="A649" s="6" t="s">
        <v>1473</v>
      </c>
      <c r="B649">
        <v>22645794</v>
      </c>
      <c r="C649">
        <v>1</v>
      </c>
      <c r="D649" t="str">
        <f t="shared" si="22"/>
        <v>01</v>
      </c>
      <c r="E649" t="str">
        <f>VLOOKUP(B649,'HOGARES-ENDLINE'!$A:$B,2,FALSE)</f>
        <v>01030423</v>
      </c>
      <c r="F649" s="6" t="str">
        <f t="shared" si="23"/>
        <v>0103042301</v>
      </c>
    </row>
    <row r="650" spans="1:6" x14ac:dyDescent="0.3">
      <c r="A650" s="6" t="s">
        <v>1472</v>
      </c>
      <c r="B650">
        <v>22645794</v>
      </c>
      <c r="C650">
        <v>3</v>
      </c>
      <c r="D650" t="str">
        <f t="shared" si="22"/>
        <v>03</v>
      </c>
      <c r="E650" t="str">
        <f>VLOOKUP(B650,'HOGARES-ENDLINE'!$A:$B,2,FALSE)</f>
        <v>01030423</v>
      </c>
      <c r="F650" s="6" t="str">
        <f t="shared" si="23"/>
        <v>0103042303</v>
      </c>
    </row>
    <row r="651" spans="1:6" x14ac:dyDescent="0.3">
      <c r="A651" s="6" t="s">
        <v>1478</v>
      </c>
      <c r="B651">
        <v>22646716</v>
      </c>
      <c r="C651">
        <v>1</v>
      </c>
      <c r="D651" t="str">
        <f t="shared" si="22"/>
        <v>01</v>
      </c>
      <c r="E651" t="str">
        <f>VLOOKUP(B651,'HOGARES-ENDLINE'!$A:$B,2,FALSE)</f>
        <v>01030424</v>
      </c>
      <c r="F651" s="6" t="str">
        <f t="shared" si="23"/>
        <v>0103042401</v>
      </c>
    </row>
    <row r="652" spans="1:6" x14ac:dyDescent="0.3">
      <c r="A652" s="6" t="s">
        <v>5164</v>
      </c>
      <c r="B652">
        <v>22646716</v>
      </c>
      <c r="C652">
        <v>5</v>
      </c>
      <c r="D652" t="str">
        <f t="shared" si="22"/>
        <v>05</v>
      </c>
      <c r="E652" t="str">
        <f>VLOOKUP(B652,'HOGARES-ENDLINE'!$A:$B,2,FALSE)</f>
        <v>01030424</v>
      </c>
      <c r="F652" s="6" t="str">
        <f t="shared" si="23"/>
        <v>0103042405</v>
      </c>
    </row>
    <row r="653" spans="1:6" x14ac:dyDescent="0.3">
      <c r="A653" s="6" t="s">
        <v>1480</v>
      </c>
      <c r="B653">
        <v>22646716</v>
      </c>
      <c r="C653">
        <v>3</v>
      </c>
      <c r="D653" t="str">
        <f t="shared" si="22"/>
        <v>03</v>
      </c>
      <c r="E653" t="str">
        <f>VLOOKUP(B653,'HOGARES-ENDLINE'!$A:$B,2,FALSE)</f>
        <v>01030424</v>
      </c>
      <c r="F653" s="6" t="str">
        <f t="shared" si="23"/>
        <v>0103042403</v>
      </c>
    </row>
    <row r="654" spans="1:6" x14ac:dyDescent="0.3">
      <c r="A654" s="6" t="s">
        <v>1477</v>
      </c>
      <c r="B654">
        <v>22646716</v>
      </c>
      <c r="C654">
        <v>4</v>
      </c>
      <c r="D654" t="str">
        <f t="shared" si="22"/>
        <v>04</v>
      </c>
      <c r="E654" t="str">
        <f>VLOOKUP(B654,'HOGARES-ENDLINE'!$A:$B,2,FALSE)</f>
        <v>01030424</v>
      </c>
      <c r="F654" s="6" t="str">
        <f t="shared" si="23"/>
        <v>0103042404</v>
      </c>
    </row>
    <row r="655" spans="1:6" x14ac:dyDescent="0.3">
      <c r="A655" s="6" t="s">
        <v>1479</v>
      </c>
      <c r="B655">
        <v>22646716</v>
      </c>
      <c r="C655">
        <v>2</v>
      </c>
      <c r="D655" t="str">
        <f t="shared" si="22"/>
        <v>02</v>
      </c>
      <c r="E655" t="str">
        <f>VLOOKUP(B655,'HOGARES-ENDLINE'!$A:$B,2,FALSE)</f>
        <v>01030424</v>
      </c>
      <c r="F655" s="6" t="str">
        <f t="shared" si="23"/>
        <v>0103042402</v>
      </c>
    </row>
    <row r="656" spans="1:6" x14ac:dyDescent="0.3">
      <c r="A656" s="6" t="s">
        <v>5165</v>
      </c>
      <c r="B656">
        <v>22646716</v>
      </c>
      <c r="C656">
        <v>6</v>
      </c>
      <c r="D656" t="str">
        <f t="shared" si="22"/>
        <v>06</v>
      </c>
      <c r="E656" t="str">
        <f>VLOOKUP(B656,'HOGARES-ENDLINE'!$A:$B,2,FALSE)</f>
        <v>01030424</v>
      </c>
      <c r="F656" s="6" t="str">
        <f t="shared" si="23"/>
        <v>0103042406</v>
      </c>
    </row>
    <row r="657" spans="1:6" x14ac:dyDescent="0.3">
      <c r="A657" s="6" t="s">
        <v>5166</v>
      </c>
      <c r="B657">
        <v>22646716</v>
      </c>
      <c r="C657">
        <v>7</v>
      </c>
      <c r="D657" t="str">
        <f t="shared" si="22"/>
        <v>07</v>
      </c>
      <c r="E657" t="str">
        <f>VLOOKUP(B657,'HOGARES-ENDLINE'!$A:$B,2,FALSE)</f>
        <v>01030424</v>
      </c>
      <c r="F657" s="6" t="str">
        <f t="shared" si="23"/>
        <v>0103042407</v>
      </c>
    </row>
    <row r="658" spans="1:6" x14ac:dyDescent="0.3">
      <c r="A658" s="6" t="s">
        <v>1481</v>
      </c>
      <c r="B658">
        <v>22648878</v>
      </c>
      <c r="C658">
        <v>1</v>
      </c>
      <c r="D658" t="str">
        <f t="shared" si="22"/>
        <v>01</v>
      </c>
      <c r="E658" t="str">
        <f>VLOOKUP(B658,'HOGARES-ENDLINE'!$A:$B,2,FALSE)</f>
        <v>01030425</v>
      </c>
      <c r="F658" s="6" t="str">
        <f t="shared" si="23"/>
        <v>0103042501</v>
      </c>
    </row>
    <row r="659" spans="1:6" x14ac:dyDescent="0.3">
      <c r="A659" s="6" t="s">
        <v>1482</v>
      </c>
      <c r="B659">
        <v>22648878</v>
      </c>
      <c r="C659">
        <v>2</v>
      </c>
      <c r="D659" t="str">
        <f t="shared" si="22"/>
        <v>02</v>
      </c>
      <c r="E659" t="str">
        <f>VLOOKUP(B659,'HOGARES-ENDLINE'!$A:$B,2,FALSE)</f>
        <v>01030425</v>
      </c>
      <c r="F659" s="6" t="str">
        <f t="shared" si="23"/>
        <v>0103042502</v>
      </c>
    </row>
    <row r="660" spans="1:6" x14ac:dyDescent="0.3">
      <c r="A660" s="6" t="s">
        <v>1485</v>
      </c>
      <c r="B660">
        <v>22650279</v>
      </c>
      <c r="C660">
        <v>1</v>
      </c>
      <c r="D660" t="str">
        <f t="shared" si="22"/>
        <v>01</v>
      </c>
      <c r="E660" t="str">
        <f>VLOOKUP(B660,'HOGARES-ENDLINE'!$A:$B,2,FALSE)</f>
        <v>00030426</v>
      </c>
      <c r="F660" s="6" t="str">
        <f t="shared" si="23"/>
        <v>0003042601</v>
      </c>
    </row>
    <row r="661" spans="1:6" x14ac:dyDescent="0.3">
      <c r="A661" s="6" t="s">
        <v>1489</v>
      </c>
      <c r="B661">
        <v>22655403</v>
      </c>
      <c r="C661">
        <v>5</v>
      </c>
      <c r="D661" t="str">
        <f t="shared" si="22"/>
        <v>05</v>
      </c>
      <c r="E661" t="str">
        <f>VLOOKUP(B661,'HOGARES-ENDLINE'!$A:$B,2,FALSE)</f>
        <v>01030427</v>
      </c>
      <c r="F661" s="6" t="str">
        <f t="shared" si="23"/>
        <v>0103042705</v>
      </c>
    </row>
    <row r="662" spans="1:6" x14ac:dyDescent="0.3">
      <c r="A662" s="6" t="s">
        <v>1490</v>
      </c>
      <c r="B662">
        <v>22655403</v>
      </c>
      <c r="C662">
        <v>2</v>
      </c>
      <c r="D662" t="str">
        <f t="shared" si="22"/>
        <v>02</v>
      </c>
      <c r="E662" t="str">
        <f>VLOOKUP(B662,'HOGARES-ENDLINE'!$A:$B,2,FALSE)</f>
        <v>01030427</v>
      </c>
      <c r="F662" s="6" t="str">
        <f t="shared" si="23"/>
        <v>0103042702</v>
      </c>
    </row>
    <row r="663" spans="1:6" x14ac:dyDescent="0.3">
      <c r="A663" s="6" t="s">
        <v>1491</v>
      </c>
      <c r="B663">
        <v>22655403</v>
      </c>
      <c r="C663">
        <v>3</v>
      </c>
      <c r="D663" t="str">
        <f t="shared" si="22"/>
        <v>03</v>
      </c>
      <c r="E663" t="str">
        <f>VLOOKUP(B663,'HOGARES-ENDLINE'!$A:$B,2,FALSE)</f>
        <v>01030427</v>
      </c>
      <c r="F663" s="6" t="str">
        <f t="shared" si="23"/>
        <v>0103042703</v>
      </c>
    </row>
    <row r="664" spans="1:6" x14ac:dyDescent="0.3">
      <c r="A664" s="6" t="s">
        <v>1493</v>
      </c>
      <c r="B664">
        <v>22655403</v>
      </c>
      <c r="C664">
        <v>1</v>
      </c>
      <c r="D664" t="str">
        <f t="shared" si="22"/>
        <v>01</v>
      </c>
      <c r="E664" t="str">
        <f>VLOOKUP(B664,'HOGARES-ENDLINE'!$A:$B,2,FALSE)</f>
        <v>01030427</v>
      </c>
      <c r="F664" s="6" t="str">
        <f t="shared" si="23"/>
        <v>0103042701</v>
      </c>
    </row>
    <row r="665" spans="1:6" x14ac:dyDescent="0.3">
      <c r="A665" s="6" t="s">
        <v>1492</v>
      </c>
      <c r="B665">
        <v>22655403</v>
      </c>
      <c r="C665">
        <v>4</v>
      </c>
      <c r="D665" t="str">
        <f t="shared" si="22"/>
        <v>04</v>
      </c>
      <c r="E665" t="str">
        <f>VLOOKUP(B665,'HOGARES-ENDLINE'!$A:$B,2,FALSE)</f>
        <v>01030427</v>
      </c>
      <c r="F665" s="6" t="str">
        <f t="shared" si="23"/>
        <v>0103042704</v>
      </c>
    </row>
    <row r="666" spans="1:6" x14ac:dyDescent="0.3">
      <c r="A666" s="6" t="s">
        <v>1496</v>
      </c>
      <c r="B666">
        <v>22703396</v>
      </c>
      <c r="C666">
        <v>2</v>
      </c>
      <c r="D666" t="str">
        <f t="shared" si="22"/>
        <v>02</v>
      </c>
      <c r="E666" t="str">
        <f>VLOOKUP(B666,'HOGARES-ENDLINE'!$A:$B,2,FALSE)</f>
        <v>01030428</v>
      </c>
      <c r="F666" s="6" t="str">
        <f t="shared" si="23"/>
        <v>0103042802</v>
      </c>
    </row>
    <row r="667" spans="1:6" x14ac:dyDescent="0.3">
      <c r="A667" s="6" t="s">
        <v>1495</v>
      </c>
      <c r="B667">
        <v>22703396</v>
      </c>
      <c r="C667">
        <v>4</v>
      </c>
      <c r="D667" t="str">
        <f t="shared" si="22"/>
        <v>04</v>
      </c>
      <c r="E667" t="str">
        <f>VLOOKUP(B667,'HOGARES-ENDLINE'!$A:$B,2,FALSE)</f>
        <v>01030428</v>
      </c>
      <c r="F667" s="6" t="str">
        <f t="shared" si="23"/>
        <v>0103042804</v>
      </c>
    </row>
    <row r="668" spans="1:6" x14ac:dyDescent="0.3">
      <c r="A668" s="6" t="s">
        <v>1494</v>
      </c>
      <c r="B668">
        <v>22703396</v>
      </c>
      <c r="C668">
        <v>1</v>
      </c>
      <c r="D668" t="str">
        <f t="shared" si="22"/>
        <v>01</v>
      </c>
      <c r="E668" t="str">
        <f>VLOOKUP(B668,'HOGARES-ENDLINE'!$A:$B,2,FALSE)</f>
        <v>01030428</v>
      </c>
      <c r="F668" s="6" t="str">
        <f t="shared" si="23"/>
        <v>0103042801</v>
      </c>
    </row>
    <row r="669" spans="1:6" x14ac:dyDescent="0.3">
      <c r="A669" s="6" t="s">
        <v>1498</v>
      </c>
      <c r="B669">
        <v>22703396</v>
      </c>
      <c r="C669">
        <v>3</v>
      </c>
      <c r="D669" t="str">
        <f t="shared" si="22"/>
        <v>03</v>
      </c>
      <c r="E669" t="str">
        <f>VLOOKUP(B669,'HOGARES-ENDLINE'!$A:$B,2,FALSE)</f>
        <v>01030428</v>
      </c>
      <c r="F669" s="6" t="str">
        <f t="shared" si="23"/>
        <v>0103042803</v>
      </c>
    </row>
    <row r="670" spans="1:6" x14ac:dyDescent="0.3">
      <c r="A670" s="6" t="s">
        <v>1497</v>
      </c>
      <c r="B670">
        <v>22703396</v>
      </c>
      <c r="C670">
        <v>5</v>
      </c>
      <c r="D670" t="str">
        <f t="shared" si="22"/>
        <v>05</v>
      </c>
      <c r="E670" t="str">
        <f>VLOOKUP(B670,'HOGARES-ENDLINE'!$A:$B,2,FALSE)</f>
        <v>01030428</v>
      </c>
      <c r="F670" s="6" t="str">
        <f t="shared" si="23"/>
        <v>0103042805</v>
      </c>
    </row>
    <row r="671" spans="1:6" x14ac:dyDescent="0.3">
      <c r="A671" s="6" t="s">
        <v>1502</v>
      </c>
      <c r="B671">
        <v>22712132</v>
      </c>
      <c r="C671">
        <v>1</v>
      </c>
      <c r="D671" t="str">
        <f t="shared" si="22"/>
        <v>01</v>
      </c>
      <c r="E671" t="str">
        <f>VLOOKUP(B671,'HOGARES-ENDLINE'!$A:$B,2,FALSE)</f>
        <v>00030429</v>
      </c>
      <c r="F671" s="6" t="str">
        <f t="shared" si="23"/>
        <v>0003042901</v>
      </c>
    </row>
    <row r="672" spans="1:6" x14ac:dyDescent="0.3">
      <c r="A672" s="6" t="s">
        <v>1501</v>
      </c>
      <c r="B672">
        <v>22712132</v>
      </c>
      <c r="C672">
        <v>5</v>
      </c>
      <c r="D672" t="str">
        <f t="shared" si="22"/>
        <v>05</v>
      </c>
      <c r="E672" t="str">
        <f>VLOOKUP(B672,'HOGARES-ENDLINE'!$A:$B,2,FALSE)</f>
        <v>00030429</v>
      </c>
      <c r="F672" s="6" t="str">
        <f t="shared" si="23"/>
        <v>0003042905</v>
      </c>
    </row>
    <row r="673" spans="1:6" x14ac:dyDescent="0.3">
      <c r="A673" s="6" t="s">
        <v>1503</v>
      </c>
      <c r="B673">
        <v>22712132</v>
      </c>
      <c r="C673">
        <v>4</v>
      </c>
      <c r="D673" t="str">
        <f t="shared" si="22"/>
        <v>04</v>
      </c>
      <c r="E673" t="str">
        <f>VLOOKUP(B673,'HOGARES-ENDLINE'!$A:$B,2,FALSE)</f>
        <v>00030429</v>
      </c>
      <c r="F673" s="6" t="str">
        <f t="shared" si="23"/>
        <v>0003042904</v>
      </c>
    </row>
    <row r="674" spans="1:6" x14ac:dyDescent="0.3">
      <c r="A674" s="6" t="s">
        <v>1500</v>
      </c>
      <c r="B674">
        <v>22712132</v>
      </c>
      <c r="C674">
        <v>2</v>
      </c>
      <c r="D674" t="str">
        <f t="shared" si="22"/>
        <v>02</v>
      </c>
      <c r="E674" t="str">
        <f>VLOOKUP(B674,'HOGARES-ENDLINE'!$A:$B,2,FALSE)</f>
        <v>00030429</v>
      </c>
      <c r="F674" s="6" t="str">
        <f t="shared" si="23"/>
        <v>0003042902</v>
      </c>
    </row>
    <row r="675" spans="1:6" x14ac:dyDescent="0.3">
      <c r="A675" s="6" t="s">
        <v>1499</v>
      </c>
      <c r="B675">
        <v>22712132</v>
      </c>
      <c r="C675">
        <v>3</v>
      </c>
      <c r="D675" t="str">
        <f t="shared" si="22"/>
        <v>03</v>
      </c>
      <c r="E675" t="str">
        <f>VLOOKUP(B675,'HOGARES-ENDLINE'!$A:$B,2,FALSE)</f>
        <v>00030429</v>
      </c>
      <c r="F675" s="6" t="str">
        <f t="shared" si="23"/>
        <v>0003042903</v>
      </c>
    </row>
    <row r="676" spans="1:6" x14ac:dyDescent="0.3">
      <c r="A676" s="6" t="s">
        <v>1509</v>
      </c>
      <c r="B676">
        <v>22732410</v>
      </c>
      <c r="C676">
        <v>4</v>
      </c>
      <c r="D676" t="str">
        <f t="shared" si="22"/>
        <v>04</v>
      </c>
      <c r="E676" t="str">
        <f>VLOOKUP(B676,'HOGARES-ENDLINE'!$A:$B,2,FALSE)</f>
        <v>01030431</v>
      </c>
      <c r="F676" s="6" t="str">
        <f t="shared" si="23"/>
        <v>0103043104</v>
      </c>
    </row>
    <row r="677" spans="1:6" x14ac:dyDescent="0.3">
      <c r="A677" s="6" t="s">
        <v>1507</v>
      </c>
      <c r="B677">
        <v>22732410</v>
      </c>
      <c r="C677">
        <v>5</v>
      </c>
      <c r="D677" t="str">
        <f t="shared" si="22"/>
        <v>05</v>
      </c>
      <c r="E677" t="str">
        <f>VLOOKUP(B677,'HOGARES-ENDLINE'!$A:$B,2,FALSE)</f>
        <v>01030431</v>
      </c>
      <c r="F677" s="6" t="str">
        <f t="shared" si="23"/>
        <v>0103043105</v>
      </c>
    </row>
    <row r="678" spans="1:6" x14ac:dyDescent="0.3">
      <c r="A678" s="6" t="s">
        <v>1508</v>
      </c>
      <c r="B678">
        <v>22732410</v>
      </c>
      <c r="C678">
        <v>2</v>
      </c>
      <c r="D678" t="str">
        <f t="shared" si="22"/>
        <v>02</v>
      </c>
      <c r="E678" t="str">
        <f>VLOOKUP(B678,'HOGARES-ENDLINE'!$A:$B,2,FALSE)</f>
        <v>01030431</v>
      </c>
      <c r="F678" s="6" t="str">
        <f t="shared" si="23"/>
        <v>0103043102</v>
      </c>
    </row>
    <row r="679" spans="1:6" x14ac:dyDescent="0.3">
      <c r="A679" s="6" t="s">
        <v>1506</v>
      </c>
      <c r="B679">
        <v>22732410</v>
      </c>
      <c r="C679">
        <v>3</v>
      </c>
      <c r="D679" t="str">
        <f t="shared" si="22"/>
        <v>03</v>
      </c>
      <c r="E679" t="str">
        <f>VLOOKUP(B679,'HOGARES-ENDLINE'!$A:$B,2,FALSE)</f>
        <v>01030431</v>
      </c>
      <c r="F679" s="6" t="str">
        <f t="shared" si="23"/>
        <v>0103043103</v>
      </c>
    </row>
    <row r="680" spans="1:6" x14ac:dyDescent="0.3">
      <c r="A680" s="6" t="s">
        <v>1510</v>
      </c>
      <c r="B680">
        <v>22732410</v>
      </c>
      <c r="C680">
        <v>1</v>
      </c>
      <c r="D680" t="str">
        <f t="shared" si="22"/>
        <v>01</v>
      </c>
      <c r="E680" t="str">
        <f>VLOOKUP(B680,'HOGARES-ENDLINE'!$A:$B,2,FALSE)</f>
        <v>01030431</v>
      </c>
      <c r="F680" s="6" t="str">
        <f t="shared" si="23"/>
        <v>0103043101</v>
      </c>
    </row>
    <row r="681" spans="1:6" x14ac:dyDescent="0.3">
      <c r="A681" s="6" t="s">
        <v>1516</v>
      </c>
      <c r="B681">
        <v>22733884</v>
      </c>
      <c r="C681">
        <v>1</v>
      </c>
      <c r="D681" t="str">
        <f t="shared" si="22"/>
        <v>01</v>
      </c>
      <c r="E681" t="str">
        <f>VLOOKUP(B681,'HOGARES-ENDLINE'!$A:$B,2,FALSE)</f>
        <v>00030432</v>
      </c>
      <c r="F681" s="6" t="str">
        <f t="shared" si="23"/>
        <v>0003043201</v>
      </c>
    </row>
    <row r="682" spans="1:6" x14ac:dyDescent="0.3">
      <c r="A682" s="6" t="s">
        <v>1511</v>
      </c>
      <c r="B682">
        <v>22733884</v>
      </c>
      <c r="C682">
        <v>2</v>
      </c>
      <c r="D682" t="str">
        <f t="shared" si="22"/>
        <v>02</v>
      </c>
      <c r="E682" t="str">
        <f>VLOOKUP(B682,'HOGARES-ENDLINE'!$A:$B,2,FALSE)</f>
        <v>00030432</v>
      </c>
      <c r="F682" s="6" t="str">
        <f t="shared" si="23"/>
        <v>0003043202</v>
      </c>
    </row>
    <row r="683" spans="1:6" x14ac:dyDescent="0.3">
      <c r="A683" s="6" t="s">
        <v>1518</v>
      </c>
      <c r="B683">
        <v>22736024</v>
      </c>
      <c r="C683">
        <v>6</v>
      </c>
      <c r="D683" t="str">
        <f t="shared" si="22"/>
        <v>06</v>
      </c>
      <c r="E683" t="str">
        <f>VLOOKUP(B683,'HOGARES-ENDLINE'!$A:$B,2,FALSE)</f>
        <v>01030433</v>
      </c>
      <c r="F683" s="6" t="str">
        <f t="shared" si="23"/>
        <v>0103043306</v>
      </c>
    </row>
    <row r="684" spans="1:6" x14ac:dyDescent="0.3">
      <c r="A684" s="6" t="s">
        <v>1520</v>
      </c>
      <c r="B684">
        <v>22736024</v>
      </c>
      <c r="C684">
        <v>4</v>
      </c>
      <c r="D684" t="str">
        <f t="shared" si="22"/>
        <v>04</v>
      </c>
      <c r="E684" t="str">
        <f>VLOOKUP(B684,'HOGARES-ENDLINE'!$A:$B,2,FALSE)</f>
        <v>01030433</v>
      </c>
      <c r="F684" s="6" t="str">
        <f t="shared" si="23"/>
        <v>0103043304</v>
      </c>
    </row>
    <row r="685" spans="1:6" x14ac:dyDescent="0.3">
      <c r="A685" s="6" t="s">
        <v>1519</v>
      </c>
      <c r="B685">
        <v>22736024</v>
      </c>
      <c r="C685">
        <v>1</v>
      </c>
      <c r="D685" t="str">
        <f t="shared" si="22"/>
        <v>01</v>
      </c>
      <c r="E685" t="str">
        <f>VLOOKUP(B685,'HOGARES-ENDLINE'!$A:$B,2,FALSE)</f>
        <v>01030433</v>
      </c>
      <c r="F685" s="6" t="str">
        <f t="shared" si="23"/>
        <v>0103043301</v>
      </c>
    </row>
    <row r="686" spans="1:6" x14ac:dyDescent="0.3">
      <c r="A686" s="6" t="s">
        <v>1521</v>
      </c>
      <c r="B686">
        <v>22736024</v>
      </c>
      <c r="C686">
        <v>5</v>
      </c>
      <c r="D686" t="str">
        <f t="shared" si="22"/>
        <v>05</v>
      </c>
      <c r="E686" t="str">
        <f>VLOOKUP(B686,'HOGARES-ENDLINE'!$A:$B,2,FALSE)</f>
        <v>01030433</v>
      </c>
      <c r="F686" s="6" t="str">
        <f t="shared" si="23"/>
        <v>0103043305</v>
      </c>
    </row>
    <row r="687" spans="1:6" x14ac:dyDescent="0.3">
      <c r="A687" s="6" t="s">
        <v>1522</v>
      </c>
      <c r="B687">
        <v>22736024</v>
      </c>
      <c r="C687">
        <v>2</v>
      </c>
      <c r="D687" t="str">
        <f t="shared" si="22"/>
        <v>02</v>
      </c>
      <c r="E687" t="str">
        <f>VLOOKUP(B687,'HOGARES-ENDLINE'!$A:$B,2,FALSE)</f>
        <v>01030433</v>
      </c>
      <c r="F687" s="6" t="str">
        <f t="shared" si="23"/>
        <v>0103043302</v>
      </c>
    </row>
    <row r="688" spans="1:6" x14ac:dyDescent="0.3">
      <c r="A688" s="6" t="s">
        <v>1517</v>
      </c>
      <c r="B688">
        <v>22736024</v>
      </c>
      <c r="C688">
        <v>3</v>
      </c>
      <c r="D688" t="str">
        <f t="shared" si="22"/>
        <v>03</v>
      </c>
      <c r="E688" t="str">
        <f>VLOOKUP(B688,'HOGARES-ENDLINE'!$A:$B,2,FALSE)</f>
        <v>01030433</v>
      </c>
      <c r="F688" s="6" t="str">
        <f t="shared" si="23"/>
        <v>0103043303</v>
      </c>
    </row>
    <row r="689" spans="1:6" x14ac:dyDescent="0.3">
      <c r="A689" s="6" t="s">
        <v>1523</v>
      </c>
      <c r="B689">
        <v>22738294</v>
      </c>
      <c r="C689">
        <v>4</v>
      </c>
      <c r="D689" t="str">
        <f t="shared" si="22"/>
        <v>04</v>
      </c>
      <c r="E689" t="str">
        <f>VLOOKUP(B689,'HOGARES-ENDLINE'!$A:$B,2,FALSE)</f>
        <v>00030434</v>
      </c>
      <c r="F689" s="6" t="str">
        <f t="shared" si="23"/>
        <v>0003043404</v>
      </c>
    </row>
    <row r="690" spans="1:6" x14ac:dyDescent="0.3">
      <c r="A690" s="6" t="s">
        <v>1525</v>
      </c>
      <c r="B690">
        <v>22738294</v>
      </c>
      <c r="C690">
        <v>3</v>
      </c>
      <c r="D690" t="str">
        <f t="shared" si="22"/>
        <v>03</v>
      </c>
      <c r="E690" t="str">
        <f>VLOOKUP(B690,'HOGARES-ENDLINE'!$A:$B,2,FALSE)</f>
        <v>00030434</v>
      </c>
      <c r="F690" s="6" t="str">
        <f t="shared" si="23"/>
        <v>0003043403</v>
      </c>
    </row>
    <row r="691" spans="1:6" x14ac:dyDescent="0.3">
      <c r="A691" s="6" t="s">
        <v>1526</v>
      </c>
      <c r="B691">
        <v>22738294</v>
      </c>
      <c r="C691">
        <v>2</v>
      </c>
      <c r="D691" t="str">
        <f t="shared" si="22"/>
        <v>02</v>
      </c>
      <c r="E691" t="str">
        <f>VLOOKUP(B691,'HOGARES-ENDLINE'!$A:$B,2,FALSE)</f>
        <v>00030434</v>
      </c>
      <c r="F691" s="6" t="str">
        <f t="shared" si="23"/>
        <v>0003043402</v>
      </c>
    </row>
    <row r="692" spans="1:6" x14ac:dyDescent="0.3">
      <c r="A692" s="6" t="s">
        <v>1524</v>
      </c>
      <c r="B692">
        <v>22738294</v>
      </c>
      <c r="C692">
        <v>1</v>
      </c>
      <c r="D692" t="str">
        <f t="shared" si="22"/>
        <v>01</v>
      </c>
      <c r="E692" t="str">
        <f>VLOOKUP(B692,'HOGARES-ENDLINE'!$A:$B,2,FALSE)</f>
        <v>00030434</v>
      </c>
      <c r="F692" s="6" t="str">
        <f t="shared" si="23"/>
        <v>0003043401</v>
      </c>
    </row>
    <row r="693" spans="1:6" x14ac:dyDescent="0.3">
      <c r="A693" s="6" t="s">
        <v>1527</v>
      </c>
      <c r="B693">
        <v>22739665</v>
      </c>
      <c r="C693">
        <v>1</v>
      </c>
      <c r="D693" t="str">
        <f t="shared" si="22"/>
        <v>01</v>
      </c>
      <c r="E693" t="str">
        <f>VLOOKUP(B693,'HOGARES-ENDLINE'!$A:$B,2,FALSE)</f>
        <v>00030435</v>
      </c>
      <c r="F693" s="6" t="str">
        <f t="shared" si="23"/>
        <v>0003043501</v>
      </c>
    </row>
    <row r="694" spans="1:6" x14ac:dyDescent="0.3">
      <c r="A694" s="6" t="s">
        <v>1529</v>
      </c>
      <c r="B694">
        <v>22744065</v>
      </c>
      <c r="C694">
        <v>1</v>
      </c>
      <c r="D694" t="str">
        <f t="shared" si="22"/>
        <v>01</v>
      </c>
      <c r="E694" t="str">
        <f>VLOOKUP(B694,'HOGARES-ENDLINE'!$A:$B,2,FALSE)</f>
        <v>00030436</v>
      </c>
      <c r="F694" s="6" t="str">
        <f t="shared" si="23"/>
        <v>0003043601</v>
      </c>
    </row>
    <row r="695" spans="1:6" x14ac:dyDescent="0.3">
      <c r="A695" s="6" t="s">
        <v>1533</v>
      </c>
      <c r="B695">
        <v>22744065</v>
      </c>
      <c r="C695">
        <v>5</v>
      </c>
      <c r="D695" t="str">
        <f t="shared" ref="D695:D758" si="24">_xlfn.CONCAT(0,C695)</f>
        <v>05</v>
      </c>
      <c r="E695" t="str">
        <f>VLOOKUP(B695,'HOGARES-ENDLINE'!$A:$B,2,FALSE)</f>
        <v>00030436</v>
      </c>
      <c r="F695" s="6" t="str">
        <f t="shared" si="23"/>
        <v>0003043605</v>
      </c>
    </row>
    <row r="696" spans="1:6" x14ac:dyDescent="0.3">
      <c r="A696" s="6" t="s">
        <v>1531</v>
      </c>
      <c r="B696">
        <v>22744065</v>
      </c>
      <c r="C696">
        <v>4</v>
      </c>
      <c r="D696" t="str">
        <f t="shared" si="24"/>
        <v>04</v>
      </c>
      <c r="E696" t="str">
        <f>VLOOKUP(B696,'HOGARES-ENDLINE'!$A:$B,2,FALSE)</f>
        <v>00030436</v>
      </c>
      <c r="F696" s="6" t="str">
        <f t="shared" si="23"/>
        <v>0003043604</v>
      </c>
    </row>
    <row r="697" spans="1:6" x14ac:dyDescent="0.3">
      <c r="A697" s="6" t="s">
        <v>1528</v>
      </c>
      <c r="B697">
        <v>22744065</v>
      </c>
      <c r="C697">
        <v>2</v>
      </c>
      <c r="D697" t="str">
        <f t="shared" si="24"/>
        <v>02</v>
      </c>
      <c r="E697" t="str">
        <f>VLOOKUP(B697,'HOGARES-ENDLINE'!$A:$B,2,FALSE)</f>
        <v>00030436</v>
      </c>
      <c r="F697" s="6" t="str">
        <f t="shared" si="23"/>
        <v>0003043602</v>
      </c>
    </row>
    <row r="698" spans="1:6" x14ac:dyDescent="0.3">
      <c r="A698" s="6" t="s">
        <v>1532</v>
      </c>
      <c r="B698">
        <v>22744065</v>
      </c>
      <c r="C698">
        <v>6</v>
      </c>
      <c r="D698" t="str">
        <f t="shared" si="24"/>
        <v>06</v>
      </c>
      <c r="E698" t="str">
        <f>VLOOKUP(B698,'HOGARES-ENDLINE'!$A:$B,2,FALSE)</f>
        <v>00030436</v>
      </c>
      <c r="F698" s="6" t="str">
        <f t="shared" si="23"/>
        <v>0003043606</v>
      </c>
    </row>
    <row r="699" spans="1:6" x14ac:dyDescent="0.3">
      <c r="A699" s="6" t="s">
        <v>1530</v>
      </c>
      <c r="B699">
        <v>22744065</v>
      </c>
      <c r="C699">
        <v>3</v>
      </c>
      <c r="D699" t="str">
        <f t="shared" si="24"/>
        <v>03</v>
      </c>
      <c r="E699" t="str">
        <f>VLOOKUP(B699,'HOGARES-ENDLINE'!$A:$B,2,FALSE)</f>
        <v>00030436</v>
      </c>
      <c r="F699" s="6" t="str">
        <f t="shared" si="23"/>
        <v>0003043603</v>
      </c>
    </row>
    <row r="700" spans="1:6" x14ac:dyDescent="0.3">
      <c r="A700" s="6" t="s">
        <v>1534</v>
      </c>
      <c r="B700">
        <v>22744721</v>
      </c>
      <c r="C700">
        <v>1</v>
      </c>
      <c r="D700" t="str">
        <f t="shared" si="24"/>
        <v>01</v>
      </c>
      <c r="E700" t="str">
        <f>VLOOKUP(B700,'HOGARES-ENDLINE'!$A:$B,2,FALSE)</f>
        <v>01030437</v>
      </c>
      <c r="F700" s="6" t="str">
        <f t="shared" si="23"/>
        <v>0103043701</v>
      </c>
    </row>
    <row r="701" spans="1:6" x14ac:dyDescent="0.3">
      <c r="A701" s="6" t="s">
        <v>1537</v>
      </c>
      <c r="B701">
        <v>22845935</v>
      </c>
      <c r="C701">
        <v>3</v>
      </c>
      <c r="D701" t="str">
        <f t="shared" si="24"/>
        <v>03</v>
      </c>
      <c r="E701" t="str">
        <f>VLOOKUP(B701,'HOGARES-ENDLINE'!$A:$B,2,FALSE)</f>
        <v>01030438</v>
      </c>
      <c r="F701" s="6" t="str">
        <f t="shared" si="23"/>
        <v>0103043803</v>
      </c>
    </row>
    <row r="702" spans="1:6" x14ac:dyDescent="0.3">
      <c r="A702" s="6" t="s">
        <v>1535</v>
      </c>
      <c r="B702">
        <v>22845935</v>
      </c>
      <c r="C702">
        <v>1</v>
      </c>
      <c r="D702" t="str">
        <f t="shared" si="24"/>
        <v>01</v>
      </c>
      <c r="E702" t="str">
        <f>VLOOKUP(B702,'HOGARES-ENDLINE'!$A:$B,2,FALSE)</f>
        <v>01030438</v>
      </c>
      <c r="F702" s="6" t="str">
        <f t="shared" si="23"/>
        <v>0103043801</v>
      </c>
    </row>
    <row r="703" spans="1:6" x14ac:dyDescent="0.3">
      <c r="A703" s="6" t="s">
        <v>1536</v>
      </c>
      <c r="B703">
        <v>22845935</v>
      </c>
      <c r="C703">
        <v>2</v>
      </c>
      <c r="D703" t="str">
        <f t="shared" si="24"/>
        <v>02</v>
      </c>
      <c r="E703" t="str">
        <f>VLOOKUP(B703,'HOGARES-ENDLINE'!$A:$B,2,FALSE)</f>
        <v>01030438</v>
      </c>
      <c r="F703" s="6" t="str">
        <f t="shared" si="23"/>
        <v>0103043802</v>
      </c>
    </row>
    <row r="704" spans="1:6" x14ac:dyDescent="0.3">
      <c r="A704" s="6" t="s">
        <v>1538</v>
      </c>
      <c r="B704">
        <v>22858815</v>
      </c>
      <c r="C704">
        <v>1</v>
      </c>
      <c r="D704" t="str">
        <f t="shared" si="24"/>
        <v>01</v>
      </c>
      <c r="E704" t="str">
        <f>VLOOKUP(B704,'HOGARES-ENDLINE'!$A:$B,2,FALSE)</f>
        <v>00030439</v>
      </c>
      <c r="F704" s="6" t="str">
        <f t="shared" si="23"/>
        <v>0003043901</v>
      </c>
    </row>
    <row r="705" spans="1:6" x14ac:dyDescent="0.3">
      <c r="A705" s="6" t="s">
        <v>1539</v>
      </c>
      <c r="B705">
        <v>22858815</v>
      </c>
      <c r="C705">
        <v>2</v>
      </c>
      <c r="D705" t="str">
        <f t="shared" si="24"/>
        <v>02</v>
      </c>
      <c r="E705" t="str">
        <f>VLOOKUP(B705,'HOGARES-ENDLINE'!$A:$B,2,FALSE)</f>
        <v>00030439</v>
      </c>
      <c r="F705" s="6" t="str">
        <f t="shared" si="23"/>
        <v>0003043902</v>
      </c>
    </row>
    <row r="706" spans="1:6" x14ac:dyDescent="0.3">
      <c r="A706" s="6" t="s">
        <v>1546</v>
      </c>
      <c r="B706">
        <v>22954309</v>
      </c>
      <c r="C706">
        <v>4</v>
      </c>
      <c r="D706" t="str">
        <f t="shared" si="24"/>
        <v>04</v>
      </c>
      <c r="E706" t="str">
        <f>VLOOKUP(B706,'HOGARES-ENDLINE'!$A:$B,2,FALSE)</f>
        <v>01030440</v>
      </c>
      <c r="F706" s="6" t="str">
        <f t="shared" si="23"/>
        <v>0103044004</v>
      </c>
    </row>
    <row r="707" spans="1:6" x14ac:dyDescent="0.3">
      <c r="A707" s="6" t="s">
        <v>1544</v>
      </c>
      <c r="B707">
        <v>22954309</v>
      </c>
      <c r="C707">
        <v>1</v>
      </c>
      <c r="D707" t="str">
        <f t="shared" si="24"/>
        <v>01</v>
      </c>
      <c r="E707" t="str">
        <f>VLOOKUP(B707,'HOGARES-ENDLINE'!$A:$B,2,FALSE)</f>
        <v>01030440</v>
      </c>
      <c r="F707" s="6" t="str">
        <f t="shared" ref="F707:F770" si="25">_xlfn.CONCAT(E707,D707)</f>
        <v>0103044001</v>
      </c>
    </row>
    <row r="708" spans="1:6" x14ac:dyDescent="0.3">
      <c r="A708" s="6" t="s">
        <v>1543</v>
      </c>
      <c r="B708">
        <v>22954309</v>
      </c>
      <c r="C708">
        <v>3</v>
      </c>
      <c r="D708" t="str">
        <f t="shared" si="24"/>
        <v>03</v>
      </c>
      <c r="E708" t="str">
        <f>VLOOKUP(B708,'HOGARES-ENDLINE'!$A:$B,2,FALSE)</f>
        <v>01030440</v>
      </c>
      <c r="F708" s="6" t="str">
        <f t="shared" si="25"/>
        <v>0103044003</v>
      </c>
    </row>
    <row r="709" spans="1:6" x14ac:dyDescent="0.3">
      <c r="A709" s="6" t="s">
        <v>1547</v>
      </c>
      <c r="B709">
        <v>23070779</v>
      </c>
      <c r="C709">
        <v>1</v>
      </c>
      <c r="D709" t="str">
        <f t="shared" si="24"/>
        <v>01</v>
      </c>
      <c r="E709" t="str">
        <f>VLOOKUP(B709,'HOGARES-ENDLINE'!$A:$B,2,FALSE)</f>
        <v>01030441</v>
      </c>
      <c r="F709" s="6" t="str">
        <f t="shared" si="25"/>
        <v>0103044101</v>
      </c>
    </row>
    <row r="710" spans="1:6" x14ac:dyDescent="0.3">
      <c r="A710" s="6" t="s">
        <v>1549</v>
      </c>
      <c r="B710">
        <v>23070779</v>
      </c>
      <c r="C710">
        <v>2</v>
      </c>
      <c r="D710" t="str">
        <f t="shared" si="24"/>
        <v>02</v>
      </c>
      <c r="E710" t="str">
        <f>VLOOKUP(B710,'HOGARES-ENDLINE'!$A:$B,2,FALSE)</f>
        <v>01030441</v>
      </c>
      <c r="F710" s="6" t="str">
        <f t="shared" si="25"/>
        <v>0103044102</v>
      </c>
    </row>
    <row r="711" spans="1:6" x14ac:dyDescent="0.3">
      <c r="A711" s="6" t="s">
        <v>1550</v>
      </c>
      <c r="B711">
        <v>23142186</v>
      </c>
      <c r="C711">
        <v>1</v>
      </c>
      <c r="D711" t="str">
        <f t="shared" si="24"/>
        <v>01</v>
      </c>
      <c r="E711" t="str">
        <f>VLOOKUP(B711,'HOGARES-ENDLINE'!$A:$B,2,FALSE)</f>
        <v>00030442</v>
      </c>
      <c r="F711" s="6" t="str">
        <f t="shared" si="25"/>
        <v>0003044201</v>
      </c>
    </row>
    <row r="712" spans="1:6" x14ac:dyDescent="0.3">
      <c r="A712" s="6" t="s">
        <v>1551</v>
      </c>
      <c r="B712">
        <v>23142186</v>
      </c>
      <c r="C712">
        <v>3</v>
      </c>
      <c r="D712" t="str">
        <f t="shared" si="24"/>
        <v>03</v>
      </c>
      <c r="E712" t="str">
        <f>VLOOKUP(B712,'HOGARES-ENDLINE'!$A:$B,2,FALSE)</f>
        <v>00030442</v>
      </c>
      <c r="F712" s="6" t="str">
        <f t="shared" si="25"/>
        <v>0003044203</v>
      </c>
    </row>
    <row r="713" spans="1:6" x14ac:dyDescent="0.3">
      <c r="A713" s="6" t="s">
        <v>1554</v>
      </c>
      <c r="B713">
        <v>23242735</v>
      </c>
      <c r="C713">
        <v>2</v>
      </c>
      <c r="D713" t="str">
        <f t="shared" si="24"/>
        <v>02</v>
      </c>
      <c r="E713" t="str">
        <f>VLOOKUP(B713,'HOGARES-ENDLINE'!$A:$B,2,FALSE)</f>
        <v>01030443</v>
      </c>
      <c r="F713" s="6" t="str">
        <f t="shared" si="25"/>
        <v>0103044302</v>
      </c>
    </row>
    <row r="714" spans="1:6" x14ac:dyDescent="0.3">
      <c r="A714" s="6" t="s">
        <v>1553</v>
      </c>
      <c r="B714">
        <v>23242735</v>
      </c>
      <c r="C714">
        <v>3</v>
      </c>
      <c r="D714" t="str">
        <f t="shared" si="24"/>
        <v>03</v>
      </c>
      <c r="E714" t="str">
        <f>VLOOKUP(B714,'HOGARES-ENDLINE'!$A:$B,2,FALSE)</f>
        <v>01030443</v>
      </c>
      <c r="F714" s="6" t="str">
        <f t="shared" si="25"/>
        <v>0103044303</v>
      </c>
    </row>
    <row r="715" spans="1:6" x14ac:dyDescent="0.3">
      <c r="A715" s="6" t="s">
        <v>1558</v>
      </c>
      <c r="B715">
        <v>24117503</v>
      </c>
      <c r="C715">
        <v>1</v>
      </c>
      <c r="D715" t="str">
        <f t="shared" si="24"/>
        <v>01</v>
      </c>
      <c r="E715" t="str">
        <f>VLOOKUP(B715,'HOGARES-ENDLINE'!$A:$B,2,FALSE)</f>
        <v>00020444</v>
      </c>
      <c r="F715" s="6" t="str">
        <f t="shared" si="25"/>
        <v>0002044401</v>
      </c>
    </row>
    <row r="716" spans="1:6" x14ac:dyDescent="0.3">
      <c r="A716" s="6" t="s">
        <v>1557</v>
      </c>
      <c r="B716">
        <v>24117503</v>
      </c>
      <c r="C716">
        <v>3</v>
      </c>
      <c r="D716" t="str">
        <f t="shared" si="24"/>
        <v>03</v>
      </c>
      <c r="E716" t="str">
        <f>VLOOKUP(B716,'HOGARES-ENDLINE'!$A:$B,2,FALSE)</f>
        <v>00020444</v>
      </c>
      <c r="F716" s="6" t="str">
        <f t="shared" si="25"/>
        <v>0002044403</v>
      </c>
    </row>
    <row r="717" spans="1:6" x14ac:dyDescent="0.3">
      <c r="A717" s="6" t="s">
        <v>1556</v>
      </c>
      <c r="B717">
        <v>24117503</v>
      </c>
      <c r="C717">
        <v>2</v>
      </c>
      <c r="D717" t="str">
        <f t="shared" si="24"/>
        <v>02</v>
      </c>
      <c r="E717" t="str">
        <f>VLOOKUP(B717,'HOGARES-ENDLINE'!$A:$B,2,FALSE)</f>
        <v>00020444</v>
      </c>
      <c r="F717" s="6" t="str">
        <f t="shared" si="25"/>
        <v>0002044402</v>
      </c>
    </row>
    <row r="718" spans="1:6" x14ac:dyDescent="0.3">
      <c r="A718" s="6" t="s">
        <v>1560</v>
      </c>
      <c r="B718">
        <v>24529522</v>
      </c>
      <c r="C718">
        <v>5</v>
      </c>
      <c r="D718" t="str">
        <f t="shared" si="24"/>
        <v>05</v>
      </c>
      <c r="E718" t="str">
        <f>VLOOKUP(B718,'HOGARES-ENDLINE'!$A:$B,2,FALSE)</f>
        <v>01020445</v>
      </c>
      <c r="F718" s="6" t="str">
        <f t="shared" si="25"/>
        <v>0102044505</v>
      </c>
    </row>
    <row r="719" spans="1:6" x14ac:dyDescent="0.3">
      <c r="A719" s="6" t="s">
        <v>1561</v>
      </c>
      <c r="B719">
        <v>24529522</v>
      </c>
      <c r="C719">
        <v>2</v>
      </c>
      <c r="D719" t="str">
        <f t="shared" si="24"/>
        <v>02</v>
      </c>
      <c r="E719" t="str">
        <f>VLOOKUP(B719,'HOGARES-ENDLINE'!$A:$B,2,FALSE)</f>
        <v>01020445</v>
      </c>
      <c r="F719" s="6" t="str">
        <f t="shared" si="25"/>
        <v>0102044502</v>
      </c>
    </row>
    <row r="720" spans="1:6" x14ac:dyDescent="0.3">
      <c r="A720" s="6" t="s">
        <v>1562</v>
      </c>
      <c r="B720">
        <v>24529522</v>
      </c>
      <c r="C720">
        <v>1</v>
      </c>
      <c r="D720" t="str">
        <f t="shared" si="24"/>
        <v>01</v>
      </c>
      <c r="E720" t="str">
        <f>VLOOKUP(B720,'HOGARES-ENDLINE'!$A:$B,2,FALSE)</f>
        <v>01020445</v>
      </c>
      <c r="F720" s="6" t="str">
        <f t="shared" si="25"/>
        <v>0102044501</v>
      </c>
    </row>
    <row r="721" spans="1:6" x14ac:dyDescent="0.3">
      <c r="A721" s="6" t="s">
        <v>1563</v>
      </c>
      <c r="B721">
        <v>24529522</v>
      </c>
      <c r="C721">
        <v>4</v>
      </c>
      <c r="D721" t="str">
        <f t="shared" si="24"/>
        <v>04</v>
      </c>
      <c r="E721" t="str">
        <f>VLOOKUP(B721,'HOGARES-ENDLINE'!$A:$B,2,FALSE)</f>
        <v>01020445</v>
      </c>
      <c r="F721" s="6" t="str">
        <f t="shared" si="25"/>
        <v>0102044504</v>
      </c>
    </row>
    <row r="722" spans="1:6" x14ac:dyDescent="0.3">
      <c r="A722" s="6" t="s">
        <v>1565</v>
      </c>
      <c r="B722">
        <v>24552101</v>
      </c>
      <c r="C722">
        <v>1</v>
      </c>
      <c r="D722" t="str">
        <f t="shared" si="24"/>
        <v>01</v>
      </c>
      <c r="E722" t="str">
        <f>VLOOKUP(B722,'HOGARES-ENDLINE'!$A:$B,2,FALSE)</f>
        <v>01010446</v>
      </c>
      <c r="F722" s="6" t="str">
        <f t="shared" si="25"/>
        <v>0101044601</v>
      </c>
    </row>
    <row r="723" spans="1:6" x14ac:dyDescent="0.3">
      <c r="A723" s="6" t="s">
        <v>1571</v>
      </c>
      <c r="B723">
        <v>24923028</v>
      </c>
      <c r="C723">
        <v>1</v>
      </c>
      <c r="D723" t="str">
        <f t="shared" si="24"/>
        <v>01</v>
      </c>
      <c r="E723" t="str">
        <f>VLOOKUP(B723,'HOGARES-ENDLINE'!$A:$B,2,FALSE)</f>
        <v>00020448</v>
      </c>
      <c r="F723" s="6" t="str">
        <f t="shared" si="25"/>
        <v>0002044801</v>
      </c>
    </row>
    <row r="724" spans="1:6" x14ac:dyDescent="0.3">
      <c r="A724" s="6" t="s">
        <v>1570</v>
      </c>
      <c r="B724">
        <v>24923028</v>
      </c>
      <c r="C724">
        <v>2</v>
      </c>
      <c r="D724" t="str">
        <f t="shared" si="24"/>
        <v>02</v>
      </c>
      <c r="E724" t="str">
        <f>VLOOKUP(B724,'HOGARES-ENDLINE'!$A:$B,2,FALSE)</f>
        <v>00020448</v>
      </c>
      <c r="F724" s="6" t="str">
        <f t="shared" si="25"/>
        <v>0002044802</v>
      </c>
    </row>
    <row r="725" spans="1:6" x14ac:dyDescent="0.3">
      <c r="A725" s="6" t="s">
        <v>1572</v>
      </c>
      <c r="B725">
        <v>24923028</v>
      </c>
      <c r="C725">
        <v>3</v>
      </c>
      <c r="D725" t="str">
        <f t="shared" si="24"/>
        <v>03</v>
      </c>
      <c r="E725" t="str">
        <f>VLOOKUP(B725,'HOGARES-ENDLINE'!$A:$B,2,FALSE)</f>
        <v>00020448</v>
      </c>
      <c r="F725" s="6" t="str">
        <f t="shared" si="25"/>
        <v>0002044803</v>
      </c>
    </row>
    <row r="726" spans="1:6" x14ac:dyDescent="0.3">
      <c r="A726" s="6" t="s">
        <v>1574</v>
      </c>
      <c r="B726">
        <v>24999258</v>
      </c>
      <c r="C726">
        <v>2</v>
      </c>
      <c r="D726" t="str">
        <f t="shared" si="24"/>
        <v>02</v>
      </c>
      <c r="E726" t="str">
        <f>VLOOKUP(B726,'HOGARES-ENDLINE'!$A:$B,2,FALSE)</f>
        <v>01010449</v>
      </c>
      <c r="F726" s="6" t="str">
        <f t="shared" si="25"/>
        <v>0101044902</v>
      </c>
    </row>
    <row r="727" spans="1:6" x14ac:dyDescent="0.3">
      <c r="A727" s="6" t="s">
        <v>1575</v>
      </c>
      <c r="B727">
        <v>24999258</v>
      </c>
      <c r="C727">
        <v>3</v>
      </c>
      <c r="D727" t="str">
        <f t="shared" si="24"/>
        <v>03</v>
      </c>
      <c r="E727" t="str">
        <f>VLOOKUP(B727,'HOGARES-ENDLINE'!$A:$B,2,FALSE)</f>
        <v>01010449</v>
      </c>
      <c r="F727" s="6" t="str">
        <f t="shared" si="25"/>
        <v>0101044903</v>
      </c>
    </row>
    <row r="728" spans="1:6" x14ac:dyDescent="0.3">
      <c r="A728" s="6" t="s">
        <v>1573</v>
      </c>
      <c r="B728">
        <v>24999258</v>
      </c>
      <c r="C728">
        <v>1</v>
      </c>
      <c r="D728" t="str">
        <f t="shared" si="24"/>
        <v>01</v>
      </c>
      <c r="E728" t="str">
        <f>VLOOKUP(B728,'HOGARES-ENDLINE'!$A:$B,2,FALSE)</f>
        <v>01010449</v>
      </c>
      <c r="F728" s="6" t="str">
        <f t="shared" si="25"/>
        <v>0101044901</v>
      </c>
    </row>
    <row r="729" spans="1:6" x14ac:dyDescent="0.3">
      <c r="A729" s="6" t="s">
        <v>1576</v>
      </c>
      <c r="B729">
        <v>25036381</v>
      </c>
      <c r="C729">
        <v>1</v>
      </c>
      <c r="D729" t="str">
        <f t="shared" si="24"/>
        <v>01</v>
      </c>
      <c r="E729" t="str">
        <f>VLOOKUP(B729,'HOGARES-ENDLINE'!$A:$B,2,FALSE)</f>
        <v>01020450</v>
      </c>
      <c r="F729" s="6" t="str">
        <f t="shared" si="25"/>
        <v>0102045001</v>
      </c>
    </row>
    <row r="730" spans="1:6" x14ac:dyDescent="0.3">
      <c r="A730" s="6" t="s">
        <v>1577</v>
      </c>
      <c r="B730">
        <v>25036381</v>
      </c>
      <c r="C730">
        <v>2</v>
      </c>
      <c r="D730" t="str">
        <f t="shared" si="24"/>
        <v>02</v>
      </c>
      <c r="E730" t="str">
        <f>VLOOKUP(B730,'HOGARES-ENDLINE'!$A:$B,2,FALSE)</f>
        <v>01020450</v>
      </c>
      <c r="F730" s="6" t="str">
        <f t="shared" si="25"/>
        <v>0102045002</v>
      </c>
    </row>
    <row r="731" spans="1:6" x14ac:dyDescent="0.3">
      <c r="A731" s="6" t="s">
        <v>1578</v>
      </c>
      <c r="B731">
        <v>25097620</v>
      </c>
      <c r="C731">
        <v>1</v>
      </c>
      <c r="D731" t="str">
        <f t="shared" si="24"/>
        <v>01</v>
      </c>
      <c r="E731" t="str">
        <f>VLOOKUP(B731,'HOGARES-ENDLINE'!$A:$B,2,FALSE)</f>
        <v>01020451</v>
      </c>
      <c r="F731" s="6" t="str">
        <f t="shared" si="25"/>
        <v>0102045101</v>
      </c>
    </row>
    <row r="732" spans="1:6" x14ac:dyDescent="0.3">
      <c r="A732" s="6" t="s">
        <v>1580</v>
      </c>
      <c r="B732">
        <v>25265831</v>
      </c>
      <c r="C732">
        <v>1</v>
      </c>
      <c r="D732" t="str">
        <f t="shared" si="24"/>
        <v>01</v>
      </c>
      <c r="E732" t="str">
        <f>VLOOKUP(B732,'HOGARES-ENDLINE'!$A:$B,2,FALSE)</f>
        <v>00020452</v>
      </c>
      <c r="F732" s="6" t="str">
        <f t="shared" si="25"/>
        <v>0002045201</v>
      </c>
    </row>
    <row r="733" spans="1:6" x14ac:dyDescent="0.3">
      <c r="A733" s="6" t="s">
        <v>1581</v>
      </c>
      <c r="B733">
        <v>25265831</v>
      </c>
      <c r="C733">
        <v>2</v>
      </c>
      <c r="D733" t="str">
        <f t="shared" si="24"/>
        <v>02</v>
      </c>
      <c r="E733" t="str">
        <f>VLOOKUP(B733,'HOGARES-ENDLINE'!$A:$B,2,FALSE)</f>
        <v>00020452</v>
      </c>
      <c r="F733" s="6" t="str">
        <f t="shared" si="25"/>
        <v>0002045202</v>
      </c>
    </row>
    <row r="734" spans="1:6" x14ac:dyDescent="0.3">
      <c r="A734" s="6" t="s">
        <v>1582</v>
      </c>
      <c r="B734">
        <v>25340411</v>
      </c>
      <c r="C734">
        <v>2</v>
      </c>
      <c r="D734" t="str">
        <f t="shared" si="24"/>
        <v>02</v>
      </c>
      <c r="E734" t="str">
        <f>VLOOKUP(B734,'HOGARES-ENDLINE'!$A:$B,2,FALSE)</f>
        <v>01020453</v>
      </c>
      <c r="F734" s="6" t="str">
        <f t="shared" si="25"/>
        <v>0102045302</v>
      </c>
    </row>
    <row r="735" spans="1:6" x14ac:dyDescent="0.3">
      <c r="A735" s="6" t="s">
        <v>1585</v>
      </c>
      <c r="B735">
        <v>25340411</v>
      </c>
      <c r="C735">
        <v>1</v>
      </c>
      <c r="D735" t="str">
        <f t="shared" si="24"/>
        <v>01</v>
      </c>
      <c r="E735" t="str">
        <f>VLOOKUP(B735,'HOGARES-ENDLINE'!$A:$B,2,FALSE)</f>
        <v>01020453</v>
      </c>
      <c r="F735" s="6" t="str">
        <f t="shared" si="25"/>
        <v>0102045301</v>
      </c>
    </row>
    <row r="736" spans="1:6" x14ac:dyDescent="0.3">
      <c r="A736" s="6" t="s">
        <v>1583</v>
      </c>
      <c r="B736">
        <v>25340411</v>
      </c>
      <c r="C736">
        <v>3</v>
      </c>
      <c r="D736" t="str">
        <f t="shared" si="24"/>
        <v>03</v>
      </c>
      <c r="E736" t="str">
        <f>VLOOKUP(B736,'HOGARES-ENDLINE'!$A:$B,2,FALSE)</f>
        <v>01020453</v>
      </c>
      <c r="F736" s="6" t="str">
        <f t="shared" si="25"/>
        <v>0102045303</v>
      </c>
    </row>
    <row r="737" spans="1:6" x14ac:dyDescent="0.3">
      <c r="A737" s="6" t="s">
        <v>1584</v>
      </c>
      <c r="B737">
        <v>25340411</v>
      </c>
      <c r="C737">
        <v>4</v>
      </c>
      <c r="D737" t="str">
        <f t="shared" si="24"/>
        <v>04</v>
      </c>
      <c r="E737" t="str">
        <f>VLOOKUP(B737,'HOGARES-ENDLINE'!$A:$B,2,FALSE)</f>
        <v>01020453</v>
      </c>
      <c r="F737" s="6" t="str">
        <f t="shared" si="25"/>
        <v>0102045304</v>
      </c>
    </row>
    <row r="738" spans="1:6" x14ac:dyDescent="0.3">
      <c r="A738" s="6" t="s">
        <v>1586</v>
      </c>
      <c r="B738">
        <v>25340770</v>
      </c>
      <c r="C738">
        <v>1</v>
      </c>
      <c r="D738" t="str">
        <f t="shared" si="24"/>
        <v>01</v>
      </c>
      <c r="E738" t="str">
        <f>VLOOKUP(B738,'HOGARES-ENDLINE'!$A:$B,2,FALSE)</f>
        <v>01020454</v>
      </c>
      <c r="F738" s="6" t="str">
        <f t="shared" si="25"/>
        <v>0102045401</v>
      </c>
    </row>
    <row r="739" spans="1:6" x14ac:dyDescent="0.3">
      <c r="A739" s="6" t="s">
        <v>1587</v>
      </c>
      <c r="B739">
        <v>25351368</v>
      </c>
      <c r="C739">
        <v>2</v>
      </c>
      <c r="D739" t="str">
        <f t="shared" si="24"/>
        <v>02</v>
      </c>
      <c r="E739" t="str">
        <f>VLOOKUP(B739,'HOGARES-ENDLINE'!$A:$B,2,FALSE)</f>
        <v>01020455</v>
      </c>
      <c r="F739" s="6" t="str">
        <f t="shared" si="25"/>
        <v>0102045502</v>
      </c>
    </row>
    <row r="740" spans="1:6" x14ac:dyDescent="0.3">
      <c r="A740" s="6" t="s">
        <v>1589</v>
      </c>
      <c r="B740">
        <v>25351368</v>
      </c>
      <c r="C740">
        <v>4</v>
      </c>
      <c r="D740" t="str">
        <f t="shared" si="24"/>
        <v>04</v>
      </c>
      <c r="E740" t="str">
        <f>VLOOKUP(B740,'HOGARES-ENDLINE'!$A:$B,2,FALSE)</f>
        <v>01020455</v>
      </c>
      <c r="F740" s="6" t="str">
        <f t="shared" si="25"/>
        <v>0102045504</v>
      </c>
    </row>
    <row r="741" spans="1:6" x14ac:dyDescent="0.3">
      <c r="A741" s="6" t="s">
        <v>1591</v>
      </c>
      <c r="B741">
        <v>25413263</v>
      </c>
      <c r="C741">
        <v>2</v>
      </c>
      <c r="D741" t="str">
        <f t="shared" si="24"/>
        <v>02</v>
      </c>
      <c r="E741" t="str">
        <f>VLOOKUP(B741,'HOGARES-ENDLINE'!$A:$B,2,FALSE)</f>
        <v>00020456</v>
      </c>
      <c r="F741" s="6" t="str">
        <f t="shared" si="25"/>
        <v>0002045602</v>
      </c>
    </row>
    <row r="742" spans="1:6" x14ac:dyDescent="0.3">
      <c r="A742" s="6" t="s">
        <v>1592</v>
      </c>
      <c r="B742">
        <v>25413263</v>
      </c>
      <c r="C742">
        <v>1</v>
      </c>
      <c r="D742" t="str">
        <f t="shared" si="24"/>
        <v>01</v>
      </c>
      <c r="E742" t="str">
        <f>VLOOKUP(B742,'HOGARES-ENDLINE'!$A:$B,2,FALSE)</f>
        <v>00020456</v>
      </c>
      <c r="F742" s="6" t="str">
        <f t="shared" si="25"/>
        <v>0002045601</v>
      </c>
    </row>
    <row r="743" spans="1:6" x14ac:dyDescent="0.3">
      <c r="A743" s="6" t="s">
        <v>1594</v>
      </c>
      <c r="B743">
        <v>25485764</v>
      </c>
      <c r="C743">
        <v>2</v>
      </c>
      <c r="D743" t="str">
        <f t="shared" si="24"/>
        <v>02</v>
      </c>
      <c r="E743" t="str">
        <f>VLOOKUP(B743,'HOGARES-ENDLINE'!$A:$B,2,FALSE)</f>
        <v>00020457</v>
      </c>
      <c r="F743" s="6" t="str">
        <f t="shared" si="25"/>
        <v>0002045702</v>
      </c>
    </row>
    <row r="744" spans="1:6" x14ac:dyDescent="0.3">
      <c r="A744" s="6" t="s">
        <v>1593</v>
      </c>
      <c r="B744">
        <v>25485764</v>
      </c>
      <c r="C744">
        <v>1</v>
      </c>
      <c r="D744" t="str">
        <f t="shared" si="24"/>
        <v>01</v>
      </c>
      <c r="E744" t="str">
        <f>VLOOKUP(B744,'HOGARES-ENDLINE'!$A:$B,2,FALSE)</f>
        <v>00020457</v>
      </c>
      <c r="F744" s="6" t="str">
        <f t="shared" si="25"/>
        <v>0002045701</v>
      </c>
    </row>
    <row r="745" spans="1:6" x14ac:dyDescent="0.3">
      <c r="A745" s="6" t="s">
        <v>1595</v>
      </c>
      <c r="B745">
        <v>25487137</v>
      </c>
      <c r="C745">
        <v>1</v>
      </c>
      <c r="D745" t="str">
        <f t="shared" si="24"/>
        <v>01</v>
      </c>
      <c r="E745" t="str">
        <f>VLOOKUP(B745,'HOGARES-ENDLINE'!$A:$B,2,FALSE)</f>
        <v>00020458</v>
      </c>
      <c r="F745" s="6" t="str">
        <f t="shared" si="25"/>
        <v>0002045801</v>
      </c>
    </row>
    <row r="746" spans="1:6" x14ac:dyDescent="0.3">
      <c r="A746" s="6" t="s">
        <v>1596</v>
      </c>
      <c r="B746">
        <v>25489365</v>
      </c>
      <c r="C746">
        <v>3</v>
      </c>
      <c r="D746" t="str">
        <f t="shared" si="24"/>
        <v>03</v>
      </c>
      <c r="E746" t="str">
        <f>VLOOKUP(B746,'HOGARES-ENDLINE'!$A:$B,2,FALSE)</f>
        <v>00020459</v>
      </c>
      <c r="F746" s="6" t="str">
        <f t="shared" si="25"/>
        <v>0002045903</v>
      </c>
    </row>
    <row r="747" spans="1:6" x14ac:dyDescent="0.3">
      <c r="A747" s="6" t="s">
        <v>1598</v>
      </c>
      <c r="B747">
        <v>25489365</v>
      </c>
      <c r="C747">
        <v>1</v>
      </c>
      <c r="D747" t="str">
        <f t="shared" si="24"/>
        <v>01</v>
      </c>
      <c r="E747" t="str">
        <f>VLOOKUP(B747,'HOGARES-ENDLINE'!$A:$B,2,FALSE)</f>
        <v>00020459</v>
      </c>
      <c r="F747" s="6" t="str">
        <f t="shared" si="25"/>
        <v>0002045901</v>
      </c>
    </row>
    <row r="748" spans="1:6" x14ac:dyDescent="0.3">
      <c r="A748" s="6" t="s">
        <v>1597</v>
      </c>
      <c r="B748">
        <v>25489365</v>
      </c>
      <c r="C748">
        <v>2</v>
      </c>
      <c r="D748" t="str">
        <f t="shared" si="24"/>
        <v>02</v>
      </c>
      <c r="E748" t="str">
        <f>VLOOKUP(B748,'HOGARES-ENDLINE'!$A:$B,2,FALSE)</f>
        <v>00020459</v>
      </c>
      <c r="F748" s="6" t="str">
        <f t="shared" si="25"/>
        <v>0002045902</v>
      </c>
    </row>
    <row r="749" spans="1:6" x14ac:dyDescent="0.3">
      <c r="A749" s="6" t="s">
        <v>1602</v>
      </c>
      <c r="B749">
        <v>25490780</v>
      </c>
      <c r="C749">
        <v>1</v>
      </c>
      <c r="D749" t="str">
        <f t="shared" si="24"/>
        <v>01</v>
      </c>
      <c r="E749" t="str">
        <f>VLOOKUP(B749,'HOGARES-ENDLINE'!$A:$B,2,FALSE)</f>
        <v>00020460</v>
      </c>
      <c r="F749" s="6" t="str">
        <f t="shared" si="25"/>
        <v>0002046001</v>
      </c>
    </row>
    <row r="750" spans="1:6" x14ac:dyDescent="0.3">
      <c r="A750" s="6" t="s">
        <v>1601</v>
      </c>
      <c r="B750">
        <v>25490780</v>
      </c>
      <c r="C750">
        <v>2</v>
      </c>
      <c r="D750" t="str">
        <f t="shared" si="24"/>
        <v>02</v>
      </c>
      <c r="E750" t="str">
        <f>VLOOKUP(B750,'HOGARES-ENDLINE'!$A:$B,2,FALSE)</f>
        <v>00020460</v>
      </c>
      <c r="F750" s="6" t="str">
        <f t="shared" si="25"/>
        <v>0002046002</v>
      </c>
    </row>
    <row r="751" spans="1:6" x14ac:dyDescent="0.3">
      <c r="A751" s="6" t="s">
        <v>1599</v>
      </c>
      <c r="B751">
        <v>25490780</v>
      </c>
      <c r="C751">
        <v>4</v>
      </c>
      <c r="D751" t="str">
        <f t="shared" si="24"/>
        <v>04</v>
      </c>
      <c r="E751" t="str">
        <f>VLOOKUP(B751,'HOGARES-ENDLINE'!$A:$B,2,FALSE)</f>
        <v>00020460</v>
      </c>
      <c r="F751" s="6" t="str">
        <f t="shared" si="25"/>
        <v>0002046004</v>
      </c>
    </row>
    <row r="752" spans="1:6" x14ac:dyDescent="0.3">
      <c r="A752" s="6" t="s">
        <v>1600</v>
      </c>
      <c r="B752">
        <v>25490780</v>
      </c>
      <c r="C752">
        <v>3</v>
      </c>
      <c r="D752" t="str">
        <f t="shared" si="24"/>
        <v>03</v>
      </c>
      <c r="E752" t="str">
        <f>VLOOKUP(B752,'HOGARES-ENDLINE'!$A:$B,2,FALSE)</f>
        <v>00020460</v>
      </c>
      <c r="F752" s="6" t="str">
        <f t="shared" si="25"/>
        <v>0002046003</v>
      </c>
    </row>
    <row r="753" spans="1:6" x14ac:dyDescent="0.3">
      <c r="A753" s="6" t="s">
        <v>1603</v>
      </c>
      <c r="B753">
        <v>25492271</v>
      </c>
      <c r="C753">
        <v>1</v>
      </c>
      <c r="D753" t="str">
        <f t="shared" si="24"/>
        <v>01</v>
      </c>
      <c r="E753" t="str">
        <f>VLOOKUP(B753,'HOGARES-ENDLINE'!$A:$B,2,FALSE)</f>
        <v>01020461</v>
      </c>
      <c r="F753" s="6" t="str">
        <f t="shared" si="25"/>
        <v>0102046101</v>
      </c>
    </row>
    <row r="754" spans="1:6" x14ac:dyDescent="0.3">
      <c r="A754" s="6" t="s">
        <v>1604</v>
      </c>
      <c r="B754">
        <v>25619493</v>
      </c>
      <c r="C754">
        <v>1</v>
      </c>
      <c r="D754" t="str">
        <f t="shared" si="24"/>
        <v>01</v>
      </c>
      <c r="E754" t="str">
        <f>VLOOKUP(B754,'HOGARES-ENDLINE'!$A:$B,2,FALSE)</f>
        <v>01020462</v>
      </c>
      <c r="F754" s="6" t="str">
        <f t="shared" si="25"/>
        <v>0102046201</v>
      </c>
    </row>
    <row r="755" spans="1:6" x14ac:dyDescent="0.3">
      <c r="A755" s="6" t="s">
        <v>1605</v>
      </c>
      <c r="B755">
        <v>25638302</v>
      </c>
      <c r="C755">
        <v>1</v>
      </c>
      <c r="D755" t="str">
        <f t="shared" si="24"/>
        <v>01</v>
      </c>
      <c r="E755" t="str">
        <f>VLOOKUP(B755,'HOGARES-ENDLINE'!$A:$B,2,FALSE)</f>
        <v>00020463</v>
      </c>
      <c r="F755" s="6" t="str">
        <f t="shared" si="25"/>
        <v>0002046301</v>
      </c>
    </row>
    <row r="756" spans="1:6" x14ac:dyDescent="0.3">
      <c r="A756" s="6" t="s">
        <v>1606</v>
      </c>
      <c r="B756">
        <v>25638302</v>
      </c>
      <c r="C756">
        <v>2</v>
      </c>
      <c r="D756" t="str">
        <f t="shared" si="24"/>
        <v>02</v>
      </c>
      <c r="E756" t="str">
        <f>VLOOKUP(B756,'HOGARES-ENDLINE'!$A:$B,2,FALSE)</f>
        <v>00020463</v>
      </c>
      <c r="F756" s="6" t="str">
        <f t="shared" si="25"/>
        <v>0002046302</v>
      </c>
    </row>
    <row r="757" spans="1:6" x14ac:dyDescent="0.3">
      <c r="A757" s="6" t="s">
        <v>1608</v>
      </c>
      <c r="B757">
        <v>25683891</v>
      </c>
      <c r="C757">
        <v>4</v>
      </c>
      <c r="D757" t="str">
        <f t="shared" si="24"/>
        <v>04</v>
      </c>
      <c r="E757" t="str">
        <f>VLOOKUP(B757,'HOGARES-ENDLINE'!$A:$B,2,FALSE)</f>
        <v>01020464</v>
      </c>
      <c r="F757" s="6" t="str">
        <f t="shared" si="25"/>
        <v>0102046404</v>
      </c>
    </row>
    <row r="758" spans="1:6" x14ac:dyDescent="0.3">
      <c r="A758" s="6" t="s">
        <v>1610</v>
      </c>
      <c r="B758">
        <v>25683891</v>
      </c>
      <c r="C758">
        <v>6</v>
      </c>
      <c r="D758" t="str">
        <f t="shared" si="24"/>
        <v>06</v>
      </c>
      <c r="E758" t="str">
        <f>VLOOKUP(B758,'HOGARES-ENDLINE'!$A:$B,2,FALSE)</f>
        <v>01020464</v>
      </c>
      <c r="F758" s="6" t="str">
        <f t="shared" si="25"/>
        <v>0102046406</v>
      </c>
    </row>
    <row r="759" spans="1:6" x14ac:dyDescent="0.3">
      <c r="A759" s="6" t="s">
        <v>1609</v>
      </c>
      <c r="B759">
        <v>25683891</v>
      </c>
      <c r="C759">
        <v>5</v>
      </c>
      <c r="D759" t="str">
        <f t="shared" ref="D759:D822" si="26">_xlfn.CONCAT(0,C759)</f>
        <v>05</v>
      </c>
      <c r="E759" t="str">
        <f>VLOOKUP(B759,'HOGARES-ENDLINE'!$A:$B,2,FALSE)</f>
        <v>01020464</v>
      </c>
      <c r="F759" s="6" t="str">
        <f t="shared" si="25"/>
        <v>0102046405</v>
      </c>
    </row>
    <row r="760" spans="1:6" x14ac:dyDescent="0.3">
      <c r="A760" s="6" t="s">
        <v>1607</v>
      </c>
      <c r="B760">
        <v>25683891</v>
      </c>
      <c r="C760">
        <v>1</v>
      </c>
      <c r="D760" t="str">
        <f t="shared" si="26"/>
        <v>01</v>
      </c>
      <c r="E760" t="str">
        <f>VLOOKUP(B760,'HOGARES-ENDLINE'!$A:$B,2,FALSE)</f>
        <v>01020464</v>
      </c>
      <c r="F760" s="6" t="str">
        <f t="shared" si="25"/>
        <v>0102046401</v>
      </c>
    </row>
    <row r="761" spans="1:6" x14ac:dyDescent="0.3">
      <c r="A761" s="6" t="s">
        <v>1612</v>
      </c>
      <c r="B761">
        <v>25683891</v>
      </c>
      <c r="C761">
        <v>2</v>
      </c>
      <c r="D761" t="str">
        <f t="shared" si="26"/>
        <v>02</v>
      </c>
      <c r="E761" t="str">
        <f>VLOOKUP(B761,'HOGARES-ENDLINE'!$A:$B,2,FALSE)</f>
        <v>01020464</v>
      </c>
      <c r="F761" s="6" t="str">
        <f t="shared" si="25"/>
        <v>0102046402</v>
      </c>
    </row>
    <row r="762" spans="1:6" x14ac:dyDescent="0.3">
      <c r="A762" s="6" t="s">
        <v>1611</v>
      </c>
      <c r="B762">
        <v>25683891</v>
      </c>
      <c r="C762">
        <v>3</v>
      </c>
      <c r="D762" t="str">
        <f t="shared" si="26"/>
        <v>03</v>
      </c>
      <c r="E762" t="str">
        <f>VLOOKUP(B762,'HOGARES-ENDLINE'!$A:$B,2,FALSE)</f>
        <v>01020464</v>
      </c>
      <c r="F762" s="6" t="str">
        <f t="shared" si="25"/>
        <v>0102046403</v>
      </c>
    </row>
    <row r="763" spans="1:6" x14ac:dyDescent="0.3">
      <c r="A763" s="6" t="s">
        <v>1613</v>
      </c>
      <c r="B763">
        <v>25954420</v>
      </c>
      <c r="C763">
        <v>1</v>
      </c>
      <c r="D763" t="str">
        <f t="shared" si="26"/>
        <v>01</v>
      </c>
      <c r="E763" t="str">
        <f>VLOOKUP(B763,'HOGARES-ENDLINE'!$A:$B,2,FALSE)</f>
        <v>01030465</v>
      </c>
      <c r="F763" s="6" t="str">
        <f t="shared" si="25"/>
        <v>0103046501</v>
      </c>
    </row>
    <row r="764" spans="1:6" x14ac:dyDescent="0.3">
      <c r="A764" s="6" t="s">
        <v>1617</v>
      </c>
      <c r="B764">
        <v>26256330</v>
      </c>
      <c r="C764">
        <v>1</v>
      </c>
      <c r="D764" t="str">
        <f t="shared" si="26"/>
        <v>01</v>
      </c>
      <c r="E764" t="str">
        <f>VLOOKUP(B764,'HOGARES-ENDLINE'!$A:$B,2,FALSE)</f>
        <v>01020466</v>
      </c>
      <c r="F764" s="6" t="str">
        <f t="shared" si="25"/>
        <v>0102046601</v>
      </c>
    </row>
    <row r="765" spans="1:6" x14ac:dyDescent="0.3">
      <c r="A765" s="6" t="s">
        <v>1616</v>
      </c>
      <c r="B765">
        <v>26256330</v>
      </c>
      <c r="C765">
        <v>2</v>
      </c>
      <c r="D765" t="str">
        <f t="shared" si="26"/>
        <v>02</v>
      </c>
      <c r="E765" t="str">
        <f>VLOOKUP(B765,'HOGARES-ENDLINE'!$A:$B,2,FALSE)</f>
        <v>01020466</v>
      </c>
      <c r="F765" s="6" t="str">
        <f t="shared" si="25"/>
        <v>0102046602</v>
      </c>
    </row>
    <row r="766" spans="1:6" x14ac:dyDescent="0.3">
      <c r="A766" s="6" t="s">
        <v>1619</v>
      </c>
      <c r="B766">
        <v>26256767</v>
      </c>
      <c r="C766">
        <v>1</v>
      </c>
      <c r="D766" t="str">
        <f t="shared" si="26"/>
        <v>01</v>
      </c>
      <c r="E766" t="str">
        <f>VLOOKUP(B766,'HOGARES-ENDLINE'!$A:$B,2,FALSE)</f>
        <v>00010467</v>
      </c>
      <c r="F766" s="6" t="str">
        <f t="shared" si="25"/>
        <v>0001046701</v>
      </c>
    </row>
    <row r="767" spans="1:6" x14ac:dyDescent="0.3">
      <c r="A767" s="6" t="s">
        <v>1622</v>
      </c>
      <c r="B767">
        <v>26393898</v>
      </c>
      <c r="C767">
        <v>1</v>
      </c>
      <c r="D767" t="str">
        <f t="shared" si="26"/>
        <v>01</v>
      </c>
      <c r="E767" t="str">
        <f>VLOOKUP(B767,'HOGARES-ENDLINE'!$A:$B,2,FALSE)</f>
        <v>01010468</v>
      </c>
      <c r="F767" s="6" t="str">
        <f t="shared" si="25"/>
        <v>0101046801</v>
      </c>
    </row>
    <row r="768" spans="1:6" x14ac:dyDescent="0.3">
      <c r="A768" s="6" t="s">
        <v>1620</v>
      </c>
      <c r="B768">
        <v>26393898</v>
      </c>
      <c r="C768">
        <v>2</v>
      </c>
      <c r="D768" t="str">
        <f t="shared" si="26"/>
        <v>02</v>
      </c>
      <c r="E768" t="str">
        <f>VLOOKUP(B768,'HOGARES-ENDLINE'!$A:$B,2,FALSE)</f>
        <v>01010468</v>
      </c>
      <c r="F768" s="6" t="str">
        <f t="shared" si="25"/>
        <v>0101046802</v>
      </c>
    </row>
    <row r="769" spans="1:6" x14ac:dyDescent="0.3">
      <c r="A769" s="6" t="s">
        <v>1621</v>
      </c>
      <c r="B769">
        <v>26393898</v>
      </c>
      <c r="C769">
        <v>3</v>
      </c>
      <c r="D769" t="str">
        <f t="shared" si="26"/>
        <v>03</v>
      </c>
      <c r="E769" t="str">
        <f>VLOOKUP(B769,'HOGARES-ENDLINE'!$A:$B,2,FALSE)</f>
        <v>01010468</v>
      </c>
      <c r="F769" s="6" t="str">
        <f t="shared" si="25"/>
        <v>0101046803</v>
      </c>
    </row>
    <row r="770" spans="1:6" x14ac:dyDescent="0.3">
      <c r="A770" s="6" t="s">
        <v>1624</v>
      </c>
      <c r="B770">
        <v>26718435</v>
      </c>
      <c r="C770">
        <v>2</v>
      </c>
      <c r="D770" t="str">
        <f t="shared" si="26"/>
        <v>02</v>
      </c>
      <c r="E770" t="str">
        <f>VLOOKUP(B770,'HOGARES-ENDLINE'!$A:$B,2,FALSE)</f>
        <v>01030469</v>
      </c>
      <c r="F770" s="6" t="str">
        <f t="shared" si="25"/>
        <v>0103046902</v>
      </c>
    </row>
    <row r="771" spans="1:6" x14ac:dyDescent="0.3">
      <c r="A771" s="6" t="s">
        <v>1623</v>
      </c>
      <c r="B771">
        <v>26718435</v>
      </c>
      <c r="C771">
        <v>1</v>
      </c>
      <c r="D771" t="str">
        <f t="shared" si="26"/>
        <v>01</v>
      </c>
      <c r="E771" t="str">
        <f>VLOOKUP(B771,'HOGARES-ENDLINE'!$A:$B,2,FALSE)</f>
        <v>01030469</v>
      </c>
      <c r="F771" s="6" t="str">
        <f t="shared" ref="F771:F834" si="27">_xlfn.CONCAT(E771,D771)</f>
        <v>0103046901</v>
      </c>
    </row>
    <row r="772" spans="1:6" x14ac:dyDescent="0.3">
      <c r="A772" s="6" t="s">
        <v>1626</v>
      </c>
      <c r="B772">
        <v>26757628</v>
      </c>
      <c r="C772">
        <v>2</v>
      </c>
      <c r="D772" t="str">
        <f t="shared" si="26"/>
        <v>02</v>
      </c>
      <c r="E772" t="str">
        <f>VLOOKUP(B772,'HOGARES-ENDLINE'!$A:$B,2,FALSE)</f>
        <v>00030470</v>
      </c>
      <c r="F772" s="6" t="str">
        <f t="shared" si="27"/>
        <v>0003047002</v>
      </c>
    </row>
    <row r="773" spans="1:6" x14ac:dyDescent="0.3">
      <c r="A773" s="6" t="s">
        <v>1625</v>
      </c>
      <c r="B773">
        <v>26757628</v>
      </c>
      <c r="C773">
        <v>1</v>
      </c>
      <c r="D773" t="str">
        <f t="shared" si="26"/>
        <v>01</v>
      </c>
      <c r="E773" t="str">
        <f>VLOOKUP(B773,'HOGARES-ENDLINE'!$A:$B,2,FALSE)</f>
        <v>00030470</v>
      </c>
      <c r="F773" s="6" t="str">
        <f t="shared" si="27"/>
        <v>0003047001</v>
      </c>
    </row>
    <row r="774" spans="1:6" x14ac:dyDescent="0.3">
      <c r="A774" s="6" t="s">
        <v>1627</v>
      </c>
      <c r="B774">
        <v>26757731</v>
      </c>
      <c r="C774">
        <v>1</v>
      </c>
      <c r="D774" t="str">
        <f t="shared" si="26"/>
        <v>01</v>
      </c>
      <c r="E774" t="str">
        <f>VLOOKUP(B774,'HOGARES-ENDLINE'!$A:$B,2,FALSE)</f>
        <v>00030471</v>
      </c>
      <c r="F774" s="6" t="str">
        <f t="shared" si="27"/>
        <v>0003047101</v>
      </c>
    </row>
    <row r="775" spans="1:6" x14ac:dyDescent="0.3">
      <c r="A775" s="6" t="s">
        <v>1628</v>
      </c>
      <c r="B775">
        <v>26757731</v>
      </c>
      <c r="C775">
        <v>2</v>
      </c>
      <c r="D775" t="str">
        <f t="shared" si="26"/>
        <v>02</v>
      </c>
      <c r="E775" t="str">
        <f>VLOOKUP(B775,'HOGARES-ENDLINE'!$A:$B,2,FALSE)</f>
        <v>00030471</v>
      </c>
      <c r="F775" s="6" t="str">
        <f t="shared" si="27"/>
        <v>0003047102</v>
      </c>
    </row>
    <row r="776" spans="1:6" x14ac:dyDescent="0.3">
      <c r="A776" s="6" t="s">
        <v>1636</v>
      </c>
      <c r="B776">
        <v>27104551</v>
      </c>
      <c r="C776">
        <v>1</v>
      </c>
      <c r="D776" t="str">
        <f t="shared" si="26"/>
        <v>01</v>
      </c>
      <c r="E776" t="str">
        <f>VLOOKUP(B776,'HOGARES-ENDLINE'!$A:$B,2,FALSE)</f>
        <v>00020474</v>
      </c>
      <c r="F776" s="6" t="str">
        <f t="shared" si="27"/>
        <v>0002047401</v>
      </c>
    </row>
    <row r="777" spans="1:6" x14ac:dyDescent="0.3">
      <c r="A777" s="6" t="s">
        <v>1637</v>
      </c>
      <c r="B777">
        <v>27104551</v>
      </c>
      <c r="C777">
        <v>2</v>
      </c>
      <c r="D777" t="str">
        <f t="shared" si="26"/>
        <v>02</v>
      </c>
      <c r="E777" t="str">
        <f>VLOOKUP(B777,'HOGARES-ENDLINE'!$A:$B,2,FALSE)</f>
        <v>00020474</v>
      </c>
      <c r="F777" s="6" t="str">
        <f t="shared" si="27"/>
        <v>0002047402</v>
      </c>
    </row>
    <row r="778" spans="1:6" x14ac:dyDescent="0.3">
      <c r="A778" s="6" t="s">
        <v>1638</v>
      </c>
      <c r="B778">
        <v>27123795</v>
      </c>
      <c r="C778">
        <v>2</v>
      </c>
      <c r="D778" t="str">
        <f t="shared" si="26"/>
        <v>02</v>
      </c>
      <c r="E778" t="str">
        <f>VLOOKUP(B778,'HOGARES-ENDLINE'!$A:$B,2,FALSE)</f>
        <v>00020475</v>
      </c>
      <c r="F778" s="6" t="str">
        <f t="shared" si="27"/>
        <v>0002047502</v>
      </c>
    </row>
    <row r="779" spans="1:6" x14ac:dyDescent="0.3">
      <c r="A779" s="6" t="s">
        <v>1639</v>
      </c>
      <c r="B779">
        <v>27123795</v>
      </c>
      <c r="C779">
        <v>1</v>
      </c>
      <c r="D779" t="str">
        <f t="shared" si="26"/>
        <v>01</v>
      </c>
      <c r="E779" t="str">
        <f>VLOOKUP(B779,'HOGARES-ENDLINE'!$A:$B,2,FALSE)</f>
        <v>00020475</v>
      </c>
      <c r="F779" s="6" t="str">
        <f t="shared" si="27"/>
        <v>0002047501</v>
      </c>
    </row>
    <row r="780" spans="1:6" x14ac:dyDescent="0.3">
      <c r="A780" s="6" t="s">
        <v>1644</v>
      </c>
      <c r="B780">
        <v>28588708</v>
      </c>
      <c r="C780">
        <v>1</v>
      </c>
      <c r="D780" t="str">
        <f t="shared" si="26"/>
        <v>01</v>
      </c>
      <c r="E780" t="str">
        <f>VLOOKUP(B780,'HOGARES-ENDLINE'!$A:$B,2,FALSE)</f>
        <v>01020477</v>
      </c>
      <c r="F780" s="6" t="str">
        <f t="shared" si="27"/>
        <v>0102047701</v>
      </c>
    </row>
    <row r="781" spans="1:6" x14ac:dyDescent="0.3">
      <c r="A781" s="6" t="s">
        <v>1643</v>
      </c>
      <c r="B781">
        <v>28588708</v>
      </c>
      <c r="C781">
        <v>3</v>
      </c>
      <c r="D781" t="str">
        <f t="shared" si="26"/>
        <v>03</v>
      </c>
      <c r="E781" t="str">
        <f>VLOOKUP(B781,'HOGARES-ENDLINE'!$A:$B,2,FALSE)</f>
        <v>01020477</v>
      </c>
      <c r="F781" s="6" t="str">
        <f t="shared" si="27"/>
        <v>0102047703</v>
      </c>
    </row>
    <row r="782" spans="1:6" x14ac:dyDescent="0.3">
      <c r="A782" s="6" t="s">
        <v>1642</v>
      </c>
      <c r="B782">
        <v>28588708</v>
      </c>
      <c r="C782">
        <v>2</v>
      </c>
      <c r="D782" t="str">
        <f t="shared" si="26"/>
        <v>02</v>
      </c>
      <c r="E782" t="str">
        <f>VLOOKUP(B782,'HOGARES-ENDLINE'!$A:$B,2,FALSE)</f>
        <v>01020477</v>
      </c>
      <c r="F782" s="6" t="str">
        <f t="shared" si="27"/>
        <v>0102047702</v>
      </c>
    </row>
    <row r="783" spans="1:6" x14ac:dyDescent="0.3">
      <c r="A783" s="6" t="s">
        <v>1646</v>
      </c>
      <c r="B783">
        <v>29105566</v>
      </c>
      <c r="C783">
        <v>5</v>
      </c>
      <c r="D783" t="str">
        <f t="shared" si="26"/>
        <v>05</v>
      </c>
      <c r="E783" t="str">
        <f>VLOOKUP(B783,'HOGARES-ENDLINE'!$A:$B,2,FALSE)</f>
        <v>00020478</v>
      </c>
      <c r="F783" s="6" t="str">
        <f t="shared" si="27"/>
        <v>0002047805</v>
      </c>
    </row>
    <row r="784" spans="1:6" x14ac:dyDescent="0.3">
      <c r="A784" s="6" t="s">
        <v>1647</v>
      </c>
      <c r="B784">
        <v>29105566</v>
      </c>
      <c r="C784">
        <v>2</v>
      </c>
      <c r="D784" t="str">
        <f t="shared" si="26"/>
        <v>02</v>
      </c>
      <c r="E784" t="str">
        <f>VLOOKUP(B784,'HOGARES-ENDLINE'!$A:$B,2,FALSE)</f>
        <v>00020478</v>
      </c>
      <c r="F784" s="6" t="str">
        <f t="shared" si="27"/>
        <v>0002047802</v>
      </c>
    </row>
    <row r="785" spans="1:6" x14ac:dyDescent="0.3">
      <c r="A785" s="6" t="s">
        <v>1649</v>
      </c>
      <c r="B785">
        <v>29105566</v>
      </c>
      <c r="C785">
        <v>1</v>
      </c>
      <c r="D785" t="str">
        <f t="shared" si="26"/>
        <v>01</v>
      </c>
      <c r="E785" t="str">
        <f>VLOOKUP(B785,'HOGARES-ENDLINE'!$A:$B,2,FALSE)</f>
        <v>00020478</v>
      </c>
      <c r="F785" s="6" t="str">
        <f t="shared" si="27"/>
        <v>0002047801</v>
      </c>
    </row>
    <row r="786" spans="1:6" x14ac:dyDescent="0.3">
      <c r="A786" s="6" t="s">
        <v>1648</v>
      </c>
      <c r="B786">
        <v>29105566</v>
      </c>
      <c r="C786">
        <v>4</v>
      </c>
      <c r="D786" t="str">
        <f t="shared" si="26"/>
        <v>04</v>
      </c>
      <c r="E786" t="str">
        <f>VLOOKUP(B786,'HOGARES-ENDLINE'!$A:$B,2,FALSE)</f>
        <v>00020478</v>
      </c>
      <c r="F786" s="6" t="str">
        <f t="shared" si="27"/>
        <v>0002047804</v>
      </c>
    </row>
    <row r="787" spans="1:6" x14ac:dyDescent="0.3">
      <c r="A787" s="6" t="s">
        <v>1651</v>
      </c>
      <c r="B787">
        <v>29119222</v>
      </c>
      <c r="C787">
        <v>6</v>
      </c>
      <c r="D787" t="str">
        <f t="shared" si="26"/>
        <v>06</v>
      </c>
      <c r="E787" t="str">
        <f>VLOOKUP(B787,'HOGARES-ENDLINE'!$A:$B,2,FALSE)</f>
        <v>01020479</v>
      </c>
      <c r="F787" s="6" t="str">
        <f t="shared" si="27"/>
        <v>0102047906</v>
      </c>
    </row>
    <row r="788" spans="1:6" x14ac:dyDescent="0.3">
      <c r="A788" s="6" t="s">
        <v>1653</v>
      </c>
      <c r="B788">
        <v>29119222</v>
      </c>
      <c r="C788">
        <v>5</v>
      </c>
      <c r="D788" t="str">
        <f t="shared" si="26"/>
        <v>05</v>
      </c>
      <c r="E788" t="str">
        <f>VLOOKUP(B788,'HOGARES-ENDLINE'!$A:$B,2,FALSE)</f>
        <v>01020479</v>
      </c>
      <c r="F788" s="6" t="str">
        <f t="shared" si="27"/>
        <v>0102047905</v>
      </c>
    </row>
    <row r="789" spans="1:6" x14ac:dyDescent="0.3">
      <c r="A789" s="6" t="s">
        <v>1650</v>
      </c>
      <c r="B789">
        <v>29119222</v>
      </c>
      <c r="C789">
        <v>1</v>
      </c>
      <c r="D789" t="str">
        <f t="shared" si="26"/>
        <v>01</v>
      </c>
      <c r="E789" t="str">
        <f>VLOOKUP(B789,'HOGARES-ENDLINE'!$A:$B,2,FALSE)</f>
        <v>01020479</v>
      </c>
      <c r="F789" s="6" t="str">
        <f t="shared" si="27"/>
        <v>0102047901</v>
      </c>
    </row>
    <row r="790" spans="1:6" x14ac:dyDescent="0.3">
      <c r="A790" s="6" t="s">
        <v>1654</v>
      </c>
      <c r="B790">
        <v>29119222</v>
      </c>
      <c r="C790">
        <v>4</v>
      </c>
      <c r="D790" t="str">
        <f t="shared" si="26"/>
        <v>04</v>
      </c>
      <c r="E790" t="str">
        <f>VLOOKUP(B790,'HOGARES-ENDLINE'!$A:$B,2,FALSE)</f>
        <v>01020479</v>
      </c>
      <c r="F790" s="6" t="str">
        <f t="shared" si="27"/>
        <v>0102047904</v>
      </c>
    </row>
    <row r="791" spans="1:6" x14ac:dyDescent="0.3">
      <c r="A791" s="6" t="s">
        <v>1655</v>
      </c>
      <c r="B791">
        <v>29119222</v>
      </c>
      <c r="C791">
        <v>2</v>
      </c>
      <c r="D791" t="str">
        <f t="shared" si="26"/>
        <v>02</v>
      </c>
      <c r="E791" t="str">
        <f>VLOOKUP(B791,'HOGARES-ENDLINE'!$A:$B,2,FALSE)</f>
        <v>01020479</v>
      </c>
      <c r="F791" s="6" t="str">
        <f t="shared" si="27"/>
        <v>0102047902</v>
      </c>
    </row>
    <row r="792" spans="1:6" x14ac:dyDescent="0.3">
      <c r="A792" s="6" t="s">
        <v>1656</v>
      </c>
      <c r="B792">
        <v>29120687</v>
      </c>
      <c r="C792">
        <v>1</v>
      </c>
      <c r="D792" t="str">
        <f t="shared" si="26"/>
        <v>01</v>
      </c>
      <c r="E792" t="str">
        <f>VLOOKUP(B792,'HOGARES-ENDLINE'!$A:$B,2,FALSE)</f>
        <v>00020480</v>
      </c>
      <c r="F792" s="6" t="str">
        <f t="shared" si="27"/>
        <v>0002048001</v>
      </c>
    </row>
    <row r="793" spans="1:6" x14ac:dyDescent="0.3">
      <c r="A793" s="6" t="s">
        <v>1657</v>
      </c>
      <c r="B793">
        <v>29120687</v>
      </c>
      <c r="C793">
        <v>3</v>
      </c>
      <c r="D793" t="str">
        <f t="shared" si="26"/>
        <v>03</v>
      </c>
      <c r="E793" t="str">
        <f>VLOOKUP(B793,'HOGARES-ENDLINE'!$A:$B,2,FALSE)</f>
        <v>00020480</v>
      </c>
      <c r="F793" s="6" t="str">
        <f t="shared" si="27"/>
        <v>0002048003</v>
      </c>
    </row>
    <row r="794" spans="1:6" x14ac:dyDescent="0.3">
      <c r="A794" s="6" t="s">
        <v>1658</v>
      </c>
      <c r="B794">
        <v>29120687</v>
      </c>
      <c r="C794">
        <v>2</v>
      </c>
      <c r="D794" t="str">
        <f t="shared" si="26"/>
        <v>02</v>
      </c>
      <c r="E794" t="str">
        <f>VLOOKUP(B794,'HOGARES-ENDLINE'!$A:$B,2,FALSE)</f>
        <v>00020480</v>
      </c>
      <c r="F794" s="6" t="str">
        <f t="shared" si="27"/>
        <v>0002048002</v>
      </c>
    </row>
    <row r="795" spans="1:6" x14ac:dyDescent="0.3">
      <c r="A795" s="6" t="s">
        <v>1661</v>
      </c>
      <c r="B795">
        <v>29177698</v>
      </c>
      <c r="C795">
        <v>3</v>
      </c>
      <c r="D795" t="str">
        <f t="shared" si="26"/>
        <v>03</v>
      </c>
      <c r="E795" t="str">
        <f>VLOOKUP(B795,'HOGARES-ENDLINE'!$A:$B,2,FALSE)</f>
        <v>00020481</v>
      </c>
      <c r="F795" s="6" t="str">
        <f t="shared" si="27"/>
        <v>0002048103</v>
      </c>
    </row>
    <row r="796" spans="1:6" x14ac:dyDescent="0.3">
      <c r="A796" s="6" t="s">
        <v>1662</v>
      </c>
      <c r="B796">
        <v>29177698</v>
      </c>
      <c r="C796">
        <v>1</v>
      </c>
      <c r="D796" t="str">
        <f t="shared" si="26"/>
        <v>01</v>
      </c>
      <c r="E796" t="str">
        <f>VLOOKUP(B796,'HOGARES-ENDLINE'!$A:$B,2,FALSE)</f>
        <v>00020481</v>
      </c>
      <c r="F796" s="6" t="str">
        <f t="shared" si="27"/>
        <v>0002048101</v>
      </c>
    </row>
    <row r="797" spans="1:6" x14ac:dyDescent="0.3">
      <c r="A797" s="6" t="s">
        <v>1659</v>
      </c>
      <c r="B797">
        <v>29177698</v>
      </c>
      <c r="C797">
        <v>2</v>
      </c>
      <c r="D797" t="str">
        <f t="shared" si="26"/>
        <v>02</v>
      </c>
      <c r="E797" t="str">
        <f>VLOOKUP(B797,'HOGARES-ENDLINE'!$A:$B,2,FALSE)</f>
        <v>00020481</v>
      </c>
      <c r="F797" s="6" t="str">
        <f t="shared" si="27"/>
        <v>0002048102</v>
      </c>
    </row>
    <row r="798" spans="1:6" x14ac:dyDescent="0.3">
      <c r="A798" s="6" t="s">
        <v>1660</v>
      </c>
      <c r="B798">
        <v>29177698</v>
      </c>
      <c r="C798">
        <v>4</v>
      </c>
      <c r="D798" t="str">
        <f t="shared" si="26"/>
        <v>04</v>
      </c>
      <c r="E798" t="str">
        <f>VLOOKUP(B798,'HOGARES-ENDLINE'!$A:$B,2,FALSE)</f>
        <v>00020481</v>
      </c>
      <c r="F798" s="6" t="str">
        <f t="shared" si="27"/>
        <v>0002048104</v>
      </c>
    </row>
    <row r="799" spans="1:6" x14ac:dyDescent="0.3">
      <c r="A799" s="6" t="s">
        <v>1663</v>
      </c>
      <c r="B799">
        <v>29178636</v>
      </c>
      <c r="C799">
        <v>1</v>
      </c>
      <c r="D799" t="str">
        <f t="shared" si="26"/>
        <v>01</v>
      </c>
      <c r="E799" t="str">
        <f>VLOOKUP(B799,'HOGARES-ENDLINE'!$A:$B,2,FALSE)</f>
        <v>00020482</v>
      </c>
      <c r="F799" s="6" t="str">
        <f t="shared" si="27"/>
        <v>0002048201</v>
      </c>
    </row>
    <row r="800" spans="1:6" x14ac:dyDescent="0.3">
      <c r="A800" s="6" t="s">
        <v>1664</v>
      </c>
      <c r="B800">
        <v>29179765</v>
      </c>
      <c r="C800">
        <v>1</v>
      </c>
      <c r="D800" t="str">
        <f t="shared" si="26"/>
        <v>01</v>
      </c>
      <c r="E800" t="str">
        <f>VLOOKUP(B800,'HOGARES-ENDLINE'!$A:$B,2,FALSE)</f>
        <v>01020483</v>
      </c>
      <c r="F800" s="6" t="str">
        <f t="shared" si="27"/>
        <v>0102048301</v>
      </c>
    </row>
    <row r="801" spans="1:6" x14ac:dyDescent="0.3">
      <c r="A801" s="6" t="s">
        <v>1665</v>
      </c>
      <c r="B801">
        <v>29179765</v>
      </c>
      <c r="C801">
        <v>2</v>
      </c>
      <c r="D801" t="str">
        <f t="shared" si="26"/>
        <v>02</v>
      </c>
      <c r="E801" t="str">
        <f>VLOOKUP(B801,'HOGARES-ENDLINE'!$A:$B,2,FALSE)</f>
        <v>01020483</v>
      </c>
      <c r="F801" s="6" t="str">
        <f t="shared" si="27"/>
        <v>0102048302</v>
      </c>
    </row>
    <row r="802" spans="1:6" x14ac:dyDescent="0.3">
      <c r="A802" s="6" t="s">
        <v>1667</v>
      </c>
      <c r="B802">
        <v>29179902</v>
      </c>
      <c r="C802">
        <v>1</v>
      </c>
      <c r="D802" t="str">
        <f t="shared" si="26"/>
        <v>01</v>
      </c>
      <c r="E802" t="str">
        <f>VLOOKUP(B802,'HOGARES-ENDLINE'!$A:$B,2,FALSE)</f>
        <v>00020484</v>
      </c>
      <c r="F802" s="6" t="str">
        <f t="shared" si="27"/>
        <v>0002048401</v>
      </c>
    </row>
    <row r="803" spans="1:6" x14ac:dyDescent="0.3">
      <c r="A803" s="6" t="s">
        <v>1666</v>
      </c>
      <c r="B803">
        <v>29179902</v>
      </c>
      <c r="C803">
        <v>2</v>
      </c>
      <c r="D803" t="str">
        <f t="shared" si="26"/>
        <v>02</v>
      </c>
      <c r="E803" t="str">
        <f>VLOOKUP(B803,'HOGARES-ENDLINE'!$A:$B,2,FALSE)</f>
        <v>00020484</v>
      </c>
      <c r="F803" s="6" t="str">
        <f t="shared" si="27"/>
        <v>0002048402</v>
      </c>
    </row>
    <row r="804" spans="1:6" x14ac:dyDescent="0.3">
      <c r="A804" s="6" t="s">
        <v>1669</v>
      </c>
      <c r="B804">
        <v>29346502</v>
      </c>
      <c r="C804">
        <v>2</v>
      </c>
      <c r="D804" t="str">
        <f t="shared" si="26"/>
        <v>02</v>
      </c>
      <c r="E804" t="str">
        <f>VLOOKUP(B804,'HOGARES-ENDLINE'!$A:$B,2,FALSE)</f>
        <v>01020485</v>
      </c>
      <c r="F804" s="6" t="str">
        <f t="shared" si="27"/>
        <v>0102048502</v>
      </c>
    </row>
    <row r="805" spans="1:6" x14ac:dyDescent="0.3">
      <c r="A805" s="6" t="s">
        <v>1670</v>
      </c>
      <c r="B805">
        <v>29346502</v>
      </c>
      <c r="C805">
        <v>3</v>
      </c>
      <c r="D805" t="str">
        <f t="shared" si="26"/>
        <v>03</v>
      </c>
      <c r="E805" t="str">
        <f>VLOOKUP(B805,'HOGARES-ENDLINE'!$A:$B,2,FALSE)</f>
        <v>01020485</v>
      </c>
      <c r="F805" s="6" t="str">
        <f t="shared" si="27"/>
        <v>0102048503</v>
      </c>
    </row>
    <row r="806" spans="1:6" x14ac:dyDescent="0.3">
      <c r="A806" s="6" t="s">
        <v>1671</v>
      </c>
      <c r="B806">
        <v>29346502</v>
      </c>
      <c r="C806">
        <v>4</v>
      </c>
      <c r="D806" t="str">
        <f t="shared" si="26"/>
        <v>04</v>
      </c>
      <c r="E806" t="str">
        <f>VLOOKUP(B806,'HOGARES-ENDLINE'!$A:$B,2,FALSE)</f>
        <v>01020485</v>
      </c>
      <c r="F806" s="6" t="str">
        <f t="shared" si="27"/>
        <v>0102048504</v>
      </c>
    </row>
    <row r="807" spans="1:6" x14ac:dyDescent="0.3">
      <c r="A807" s="6" t="s">
        <v>1672</v>
      </c>
      <c r="B807">
        <v>29346502</v>
      </c>
      <c r="C807">
        <v>1</v>
      </c>
      <c r="D807" t="str">
        <f t="shared" si="26"/>
        <v>01</v>
      </c>
      <c r="E807" t="str">
        <f>VLOOKUP(B807,'HOGARES-ENDLINE'!$A:$B,2,FALSE)</f>
        <v>01020485</v>
      </c>
      <c r="F807" s="6" t="str">
        <f t="shared" si="27"/>
        <v>0102048501</v>
      </c>
    </row>
    <row r="808" spans="1:6" x14ac:dyDescent="0.3">
      <c r="A808" s="6" t="s">
        <v>1673</v>
      </c>
      <c r="B808">
        <v>29377098</v>
      </c>
      <c r="C808">
        <v>1</v>
      </c>
      <c r="D808" t="str">
        <f t="shared" si="26"/>
        <v>01</v>
      </c>
      <c r="E808" t="str">
        <f>VLOOKUP(B808,'HOGARES-ENDLINE'!$A:$B,2,FALSE)</f>
        <v>00020486</v>
      </c>
      <c r="F808" s="6" t="str">
        <f t="shared" si="27"/>
        <v>0002048601</v>
      </c>
    </row>
    <row r="809" spans="1:6" x14ac:dyDescent="0.3">
      <c r="A809" s="6" t="s">
        <v>1674</v>
      </c>
      <c r="B809">
        <v>29377098</v>
      </c>
      <c r="C809">
        <v>2</v>
      </c>
      <c r="D809" t="str">
        <f t="shared" si="26"/>
        <v>02</v>
      </c>
      <c r="E809" t="str">
        <f>VLOOKUP(B809,'HOGARES-ENDLINE'!$A:$B,2,FALSE)</f>
        <v>00020486</v>
      </c>
      <c r="F809" s="6" t="str">
        <f t="shared" si="27"/>
        <v>0002048602</v>
      </c>
    </row>
    <row r="810" spans="1:6" x14ac:dyDescent="0.3">
      <c r="A810" s="6" t="s">
        <v>1676</v>
      </c>
      <c r="B810">
        <v>29398776</v>
      </c>
      <c r="C810">
        <v>2</v>
      </c>
      <c r="D810" t="str">
        <f t="shared" si="26"/>
        <v>02</v>
      </c>
      <c r="E810" t="str">
        <f>VLOOKUP(B810,'HOGARES-ENDLINE'!$A:$B,2,FALSE)</f>
        <v>00020487</v>
      </c>
      <c r="F810" s="6" t="str">
        <f t="shared" si="27"/>
        <v>0002048702</v>
      </c>
    </row>
    <row r="811" spans="1:6" x14ac:dyDescent="0.3">
      <c r="A811" s="6" t="s">
        <v>1677</v>
      </c>
      <c r="B811">
        <v>29398776</v>
      </c>
      <c r="C811">
        <v>3</v>
      </c>
      <c r="D811" t="str">
        <f t="shared" si="26"/>
        <v>03</v>
      </c>
      <c r="E811" t="str">
        <f>VLOOKUP(B811,'HOGARES-ENDLINE'!$A:$B,2,FALSE)</f>
        <v>00020487</v>
      </c>
      <c r="F811" s="6" t="str">
        <f t="shared" si="27"/>
        <v>0002048703</v>
      </c>
    </row>
    <row r="812" spans="1:6" x14ac:dyDescent="0.3">
      <c r="A812" s="6" t="s">
        <v>1675</v>
      </c>
      <c r="B812">
        <v>29398776</v>
      </c>
      <c r="C812">
        <v>4</v>
      </c>
      <c r="D812" t="str">
        <f t="shared" si="26"/>
        <v>04</v>
      </c>
      <c r="E812" t="str">
        <f>VLOOKUP(B812,'HOGARES-ENDLINE'!$A:$B,2,FALSE)</f>
        <v>00020487</v>
      </c>
      <c r="F812" s="6" t="str">
        <f t="shared" si="27"/>
        <v>0002048704</v>
      </c>
    </row>
    <row r="813" spans="1:6" x14ac:dyDescent="0.3">
      <c r="A813" s="6" t="s">
        <v>1678</v>
      </c>
      <c r="B813">
        <v>29398776</v>
      </c>
      <c r="C813">
        <v>1</v>
      </c>
      <c r="D813" t="str">
        <f t="shared" si="26"/>
        <v>01</v>
      </c>
      <c r="E813" t="str">
        <f>VLOOKUP(B813,'HOGARES-ENDLINE'!$A:$B,2,FALSE)</f>
        <v>00020487</v>
      </c>
      <c r="F813" s="6" t="str">
        <f t="shared" si="27"/>
        <v>0002048701</v>
      </c>
    </row>
    <row r="814" spans="1:6" x14ac:dyDescent="0.3">
      <c r="A814" s="6" t="s">
        <v>1680</v>
      </c>
      <c r="B814">
        <v>29534923</v>
      </c>
      <c r="C814">
        <v>4</v>
      </c>
      <c r="D814" t="str">
        <f t="shared" si="26"/>
        <v>04</v>
      </c>
      <c r="E814" t="str">
        <f>VLOOKUP(B814,'HOGARES-ENDLINE'!$A:$B,2,FALSE)</f>
        <v>00020488</v>
      </c>
      <c r="F814" s="6" t="str">
        <f t="shared" si="27"/>
        <v>0002048804</v>
      </c>
    </row>
    <row r="815" spans="1:6" x14ac:dyDescent="0.3">
      <c r="A815" s="6" t="s">
        <v>1679</v>
      </c>
      <c r="B815">
        <v>29534923</v>
      </c>
      <c r="C815">
        <v>1</v>
      </c>
      <c r="D815" t="str">
        <f t="shared" si="26"/>
        <v>01</v>
      </c>
      <c r="E815" t="str">
        <f>VLOOKUP(B815,'HOGARES-ENDLINE'!$A:$B,2,FALSE)</f>
        <v>00020488</v>
      </c>
      <c r="F815" s="6" t="str">
        <f t="shared" si="27"/>
        <v>0002048801</v>
      </c>
    </row>
    <row r="816" spans="1:6" x14ac:dyDescent="0.3">
      <c r="A816" s="6" t="s">
        <v>1682</v>
      </c>
      <c r="B816">
        <v>29534923</v>
      </c>
      <c r="C816">
        <v>2</v>
      </c>
      <c r="D816" t="str">
        <f t="shared" si="26"/>
        <v>02</v>
      </c>
      <c r="E816" t="str">
        <f>VLOOKUP(B816,'HOGARES-ENDLINE'!$A:$B,2,FALSE)</f>
        <v>00020488</v>
      </c>
      <c r="F816" s="6" t="str">
        <f t="shared" si="27"/>
        <v>0002048802</v>
      </c>
    </row>
    <row r="817" spans="1:6" x14ac:dyDescent="0.3">
      <c r="A817" s="6" t="s">
        <v>1681</v>
      </c>
      <c r="B817">
        <v>29534923</v>
      </c>
      <c r="C817">
        <v>3</v>
      </c>
      <c r="D817" t="str">
        <f t="shared" si="26"/>
        <v>03</v>
      </c>
      <c r="E817" t="str">
        <f>VLOOKUP(B817,'HOGARES-ENDLINE'!$A:$B,2,FALSE)</f>
        <v>00020488</v>
      </c>
      <c r="F817" s="6" t="str">
        <f t="shared" si="27"/>
        <v>0002048803</v>
      </c>
    </row>
    <row r="818" spans="1:6" x14ac:dyDescent="0.3">
      <c r="A818" s="6" t="s">
        <v>1683</v>
      </c>
      <c r="B818">
        <v>29555202</v>
      </c>
      <c r="C818">
        <v>1</v>
      </c>
      <c r="D818" t="str">
        <f t="shared" si="26"/>
        <v>01</v>
      </c>
      <c r="E818" t="str">
        <f>VLOOKUP(B818,'HOGARES-ENDLINE'!$A:$B,2,FALSE)</f>
        <v>00020489</v>
      </c>
      <c r="F818" s="6" t="str">
        <f t="shared" si="27"/>
        <v>0002048901</v>
      </c>
    </row>
    <row r="819" spans="1:6" x14ac:dyDescent="0.3">
      <c r="A819" s="6" t="s">
        <v>1684</v>
      </c>
      <c r="B819">
        <v>29563232</v>
      </c>
      <c r="C819">
        <v>1</v>
      </c>
      <c r="D819" t="str">
        <f t="shared" si="26"/>
        <v>01</v>
      </c>
      <c r="E819" t="str">
        <f>VLOOKUP(B819,'HOGARES-ENDLINE'!$A:$B,2,FALSE)</f>
        <v>01020490</v>
      </c>
      <c r="F819" s="6" t="str">
        <f t="shared" si="27"/>
        <v>0102049001</v>
      </c>
    </row>
    <row r="820" spans="1:6" x14ac:dyDescent="0.3">
      <c r="A820" s="6" t="s">
        <v>1685</v>
      </c>
      <c r="B820">
        <v>29563360</v>
      </c>
      <c r="C820">
        <v>1</v>
      </c>
      <c r="D820" t="str">
        <f t="shared" si="26"/>
        <v>01</v>
      </c>
      <c r="E820" t="str">
        <f>VLOOKUP(B820,'HOGARES-ENDLINE'!$A:$B,2,FALSE)</f>
        <v>01020491</v>
      </c>
      <c r="F820" s="6" t="str">
        <f t="shared" si="27"/>
        <v>0102049101</v>
      </c>
    </row>
    <row r="821" spans="1:6" x14ac:dyDescent="0.3">
      <c r="A821" s="6" t="s">
        <v>1691</v>
      </c>
      <c r="B821">
        <v>29703356</v>
      </c>
      <c r="C821">
        <v>1</v>
      </c>
      <c r="D821" t="str">
        <f t="shared" si="26"/>
        <v>01</v>
      </c>
      <c r="E821" t="str">
        <f>VLOOKUP(B821,'HOGARES-ENDLINE'!$A:$B,2,FALSE)</f>
        <v>00020494</v>
      </c>
      <c r="F821" s="6" t="str">
        <f t="shared" si="27"/>
        <v>0002049401</v>
      </c>
    </row>
    <row r="822" spans="1:6" x14ac:dyDescent="0.3">
      <c r="A822" s="6" t="s">
        <v>5167</v>
      </c>
      <c r="B822">
        <v>30402150</v>
      </c>
      <c r="C822">
        <v>8</v>
      </c>
      <c r="D822" t="str">
        <f t="shared" si="26"/>
        <v>08</v>
      </c>
      <c r="E822" t="str">
        <f>VLOOKUP(B822,'HOGARES-ENDLINE'!$A:$B,2,FALSE)</f>
        <v>01010495</v>
      </c>
      <c r="F822" s="6" t="str">
        <f t="shared" si="27"/>
        <v>0101049508</v>
      </c>
    </row>
    <row r="823" spans="1:6" x14ac:dyDescent="0.3">
      <c r="A823" s="6" t="s">
        <v>1698</v>
      </c>
      <c r="B823">
        <v>30402150</v>
      </c>
      <c r="C823">
        <v>5</v>
      </c>
      <c r="D823" t="str">
        <f t="shared" ref="D823:D886" si="28">_xlfn.CONCAT(0,C823)</f>
        <v>05</v>
      </c>
      <c r="E823" t="str">
        <f>VLOOKUP(B823,'HOGARES-ENDLINE'!$A:$B,2,FALSE)</f>
        <v>01010495</v>
      </c>
      <c r="F823" s="6" t="str">
        <f t="shared" si="27"/>
        <v>0101049505</v>
      </c>
    </row>
    <row r="824" spans="1:6" x14ac:dyDescent="0.3">
      <c r="A824" s="6" t="s">
        <v>1699</v>
      </c>
      <c r="B824">
        <v>30402150</v>
      </c>
      <c r="C824">
        <v>1</v>
      </c>
      <c r="D824" t="str">
        <f t="shared" si="28"/>
        <v>01</v>
      </c>
      <c r="E824" t="str">
        <f>VLOOKUP(B824,'HOGARES-ENDLINE'!$A:$B,2,FALSE)</f>
        <v>01010495</v>
      </c>
      <c r="F824" s="6" t="str">
        <f t="shared" si="27"/>
        <v>0101049501</v>
      </c>
    </row>
    <row r="825" spans="1:6" x14ac:dyDescent="0.3">
      <c r="A825" s="6" t="s">
        <v>1697</v>
      </c>
      <c r="B825">
        <v>30402150</v>
      </c>
      <c r="C825">
        <v>4</v>
      </c>
      <c r="D825" t="str">
        <f t="shared" si="28"/>
        <v>04</v>
      </c>
      <c r="E825" t="str">
        <f>VLOOKUP(B825,'HOGARES-ENDLINE'!$A:$B,2,FALSE)</f>
        <v>01010495</v>
      </c>
      <c r="F825" s="6" t="str">
        <f t="shared" si="27"/>
        <v>0101049504</v>
      </c>
    </row>
    <row r="826" spans="1:6" x14ac:dyDescent="0.3">
      <c r="A826" s="6" t="s">
        <v>5168</v>
      </c>
      <c r="B826">
        <v>30402150</v>
      </c>
      <c r="C826">
        <v>7</v>
      </c>
      <c r="D826" t="str">
        <f t="shared" si="28"/>
        <v>07</v>
      </c>
      <c r="E826" t="str">
        <f>VLOOKUP(B826,'HOGARES-ENDLINE'!$A:$B,2,FALSE)</f>
        <v>01010495</v>
      </c>
      <c r="F826" s="6" t="str">
        <f t="shared" si="27"/>
        <v>0101049507</v>
      </c>
    </row>
    <row r="827" spans="1:6" x14ac:dyDescent="0.3">
      <c r="A827" s="6" t="s">
        <v>1694</v>
      </c>
      <c r="B827">
        <v>30402150</v>
      </c>
      <c r="C827">
        <v>6</v>
      </c>
      <c r="D827" t="str">
        <f t="shared" si="28"/>
        <v>06</v>
      </c>
      <c r="E827" t="str">
        <f>VLOOKUP(B827,'HOGARES-ENDLINE'!$A:$B,2,FALSE)</f>
        <v>01010495</v>
      </c>
      <c r="F827" s="6" t="str">
        <f t="shared" si="27"/>
        <v>0101049506</v>
      </c>
    </row>
    <row r="828" spans="1:6" x14ac:dyDescent="0.3">
      <c r="A828" s="6" t="s">
        <v>1696</v>
      </c>
      <c r="B828">
        <v>30402150</v>
      </c>
      <c r="C828">
        <v>3</v>
      </c>
      <c r="D828" t="str">
        <f t="shared" si="28"/>
        <v>03</v>
      </c>
      <c r="E828" t="str">
        <f>VLOOKUP(B828,'HOGARES-ENDLINE'!$A:$B,2,FALSE)</f>
        <v>01010495</v>
      </c>
      <c r="F828" s="6" t="str">
        <f t="shared" si="27"/>
        <v>0101049503</v>
      </c>
    </row>
    <row r="829" spans="1:6" x14ac:dyDescent="0.3">
      <c r="A829" s="6" t="s">
        <v>1695</v>
      </c>
      <c r="B829">
        <v>30402150</v>
      </c>
      <c r="C829">
        <v>2</v>
      </c>
      <c r="D829" t="str">
        <f t="shared" si="28"/>
        <v>02</v>
      </c>
      <c r="E829" t="str">
        <f>VLOOKUP(B829,'HOGARES-ENDLINE'!$A:$B,2,FALSE)</f>
        <v>01010495</v>
      </c>
      <c r="F829" s="6" t="str">
        <f t="shared" si="27"/>
        <v>0101049502</v>
      </c>
    </row>
    <row r="830" spans="1:6" x14ac:dyDescent="0.3">
      <c r="A830" s="6" t="s">
        <v>1700</v>
      </c>
      <c r="B830">
        <v>30579593</v>
      </c>
      <c r="C830">
        <v>2</v>
      </c>
      <c r="D830" t="str">
        <f t="shared" si="28"/>
        <v>02</v>
      </c>
      <c r="E830" t="str">
        <f>VLOOKUP(B830,'HOGARES-ENDLINE'!$A:$B,2,FALSE)</f>
        <v>00030496</v>
      </c>
      <c r="F830" s="6" t="str">
        <f t="shared" si="27"/>
        <v>0003049602</v>
      </c>
    </row>
    <row r="831" spans="1:6" x14ac:dyDescent="0.3">
      <c r="A831" s="6" t="s">
        <v>1701</v>
      </c>
      <c r="B831">
        <v>30579593</v>
      </c>
      <c r="C831">
        <v>1</v>
      </c>
      <c r="D831" t="str">
        <f t="shared" si="28"/>
        <v>01</v>
      </c>
      <c r="E831" t="str">
        <f>VLOOKUP(B831,'HOGARES-ENDLINE'!$A:$B,2,FALSE)</f>
        <v>00030496</v>
      </c>
      <c r="F831" s="6" t="str">
        <f t="shared" si="27"/>
        <v>0003049601</v>
      </c>
    </row>
    <row r="832" spans="1:6" x14ac:dyDescent="0.3">
      <c r="A832" s="6" t="s">
        <v>1702</v>
      </c>
      <c r="B832">
        <v>30855437</v>
      </c>
      <c r="C832">
        <v>1</v>
      </c>
      <c r="D832" t="str">
        <f t="shared" si="28"/>
        <v>01</v>
      </c>
      <c r="E832" t="str">
        <f>VLOOKUP(B832,'HOGARES-ENDLINE'!$A:$B,2,FALSE)</f>
        <v>00030497</v>
      </c>
      <c r="F832" s="6" t="str">
        <f t="shared" si="27"/>
        <v>0003049701</v>
      </c>
    </row>
    <row r="833" spans="1:6" x14ac:dyDescent="0.3">
      <c r="A833" s="6" t="s">
        <v>1703</v>
      </c>
      <c r="B833">
        <v>30855437</v>
      </c>
      <c r="C833">
        <v>2</v>
      </c>
      <c r="D833" t="str">
        <f t="shared" si="28"/>
        <v>02</v>
      </c>
      <c r="E833" t="str">
        <f>VLOOKUP(B833,'HOGARES-ENDLINE'!$A:$B,2,FALSE)</f>
        <v>00030497</v>
      </c>
      <c r="F833" s="6" t="str">
        <f t="shared" si="27"/>
        <v>0003049702</v>
      </c>
    </row>
    <row r="834" spans="1:6" x14ac:dyDescent="0.3">
      <c r="A834" s="6" t="s">
        <v>1705</v>
      </c>
      <c r="B834">
        <v>31162284</v>
      </c>
      <c r="C834">
        <v>2</v>
      </c>
      <c r="D834" t="str">
        <f t="shared" si="28"/>
        <v>02</v>
      </c>
      <c r="E834" t="str">
        <f>VLOOKUP(B834,'HOGARES-ENDLINE'!$A:$B,2,FALSE)</f>
        <v>00020498</v>
      </c>
      <c r="F834" s="6" t="str">
        <f t="shared" si="27"/>
        <v>0002049802</v>
      </c>
    </row>
    <row r="835" spans="1:6" x14ac:dyDescent="0.3">
      <c r="A835" s="6" t="s">
        <v>1704</v>
      </c>
      <c r="B835">
        <v>31162284</v>
      </c>
      <c r="C835">
        <v>1</v>
      </c>
      <c r="D835" t="str">
        <f t="shared" si="28"/>
        <v>01</v>
      </c>
      <c r="E835" t="str">
        <f>VLOOKUP(B835,'HOGARES-ENDLINE'!$A:$B,2,FALSE)</f>
        <v>00020498</v>
      </c>
      <c r="F835" s="6" t="str">
        <f t="shared" ref="F835:F898" si="29">_xlfn.CONCAT(E835,D835)</f>
        <v>0002049801</v>
      </c>
    </row>
    <row r="836" spans="1:6" x14ac:dyDescent="0.3">
      <c r="A836" s="6" t="s">
        <v>1706</v>
      </c>
      <c r="B836">
        <v>31214997</v>
      </c>
      <c r="C836">
        <v>1</v>
      </c>
      <c r="D836" t="str">
        <f t="shared" si="28"/>
        <v>01</v>
      </c>
      <c r="E836" t="str">
        <f>VLOOKUP(B836,'HOGARES-ENDLINE'!$A:$B,2,FALSE)</f>
        <v>01020499</v>
      </c>
      <c r="F836" s="6" t="str">
        <f t="shared" si="29"/>
        <v>0102049901</v>
      </c>
    </row>
    <row r="837" spans="1:6" x14ac:dyDescent="0.3">
      <c r="A837" s="6" t="s">
        <v>1711</v>
      </c>
      <c r="B837">
        <v>31219519</v>
      </c>
      <c r="C837">
        <v>2</v>
      </c>
      <c r="D837" t="str">
        <f t="shared" si="28"/>
        <v>02</v>
      </c>
      <c r="E837" t="str">
        <f>VLOOKUP(B837,'HOGARES-ENDLINE'!$A:$B,2,FALSE)</f>
        <v>00020500</v>
      </c>
      <c r="F837" s="6" t="str">
        <f t="shared" si="29"/>
        <v>0002050002</v>
      </c>
    </row>
    <row r="838" spans="1:6" x14ac:dyDescent="0.3">
      <c r="A838" s="6" t="s">
        <v>1710</v>
      </c>
      <c r="B838">
        <v>31219519</v>
      </c>
      <c r="C838">
        <v>1</v>
      </c>
      <c r="D838" t="str">
        <f t="shared" si="28"/>
        <v>01</v>
      </c>
      <c r="E838" t="str">
        <f>VLOOKUP(B838,'HOGARES-ENDLINE'!$A:$B,2,FALSE)</f>
        <v>00020500</v>
      </c>
      <c r="F838" s="6" t="str">
        <f t="shared" si="29"/>
        <v>0002050001</v>
      </c>
    </row>
    <row r="839" spans="1:6" x14ac:dyDescent="0.3">
      <c r="A839" s="6" t="s">
        <v>1713</v>
      </c>
      <c r="B839">
        <v>31223132</v>
      </c>
      <c r="C839">
        <v>2</v>
      </c>
      <c r="D839" t="str">
        <f t="shared" si="28"/>
        <v>02</v>
      </c>
      <c r="E839" t="str">
        <f>VLOOKUP(B839,'HOGARES-ENDLINE'!$A:$B,2,FALSE)</f>
        <v>00020501</v>
      </c>
      <c r="F839" s="6" t="str">
        <f t="shared" si="29"/>
        <v>0002050102</v>
      </c>
    </row>
    <row r="840" spans="1:6" x14ac:dyDescent="0.3">
      <c r="A840" s="6" t="s">
        <v>1712</v>
      </c>
      <c r="B840">
        <v>31223132</v>
      </c>
      <c r="C840">
        <v>1</v>
      </c>
      <c r="D840" t="str">
        <f t="shared" si="28"/>
        <v>01</v>
      </c>
      <c r="E840" t="str">
        <f>VLOOKUP(B840,'HOGARES-ENDLINE'!$A:$B,2,FALSE)</f>
        <v>00020501</v>
      </c>
      <c r="F840" s="6" t="str">
        <f t="shared" si="29"/>
        <v>0002050101</v>
      </c>
    </row>
    <row r="841" spans="1:6" x14ac:dyDescent="0.3">
      <c r="A841" s="6" t="s">
        <v>1716</v>
      </c>
      <c r="B841">
        <v>31231329</v>
      </c>
      <c r="C841">
        <v>1</v>
      </c>
      <c r="D841" t="str">
        <f t="shared" si="28"/>
        <v>01</v>
      </c>
      <c r="E841" t="str">
        <f>VLOOKUP(B841,'HOGARES-ENDLINE'!$A:$B,2,FALSE)</f>
        <v>00020502</v>
      </c>
      <c r="F841" s="6" t="str">
        <f t="shared" si="29"/>
        <v>0002050201</v>
      </c>
    </row>
    <row r="842" spans="1:6" x14ac:dyDescent="0.3">
      <c r="A842" s="6" t="s">
        <v>1715</v>
      </c>
      <c r="B842">
        <v>31231329</v>
      </c>
      <c r="C842">
        <v>2</v>
      </c>
      <c r="D842" t="str">
        <f t="shared" si="28"/>
        <v>02</v>
      </c>
      <c r="E842" t="str">
        <f>VLOOKUP(B842,'HOGARES-ENDLINE'!$A:$B,2,FALSE)</f>
        <v>00020502</v>
      </c>
      <c r="F842" s="6" t="str">
        <f t="shared" si="29"/>
        <v>0002050202</v>
      </c>
    </row>
    <row r="843" spans="1:6" x14ac:dyDescent="0.3">
      <c r="A843" s="6" t="s">
        <v>1714</v>
      </c>
      <c r="B843">
        <v>31231329</v>
      </c>
      <c r="C843">
        <v>3</v>
      </c>
      <c r="D843" t="str">
        <f t="shared" si="28"/>
        <v>03</v>
      </c>
      <c r="E843" t="str">
        <f>VLOOKUP(B843,'HOGARES-ENDLINE'!$A:$B,2,FALSE)</f>
        <v>00020502</v>
      </c>
      <c r="F843" s="6" t="str">
        <f t="shared" si="29"/>
        <v>0002050203</v>
      </c>
    </row>
    <row r="844" spans="1:6" x14ac:dyDescent="0.3">
      <c r="A844" s="6" t="s">
        <v>1717</v>
      </c>
      <c r="B844">
        <v>31244762</v>
      </c>
      <c r="C844">
        <v>1</v>
      </c>
      <c r="D844" t="str">
        <f t="shared" si="28"/>
        <v>01</v>
      </c>
      <c r="E844" t="str">
        <f>VLOOKUP(B844,'HOGARES-ENDLINE'!$A:$B,2,FALSE)</f>
        <v>00020503</v>
      </c>
      <c r="F844" s="6" t="str">
        <f t="shared" si="29"/>
        <v>0002050301</v>
      </c>
    </row>
    <row r="845" spans="1:6" x14ac:dyDescent="0.3">
      <c r="A845" s="6" t="s">
        <v>1718</v>
      </c>
      <c r="B845">
        <v>31248209</v>
      </c>
      <c r="C845">
        <v>2</v>
      </c>
      <c r="D845" t="str">
        <f t="shared" si="28"/>
        <v>02</v>
      </c>
      <c r="E845" t="str">
        <f>VLOOKUP(B845,'HOGARES-ENDLINE'!$A:$B,2,FALSE)</f>
        <v>00020504</v>
      </c>
      <c r="F845" s="6" t="str">
        <f t="shared" si="29"/>
        <v>0002050402</v>
      </c>
    </row>
    <row r="846" spans="1:6" x14ac:dyDescent="0.3">
      <c r="A846" s="6" t="s">
        <v>1719</v>
      </c>
      <c r="B846">
        <v>31248209</v>
      </c>
      <c r="C846">
        <v>1</v>
      </c>
      <c r="D846" t="str">
        <f t="shared" si="28"/>
        <v>01</v>
      </c>
      <c r="E846" t="str">
        <f>VLOOKUP(B846,'HOGARES-ENDLINE'!$A:$B,2,FALSE)</f>
        <v>00020504</v>
      </c>
      <c r="F846" s="6" t="str">
        <f t="shared" si="29"/>
        <v>0002050401</v>
      </c>
    </row>
    <row r="847" spans="1:6" x14ac:dyDescent="0.3">
      <c r="A847" s="6" t="s">
        <v>1725</v>
      </c>
      <c r="B847">
        <v>31249710</v>
      </c>
      <c r="C847">
        <v>1</v>
      </c>
      <c r="D847" t="str">
        <f t="shared" si="28"/>
        <v>01</v>
      </c>
      <c r="E847" t="str">
        <f>VLOOKUP(B847,'HOGARES-ENDLINE'!$A:$B,2,FALSE)</f>
        <v>00020505</v>
      </c>
      <c r="F847" s="6" t="str">
        <f t="shared" si="29"/>
        <v>0002050501</v>
      </c>
    </row>
    <row r="848" spans="1:6" x14ac:dyDescent="0.3">
      <c r="A848" s="6" t="s">
        <v>1724</v>
      </c>
      <c r="B848">
        <v>31249710</v>
      </c>
      <c r="C848">
        <v>2</v>
      </c>
      <c r="D848" t="str">
        <f t="shared" si="28"/>
        <v>02</v>
      </c>
      <c r="E848" t="str">
        <f>VLOOKUP(B848,'HOGARES-ENDLINE'!$A:$B,2,FALSE)</f>
        <v>00020505</v>
      </c>
      <c r="F848" s="6" t="str">
        <f t="shared" si="29"/>
        <v>0002050502</v>
      </c>
    </row>
    <row r="849" spans="1:6" x14ac:dyDescent="0.3">
      <c r="A849" s="6" t="s">
        <v>1720</v>
      </c>
      <c r="B849">
        <v>31249710</v>
      </c>
      <c r="C849">
        <v>4</v>
      </c>
      <c r="D849" t="str">
        <f t="shared" si="28"/>
        <v>04</v>
      </c>
      <c r="E849" t="str">
        <f>VLOOKUP(B849,'HOGARES-ENDLINE'!$A:$B,2,FALSE)</f>
        <v>00020505</v>
      </c>
      <c r="F849" s="6" t="str">
        <f t="shared" si="29"/>
        <v>0002050504</v>
      </c>
    </row>
    <row r="850" spans="1:6" x14ac:dyDescent="0.3">
      <c r="A850" s="6" t="s">
        <v>1722</v>
      </c>
      <c r="B850">
        <v>31249710</v>
      </c>
      <c r="C850">
        <v>6</v>
      </c>
      <c r="D850" t="str">
        <f t="shared" si="28"/>
        <v>06</v>
      </c>
      <c r="E850" t="str">
        <f>VLOOKUP(B850,'HOGARES-ENDLINE'!$A:$B,2,FALSE)</f>
        <v>00020505</v>
      </c>
      <c r="F850" s="6" t="str">
        <f t="shared" si="29"/>
        <v>0002050506</v>
      </c>
    </row>
    <row r="851" spans="1:6" x14ac:dyDescent="0.3">
      <c r="A851" s="6" t="s">
        <v>1721</v>
      </c>
      <c r="B851">
        <v>31249710</v>
      </c>
      <c r="C851">
        <v>3</v>
      </c>
      <c r="D851" t="str">
        <f t="shared" si="28"/>
        <v>03</v>
      </c>
      <c r="E851" t="str">
        <f>VLOOKUP(B851,'HOGARES-ENDLINE'!$A:$B,2,FALSE)</f>
        <v>00020505</v>
      </c>
      <c r="F851" s="6" t="str">
        <f t="shared" si="29"/>
        <v>0002050503</v>
      </c>
    </row>
    <row r="852" spans="1:6" x14ac:dyDescent="0.3">
      <c r="A852" s="6" t="s">
        <v>1723</v>
      </c>
      <c r="B852">
        <v>31249710</v>
      </c>
      <c r="C852">
        <v>5</v>
      </c>
      <c r="D852" t="str">
        <f t="shared" si="28"/>
        <v>05</v>
      </c>
      <c r="E852" t="str">
        <f>VLOOKUP(B852,'HOGARES-ENDLINE'!$A:$B,2,FALSE)</f>
        <v>00020505</v>
      </c>
      <c r="F852" s="6" t="str">
        <f t="shared" si="29"/>
        <v>0002050505</v>
      </c>
    </row>
    <row r="853" spans="1:6" x14ac:dyDescent="0.3">
      <c r="A853" s="6" t="s">
        <v>1728</v>
      </c>
      <c r="B853">
        <v>31255887</v>
      </c>
      <c r="C853">
        <v>3</v>
      </c>
      <c r="D853" t="str">
        <f t="shared" si="28"/>
        <v>03</v>
      </c>
      <c r="E853" t="str">
        <f>VLOOKUP(B853,'HOGARES-ENDLINE'!$A:$B,2,FALSE)</f>
        <v>00020506</v>
      </c>
      <c r="F853" s="6" t="str">
        <f t="shared" si="29"/>
        <v>0002050603</v>
      </c>
    </row>
    <row r="854" spans="1:6" x14ac:dyDescent="0.3">
      <c r="A854" s="6" t="s">
        <v>1727</v>
      </c>
      <c r="B854">
        <v>31255887</v>
      </c>
      <c r="C854">
        <v>4</v>
      </c>
      <c r="D854" t="str">
        <f t="shared" si="28"/>
        <v>04</v>
      </c>
      <c r="E854" t="str">
        <f>VLOOKUP(B854,'HOGARES-ENDLINE'!$A:$B,2,FALSE)</f>
        <v>00020506</v>
      </c>
      <c r="F854" s="6" t="str">
        <f t="shared" si="29"/>
        <v>0002050604</v>
      </c>
    </row>
    <row r="855" spans="1:6" x14ac:dyDescent="0.3">
      <c r="A855" s="6" t="s">
        <v>1726</v>
      </c>
      <c r="B855">
        <v>31255887</v>
      </c>
      <c r="C855">
        <v>2</v>
      </c>
      <c r="D855" t="str">
        <f t="shared" si="28"/>
        <v>02</v>
      </c>
      <c r="E855" t="str">
        <f>VLOOKUP(B855,'HOGARES-ENDLINE'!$A:$B,2,FALSE)</f>
        <v>00020506</v>
      </c>
      <c r="F855" s="6" t="str">
        <f t="shared" si="29"/>
        <v>0002050602</v>
      </c>
    </row>
    <row r="856" spans="1:6" x14ac:dyDescent="0.3">
      <c r="A856" s="6" t="s">
        <v>1729</v>
      </c>
      <c r="B856">
        <v>31255887</v>
      </c>
      <c r="C856">
        <v>1</v>
      </c>
      <c r="D856" t="str">
        <f t="shared" si="28"/>
        <v>01</v>
      </c>
      <c r="E856" t="str">
        <f>VLOOKUP(B856,'HOGARES-ENDLINE'!$A:$B,2,FALSE)</f>
        <v>00020506</v>
      </c>
      <c r="F856" s="6" t="str">
        <f t="shared" si="29"/>
        <v>0002050601</v>
      </c>
    </row>
    <row r="857" spans="1:6" x14ac:dyDescent="0.3">
      <c r="A857" s="6" t="s">
        <v>1730</v>
      </c>
      <c r="B857">
        <v>31264863</v>
      </c>
      <c r="C857">
        <v>2</v>
      </c>
      <c r="D857" t="str">
        <f t="shared" si="28"/>
        <v>02</v>
      </c>
      <c r="E857" t="str">
        <f>VLOOKUP(B857,'HOGARES-ENDLINE'!$A:$B,2,FALSE)</f>
        <v>00020507</v>
      </c>
      <c r="F857" s="6" t="str">
        <f t="shared" si="29"/>
        <v>0002050702</v>
      </c>
    </row>
    <row r="858" spans="1:6" x14ac:dyDescent="0.3">
      <c r="A858" s="6" t="s">
        <v>1731</v>
      </c>
      <c r="B858">
        <v>31264863</v>
      </c>
      <c r="C858">
        <v>1</v>
      </c>
      <c r="D858" t="str">
        <f t="shared" si="28"/>
        <v>01</v>
      </c>
      <c r="E858" t="str">
        <f>VLOOKUP(B858,'HOGARES-ENDLINE'!$A:$B,2,FALSE)</f>
        <v>00020507</v>
      </c>
      <c r="F858" s="6" t="str">
        <f t="shared" si="29"/>
        <v>0002050701</v>
      </c>
    </row>
    <row r="859" spans="1:6" x14ac:dyDescent="0.3">
      <c r="A859" s="6" t="s">
        <v>1734</v>
      </c>
      <c r="B859">
        <v>31264907</v>
      </c>
      <c r="C859">
        <v>1</v>
      </c>
      <c r="D859" t="str">
        <f t="shared" si="28"/>
        <v>01</v>
      </c>
      <c r="E859" t="str">
        <f>VLOOKUP(B859,'HOGARES-ENDLINE'!$A:$B,2,FALSE)</f>
        <v>00020508</v>
      </c>
      <c r="F859" s="6" t="str">
        <f t="shared" si="29"/>
        <v>0002050801</v>
      </c>
    </row>
    <row r="860" spans="1:6" x14ac:dyDescent="0.3">
      <c r="A860" s="6" t="s">
        <v>1735</v>
      </c>
      <c r="B860">
        <v>31272555</v>
      </c>
      <c r="C860">
        <v>1</v>
      </c>
      <c r="D860" t="str">
        <f t="shared" si="28"/>
        <v>01</v>
      </c>
      <c r="E860" t="str">
        <f>VLOOKUP(B860,'HOGARES-ENDLINE'!$A:$B,2,FALSE)</f>
        <v>00020509</v>
      </c>
      <c r="F860" s="6" t="str">
        <f t="shared" si="29"/>
        <v>0002050901</v>
      </c>
    </row>
    <row r="861" spans="1:6" x14ac:dyDescent="0.3">
      <c r="A861" s="6" t="s">
        <v>1736</v>
      </c>
      <c r="B861">
        <v>31282345</v>
      </c>
      <c r="C861">
        <v>1</v>
      </c>
      <c r="D861" t="str">
        <f t="shared" si="28"/>
        <v>01</v>
      </c>
      <c r="E861" t="str">
        <f>VLOOKUP(B861,'HOGARES-ENDLINE'!$A:$B,2,FALSE)</f>
        <v>01020510</v>
      </c>
      <c r="F861" s="6" t="str">
        <f t="shared" si="29"/>
        <v>0102051001</v>
      </c>
    </row>
    <row r="862" spans="1:6" x14ac:dyDescent="0.3">
      <c r="A862" s="6" t="s">
        <v>1739</v>
      </c>
      <c r="B862">
        <v>31282655</v>
      </c>
      <c r="C862">
        <v>3</v>
      </c>
      <c r="D862" t="str">
        <f t="shared" si="28"/>
        <v>03</v>
      </c>
      <c r="E862" t="str">
        <f>VLOOKUP(B862,'HOGARES-ENDLINE'!$A:$B,2,FALSE)</f>
        <v>00020511</v>
      </c>
      <c r="F862" s="6" t="str">
        <f t="shared" si="29"/>
        <v>0002051103</v>
      </c>
    </row>
    <row r="863" spans="1:6" x14ac:dyDescent="0.3">
      <c r="A863" s="6" t="s">
        <v>1737</v>
      </c>
      <c r="B863">
        <v>31282655</v>
      </c>
      <c r="C863">
        <v>2</v>
      </c>
      <c r="D863" t="str">
        <f t="shared" si="28"/>
        <v>02</v>
      </c>
      <c r="E863" t="str">
        <f>VLOOKUP(B863,'HOGARES-ENDLINE'!$A:$B,2,FALSE)</f>
        <v>00020511</v>
      </c>
      <c r="F863" s="6" t="str">
        <f t="shared" si="29"/>
        <v>0002051102</v>
      </c>
    </row>
    <row r="864" spans="1:6" x14ac:dyDescent="0.3">
      <c r="A864" s="6" t="s">
        <v>1738</v>
      </c>
      <c r="B864">
        <v>31282655</v>
      </c>
      <c r="C864">
        <v>1</v>
      </c>
      <c r="D864" t="str">
        <f t="shared" si="28"/>
        <v>01</v>
      </c>
      <c r="E864" t="str">
        <f>VLOOKUP(B864,'HOGARES-ENDLINE'!$A:$B,2,FALSE)</f>
        <v>00020511</v>
      </c>
      <c r="F864" s="6" t="str">
        <f t="shared" si="29"/>
        <v>0002051101</v>
      </c>
    </row>
    <row r="865" spans="1:6" x14ac:dyDescent="0.3">
      <c r="A865" s="6" t="s">
        <v>1740</v>
      </c>
      <c r="B865">
        <v>31288307</v>
      </c>
      <c r="C865">
        <v>1</v>
      </c>
      <c r="D865" t="str">
        <f t="shared" si="28"/>
        <v>01</v>
      </c>
      <c r="E865" t="str">
        <f>VLOOKUP(B865,'HOGARES-ENDLINE'!$A:$B,2,FALSE)</f>
        <v>01020512</v>
      </c>
      <c r="F865" s="6" t="str">
        <f t="shared" si="29"/>
        <v>0102051201</v>
      </c>
    </row>
    <row r="866" spans="1:6" x14ac:dyDescent="0.3">
      <c r="A866" s="6" t="s">
        <v>1742</v>
      </c>
      <c r="B866">
        <v>31288307</v>
      </c>
      <c r="C866">
        <v>3</v>
      </c>
      <c r="D866" t="str">
        <f t="shared" si="28"/>
        <v>03</v>
      </c>
      <c r="E866" t="str">
        <f>VLOOKUP(B866,'HOGARES-ENDLINE'!$A:$B,2,FALSE)</f>
        <v>01020512</v>
      </c>
      <c r="F866" s="6" t="str">
        <f t="shared" si="29"/>
        <v>0102051203</v>
      </c>
    </row>
    <row r="867" spans="1:6" x14ac:dyDescent="0.3">
      <c r="A867" s="6" t="s">
        <v>1741</v>
      </c>
      <c r="B867">
        <v>31288307</v>
      </c>
      <c r="C867">
        <v>2</v>
      </c>
      <c r="D867" t="str">
        <f t="shared" si="28"/>
        <v>02</v>
      </c>
      <c r="E867" t="str">
        <f>VLOOKUP(B867,'HOGARES-ENDLINE'!$A:$B,2,FALSE)</f>
        <v>01020512</v>
      </c>
      <c r="F867" s="6" t="str">
        <f t="shared" si="29"/>
        <v>0102051202</v>
      </c>
    </row>
    <row r="868" spans="1:6" x14ac:dyDescent="0.3">
      <c r="A868" s="6" t="s">
        <v>1745</v>
      </c>
      <c r="B868">
        <v>31295696</v>
      </c>
      <c r="C868">
        <v>2</v>
      </c>
      <c r="D868" t="str">
        <f t="shared" si="28"/>
        <v>02</v>
      </c>
      <c r="E868" t="str">
        <f>VLOOKUP(B868,'HOGARES-ENDLINE'!$A:$B,2,FALSE)</f>
        <v>00020514</v>
      </c>
      <c r="F868" s="6" t="str">
        <f t="shared" si="29"/>
        <v>0002051402</v>
      </c>
    </row>
    <row r="869" spans="1:6" x14ac:dyDescent="0.3">
      <c r="A869" s="6" t="s">
        <v>1746</v>
      </c>
      <c r="B869">
        <v>31295696</v>
      </c>
      <c r="C869">
        <v>1</v>
      </c>
      <c r="D869" t="str">
        <f t="shared" si="28"/>
        <v>01</v>
      </c>
      <c r="E869" t="str">
        <f>VLOOKUP(B869,'HOGARES-ENDLINE'!$A:$B,2,FALSE)</f>
        <v>00020514</v>
      </c>
      <c r="F869" s="6" t="str">
        <f t="shared" si="29"/>
        <v>0002051401</v>
      </c>
    </row>
    <row r="870" spans="1:6" x14ac:dyDescent="0.3">
      <c r="A870" s="6" t="s">
        <v>1747</v>
      </c>
      <c r="B870">
        <v>31298525</v>
      </c>
      <c r="C870">
        <v>2</v>
      </c>
      <c r="D870" t="str">
        <f t="shared" si="28"/>
        <v>02</v>
      </c>
      <c r="E870" t="str">
        <f>VLOOKUP(B870,'HOGARES-ENDLINE'!$A:$B,2,FALSE)</f>
        <v>01020515</v>
      </c>
      <c r="F870" s="6" t="str">
        <f t="shared" si="29"/>
        <v>0102051502</v>
      </c>
    </row>
    <row r="871" spans="1:6" x14ac:dyDescent="0.3">
      <c r="A871" s="6" t="s">
        <v>1749</v>
      </c>
      <c r="B871">
        <v>31298525</v>
      </c>
      <c r="C871">
        <v>1</v>
      </c>
      <c r="D871" t="str">
        <f t="shared" si="28"/>
        <v>01</v>
      </c>
      <c r="E871" t="str">
        <f>VLOOKUP(B871,'HOGARES-ENDLINE'!$A:$B,2,FALSE)</f>
        <v>01020515</v>
      </c>
      <c r="F871" s="6" t="str">
        <f t="shared" si="29"/>
        <v>0102051501</v>
      </c>
    </row>
    <row r="872" spans="1:6" x14ac:dyDescent="0.3">
      <c r="A872" s="6" t="s">
        <v>1750</v>
      </c>
      <c r="B872">
        <v>31299759</v>
      </c>
      <c r="C872">
        <v>1</v>
      </c>
      <c r="D872" t="str">
        <f t="shared" si="28"/>
        <v>01</v>
      </c>
      <c r="E872" t="str">
        <f>VLOOKUP(B872,'HOGARES-ENDLINE'!$A:$B,2,FALSE)</f>
        <v>00020516</v>
      </c>
      <c r="F872" s="6" t="str">
        <f t="shared" si="29"/>
        <v>0002051601</v>
      </c>
    </row>
    <row r="873" spans="1:6" x14ac:dyDescent="0.3">
      <c r="A873" s="6" t="s">
        <v>1752</v>
      </c>
      <c r="B873">
        <v>31304801</v>
      </c>
      <c r="C873">
        <v>1</v>
      </c>
      <c r="D873" t="str">
        <f t="shared" si="28"/>
        <v>01</v>
      </c>
      <c r="E873" t="str">
        <f>VLOOKUP(B873,'HOGARES-ENDLINE'!$A:$B,2,FALSE)</f>
        <v>01020517</v>
      </c>
      <c r="F873" s="6" t="str">
        <f t="shared" si="29"/>
        <v>0102051701</v>
      </c>
    </row>
    <row r="874" spans="1:6" x14ac:dyDescent="0.3">
      <c r="A874" s="6" t="s">
        <v>1757</v>
      </c>
      <c r="B874">
        <v>31304971</v>
      </c>
      <c r="C874">
        <v>4</v>
      </c>
      <c r="D874" t="str">
        <f t="shared" si="28"/>
        <v>04</v>
      </c>
      <c r="E874" t="str">
        <f>VLOOKUP(B874,'HOGARES-ENDLINE'!$A:$B,2,FALSE)</f>
        <v>00020518</v>
      </c>
      <c r="F874" s="6" t="str">
        <f t="shared" si="29"/>
        <v>0002051804</v>
      </c>
    </row>
    <row r="875" spans="1:6" x14ac:dyDescent="0.3">
      <c r="A875" s="6" t="s">
        <v>1756</v>
      </c>
      <c r="B875">
        <v>31304971</v>
      </c>
      <c r="C875">
        <v>2</v>
      </c>
      <c r="D875" t="str">
        <f t="shared" si="28"/>
        <v>02</v>
      </c>
      <c r="E875" t="str">
        <f>VLOOKUP(B875,'HOGARES-ENDLINE'!$A:$B,2,FALSE)</f>
        <v>00020518</v>
      </c>
      <c r="F875" s="6" t="str">
        <f t="shared" si="29"/>
        <v>0002051802</v>
      </c>
    </row>
    <row r="876" spans="1:6" x14ac:dyDescent="0.3">
      <c r="A876" s="6" t="s">
        <v>1758</v>
      </c>
      <c r="B876">
        <v>31304971</v>
      </c>
      <c r="C876">
        <v>1</v>
      </c>
      <c r="D876" t="str">
        <f t="shared" si="28"/>
        <v>01</v>
      </c>
      <c r="E876" t="str">
        <f>VLOOKUP(B876,'HOGARES-ENDLINE'!$A:$B,2,FALSE)</f>
        <v>00020518</v>
      </c>
      <c r="F876" s="6" t="str">
        <f t="shared" si="29"/>
        <v>0002051801</v>
      </c>
    </row>
    <row r="877" spans="1:6" x14ac:dyDescent="0.3">
      <c r="A877" s="6" t="s">
        <v>1755</v>
      </c>
      <c r="B877">
        <v>31304971</v>
      </c>
      <c r="C877">
        <v>3</v>
      </c>
      <c r="D877" t="str">
        <f t="shared" si="28"/>
        <v>03</v>
      </c>
      <c r="E877" t="str">
        <f>VLOOKUP(B877,'HOGARES-ENDLINE'!$A:$B,2,FALSE)</f>
        <v>00020518</v>
      </c>
      <c r="F877" s="6" t="str">
        <f t="shared" si="29"/>
        <v>0002051803</v>
      </c>
    </row>
    <row r="878" spans="1:6" x14ac:dyDescent="0.3">
      <c r="A878" s="6" t="s">
        <v>1759</v>
      </c>
      <c r="B878">
        <v>31304999</v>
      </c>
      <c r="C878">
        <v>1</v>
      </c>
      <c r="D878" t="str">
        <f t="shared" si="28"/>
        <v>01</v>
      </c>
      <c r="E878" t="str">
        <f>VLOOKUP(B878,'HOGARES-ENDLINE'!$A:$B,2,FALSE)</f>
        <v>00020519</v>
      </c>
      <c r="F878" s="6" t="str">
        <f t="shared" si="29"/>
        <v>0002051901</v>
      </c>
    </row>
    <row r="879" spans="1:6" x14ac:dyDescent="0.3">
      <c r="A879" s="6" t="s">
        <v>1764</v>
      </c>
      <c r="B879">
        <v>31400886</v>
      </c>
      <c r="C879">
        <v>1</v>
      </c>
      <c r="D879" t="str">
        <f t="shared" si="28"/>
        <v>01</v>
      </c>
      <c r="E879" t="str">
        <f>VLOOKUP(B879,'HOGARES-ENDLINE'!$A:$B,2,FALSE)</f>
        <v>00020520</v>
      </c>
      <c r="F879" s="6" t="str">
        <f t="shared" si="29"/>
        <v>0002052001</v>
      </c>
    </row>
    <row r="880" spans="1:6" x14ac:dyDescent="0.3">
      <c r="A880" s="6" t="s">
        <v>1763</v>
      </c>
      <c r="B880">
        <v>31400886</v>
      </c>
      <c r="C880">
        <v>2</v>
      </c>
      <c r="D880" t="str">
        <f t="shared" si="28"/>
        <v>02</v>
      </c>
      <c r="E880" t="str">
        <f>VLOOKUP(B880,'HOGARES-ENDLINE'!$A:$B,2,FALSE)</f>
        <v>00020520</v>
      </c>
      <c r="F880" s="6" t="str">
        <f t="shared" si="29"/>
        <v>0002052002</v>
      </c>
    </row>
    <row r="881" spans="1:6" x14ac:dyDescent="0.3">
      <c r="A881" s="6" t="s">
        <v>1762</v>
      </c>
      <c r="B881">
        <v>31400886</v>
      </c>
      <c r="C881">
        <v>3</v>
      </c>
      <c r="D881" t="str">
        <f t="shared" si="28"/>
        <v>03</v>
      </c>
      <c r="E881" t="str">
        <f>VLOOKUP(B881,'HOGARES-ENDLINE'!$A:$B,2,FALSE)</f>
        <v>00020520</v>
      </c>
      <c r="F881" s="6" t="str">
        <f t="shared" si="29"/>
        <v>0002052003</v>
      </c>
    </row>
    <row r="882" spans="1:6" x14ac:dyDescent="0.3">
      <c r="A882" s="6" t="s">
        <v>1766</v>
      </c>
      <c r="B882">
        <v>31445562</v>
      </c>
      <c r="C882">
        <v>4</v>
      </c>
      <c r="D882" t="str">
        <f t="shared" si="28"/>
        <v>04</v>
      </c>
      <c r="E882" t="str">
        <f>VLOOKUP(B882,'HOGARES-ENDLINE'!$A:$B,2,FALSE)</f>
        <v>01020521</v>
      </c>
      <c r="F882" s="6" t="str">
        <f t="shared" si="29"/>
        <v>0102052104</v>
      </c>
    </row>
    <row r="883" spans="1:6" x14ac:dyDescent="0.3">
      <c r="A883" s="6" t="s">
        <v>1767</v>
      </c>
      <c r="B883">
        <v>31445562</v>
      </c>
      <c r="C883">
        <v>3</v>
      </c>
      <c r="D883" t="str">
        <f t="shared" si="28"/>
        <v>03</v>
      </c>
      <c r="E883" t="str">
        <f>VLOOKUP(B883,'HOGARES-ENDLINE'!$A:$B,2,FALSE)</f>
        <v>01020521</v>
      </c>
      <c r="F883" s="6" t="str">
        <f t="shared" si="29"/>
        <v>0102052103</v>
      </c>
    </row>
    <row r="884" spans="1:6" x14ac:dyDescent="0.3">
      <c r="A884" s="6" t="s">
        <v>1768</v>
      </c>
      <c r="B884">
        <v>31445562</v>
      </c>
      <c r="C884">
        <v>1</v>
      </c>
      <c r="D884" t="str">
        <f t="shared" si="28"/>
        <v>01</v>
      </c>
      <c r="E884" t="str">
        <f>VLOOKUP(B884,'HOGARES-ENDLINE'!$A:$B,2,FALSE)</f>
        <v>01020521</v>
      </c>
      <c r="F884" s="6" t="str">
        <f t="shared" si="29"/>
        <v>0102052101</v>
      </c>
    </row>
    <row r="885" spans="1:6" x14ac:dyDescent="0.3">
      <c r="A885" s="6" t="s">
        <v>1769</v>
      </c>
      <c r="B885">
        <v>31445562</v>
      </c>
      <c r="C885">
        <v>5</v>
      </c>
      <c r="D885" t="str">
        <f t="shared" si="28"/>
        <v>05</v>
      </c>
      <c r="E885" t="str">
        <f>VLOOKUP(B885,'HOGARES-ENDLINE'!$A:$B,2,FALSE)</f>
        <v>01020521</v>
      </c>
      <c r="F885" s="6" t="str">
        <f t="shared" si="29"/>
        <v>0102052105</v>
      </c>
    </row>
    <row r="886" spans="1:6" x14ac:dyDescent="0.3">
      <c r="A886" s="6" t="s">
        <v>1765</v>
      </c>
      <c r="B886">
        <v>31445562</v>
      </c>
      <c r="C886">
        <v>2</v>
      </c>
      <c r="D886" t="str">
        <f t="shared" si="28"/>
        <v>02</v>
      </c>
      <c r="E886" t="str">
        <f>VLOOKUP(B886,'HOGARES-ENDLINE'!$A:$B,2,FALSE)</f>
        <v>01020521</v>
      </c>
      <c r="F886" s="6" t="str">
        <f t="shared" si="29"/>
        <v>0102052102</v>
      </c>
    </row>
    <row r="887" spans="1:6" x14ac:dyDescent="0.3">
      <c r="A887" s="6" t="s">
        <v>1772</v>
      </c>
      <c r="B887">
        <v>31445743</v>
      </c>
      <c r="C887">
        <v>1</v>
      </c>
      <c r="D887" t="str">
        <f t="shared" ref="D887:D950" si="30">_xlfn.CONCAT(0,C887)</f>
        <v>01</v>
      </c>
      <c r="E887" t="str">
        <f>VLOOKUP(B887,'HOGARES-ENDLINE'!$A:$B,2,FALSE)</f>
        <v>01020522</v>
      </c>
      <c r="F887" s="6" t="str">
        <f t="shared" si="29"/>
        <v>0102052201</v>
      </c>
    </row>
    <row r="888" spans="1:6" x14ac:dyDescent="0.3">
      <c r="A888" s="6" t="s">
        <v>1771</v>
      </c>
      <c r="B888">
        <v>31445743</v>
      </c>
      <c r="C888">
        <v>3</v>
      </c>
      <c r="D888" t="str">
        <f t="shared" si="30"/>
        <v>03</v>
      </c>
      <c r="E888" t="str">
        <f>VLOOKUP(B888,'HOGARES-ENDLINE'!$A:$B,2,FALSE)</f>
        <v>01020522</v>
      </c>
      <c r="F888" s="6" t="str">
        <f t="shared" si="29"/>
        <v>0102052203</v>
      </c>
    </row>
    <row r="889" spans="1:6" x14ac:dyDescent="0.3">
      <c r="A889" s="6" t="s">
        <v>1770</v>
      </c>
      <c r="B889">
        <v>31445743</v>
      </c>
      <c r="C889">
        <v>2</v>
      </c>
      <c r="D889" t="str">
        <f t="shared" si="30"/>
        <v>02</v>
      </c>
      <c r="E889" t="str">
        <f>VLOOKUP(B889,'HOGARES-ENDLINE'!$A:$B,2,FALSE)</f>
        <v>01020522</v>
      </c>
      <c r="F889" s="6" t="str">
        <f t="shared" si="29"/>
        <v>0102052202</v>
      </c>
    </row>
    <row r="890" spans="1:6" x14ac:dyDescent="0.3">
      <c r="A890" s="6" t="s">
        <v>1773</v>
      </c>
      <c r="B890">
        <v>31446617</v>
      </c>
      <c r="C890">
        <v>1</v>
      </c>
      <c r="D890" t="str">
        <f t="shared" si="30"/>
        <v>01</v>
      </c>
      <c r="E890" t="str">
        <f>VLOOKUP(B890,'HOGARES-ENDLINE'!$A:$B,2,FALSE)</f>
        <v>01020523</v>
      </c>
      <c r="F890" s="6" t="str">
        <f t="shared" si="29"/>
        <v>0102052301</v>
      </c>
    </row>
    <row r="891" spans="1:6" x14ac:dyDescent="0.3">
      <c r="A891" s="6" t="s">
        <v>1774</v>
      </c>
      <c r="B891">
        <v>31446617</v>
      </c>
      <c r="C891">
        <v>3</v>
      </c>
      <c r="D891" t="str">
        <f t="shared" si="30"/>
        <v>03</v>
      </c>
      <c r="E891" t="str">
        <f>VLOOKUP(B891,'HOGARES-ENDLINE'!$A:$B,2,FALSE)</f>
        <v>01020523</v>
      </c>
      <c r="F891" s="6" t="str">
        <f t="shared" si="29"/>
        <v>0102052303</v>
      </c>
    </row>
    <row r="892" spans="1:6" x14ac:dyDescent="0.3">
      <c r="A892" s="6" t="s">
        <v>1775</v>
      </c>
      <c r="B892">
        <v>31446617</v>
      </c>
      <c r="C892">
        <v>2</v>
      </c>
      <c r="D892" t="str">
        <f t="shared" si="30"/>
        <v>02</v>
      </c>
      <c r="E892" t="str">
        <f>VLOOKUP(B892,'HOGARES-ENDLINE'!$A:$B,2,FALSE)</f>
        <v>01020523</v>
      </c>
      <c r="F892" s="6" t="str">
        <f t="shared" si="29"/>
        <v>0102052302</v>
      </c>
    </row>
    <row r="893" spans="1:6" x14ac:dyDescent="0.3">
      <c r="A893" s="6" t="s">
        <v>1781</v>
      </c>
      <c r="B893">
        <v>31449382</v>
      </c>
      <c r="C893">
        <v>1</v>
      </c>
      <c r="D893" t="str">
        <f t="shared" si="30"/>
        <v>01</v>
      </c>
      <c r="E893" t="str">
        <f>VLOOKUP(B893,'HOGARES-ENDLINE'!$A:$B,2,FALSE)</f>
        <v>01020524</v>
      </c>
      <c r="F893" s="6" t="str">
        <f t="shared" si="29"/>
        <v>0102052401</v>
      </c>
    </row>
    <row r="894" spans="1:6" x14ac:dyDescent="0.3">
      <c r="A894" s="6" t="s">
        <v>1782</v>
      </c>
      <c r="B894">
        <v>31474654</v>
      </c>
      <c r="C894">
        <v>2</v>
      </c>
      <c r="D894" t="str">
        <f t="shared" si="30"/>
        <v>02</v>
      </c>
      <c r="E894" t="str">
        <f>VLOOKUP(B894,'HOGARES-ENDLINE'!$A:$B,2,FALSE)</f>
        <v>00020525</v>
      </c>
      <c r="F894" s="6" t="str">
        <f t="shared" si="29"/>
        <v>0002052502</v>
      </c>
    </row>
    <row r="895" spans="1:6" x14ac:dyDescent="0.3">
      <c r="A895" s="6" t="s">
        <v>1785</v>
      </c>
      <c r="B895">
        <v>31524379</v>
      </c>
      <c r="C895">
        <v>1</v>
      </c>
      <c r="D895" t="str">
        <f t="shared" si="30"/>
        <v>01</v>
      </c>
      <c r="E895" t="str">
        <f>VLOOKUP(B895,'HOGARES-ENDLINE'!$A:$B,2,FALSE)</f>
        <v>01020526</v>
      </c>
      <c r="F895" s="6" t="str">
        <f t="shared" si="29"/>
        <v>0102052601</v>
      </c>
    </row>
    <row r="896" spans="1:6" x14ac:dyDescent="0.3">
      <c r="A896" s="6" t="s">
        <v>1789</v>
      </c>
      <c r="B896">
        <v>31525011</v>
      </c>
      <c r="C896">
        <v>1</v>
      </c>
      <c r="D896" t="str">
        <f t="shared" si="30"/>
        <v>01</v>
      </c>
      <c r="E896" t="str">
        <f>VLOOKUP(B896,'HOGARES-ENDLINE'!$A:$B,2,FALSE)</f>
        <v>01020527</v>
      </c>
      <c r="F896" s="6" t="str">
        <f t="shared" si="29"/>
        <v>0102052701</v>
      </c>
    </row>
    <row r="897" spans="1:6" x14ac:dyDescent="0.3">
      <c r="A897" s="6" t="s">
        <v>1792</v>
      </c>
      <c r="B897">
        <v>31525413</v>
      </c>
      <c r="C897">
        <v>1</v>
      </c>
      <c r="D897" t="str">
        <f t="shared" si="30"/>
        <v>01</v>
      </c>
      <c r="E897" t="str">
        <f>VLOOKUP(B897,'HOGARES-ENDLINE'!$A:$B,2,FALSE)</f>
        <v>01020528</v>
      </c>
      <c r="F897" s="6" t="str">
        <f t="shared" si="29"/>
        <v>0102052801</v>
      </c>
    </row>
    <row r="898" spans="1:6" x14ac:dyDescent="0.3">
      <c r="A898" s="6" t="s">
        <v>1791</v>
      </c>
      <c r="B898">
        <v>31525413</v>
      </c>
      <c r="C898">
        <v>2</v>
      </c>
      <c r="D898" t="str">
        <f t="shared" si="30"/>
        <v>02</v>
      </c>
      <c r="E898" t="str">
        <f>VLOOKUP(B898,'HOGARES-ENDLINE'!$A:$B,2,FALSE)</f>
        <v>01020528</v>
      </c>
      <c r="F898" s="6" t="str">
        <f t="shared" si="29"/>
        <v>0102052802</v>
      </c>
    </row>
    <row r="899" spans="1:6" x14ac:dyDescent="0.3">
      <c r="A899" s="6" t="s">
        <v>1790</v>
      </c>
      <c r="B899">
        <v>31525413</v>
      </c>
      <c r="C899">
        <v>3</v>
      </c>
      <c r="D899" t="str">
        <f t="shared" si="30"/>
        <v>03</v>
      </c>
      <c r="E899" t="str">
        <f>VLOOKUP(B899,'HOGARES-ENDLINE'!$A:$B,2,FALSE)</f>
        <v>01020528</v>
      </c>
      <c r="F899" s="6" t="str">
        <f t="shared" ref="F899:F962" si="31">_xlfn.CONCAT(E899,D899)</f>
        <v>0102052803</v>
      </c>
    </row>
    <row r="900" spans="1:6" x14ac:dyDescent="0.3">
      <c r="A900" s="6" t="s">
        <v>1793</v>
      </c>
      <c r="B900">
        <v>31534174</v>
      </c>
      <c r="C900">
        <v>1</v>
      </c>
      <c r="D900" t="str">
        <f t="shared" si="30"/>
        <v>01</v>
      </c>
      <c r="E900" t="str">
        <f>VLOOKUP(B900,'HOGARES-ENDLINE'!$A:$B,2,FALSE)</f>
        <v>01020529</v>
      </c>
      <c r="F900" s="6" t="str">
        <f t="shared" si="31"/>
        <v>0102052901</v>
      </c>
    </row>
    <row r="901" spans="1:6" x14ac:dyDescent="0.3">
      <c r="A901" s="6" t="s">
        <v>1801</v>
      </c>
      <c r="B901">
        <v>31535355</v>
      </c>
      <c r="C901">
        <v>5</v>
      </c>
      <c r="D901" t="str">
        <f t="shared" si="30"/>
        <v>05</v>
      </c>
      <c r="E901" t="str">
        <f>VLOOKUP(B901,'HOGARES-ENDLINE'!$A:$B,2,FALSE)</f>
        <v>01020530</v>
      </c>
      <c r="F901" s="6" t="str">
        <f t="shared" si="31"/>
        <v>0102053005</v>
      </c>
    </row>
    <row r="902" spans="1:6" x14ac:dyDescent="0.3">
      <c r="A902" s="6" t="s">
        <v>1804</v>
      </c>
      <c r="B902">
        <v>31535355</v>
      </c>
      <c r="C902">
        <v>3</v>
      </c>
      <c r="D902" t="str">
        <f t="shared" si="30"/>
        <v>03</v>
      </c>
      <c r="E902" t="str">
        <f>VLOOKUP(B902,'HOGARES-ENDLINE'!$A:$B,2,FALSE)</f>
        <v>01020530</v>
      </c>
      <c r="F902" s="6" t="str">
        <f t="shared" si="31"/>
        <v>0102053003</v>
      </c>
    </row>
    <row r="903" spans="1:6" x14ac:dyDescent="0.3">
      <c r="A903" s="6" t="s">
        <v>1803</v>
      </c>
      <c r="B903">
        <v>31535355</v>
      </c>
      <c r="C903">
        <v>4</v>
      </c>
      <c r="D903" t="str">
        <f t="shared" si="30"/>
        <v>04</v>
      </c>
      <c r="E903" t="str">
        <f>VLOOKUP(B903,'HOGARES-ENDLINE'!$A:$B,2,FALSE)</f>
        <v>01020530</v>
      </c>
      <c r="F903" s="6" t="str">
        <f t="shared" si="31"/>
        <v>0102053004</v>
      </c>
    </row>
    <row r="904" spans="1:6" x14ac:dyDescent="0.3">
      <c r="A904" s="6" t="s">
        <v>1802</v>
      </c>
      <c r="B904">
        <v>31535355</v>
      </c>
      <c r="C904">
        <v>1</v>
      </c>
      <c r="D904" t="str">
        <f t="shared" si="30"/>
        <v>01</v>
      </c>
      <c r="E904" t="str">
        <f>VLOOKUP(B904,'HOGARES-ENDLINE'!$A:$B,2,FALSE)</f>
        <v>01020530</v>
      </c>
      <c r="F904" s="6" t="str">
        <f t="shared" si="31"/>
        <v>0102053001</v>
      </c>
    </row>
    <row r="905" spans="1:6" x14ac:dyDescent="0.3">
      <c r="A905" s="6" t="s">
        <v>1807</v>
      </c>
      <c r="B905">
        <v>31537995</v>
      </c>
      <c r="C905">
        <v>3</v>
      </c>
      <c r="D905" t="str">
        <f t="shared" si="30"/>
        <v>03</v>
      </c>
      <c r="E905" t="str">
        <f>VLOOKUP(B905,'HOGARES-ENDLINE'!$A:$B,2,FALSE)</f>
        <v>01020531</v>
      </c>
      <c r="F905" s="6" t="str">
        <f t="shared" si="31"/>
        <v>0102053103</v>
      </c>
    </row>
    <row r="906" spans="1:6" x14ac:dyDescent="0.3">
      <c r="A906" s="6" t="s">
        <v>1806</v>
      </c>
      <c r="B906">
        <v>31537995</v>
      </c>
      <c r="C906">
        <v>4</v>
      </c>
      <c r="D906" t="str">
        <f t="shared" si="30"/>
        <v>04</v>
      </c>
      <c r="E906" t="str">
        <f>VLOOKUP(B906,'HOGARES-ENDLINE'!$A:$B,2,FALSE)</f>
        <v>01020531</v>
      </c>
      <c r="F906" s="6" t="str">
        <f t="shared" si="31"/>
        <v>0102053104</v>
      </c>
    </row>
    <row r="907" spans="1:6" x14ac:dyDescent="0.3">
      <c r="A907" s="6" t="s">
        <v>1805</v>
      </c>
      <c r="B907">
        <v>31537995</v>
      </c>
      <c r="C907">
        <v>2</v>
      </c>
      <c r="D907" t="str">
        <f t="shared" si="30"/>
        <v>02</v>
      </c>
      <c r="E907" t="str">
        <f>VLOOKUP(B907,'HOGARES-ENDLINE'!$A:$B,2,FALSE)</f>
        <v>01020531</v>
      </c>
      <c r="F907" s="6" t="str">
        <f t="shared" si="31"/>
        <v>0102053102</v>
      </c>
    </row>
    <row r="908" spans="1:6" x14ac:dyDescent="0.3">
      <c r="A908" s="6" t="s">
        <v>1808</v>
      </c>
      <c r="B908">
        <v>31537995</v>
      </c>
      <c r="C908">
        <v>1</v>
      </c>
      <c r="D908" t="str">
        <f t="shared" si="30"/>
        <v>01</v>
      </c>
      <c r="E908" t="str">
        <f>VLOOKUP(B908,'HOGARES-ENDLINE'!$A:$B,2,FALSE)</f>
        <v>01020531</v>
      </c>
      <c r="F908" s="6" t="str">
        <f t="shared" si="31"/>
        <v>0102053101</v>
      </c>
    </row>
    <row r="909" spans="1:6" x14ac:dyDescent="0.3">
      <c r="A909" s="6" t="s">
        <v>1809</v>
      </c>
      <c r="B909">
        <v>31574328</v>
      </c>
      <c r="C909">
        <v>3</v>
      </c>
      <c r="D909" t="str">
        <f t="shared" si="30"/>
        <v>03</v>
      </c>
      <c r="E909" t="str">
        <f>VLOOKUP(B909,'HOGARES-ENDLINE'!$A:$B,2,FALSE)</f>
        <v>00020532</v>
      </c>
      <c r="F909" s="6" t="str">
        <f t="shared" si="31"/>
        <v>0002053203</v>
      </c>
    </row>
    <row r="910" spans="1:6" x14ac:dyDescent="0.3">
      <c r="A910" s="6" t="s">
        <v>1811</v>
      </c>
      <c r="B910">
        <v>31574328</v>
      </c>
      <c r="C910">
        <v>1</v>
      </c>
      <c r="D910" t="str">
        <f t="shared" si="30"/>
        <v>01</v>
      </c>
      <c r="E910" t="str">
        <f>VLOOKUP(B910,'HOGARES-ENDLINE'!$A:$B,2,FALSE)</f>
        <v>00020532</v>
      </c>
      <c r="F910" s="6" t="str">
        <f t="shared" si="31"/>
        <v>0002053201</v>
      </c>
    </row>
    <row r="911" spans="1:6" x14ac:dyDescent="0.3">
      <c r="A911" s="6" t="s">
        <v>1810</v>
      </c>
      <c r="B911">
        <v>31574328</v>
      </c>
      <c r="C911">
        <v>2</v>
      </c>
      <c r="D911" t="str">
        <f t="shared" si="30"/>
        <v>02</v>
      </c>
      <c r="E911" t="str">
        <f>VLOOKUP(B911,'HOGARES-ENDLINE'!$A:$B,2,FALSE)</f>
        <v>00020532</v>
      </c>
      <c r="F911" s="6" t="str">
        <f t="shared" si="31"/>
        <v>0002053202</v>
      </c>
    </row>
    <row r="912" spans="1:6" x14ac:dyDescent="0.3">
      <c r="A912" s="6" t="s">
        <v>1813</v>
      </c>
      <c r="B912">
        <v>31577413</v>
      </c>
      <c r="C912">
        <v>1</v>
      </c>
      <c r="D912" t="str">
        <f t="shared" si="30"/>
        <v>01</v>
      </c>
      <c r="E912" t="str">
        <f>VLOOKUP(B912,'HOGARES-ENDLINE'!$A:$B,2,FALSE)</f>
        <v>01020533</v>
      </c>
      <c r="F912" s="6" t="str">
        <f t="shared" si="31"/>
        <v>0102053301</v>
      </c>
    </row>
    <row r="913" spans="1:6" x14ac:dyDescent="0.3">
      <c r="A913" s="6" t="s">
        <v>1812</v>
      </c>
      <c r="B913">
        <v>31577413</v>
      </c>
      <c r="C913">
        <v>2</v>
      </c>
      <c r="D913" t="str">
        <f t="shared" si="30"/>
        <v>02</v>
      </c>
      <c r="E913" t="str">
        <f>VLOOKUP(B913,'HOGARES-ENDLINE'!$A:$B,2,FALSE)</f>
        <v>01020533</v>
      </c>
      <c r="F913" s="6" t="str">
        <f t="shared" si="31"/>
        <v>0102053302</v>
      </c>
    </row>
    <row r="914" spans="1:6" x14ac:dyDescent="0.3">
      <c r="A914" s="6" t="s">
        <v>1814</v>
      </c>
      <c r="B914">
        <v>31578203</v>
      </c>
      <c r="C914">
        <v>1</v>
      </c>
      <c r="D914" t="str">
        <f t="shared" si="30"/>
        <v>01</v>
      </c>
      <c r="E914" t="str">
        <f>VLOOKUP(B914,'HOGARES-ENDLINE'!$A:$B,2,FALSE)</f>
        <v>01020534</v>
      </c>
      <c r="F914" s="6" t="str">
        <f t="shared" si="31"/>
        <v>0102053401</v>
      </c>
    </row>
    <row r="915" spans="1:6" x14ac:dyDescent="0.3">
      <c r="A915" s="6" t="s">
        <v>1820</v>
      </c>
      <c r="B915">
        <v>31579325</v>
      </c>
      <c r="C915">
        <v>1</v>
      </c>
      <c r="D915" t="str">
        <f t="shared" si="30"/>
        <v>01</v>
      </c>
      <c r="E915" t="str">
        <f>VLOOKUP(B915,'HOGARES-ENDLINE'!$A:$B,2,FALSE)</f>
        <v>00020535</v>
      </c>
      <c r="F915" s="6" t="str">
        <f t="shared" si="31"/>
        <v>0002053501</v>
      </c>
    </row>
    <row r="916" spans="1:6" x14ac:dyDescent="0.3">
      <c r="A916" s="6" t="s">
        <v>1819</v>
      </c>
      <c r="B916">
        <v>31579325</v>
      </c>
      <c r="C916">
        <v>2</v>
      </c>
      <c r="D916" t="str">
        <f t="shared" si="30"/>
        <v>02</v>
      </c>
      <c r="E916" t="str">
        <f>VLOOKUP(B916,'HOGARES-ENDLINE'!$A:$B,2,FALSE)</f>
        <v>00020535</v>
      </c>
      <c r="F916" s="6" t="str">
        <f t="shared" si="31"/>
        <v>0002053502</v>
      </c>
    </row>
    <row r="917" spans="1:6" x14ac:dyDescent="0.3">
      <c r="A917" s="6" t="s">
        <v>1821</v>
      </c>
      <c r="B917">
        <v>31830427</v>
      </c>
      <c r="C917">
        <v>1</v>
      </c>
      <c r="D917" t="str">
        <f t="shared" si="30"/>
        <v>01</v>
      </c>
      <c r="E917" t="str">
        <f>VLOOKUP(B917,'HOGARES-ENDLINE'!$A:$B,2,FALSE)</f>
        <v>01020536</v>
      </c>
      <c r="F917" s="6" t="str">
        <f t="shared" si="31"/>
        <v>0102053601</v>
      </c>
    </row>
    <row r="918" spans="1:6" x14ac:dyDescent="0.3">
      <c r="A918" s="6" t="s">
        <v>1823</v>
      </c>
      <c r="B918">
        <v>31838102</v>
      </c>
      <c r="C918">
        <v>1</v>
      </c>
      <c r="D918" t="str">
        <f t="shared" si="30"/>
        <v>01</v>
      </c>
      <c r="E918" t="str">
        <f>VLOOKUP(B918,'HOGARES-ENDLINE'!$A:$B,2,FALSE)</f>
        <v>00020537</v>
      </c>
      <c r="F918" s="6" t="str">
        <f t="shared" si="31"/>
        <v>0002053701</v>
      </c>
    </row>
    <row r="919" spans="1:6" x14ac:dyDescent="0.3">
      <c r="A919" s="6" t="s">
        <v>1822</v>
      </c>
      <c r="B919">
        <v>31838102</v>
      </c>
      <c r="C919">
        <v>2</v>
      </c>
      <c r="D919" t="str">
        <f t="shared" si="30"/>
        <v>02</v>
      </c>
      <c r="E919" t="str">
        <f>VLOOKUP(B919,'HOGARES-ENDLINE'!$A:$B,2,FALSE)</f>
        <v>00020537</v>
      </c>
      <c r="F919" s="6" t="str">
        <f t="shared" si="31"/>
        <v>0002053702</v>
      </c>
    </row>
    <row r="920" spans="1:6" x14ac:dyDescent="0.3">
      <c r="A920" s="6" t="s">
        <v>1825</v>
      </c>
      <c r="B920">
        <v>31844574</v>
      </c>
      <c r="C920">
        <v>1</v>
      </c>
      <c r="D920" t="str">
        <f t="shared" si="30"/>
        <v>01</v>
      </c>
      <c r="E920" t="str">
        <f>VLOOKUP(B920,'HOGARES-ENDLINE'!$A:$B,2,FALSE)</f>
        <v>01020538</v>
      </c>
      <c r="F920" s="6" t="str">
        <f t="shared" si="31"/>
        <v>0102053801</v>
      </c>
    </row>
    <row r="921" spans="1:6" x14ac:dyDescent="0.3">
      <c r="A921" s="6" t="s">
        <v>1829</v>
      </c>
      <c r="B921">
        <v>31849780</v>
      </c>
      <c r="C921">
        <v>2</v>
      </c>
      <c r="D921" t="str">
        <f t="shared" si="30"/>
        <v>02</v>
      </c>
      <c r="E921" t="str">
        <f>VLOOKUP(B921,'HOGARES-ENDLINE'!$A:$B,2,FALSE)</f>
        <v>00020539</v>
      </c>
      <c r="F921" s="6" t="str">
        <f t="shared" si="31"/>
        <v>0002053902</v>
      </c>
    </row>
    <row r="922" spans="1:6" x14ac:dyDescent="0.3">
      <c r="A922" s="6" t="s">
        <v>1830</v>
      </c>
      <c r="B922">
        <v>31849780</v>
      </c>
      <c r="C922">
        <v>1</v>
      </c>
      <c r="D922" t="str">
        <f t="shared" si="30"/>
        <v>01</v>
      </c>
      <c r="E922" t="str">
        <f>VLOOKUP(B922,'HOGARES-ENDLINE'!$A:$B,2,FALSE)</f>
        <v>00020539</v>
      </c>
      <c r="F922" s="6" t="str">
        <f t="shared" si="31"/>
        <v>0002053901</v>
      </c>
    </row>
    <row r="923" spans="1:6" x14ac:dyDescent="0.3">
      <c r="A923" s="6" t="s">
        <v>1827</v>
      </c>
      <c r="B923">
        <v>31849780</v>
      </c>
      <c r="C923">
        <v>3</v>
      </c>
      <c r="D923" t="str">
        <f t="shared" si="30"/>
        <v>03</v>
      </c>
      <c r="E923" t="str">
        <f>VLOOKUP(B923,'HOGARES-ENDLINE'!$A:$B,2,FALSE)</f>
        <v>00020539</v>
      </c>
      <c r="F923" s="6" t="str">
        <f t="shared" si="31"/>
        <v>0002053903</v>
      </c>
    </row>
    <row r="924" spans="1:6" x14ac:dyDescent="0.3">
      <c r="A924" s="6" t="s">
        <v>1832</v>
      </c>
      <c r="B924">
        <v>31853274</v>
      </c>
      <c r="C924">
        <v>2</v>
      </c>
      <c r="D924" t="str">
        <f t="shared" si="30"/>
        <v>02</v>
      </c>
      <c r="E924" t="str">
        <f>VLOOKUP(B924,'HOGARES-ENDLINE'!$A:$B,2,FALSE)</f>
        <v>00020540</v>
      </c>
      <c r="F924" s="6" t="str">
        <f t="shared" si="31"/>
        <v>0002054002</v>
      </c>
    </row>
    <row r="925" spans="1:6" x14ac:dyDescent="0.3">
      <c r="A925" s="6" t="s">
        <v>1833</v>
      </c>
      <c r="B925">
        <v>31853274</v>
      </c>
      <c r="C925">
        <v>1</v>
      </c>
      <c r="D925" t="str">
        <f t="shared" si="30"/>
        <v>01</v>
      </c>
      <c r="E925" t="str">
        <f>VLOOKUP(B925,'HOGARES-ENDLINE'!$A:$B,2,FALSE)</f>
        <v>00020540</v>
      </c>
      <c r="F925" s="6" t="str">
        <f t="shared" si="31"/>
        <v>0002054001</v>
      </c>
    </row>
    <row r="926" spans="1:6" x14ac:dyDescent="0.3">
      <c r="A926" s="6" t="s">
        <v>1831</v>
      </c>
      <c r="B926">
        <v>31853274</v>
      </c>
      <c r="C926">
        <v>3</v>
      </c>
      <c r="D926" t="str">
        <f t="shared" si="30"/>
        <v>03</v>
      </c>
      <c r="E926" t="str">
        <f>VLOOKUP(B926,'HOGARES-ENDLINE'!$A:$B,2,FALSE)</f>
        <v>00020540</v>
      </c>
      <c r="F926" s="6" t="str">
        <f t="shared" si="31"/>
        <v>0002054003</v>
      </c>
    </row>
    <row r="927" spans="1:6" x14ac:dyDescent="0.3">
      <c r="A927" s="6" t="s">
        <v>1835</v>
      </c>
      <c r="B927">
        <v>31855498</v>
      </c>
      <c r="C927">
        <v>2</v>
      </c>
      <c r="D927" t="str">
        <f t="shared" si="30"/>
        <v>02</v>
      </c>
      <c r="E927" t="str">
        <f>VLOOKUP(B927,'HOGARES-ENDLINE'!$A:$B,2,FALSE)</f>
        <v>00020541</v>
      </c>
      <c r="F927" s="6" t="str">
        <f t="shared" si="31"/>
        <v>0002054102</v>
      </c>
    </row>
    <row r="928" spans="1:6" x14ac:dyDescent="0.3">
      <c r="A928" s="6" t="s">
        <v>1834</v>
      </c>
      <c r="B928">
        <v>31855498</v>
      </c>
      <c r="C928">
        <v>1</v>
      </c>
      <c r="D928" t="str">
        <f t="shared" si="30"/>
        <v>01</v>
      </c>
      <c r="E928" t="str">
        <f>VLOOKUP(B928,'HOGARES-ENDLINE'!$A:$B,2,FALSE)</f>
        <v>00020541</v>
      </c>
      <c r="F928" s="6" t="str">
        <f t="shared" si="31"/>
        <v>0002054101</v>
      </c>
    </row>
    <row r="929" spans="1:6" x14ac:dyDescent="0.3">
      <c r="A929" s="6" t="s">
        <v>1836</v>
      </c>
      <c r="B929">
        <v>31855556</v>
      </c>
      <c r="C929">
        <v>1</v>
      </c>
      <c r="D929" t="str">
        <f t="shared" si="30"/>
        <v>01</v>
      </c>
      <c r="E929" t="str">
        <f>VLOOKUP(B929,'HOGARES-ENDLINE'!$A:$B,2,FALSE)</f>
        <v>00020542</v>
      </c>
      <c r="F929" s="6" t="str">
        <f t="shared" si="31"/>
        <v>0002054201</v>
      </c>
    </row>
    <row r="930" spans="1:6" x14ac:dyDescent="0.3">
      <c r="A930" s="6" t="s">
        <v>1837</v>
      </c>
      <c r="B930">
        <v>31857033</v>
      </c>
      <c r="C930">
        <v>1</v>
      </c>
      <c r="D930" t="str">
        <f t="shared" si="30"/>
        <v>01</v>
      </c>
      <c r="E930" t="str">
        <f>VLOOKUP(B930,'HOGARES-ENDLINE'!$A:$B,2,FALSE)</f>
        <v>00020543</v>
      </c>
      <c r="F930" s="6" t="str">
        <f t="shared" si="31"/>
        <v>0002054301</v>
      </c>
    </row>
    <row r="931" spans="1:6" x14ac:dyDescent="0.3">
      <c r="A931" s="6" t="s">
        <v>1838</v>
      </c>
      <c r="B931">
        <v>31857560</v>
      </c>
      <c r="C931">
        <v>1</v>
      </c>
      <c r="D931" t="str">
        <f t="shared" si="30"/>
        <v>01</v>
      </c>
      <c r="E931" t="str">
        <f>VLOOKUP(B931,'HOGARES-ENDLINE'!$A:$B,2,FALSE)</f>
        <v>00020544</v>
      </c>
      <c r="F931" s="6" t="str">
        <f t="shared" si="31"/>
        <v>0002054401</v>
      </c>
    </row>
    <row r="932" spans="1:6" x14ac:dyDescent="0.3">
      <c r="A932" s="6" t="s">
        <v>1839</v>
      </c>
      <c r="B932">
        <v>31858321</v>
      </c>
      <c r="C932">
        <v>1</v>
      </c>
      <c r="D932" t="str">
        <f t="shared" si="30"/>
        <v>01</v>
      </c>
      <c r="E932" t="str">
        <f>VLOOKUP(B932,'HOGARES-ENDLINE'!$A:$B,2,FALSE)</f>
        <v>00020545</v>
      </c>
      <c r="F932" s="6" t="str">
        <f t="shared" si="31"/>
        <v>0002054501</v>
      </c>
    </row>
    <row r="933" spans="1:6" x14ac:dyDescent="0.3">
      <c r="A933" s="6" t="s">
        <v>1840</v>
      </c>
      <c r="B933">
        <v>31870926</v>
      </c>
      <c r="C933">
        <v>1</v>
      </c>
      <c r="D933" t="str">
        <f t="shared" si="30"/>
        <v>01</v>
      </c>
      <c r="E933" t="str">
        <f>VLOOKUP(B933,'HOGARES-ENDLINE'!$A:$B,2,FALSE)</f>
        <v>00020546</v>
      </c>
      <c r="F933" s="6" t="str">
        <f t="shared" si="31"/>
        <v>0002054601</v>
      </c>
    </row>
    <row r="934" spans="1:6" x14ac:dyDescent="0.3">
      <c r="A934" s="6" t="s">
        <v>1841</v>
      </c>
      <c r="B934">
        <v>31870926</v>
      </c>
      <c r="C934">
        <v>2</v>
      </c>
      <c r="D934" t="str">
        <f t="shared" si="30"/>
        <v>02</v>
      </c>
      <c r="E934" t="str">
        <f>VLOOKUP(B934,'HOGARES-ENDLINE'!$A:$B,2,FALSE)</f>
        <v>00020546</v>
      </c>
      <c r="F934" s="6" t="str">
        <f t="shared" si="31"/>
        <v>0002054602</v>
      </c>
    </row>
    <row r="935" spans="1:6" x14ac:dyDescent="0.3">
      <c r="A935" s="6" t="s">
        <v>1842</v>
      </c>
      <c r="B935">
        <v>31871549</v>
      </c>
      <c r="C935">
        <v>1</v>
      </c>
      <c r="D935" t="str">
        <f t="shared" si="30"/>
        <v>01</v>
      </c>
      <c r="E935" t="str">
        <f>VLOOKUP(B935,'HOGARES-ENDLINE'!$A:$B,2,FALSE)</f>
        <v>01020547</v>
      </c>
      <c r="F935" s="6" t="str">
        <f t="shared" si="31"/>
        <v>0102054701</v>
      </c>
    </row>
    <row r="936" spans="1:6" x14ac:dyDescent="0.3">
      <c r="A936" s="6" t="s">
        <v>1843</v>
      </c>
      <c r="B936">
        <v>31871549</v>
      </c>
      <c r="C936">
        <v>2</v>
      </c>
      <c r="D936" t="str">
        <f t="shared" si="30"/>
        <v>02</v>
      </c>
      <c r="E936" t="str">
        <f>VLOOKUP(B936,'HOGARES-ENDLINE'!$A:$B,2,FALSE)</f>
        <v>01020547</v>
      </c>
      <c r="F936" s="6" t="str">
        <f t="shared" si="31"/>
        <v>0102054702</v>
      </c>
    </row>
    <row r="937" spans="1:6" x14ac:dyDescent="0.3">
      <c r="A937" s="6" t="s">
        <v>1845</v>
      </c>
      <c r="B937">
        <v>31873574</v>
      </c>
      <c r="C937">
        <v>1</v>
      </c>
      <c r="D937" t="str">
        <f t="shared" si="30"/>
        <v>01</v>
      </c>
      <c r="E937" t="str">
        <f>VLOOKUP(B937,'HOGARES-ENDLINE'!$A:$B,2,FALSE)</f>
        <v>00020548</v>
      </c>
      <c r="F937" s="6" t="str">
        <f t="shared" si="31"/>
        <v>0002054801</v>
      </c>
    </row>
    <row r="938" spans="1:6" x14ac:dyDescent="0.3">
      <c r="A938" s="6" t="s">
        <v>1844</v>
      </c>
      <c r="B938">
        <v>31873574</v>
      </c>
      <c r="C938">
        <v>2</v>
      </c>
      <c r="D938" t="str">
        <f t="shared" si="30"/>
        <v>02</v>
      </c>
      <c r="E938" t="str">
        <f>VLOOKUP(B938,'HOGARES-ENDLINE'!$A:$B,2,FALSE)</f>
        <v>00020548</v>
      </c>
      <c r="F938" s="6" t="str">
        <f t="shared" si="31"/>
        <v>0002054802</v>
      </c>
    </row>
    <row r="939" spans="1:6" x14ac:dyDescent="0.3">
      <c r="A939" s="6" t="s">
        <v>1847</v>
      </c>
      <c r="B939">
        <v>31876572</v>
      </c>
      <c r="C939">
        <v>3</v>
      </c>
      <c r="D939" t="str">
        <f t="shared" si="30"/>
        <v>03</v>
      </c>
      <c r="E939" t="str">
        <f>VLOOKUP(B939,'HOGARES-ENDLINE'!$A:$B,2,FALSE)</f>
        <v>00020549</v>
      </c>
      <c r="F939" s="6" t="str">
        <f t="shared" si="31"/>
        <v>0002054903</v>
      </c>
    </row>
    <row r="940" spans="1:6" x14ac:dyDescent="0.3">
      <c r="A940" s="6" t="s">
        <v>1846</v>
      </c>
      <c r="B940">
        <v>31876572</v>
      </c>
      <c r="C940">
        <v>1</v>
      </c>
      <c r="D940" t="str">
        <f t="shared" si="30"/>
        <v>01</v>
      </c>
      <c r="E940" t="str">
        <f>VLOOKUP(B940,'HOGARES-ENDLINE'!$A:$B,2,FALSE)</f>
        <v>00020549</v>
      </c>
      <c r="F940" s="6" t="str">
        <f t="shared" si="31"/>
        <v>0002054901</v>
      </c>
    </row>
    <row r="941" spans="1:6" x14ac:dyDescent="0.3">
      <c r="A941" s="6" t="s">
        <v>1848</v>
      </c>
      <c r="B941">
        <v>31876572</v>
      </c>
      <c r="C941">
        <v>2</v>
      </c>
      <c r="D941" t="str">
        <f t="shared" si="30"/>
        <v>02</v>
      </c>
      <c r="E941" t="str">
        <f>VLOOKUP(B941,'HOGARES-ENDLINE'!$A:$B,2,FALSE)</f>
        <v>00020549</v>
      </c>
      <c r="F941" s="6" t="str">
        <f t="shared" si="31"/>
        <v>0002054902</v>
      </c>
    </row>
    <row r="942" spans="1:6" x14ac:dyDescent="0.3">
      <c r="A942" s="6" t="s">
        <v>1849</v>
      </c>
      <c r="B942">
        <v>31884956</v>
      </c>
      <c r="C942">
        <v>1</v>
      </c>
      <c r="D942" t="str">
        <f t="shared" si="30"/>
        <v>01</v>
      </c>
      <c r="E942" t="str">
        <f>VLOOKUP(B942,'HOGARES-ENDLINE'!$A:$B,2,FALSE)</f>
        <v>00020550</v>
      </c>
      <c r="F942" s="6" t="str">
        <f t="shared" si="31"/>
        <v>0002055001</v>
      </c>
    </row>
    <row r="943" spans="1:6" x14ac:dyDescent="0.3">
      <c r="A943" s="6" t="s">
        <v>1850</v>
      </c>
      <c r="B943">
        <v>31884956</v>
      </c>
      <c r="C943">
        <v>3</v>
      </c>
      <c r="D943" t="str">
        <f t="shared" si="30"/>
        <v>03</v>
      </c>
      <c r="E943" t="str">
        <f>VLOOKUP(B943,'HOGARES-ENDLINE'!$A:$B,2,FALSE)</f>
        <v>00020550</v>
      </c>
      <c r="F943" s="6" t="str">
        <f t="shared" si="31"/>
        <v>0002055003</v>
      </c>
    </row>
    <row r="944" spans="1:6" x14ac:dyDescent="0.3">
      <c r="A944" s="6" t="s">
        <v>1851</v>
      </c>
      <c r="B944">
        <v>31884956</v>
      </c>
      <c r="C944">
        <v>2</v>
      </c>
      <c r="D944" t="str">
        <f t="shared" si="30"/>
        <v>02</v>
      </c>
      <c r="E944" t="str">
        <f>VLOOKUP(B944,'HOGARES-ENDLINE'!$A:$B,2,FALSE)</f>
        <v>00020550</v>
      </c>
      <c r="F944" s="6" t="str">
        <f t="shared" si="31"/>
        <v>0002055002</v>
      </c>
    </row>
    <row r="945" spans="1:6" x14ac:dyDescent="0.3">
      <c r="A945" s="6" t="s">
        <v>1856</v>
      </c>
      <c r="B945">
        <v>31895484</v>
      </c>
      <c r="C945">
        <v>2</v>
      </c>
      <c r="D945" t="str">
        <f t="shared" si="30"/>
        <v>02</v>
      </c>
      <c r="E945" t="str">
        <f>VLOOKUP(B945,'HOGARES-ENDLINE'!$A:$B,2,FALSE)</f>
        <v>00020552</v>
      </c>
      <c r="F945" s="6" t="str">
        <f t="shared" si="31"/>
        <v>0002055202</v>
      </c>
    </row>
    <row r="946" spans="1:6" x14ac:dyDescent="0.3">
      <c r="A946" s="6" t="s">
        <v>1855</v>
      </c>
      <c r="B946">
        <v>31895484</v>
      </c>
      <c r="C946">
        <v>3</v>
      </c>
      <c r="D946" t="str">
        <f t="shared" si="30"/>
        <v>03</v>
      </c>
      <c r="E946" t="str">
        <f>VLOOKUP(B946,'HOGARES-ENDLINE'!$A:$B,2,FALSE)</f>
        <v>00020552</v>
      </c>
      <c r="F946" s="6" t="str">
        <f t="shared" si="31"/>
        <v>0002055203</v>
      </c>
    </row>
    <row r="947" spans="1:6" x14ac:dyDescent="0.3">
      <c r="A947" s="6" t="s">
        <v>1854</v>
      </c>
      <c r="B947">
        <v>31895484</v>
      </c>
      <c r="C947">
        <v>1</v>
      </c>
      <c r="D947" t="str">
        <f t="shared" si="30"/>
        <v>01</v>
      </c>
      <c r="E947" t="str">
        <f>VLOOKUP(B947,'HOGARES-ENDLINE'!$A:$B,2,FALSE)</f>
        <v>00020552</v>
      </c>
      <c r="F947" s="6" t="str">
        <f t="shared" si="31"/>
        <v>0002055201</v>
      </c>
    </row>
    <row r="948" spans="1:6" x14ac:dyDescent="0.3">
      <c r="A948" s="6" t="s">
        <v>1857</v>
      </c>
      <c r="B948">
        <v>31902498</v>
      </c>
      <c r="C948">
        <v>1</v>
      </c>
      <c r="D948" t="str">
        <f t="shared" si="30"/>
        <v>01</v>
      </c>
      <c r="E948" t="str">
        <f>VLOOKUP(B948,'HOGARES-ENDLINE'!$A:$B,2,FALSE)</f>
        <v>01020553</v>
      </c>
      <c r="F948" s="6" t="str">
        <f t="shared" si="31"/>
        <v>0102055301</v>
      </c>
    </row>
    <row r="949" spans="1:6" x14ac:dyDescent="0.3">
      <c r="A949" s="6" t="s">
        <v>1860</v>
      </c>
      <c r="B949">
        <v>31909149</v>
      </c>
      <c r="C949">
        <v>1</v>
      </c>
      <c r="D949" t="str">
        <f t="shared" si="30"/>
        <v>01</v>
      </c>
      <c r="E949" t="str">
        <f>VLOOKUP(B949,'HOGARES-ENDLINE'!$A:$B,2,FALSE)</f>
        <v>01020555</v>
      </c>
      <c r="F949" s="6" t="str">
        <f t="shared" si="31"/>
        <v>0102055501</v>
      </c>
    </row>
    <row r="950" spans="1:6" x14ac:dyDescent="0.3">
      <c r="A950" s="6" t="s">
        <v>1862</v>
      </c>
      <c r="B950">
        <v>31909838</v>
      </c>
      <c r="C950">
        <v>1</v>
      </c>
      <c r="D950" t="str">
        <f t="shared" si="30"/>
        <v>01</v>
      </c>
      <c r="E950" t="str">
        <f>VLOOKUP(B950,'HOGARES-ENDLINE'!$A:$B,2,FALSE)</f>
        <v>00020556</v>
      </c>
      <c r="F950" s="6" t="str">
        <f t="shared" si="31"/>
        <v>0002055601</v>
      </c>
    </row>
    <row r="951" spans="1:6" x14ac:dyDescent="0.3">
      <c r="A951" s="6" t="s">
        <v>1861</v>
      </c>
      <c r="B951">
        <v>31909838</v>
      </c>
      <c r="C951">
        <v>2</v>
      </c>
      <c r="D951" t="str">
        <f t="shared" ref="D951:D1014" si="32">_xlfn.CONCAT(0,C951)</f>
        <v>02</v>
      </c>
      <c r="E951" t="str">
        <f>VLOOKUP(B951,'HOGARES-ENDLINE'!$A:$B,2,FALSE)</f>
        <v>00020556</v>
      </c>
      <c r="F951" s="6" t="str">
        <f t="shared" si="31"/>
        <v>0002055602</v>
      </c>
    </row>
    <row r="952" spans="1:6" x14ac:dyDescent="0.3">
      <c r="A952" s="6" t="s">
        <v>1863</v>
      </c>
      <c r="B952">
        <v>31914369</v>
      </c>
      <c r="C952">
        <v>5</v>
      </c>
      <c r="D952" t="str">
        <f t="shared" si="32"/>
        <v>05</v>
      </c>
      <c r="E952" t="str">
        <f>VLOOKUP(B952,'HOGARES-ENDLINE'!$A:$B,2,FALSE)</f>
        <v>00020557</v>
      </c>
      <c r="F952" s="6" t="str">
        <f t="shared" si="31"/>
        <v>0002055705</v>
      </c>
    </row>
    <row r="953" spans="1:6" x14ac:dyDescent="0.3">
      <c r="A953" s="6" t="s">
        <v>1865</v>
      </c>
      <c r="B953">
        <v>31914369</v>
      </c>
      <c r="C953">
        <v>6</v>
      </c>
      <c r="D953" t="str">
        <f t="shared" si="32"/>
        <v>06</v>
      </c>
      <c r="E953" t="str">
        <f>VLOOKUP(B953,'HOGARES-ENDLINE'!$A:$B,2,FALSE)</f>
        <v>00020557</v>
      </c>
      <c r="F953" s="6" t="str">
        <f t="shared" si="31"/>
        <v>0002055706</v>
      </c>
    </row>
    <row r="954" spans="1:6" x14ac:dyDescent="0.3">
      <c r="A954" s="6" t="s">
        <v>1869</v>
      </c>
      <c r="B954">
        <v>31914369</v>
      </c>
      <c r="C954">
        <v>1</v>
      </c>
      <c r="D954" t="str">
        <f t="shared" si="32"/>
        <v>01</v>
      </c>
      <c r="E954" t="str">
        <f>VLOOKUP(B954,'HOGARES-ENDLINE'!$A:$B,2,FALSE)</f>
        <v>00020557</v>
      </c>
      <c r="F954" s="6" t="str">
        <f t="shared" si="31"/>
        <v>0002055701</v>
      </c>
    </row>
    <row r="955" spans="1:6" x14ac:dyDescent="0.3">
      <c r="A955" s="6" t="s">
        <v>1866</v>
      </c>
      <c r="B955">
        <v>31914369</v>
      </c>
      <c r="C955">
        <v>2</v>
      </c>
      <c r="D955" t="str">
        <f t="shared" si="32"/>
        <v>02</v>
      </c>
      <c r="E955" t="str">
        <f>VLOOKUP(B955,'HOGARES-ENDLINE'!$A:$B,2,FALSE)</f>
        <v>00020557</v>
      </c>
      <c r="F955" s="6" t="str">
        <f t="shared" si="31"/>
        <v>0002055702</v>
      </c>
    </row>
    <row r="956" spans="1:6" x14ac:dyDescent="0.3">
      <c r="A956" s="6" t="s">
        <v>1867</v>
      </c>
      <c r="B956">
        <v>31914369</v>
      </c>
      <c r="C956">
        <v>4</v>
      </c>
      <c r="D956" t="str">
        <f t="shared" si="32"/>
        <v>04</v>
      </c>
      <c r="E956" t="str">
        <f>VLOOKUP(B956,'HOGARES-ENDLINE'!$A:$B,2,FALSE)</f>
        <v>00020557</v>
      </c>
      <c r="F956" s="6" t="str">
        <f t="shared" si="31"/>
        <v>0002055704</v>
      </c>
    </row>
    <row r="957" spans="1:6" x14ac:dyDescent="0.3">
      <c r="A957" s="6" t="s">
        <v>1868</v>
      </c>
      <c r="B957">
        <v>31914369</v>
      </c>
      <c r="C957">
        <v>3</v>
      </c>
      <c r="D957" t="str">
        <f t="shared" si="32"/>
        <v>03</v>
      </c>
      <c r="E957" t="str">
        <f>VLOOKUP(B957,'HOGARES-ENDLINE'!$A:$B,2,FALSE)</f>
        <v>00020557</v>
      </c>
      <c r="F957" s="6" t="str">
        <f t="shared" si="31"/>
        <v>0002055703</v>
      </c>
    </row>
    <row r="958" spans="1:6" x14ac:dyDescent="0.3">
      <c r="A958" s="6" t="s">
        <v>1872</v>
      </c>
      <c r="B958">
        <v>31916260</v>
      </c>
      <c r="C958">
        <v>1</v>
      </c>
      <c r="D958" t="str">
        <f t="shared" si="32"/>
        <v>01</v>
      </c>
      <c r="E958" t="str">
        <f>VLOOKUP(B958,'HOGARES-ENDLINE'!$A:$B,2,FALSE)</f>
        <v>00020558</v>
      </c>
      <c r="F958" s="6" t="str">
        <f t="shared" si="31"/>
        <v>0002055801</v>
      </c>
    </row>
    <row r="959" spans="1:6" x14ac:dyDescent="0.3">
      <c r="A959" s="6" t="s">
        <v>1870</v>
      </c>
      <c r="B959">
        <v>31916260</v>
      </c>
      <c r="C959">
        <v>2</v>
      </c>
      <c r="D959" t="str">
        <f t="shared" si="32"/>
        <v>02</v>
      </c>
      <c r="E959" t="str">
        <f>VLOOKUP(B959,'HOGARES-ENDLINE'!$A:$B,2,FALSE)</f>
        <v>00020558</v>
      </c>
      <c r="F959" s="6" t="str">
        <f t="shared" si="31"/>
        <v>0002055802</v>
      </c>
    </row>
    <row r="960" spans="1:6" x14ac:dyDescent="0.3">
      <c r="A960" s="6" t="s">
        <v>1871</v>
      </c>
      <c r="B960">
        <v>31916260</v>
      </c>
      <c r="C960">
        <v>3</v>
      </c>
      <c r="D960" t="str">
        <f t="shared" si="32"/>
        <v>03</v>
      </c>
      <c r="E960" t="str">
        <f>VLOOKUP(B960,'HOGARES-ENDLINE'!$A:$B,2,FALSE)</f>
        <v>00020558</v>
      </c>
      <c r="F960" s="6" t="str">
        <f t="shared" si="31"/>
        <v>0002055803</v>
      </c>
    </row>
    <row r="961" spans="1:6" x14ac:dyDescent="0.3">
      <c r="A961" s="6" t="s">
        <v>1874</v>
      </c>
      <c r="B961">
        <v>31923598</v>
      </c>
      <c r="C961">
        <v>4</v>
      </c>
      <c r="D961" t="str">
        <f t="shared" si="32"/>
        <v>04</v>
      </c>
      <c r="E961" t="str">
        <f>VLOOKUP(B961,'HOGARES-ENDLINE'!$A:$B,2,FALSE)</f>
        <v>01020559</v>
      </c>
      <c r="F961" s="6" t="str">
        <f t="shared" si="31"/>
        <v>0102055904</v>
      </c>
    </row>
    <row r="962" spans="1:6" x14ac:dyDescent="0.3">
      <c r="A962" s="6" t="s">
        <v>1877</v>
      </c>
      <c r="B962">
        <v>31923598</v>
      </c>
      <c r="C962">
        <v>2</v>
      </c>
      <c r="D962" t="str">
        <f t="shared" si="32"/>
        <v>02</v>
      </c>
      <c r="E962" t="str">
        <f>VLOOKUP(B962,'HOGARES-ENDLINE'!$A:$B,2,FALSE)</f>
        <v>01020559</v>
      </c>
      <c r="F962" s="6" t="str">
        <f t="shared" si="31"/>
        <v>0102055902</v>
      </c>
    </row>
    <row r="963" spans="1:6" x14ac:dyDescent="0.3">
      <c r="A963" s="6" t="s">
        <v>1878</v>
      </c>
      <c r="B963">
        <v>31923598</v>
      </c>
      <c r="C963">
        <v>5</v>
      </c>
      <c r="D963" t="str">
        <f t="shared" si="32"/>
        <v>05</v>
      </c>
      <c r="E963" t="str">
        <f>VLOOKUP(B963,'HOGARES-ENDLINE'!$A:$B,2,FALSE)</f>
        <v>01020559</v>
      </c>
      <c r="F963" s="6" t="str">
        <f t="shared" ref="F963:F1026" si="33">_xlfn.CONCAT(E963,D963)</f>
        <v>0102055905</v>
      </c>
    </row>
    <row r="964" spans="1:6" x14ac:dyDescent="0.3">
      <c r="A964" s="6" t="s">
        <v>1876</v>
      </c>
      <c r="B964">
        <v>31923598</v>
      </c>
      <c r="C964">
        <v>6</v>
      </c>
      <c r="D964" t="str">
        <f t="shared" si="32"/>
        <v>06</v>
      </c>
      <c r="E964" t="str">
        <f>VLOOKUP(B964,'HOGARES-ENDLINE'!$A:$B,2,FALSE)</f>
        <v>01020559</v>
      </c>
      <c r="F964" s="6" t="str">
        <f t="shared" si="33"/>
        <v>0102055906</v>
      </c>
    </row>
    <row r="965" spans="1:6" x14ac:dyDescent="0.3">
      <c r="A965" s="6" t="s">
        <v>1875</v>
      </c>
      <c r="B965">
        <v>31923598</v>
      </c>
      <c r="C965">
        <v>3</v>
      </c>
      <c r="D965" t="str">
        <f t="shared" si="32"/>
        <v>03</v>
      </c>
      <c r="E965" t="str">
        <f>VLOOKUP(B965,'HOGARES-ENDLINE'!$A:$B,2,FALSE)</f>
        <v>01020559</v>
      </c>
      <c r="F965" s="6" t="str">
        <f t="shared" si="33"/>
        <v>0102055903</v>
      </c>
    </row>
    <row r="966" spans="1:6" x14ac:dyDescent="0.3">
      <c r="A966" s="6" t="s">
        <v>1873</v>
      </c>
      <c r="B966">
        <v>31923598</v>
      </c>
      <c r="C966">
        <v>1</v>
      </c>
      <c r="D966" t="str">
        <f t="shared" si="32"/>
        <v>01</v>
      </c>
      <c r="E966" t="str">
        <f>VLOOKUP(B966,'HOGARES-ENDLINE'!$A:$B,2,FALSE)</f>
        <v>01020559</v>
      </c>
      <c r="F966" s="6" t="str">
        <f t="shared" si="33"/>
        <v>0102055901</v>
      </c>
    </row>
    <row r="967" spans="1:6" x14ac:dyDescent="0.3">
      <c r="A967" s="6" t="s">
        <v>1882</v>
      </c>
      <c r="B967">
        <v>31923606</v>
      </c>
      <c r="C967">
        <v>4</v>
      </c>
      <c r="D967" t="str">
        <f t="shared" si="32"/>
        <v>04</v>
      </c>
      <c r="E967" t="str">
        <f>VLOOKUP(B967,'HOGARES-ENDLINE'!$A:$B,2,FALSE)</f>
        <v>00020560</v>
      </c>
      <c r="F967" s="6" t="str">
        <f t="shared" si="33"/>
        <v>0002056004</v>
      </c>
    </row>
    <row r="968" spans="1:6" x14ac:dyDescent="0.3">
      <c r="A968" s="6" t="s">
        <v>1880</v>
      </c>
      <c r="B968">
        <v>31923606</v>
      </c>
      <c r="C968">
        <v>1</v>
      </c>
      <c r="D968" t="str">
        <f t="shared" si="32"/>
        <v>01</v>
      </c>
      <c r="E968" t="str">
        <f>VLOOKUP(B968,'HOGARES-ENDLINE'!$A:$B,2,FALSE)</f>
        <v>00020560</v>
      </c>
      <c r="F968" s="6" t="str">
        <f t="shared" si="33"/>
        <v>0002056001</v>
      </c>
    </row>
    <row r="969" spans="1:6" x14ac:dyDescent="0.3">
      <c r="A969" s="6" t="s">
        <v>1881</v>
      </c>
      <c r="B969">
        <v>31923606</v>
      </c>
      <c r="C969">
        <v>2</v>
      </c>
      <c r="D969" t="str">
        <f t="shared" si="32"/>
        <v>02</v>
      </c>
      <c r="E969" t="str">
        <f>VLOOKUP(B969,'HOGARES-ENDLINE'!$A:$B,2,FALSE)</f>
        <v>00020560</v>
      </c>
      <c r="F969" s="6" t="str">
        <f t="shared" si="33"/>
        <v>0002056002</v>
      </c>
    </row>
    <row r="970" spans="1:6" x14ac:dyDescent="0.3">
      <c r="A970" s="6" t="s">
        <v>1879</v>
      </c>
      <c r="B970">
        <v>31923606</v>
      </c>
      <c r="C970">
        <v>3</v>
      </c>
      <c r="D970" t="str">
        <f t="shared" si="32"/>
        <v>03</v>
      </c>
      <c r="E970" t="str">
        <f>VLOOKUP(B970,'HOGARES-ENDLINE'!$A:$B,2,FALSE)</f>
        <v>00020560</v>
      </c>
      <c r="F970" s="6" t="str">
        <f t="shared" si="33"/>
        <v>0002056003</v>
      </c>
    </row>
    <row r="971" spans="1:6" x14ac:dyDescent="0.3">
      <c r="A971" s="6" t="s">
        <v>1883</v>
      </c>
      <c r="B971">
        <v>31924208</v>
      </c>
      <c r="C971">
        <v>2</v>
      </c>
      <c r="D971" t="str">
        <f t="shared" si="32"/>
        <v>02</v>
      </c>
      <c r="E971" t="str">
        <f>VLOOKUP(B971,'HOGARES-ENDLINE'!$A:$B,2,FALSE)</f>
        <v>00020561</v>
      </c>
      <c r="F971" s="6" t="str">
        <f t="shared" si="33"/>
        <v>0002056102</v>
      </c>
    </row>
    <row r="972" spans="1:6" x14ac:dyDescent="0.3">
      <c r="A972" s="6" t="s">
        <v>1884</v>
      </c>
      <c r="B972">
        <v>31924208</v>
      </c>
      <c r="C972">
        <v>1</v>
      </c>
      <c r="D972" t="str">
        <f t="shared" si="32"/>
        <v>01</v>
      </c>
      <c r="E972" t="str">
        <f>VLOOKUP(B972,'HOGARES-ENDLINE'!$A:$B,2,FALSE)</f>
        <v>00020561</v>
      </c>
      <c r="F972" s="6" t="str">
        <f t="shared" si="33"/>
        <v>0002056101</v>
      </c>
    </row>
    <row r="973" spans="1:6" x14ac:dyDescent="0.3">
      <c r="A973" s="6" t="s">
        <v>1885</v>
      </c>
      <c r="B973">
        <v>31925580</v>
      </c>
      <c r="C973">
        <v>3</v>
      </c>
      <c r="D973" t="str">
        <f t="shared" si="32"/>
        <v>03</v>
      </c>
      <c r="E973" t="str">
        <f>VLOOKUP(B973,'HOGARES-ENDLINE'!$A:$B,2,FALSE)</f>
        <v>00020562</v>
      </c>
      <c r="F973" s="6" t="str">
        <f t="shared" si="33"/>
        <v>0002056203</v>
      </c>
    </row>
    <row r="974" spans="1:6" x14ac:dyDescent="0.3">
      <c r="A974" s="6" t="s">
        <v>1887</v>
      </c>
      <c r="B974">
        <v>31925580</v>
      </c>
      <c r="C974">
        <v>1</v>
      </c>
      <c r="D974" t="str">
        <f t="shared" si="32"/>
        <v>01</v>
      </c>
      <c r="E974" t="str">
        <f>VLOOKUP(B974,'HOGARES-ENDLINE'!$A:$B,2,FALSE)</f>
        <v>00020562</v>
      </c>
      <c r="F974" s="6" t="str">
        <f t="shared" si="33"/>
        <v>0002056201</v>
      </c>
    </row>
    <row r="975" spans="1:6" x14ac:dyDescent="0.3">
      <c r="A975" s="6" t="s">
        <v>1886</v>
      </c>
      <c r="B975">
        <v>31925580</v>
      </c>
      <c r="C975">
        <v>2</v>
      </c>
      <c r="D975" t="str">
        <f t="shared" si="32"/>
        <v>02</v>
      </c>
      <c r="E975" t="str">
        <f>VLOOKUP(B975,'HOGARES-ENDLINE'!$A:$B,2,FALSE)</f>
        <v>00020562</v>
      </c>
      <c r="F975" s="6" t="str">
        <f t="shared" si="33"/>
        <v>0002056202</v>
      </c>
    </row>
    <row r="976" spans="1:6" x14ac:dyDescent="0.3">
      <c r="A976" s="6" t="s">
        <v>1889</v>
      </c>
      <c r="B976">
        <v>31929380</v>
      </c>
      <c r="C976">
        <v>1</v>
      </c>
      <c r="D976" t="str">
        <f t="shared" si="32"/>
        <v>01</v>
      </c>
      <c r="E976" t="str">
        <f>VLOOKUP(B976,'HOGARES-ENDLINE'!$A:$B,2,FALSE)</f>
        <v>01020563</v>
      </c>
      <c r="F976" s="6" t="str">
        <f t="shared" si="33"/>
        <v>0102056301</v>
      </c>
    </row>
    <row r="977" spans="1:6" x14ac:dyDescent="0.3">
      <c r="A977" s="6" t="s">
        <v>1893</v>
      </c>
      <c r="B977">
        <v>31929380</v>
      </c>
      <c r="C977">
        <v>2</v>
      </c>
      <c r="D977" t="str">
        <f t="shared" si="32"/>
        <v>02</v>
      </c>
      <c r="E977" t="str">
        <f>VLOOKUP(B977,'HOGARES-ENDLINE'!$A:$B,2,FALSE)</f>
        <v>01020563</v>
      </c>
      <c r="F977" s="6" t="str">
        <f t="shared" si="33"/>
        <v>0102056302</v>
      </c>
    </row>
    <row r="978" spans="1:6" x14ac:dyDescent="0.3">
      <c r="A978" s="6" t="s">
        <v>1896</v>
      </c>
      <c r="B978">
        <v>31931128</v>
      </c>
      <c r="C978">
        <v>1</v>
      </c>
      <c r="D978" t="str">
        <f t="shared" si="32"/>
        <v>01</v>
      </c>
      <c r="E978" t="str">
        <f>VLOOKUP(B978,'HOGARES-ENDLINE'!$A:$B,2,FALSE)</f>
        <v>00020564</v>
      </c>
      <c r="F978" s="6" t="str">
        <f t="shared" si="33"/>
        <v>0002056401</v>
      </c>
    </row>
    <row r="979" spans="1:6" x14ac:dyDescent="0.3">
      <c r="A979" s="6" t="s">
        <v>1895</v>
      </c>
      <c r="B979">
        <v>31931128</v>
      </c>
      <c r="C979">
        <v>2</v>
      </c>
      <c r="D979" t="str">
        <f t="shared" si="32"/>
        <v>02</v>
      </c>
      <c r="E979" t="str">
        <f>VLOOKUP(B979,'HOGARES-ENDLINE'!$A:$B,2,FALSE)</f>
        <v>00020564</v>
      </c>
      <c r="F979" s="6" t="str">
        <f t="shared" si="33"/>
        <v>0002056402</v>
      </c>
    </row>
    <row r="980" spans="1:6" x14ac:dyDescent="0.3">
      <c r="A980" s="6" t="s">
        <v>1898</v>
      </c>
      <c r="B980">
        <v>31948620</v>
      </c>
      <c r="C980">
        <v>1</v>
      </c>
      <c r="D980" t="str">
        <f t="shared" si="32"/>
        <v>01</v>
      </c>
      <c r="E980" t="str">
        <f>VLOOKUP(B980,'HOGARES-ENDLINE'!$A:$B,2,FALSE)</f>
        <v>00020565</v>
      </c>
      <c r="F980" s="6" t="str">
        <f t="shared" si="33"/>
        <v>0002056501</v>
      </c>
    </row>
    <row r="981" spans="1:6" x14ac:dyDescent="0.3">
      <c r="A981" s="6" t="s">
        <v>1899</v>
      </c>
      <c r="B981">
        <v>31948620</v>
      </c>
      <c r="C981">
        <v>2</v>
      </c>
      <c r="D981" t="str">
        <f t="shared" si="32"/>
        <v>02</v>
      </c>
      <c r="E981" t="str">
        <f>VLOOKUP(B981,'HOGARES-ENDLINE'!$A:$B,2,FALSE)</f>
        <v>00020565</v>
      </c>
      <c r="F981" s="6" t="str">
        <f t="shared" si="33"/>
        <v>0002056502</v>
      </c>
    </row>
    <row r="982" spans="1:6" x14ac:dyDescent="0.3">
      <c r="A982" s="6" t="s">
        <v>1901</v>
      </c>
      <c r="B982">
        <v>31959597</v>
      </c>
      <c r="C982">
        <v>1</v>
      </c>
      <c r="D982" t="str">
        <f t="shared" si="32"/>
        <v>01</v>
      </c>
      <c r="E982" t="str">
        <f>VLOOKUP(B982,'HOGARES-ENDLINE'!$A:$B,2,FALSE)</f>
        <v>01020566</v>
      </c>
      <c r="F982" s="6" t="str">
        <f t="shared" si="33"/>
        <v>0102056601</v>
      </c>
    </row>
    <row r="983" spans="1:6" x14ac:dyDescent="0.3">
      <c r="A983" s="6" t="s">
        <v>1911</v>
      </c>
      <c r="B983">
        <v>31972147</v>
      </c>
      <c r="C983">
        <v>3</v>
      </c>
      <c r="D983" t="str">
        <f t="shared" si="32"/>
        <v>03</v>
      </c>
      <c r="E983" t="str">
        <f>VLOOKUP(B983,'HOGARES-ENDLINE'!$A:$B,2,FALSE)</f>
        <v>01020567</v>
      </c>
      <c r="F983" s="6" t="str">
        <f t="shared" si="33"/>
        <v>0102056703</v>
      </c>
    </row>
    <row r="984" spans="1:6" x14ac:dyDescent="0.3">
      <c r="A984" s="6" t="s">
        <v>1910</v>
      </c>
      <c r="B984">
        <v>31972147</v>
      </c>
      <c r="C984">
        <v>1</v>
      </c>
      <c r="D984" t="str">
        <f t="shared" si="32"/>
        <v>01</v>
      </c>
      <c r="E984" t="str">
        <f>VLOOKUP(B984,'HOGARES-ENDLINE'!$A:$B,2,FALSE)</f>
        <v>01020567</v>
      </c>
      <c r="F984" s="6" t="str">
        <f t="shared" si="33"/>
        <v>0102056701</v>
      </c>
    </row>
    <row r="985" spans="1:6" x14ac:dyDescent="0.3">
      <c r="A985" s="6" t="s">
        <v>1912</v>
      </c>
      <c r="B985">
        <v>31972147</v>
      </c>
      <c r="C985">
        <v>4</v>
      </c>
      <c r="D985" t="str">
        <f t="shared" si="32"/>
        <v>04</v>
      </c>
      <c r="E985" t="str">
        <f>VLOOKUP(B985,'HOGARES-ENDLINE'!$A:$B,2,FALSE)</f>
        <v>01020567</v>
      </c>
      <c r="F985" s="6" t="str">
        <f t="shared" si="33"/>
        <v>0102056704</v>
      </c>
    </row>
    <row r="986" spans="1:6" x14ac:dyDescent="0.3">
      <c r="A986" s="6" t="s">
        <v>1909</v>
      </c>
      <c r="B986">
        <v>31972147</v>
      </c>
      <c r="C986">
        <v>2</v>
      </c>
      <c r="D986" t="str">
        <f t="shared" si="32"/>
        <v>02</v>
      </c>
      <c r="E986" t="str">
        <f>VLOOKUP(B986,'HOGARES-ENDLINE'!$A:$B,2,FALSE)</f>
        <v>01020567</v>
      </c>
      <c r="F986" s="6" t="str">
        <f t="shared" si="33"/>
        <v>0102056702</v>
      </c>
    </row>
    <row r="987" spans="1:6" x14ac:dyDescent="0.3">
      <c r="A987" s="6" t="s">
        <v>1907</v>
      </c>
      <c r="B987">
        <v>31972147</v>
      </c>
      <c r="C987">
        <v>5</v>
      </c>
      <c r="D987" t="str">
        <f t="shared" si="32"/>
        <v>05</v>
      </c>
      <c r="E987" t="str">
        <f>VLOOKUP(B987,'HOGARES-ENDLINE'!$A:$B,2,FALSE)</f>
        <v>01020567</v>
      </c>
      <c r="F987" s="6" t="str">
        <f t="shared" si="33"/>
        <v>0102056705</v>
      </c>
    </row>
    <row r="988" spans="1:6" x14ac:dyDescent="0.3">
      <c r="A988" s="6" t="s">
        <v>1914</v>
      </c>
      <c r="B988">
        <v>31981946</v>
      </c>
      <c r="C988">
        <v>1</v>
      </c>
      <c r="D988" t="str">
        <f t="shared" si="32"/>
        <v>01</v>
      </c>
      <c r="E988" t="str">
        <f>VLOOKUP(B988,'HOGARES-ENDLINE'!$A:$B,2,FALSE)</f>
        <v>01020568</v>
      </c>
      <c r="F988" s="6" t="str">
        <f t="shared" si="33"/>
        <v>0102056801</v>
      </c>
    </row>
    <row r="989" spans="1:6" x14ac:dyDescent="0.3">
      <c r="A989" s="6" t="s">
        <v>1915</v>
      </c>
      <c r="B989">
        <v>31981946</v>
      </c>
      <c r="C989">
        <v>3</v>
      </c>
      <c r="D989" t="str">
        <f t="shared" si="32"/>
        <v>03</v>
      </c>
      <c r="E989" t="str">
        <f>VLOOKUP(B989,'HOGARES-ENDLINE'!$A:$B,2,FALSE)</f>
        <v>01020568</v>
      </c>
      <c r="F989" s="6" t="str">
        <f t="shared" si="33"/>
        <v>0102056803</v>
      </c>
    </row>
    <row r="990" spans="1:6" x14ac:dyDescent="0.3">
      <c r="A990" s="6" t="s">
        <v>1918</v>
      </c>
      <c r="B990">
        <v>31983781</v>
      </c>
      <c r="C990">
        <v>4</v>
      </c>
      <c r="D990" t="str">
        <f t="shared" si="32"/>
        <v>04</v>
      </c>
      <c r="E990" t="str">
        <f>VLOOKUP(B990,'HOGARES-ENDLINE'!$A:$B,2,FALSE)</f>
        <v>01020569</v>
      </c>
      <c r="F990" s="6" t="str">
        <f t="shared" si="33"/>
        <v>0102056904</v>
      </c>
    </row>
    <row r="991" spans="1:6" x14ac:dyDescent="0.3">
      <c r="A991" s="6" t="s">
        <v>1920</v>
      </c>
      <c r="B991">
        <v>31992224</v>
      </c>
      <c r="C991">
        <v>1</v>
      </c>
      <c r="D991" t="str">
        <f t="shared" si="32"/>
        <v>01</v>
      </c>
      <c r="E991" t="str">
        <f>VLOOKUP(B991,'HOGARES-ENDLINE'!$A:$B,2,FALSE)</f>
        <v>01020570</v>
      </c>
      <c r="F991" s="6" t="str">
        <f t="shared" si="33"/>
        <v>0102057001</v>
      </c>
    </row>
    <row r="992" spans="1:6" x14ac:dyDescent="0.3">
      <c r="A992" s="6" t="s">
        <v>1921</v>
      </c>
      <c r="B992">
        <v>31992224</v>
      </c>
      <c r="C992">
        <v>2</v>
      </c>
      <c r="D992" t="str">
        <f t="shared" si="32"/>
        <v>02</v>
      </c>
      <c r="E992" t="str">
        <f>VLOOKUP(B992,'HOGARES-ENDLINE'!$A:$B,2,FALSE)</f>
        <v>01020570</v>
      </c>
      <c r="F992" s="6" t="str">
        <f t="shared" si="33"/>
        <v>0102057002</v>
      </c>
    </row>
    <row r="993" spans="1:6" x14ac:dyDescent="0.3">
      <c r="A993" s="6" t="s">
        <v>1923</v>
      </c>
      <c r="B993">
        <v>31992224</v>
      </c>
      <c r="C993">
        <v>3</v>
      </c>
      <c r="D993" t="str">
        <f t="shared" si="32"/>
        <v>03</v>
      </c>
      <c r="E993" t="str">
        <f>VLOOKUP(B993,'HOGARES-ENDLINE'!$A:$B,2,FALSE)</f>
        <v>01020570</v>
      </c>
      <c r="F993" s="6" t="str">
        <f t="shared" si="33"/>
        <v>0102057003</v>
      </c>
    </row>
    <row r="994" spans="1:6" x14ac:dyDescent="0.3">
      <c r="A994" s="6" t="s">
        <v>1926</v>
      </c>
      <c r="B994">
        <v>31992747</v>
      </c>
      <c r="C994">
        <v>1</v>
      </c>
      <c r="D994" t="str">
        <f t="shared" si="32"/>
        <v>01</v>
      </c>
      <c r="E994" t="str">
        <f>VLOOKUP(B994,'HOGARES-ENDLINE'!$A:$B,2,FALSE)</f>
        <v>01020571</v>
      </c>
      <c r="F994" s="6" t="str">
        <f t="shared" si="33"/>
        <v>0102057101</v>
      </c>
    </row>
    <row r="995" spans="1:6" x14ac:dyDescent="0.3">
      <c r="A995" s="6" t="s">
        <v>1924</v>
      </c>
      <c r="B995">
        <v>31992747</v>
      </c>
      <c r="C995">
        <v>2</v>
      </c>
      <c r="D995" t="str">
        <f t="shared" si="32"/>
        <v>02</v>
      </c>
      <c r="E995" t="str">
        <f>VLOOKUP(B995,'HOGARES-ENDLINE'!$A:$B,2,FALSE)</f>
        <v>01020571</v>
      </c>
      <c r="F995" s="6" t="str">
        <f t="shared" si="33"/>
        <v>0102057102</v>
      </c>
    </row>
    <row r="996" spans="1:6" x14ac:dyDescent="0.3">
      <c r="A996" s="6" t="s">
        <v>1925</v>
      </c>
      <c r="B996">
        <v>31992747</v>
      </c>
      <c r="C996">
        <v>3</v>
      </c>
      <c r="D996" t="str">
        <f t="shared" si="32"/>
        <v>03</v>
      </c>
      <c r="E996" t="str">
        <f>VLOOKUP(B996,'HOGARES-ENDLINE'!$A:$B,2,FALSE)</f>
        <v>01020571</v>
      </c>
      <c r="F996" s="6" t="str">
        <f t="shared" si="33"/>
        <v>0102057103</v>
      </c>
    </row>
    <row r="997" spans="1:6" x14ac:dyDescent="0.3">
      <c r="A997" s="6" t="s">
        <v>1927</v>
      </c>
      <c r="B997">
        <v>32078660</v>
      </c>
      <c r="C997">
        <v>1</v>
      </c>
      <c r="D997" t="str">
        <f t="shared" si="32"/>
        <v>01</v>
      </c>
      <c r="E997" t="str">
        <f>VLOOKUP(B997,'HOGARES-ENDLINE'!$A:$B,2,FALSE)</f>
        <v>00010572</v>
      </c>
      <c r="F997" s="6" t="str">
        <f t="shared" si="33"/>
        <v>0001057201</v>
      </c>
    </row>
    <row r="998" spans="1:6" x14ac:dyDescent="0.3">
      <c r="A998" s="6" t="s">
        <v>1929</v>
      </c>
      <c r="B998">
        <v>32102790</v>
      </c>
      <c r="C998">
        <v>1</v>
      </c>
      <c r="D998" t="str">
        <f t="shared" si="32"/>
        <v>01</v>
      </c>
      <c r="E998" t="str">
        <f>VLOOKUP(B998,'HOGARES-ENDLINE'!$A:$B,2,FALSE)</f>
        <v>01010573</v>
      </c>
      <c r="F998" s="6" t="str">
        <f t="shared" si="33"/>
        <v>0101057301</v>
      </c>
    </row>
    <row r="999" spans="1:6" x14ac:dyDescent="0.3">
      <c r="A999" s="6" t="s">
        <v>1930</v>
      </c>
      <c r="B999">
        <v>32102790</v>
      </c>
      <c r="C999">
        <v>3</v>
      </c>
      <c r="D999" t="str">
        <f t="shared" si="32"/>
        <v>03</v>
      </c>
      <c r="E999" t="str">
        <f>VLOOKUP(B999,'HOGARES-ENDLINE'!$A:$B,2,FALSE)</f>
        <v>01010573</v>
      </c>
      <c r="F999" s="6" t="str">
        <f t="shared" si="33"/>
        <v>0101057303</v>
      </c>
    </row>
    <row r="1000" spans="1:6" x14ac:dyDescent="0.3">
      <c r="A1000" s="6" t="s">
        <v>1933</v>
      </c>
      <c r="B1000">
        <v>32118138</v>
      </c>
      <c r="C1000">
        <v>2</v>
      </c>
      <c r="D1000" t="str">
        <f t="shared" si="32"/>
        <v>02</v>
      </c>
      <c r="E1000" t="str">
        <f>VLOOKUP(B1000,'HOGARES-ENDLINE'!$A:$B,2,FALSE)</f>
        <v>01010574</v>
      </c>
      <c r="F1000" s="6" t="str">
        <f t="shared" si="33"/>
        <v>0101057402</v>
      </c>
    </row>
    <row r="1001" spans="1:6" x14ac:dyDescent="0.3">
      <c r="A1001" s="6" t="s">
        <v>1931</v>
      </c>
      <c r="B1001">
        <v>32118138</v>
      </c>
      <c r="C1001">
        <v>3</v>
      </c>
      <c r="D1001" t="str">
        <f t="shared" si="32"/>
        <v>03</v>
      </c>
      <c r="E1001" t="str">
        <f>VLOOKUP(B1001,'HOGARES-ENDLINE'!$A:$B,2,FALSE)</f>
        <v>01010574</v>
      </c>
      <c r="F1001" s="6" t="str">
        <f t="shared" si="33"/>
        <v>0101057403</v>
      </c>
    </row>
    <row r="1002" spans="1:6" x14ac:dyDescent="0.3">
      <c r="A1002" s="6" t="s">
        <v>1934</v>
      </c>
      <c r="B1002">
        <v>32118138</v>
      </c>
      <c r="C1002">
        <v>1</v>
      </c>
      <c r="D1002" t="str">
        <f t="shared" si="32"/>
        <v>01</v>
      </c>
      <c r="E1002" t="str">
        <f>VLOOKUP(B1002,'HOGARES-ENDLINE'!$A:$B,2,FALSE)</f>
        <v>01010574</v>
      </c>
      <c r="F1002" s="6" t="str">
        <f t="shared" si="33"/>
        <v>0101057401</v>
      </c>
    </row>
    <row r="1003" spans="1:6" x14ac:dyDescent="0.3">
      <c r="A1003" s="6" t="s">
        <v>1932</v>
      </c>
      <c r="B1003">
        <v>32118138</v>
      </c>
      <c r="C1003">
        <v>4</v>
      </c>
      <c r="D1003" t="str">
        <f t="shared" si="32"/>
        <v>04</v>
      </c>
      <c r="E1003" t="str">
        <f>VLOOKUP(B1003,'HOGARES-ENDLINE'!$A:$B,2,FALSE)</f>
        <v>01010574</v>
      </c>
      <c r="F1003" s="6" t="str">
        <f t="shared" si="33"/>
        <v>0101057404</v>
      </c>
    </row>
    <row r="1004" spans="1:6" x14ac:dyDescent="0.3">
      <c r="A1004" s="6" t="s">
        <v>1936</v>
      </c>
      <c r="B1004">
        <v>32144313</v>
      </c>
      <c r="C1004">
        <v>1</v>
      </c>
      <c r="D1004" t="str">
        <f t="shared" si="32"/>
        <v>01</v>
      </c>
      <c r="E1004" t="str">
        <f>VLOOKUP(B1004,'HOGARES-ENDLINE'!$A:$B,2,FALSE)</f>
        <v>01010575</v>
      </c>
      <c r="F1004" s="6" t="str">
        <f t="shared" si="33"/>
        <v>0101057501</v>
      </c>
    </row>
    <row r="1005" spans="1:6" x14ac:dyDescent="0.3">
      <c r="A1005" s="6" t="s">
        <v>1942</v>
      </c>
      <c r="B1005">
        <v>32208850</v>
      </c>
      <c r="C1005">
        <v>1</v>
      </c>
      <c r="D1005" t="str">
        <f t="shared" si="32"/>
        <v>01</v>
      </c>
      <c r="E1005" t="str">
        <f>VLOOKUP(B1005,'HOGARES-ENDLINE'!$A:$B,2,FALSE)</f>
        <v>01010577</v>
      </c>
      <c r="F1005" s="6" t="str">
        <f t="shared" si="33"/>
        <v>0101057701</v>
      </c>
    </row>
    <row r="1006" spans="1:6" x14ac:dyDescent="0.3">
      <c r="A1006" s="6" t="s">
        <v>1940</v>
      </c>
      <c r="B1006">
        <v>32208850</v>
      </c>
      <c r="C1006">
        <v>2</v>
      </c>
      <c r="D1006" t="str">
        <f t="shared" si="32"/>
        <v>02</v>
      </c>
      <c r="E1006" t="str">
        <f>VLOOKUP(B1006,'HOGARES-ENDLINE'!$A:$B,2,FALSE)</f>
        <v>01010577</v>
      </c>
      <c r="F1006" s="6" t="str">
        <f t="shared" si="33"/>
        <v>0101057702</v>
      </c>
    </row>
    <row r="1007" spans="1:6" x14ac:dyDescent="0.3">
      <c r="A1007" s="6" t="s">
        <v>1941</v>
      </c>
      <c r="B1007">
        <v>32208850</v>
      </c>
      <c r="C1007">
        <v>3</v>
      </c>
      <c r="D1007" t="str">
        <f t="shared" si="32"/>
        <v>03</v>
      </c>
      <c r="E1007" t="str">
        <f>VLOOKUP(B1007,'HOGARES-ENDLINE'!$A:$B,2,FALSE)</f>
        <v>01010577</v>
      </c>
      <c r="F1007" s="6" t="str">
        <f t="shared" si="33"/>
        <v>0101057703</v>
      </c>
    </row>
    <row r="1008" spans="1:6" x14ac:dyDescent="0.3">
      <c r="A1008" s="6" t="s">
        <v>1943</v>
      </c>
      <c r="B1008">
        <v>32255078</v>
      </c>
      <c r="C1008">
        <v>2</v>
      </c>
      <c r="D1008" t="str">
        <f t="shared" si="32"/>
        <v>02</v>
      </c>
      <c r="E1008" t="str">
        <f>VLOOKUP(B1008,'HOGARES-ENDLINE'!$A:$B,2,FALSE)</f>
        <v>00010578</v>
      </c>
      <c r="F1008" s="6" t="str">
        <f t="shared" si="33"/>
        <v>0001057802</v>
      </c>
    </row>
    <row r="1009" spans="1:6" x14ac:dyDescent="0.3">
      <c r="A1009" s="6" t="s">
        <v>1946</v>
      </c>
      <c r="B1009">
        <v>32255078</v>
      </c>
      <c r="C1009">
        <v>4</v>
      </c>
      <c r="D1009" t="str">
        <f t="shared" si="32"/>
        <v>04</v>
      </c>
      <c r="E1009" t="str">
        <f>VLOOKUP(B1009,'HOGARES-ENDLINE'!$A:$B,2,FALSE)</f>
        <v>00010578</v>
      </c>
      <c r="F1009" s="6" t="str">
        <f t="shared" si="33"/>
        <v>0001057804</v>
      </c>
    </row>
    <row r="1010" spans="1:6" x14ac:dyDescent="0.3">
      <c r="A1010" s="6" t="s">
        <v>1944</v>
      </c>
      <c r="B1010">
        <v>32255078</v>
      </c>
      <c r="C1010">
        <v>3</v>
      </c>
      <c r="D1010" t="str">
        <f t="shared" si="32"/>
        <v>03</v>
      </c>
      <c r="E1010" t="str">
        <f>VLOOKUP(B1010,'HOGARES-ENDLINE'!$A:$B,2,FALSE)</f>
        <v>00010578</v>
      </c>
      <c r="F1010" s="6" t="str">
        <f t="shared" si="33"/>
        <v>0001057803</v>
      </c>
    </row>
    <row r="1011" spans="1:6" x14ac:dyDescent="0.3">
      <c r="A1011" s="6" t="s">
        <v>1945</v>
      </c>
      <c r="B1011">
        <v>32255078</v>
      </c>
      <c r="C1011">
        <v>1</v>
      </c>
      <c r="D1011" t="str">
        <f t="shared" si="32"/>
        <v>01</v>
      </c>
      <c r="E1011" t="str">
        <f>VLOOKUP(B1011,'HOGARES-ENDLINE'!$A:$B,2,FALSE)</f>
        <v>00010578</v>
      </c>
      <c r="F1011" s="6" t="str">
        <f t="shared" si="33"/>
        <v>0001057801</v>
      </c>
    </row>
    <row r="1012" spans="1:6" x14ac:dyDescent="0.3">
      <c r="A1012" s="6" t="s">
        <v>1949</v>
      </c>
      <c r="B1012">
        <v>32255448</v>
      </c>
      <c r="C1012">
        <v>1</v>
      </c>
      <c r="D1012" t="str">
        <f t="shared" si="32"/>
        <v>01</v>
      </c>
      <c r="E1012" t="str">
        <f>VLOOKUP(B1012,'HOGARES-ENDLINE'!$A:$B,2,FALSE)</f>
        <v>01010579</v>
      </c>
      <c r="F1012" s="6" t="str">
        <f t="shared" si="33"/>
        <v>0101057901</v>
      </c>
    </row>
    <row r="1013" spans="1:6" x14ac:dyDescent="0.3">
      <c r="A1013" s="6" t="s">
        <v>1952</v>
      </c>
      <c r="B1013">
        <v>32258550</v>
      </c>
      <c r="C1013">
        <v>3</v>
      </c>
      <c r="D1013" t="str">
        <f t="shared" si="32"/>
        <v>03</v>
      </c>
      <c r="E1013" t="str">
        <f>VLOOKUP(B1013,'HOGARES-ENDLINE'!$A:$B,2,FALSE)</f>
        <v>01010580</v>
      </c>
      <c r="F1013" s="6" t="str">
        <f t="shared" si="33"/>
        <v>0101058003</v>
      </c>
    </row>
    <row r="1014" spans="1:6" x14ac:dyDescent="0.3">
      <c r="A1014" s="6" t="s">
        <v>1953</v>
      </c>
      <c r="B1014">
        <v>32258550</v>
      </c>
      <c r="C1014">
        <v>2</v>
      </c>
      <c r="D1014" t="str">
        <f t="shared" si="32"/>
        <v>02</v>
      </c>
      <c r="E1014" t="str">
        <f>VLOOKUP(B1014,'HOGARES-ENDLINE'!$A:$B,2,FALSE)</f>
        <v>01010580</v>
      </c>
      <c r="F1014" s="6" t="str">
        <f t="shared" si="33"/>
        <v>0101058002</v>
      </c>
    </row>
    <row r="1015" spans="1:6" x14ac:dyDescent="0.3">
      <c r="A1015" s="6" t="s">
        <v>1954</v>
      </c>
      <c r="B1015">
        <v>32258550</v>
      </c>
      <c r="C1015">
        <v>1</v>
      </c>
      <c r="D1015" t="str">
        <f t="shared" ref="D1015:D1078" si="34">_xlfn.CONCAT(0,C1015)</f>
        <v>01</v>
      </c>
      <c r="E1015" t="str">
        <f>VLOOKUP(B1015,'HOGARES-ENDLINE'!$A:$B,2,FALSE)</f>
        <v>01010580</v>
      </c>
      <c r="F1015" s="6" t="str">
        <f t="shared" si="33"/>
        <v>0101058001</v>
      </c>
    </row>
    <row r="1016" spans="1:6" x14ac:dyDescent="0.3">
      <c r="A1016" s="6" t="s">
        <v>1955</v>
      </c>
      <c r="B1016">
        <v>32285101</v>
      </c>
      <c r="C1016">
        <v>1</v>
      </c>
      <c r="D1016" t="str">
        <f t="shared" si="34"/>
        <v>01</v>
      </c>
      <c r="E1016" t="str">
        <f>VLOOKUP(B1016,'HOGARES-ENDLINE'!$A:$B,2,FALSE)</f>
        <v>01020581</v>
      </c>
      <c r="F1016" s="6" t="str">
        <f t="shared" si="33"/>
        <v>0102058101</v>
      </c>
    </row>
    <row r="1017" spans="1:6" x14ac:dyDescent="0.3">
      <c r="A1017" s="6" t="s">
        <v>1956</v>
      </c>
      <c r="B1017">
        <v>32285912</v>
      </c>
      <c r="C1017">
        <v>1</v>
      </c>
      <c r="D1017" t="str">
        <f t="shared" si="34"/>
        <v>01</v>
      </c>
      <c r="E1017" t="str">
        <f>VLOOKUP(B1017,'HOGARES-ENDLINE'!$A:$B,2,FALSE)</f>
        <v>01020582</v>
      </c>
      <c r="F1017" s="6" t="str">
        <f t="shared" si="33"/>
        <v>0102058201</v>
      </c>
    </row>
    <row r="1018" spans="1:6" x14ac:dyDescent="0.3">
      <c r="A1018" s="6" t="s">
        <v>1957</v>
      </c>
      <c r="B1018">
        <v>32323288</v>
      </c>
      <c r="C1018">
        <v>2</v>
      </c>
      <c r="D1018" t="str">
        <f t="shared" si="34"/>
        <v>02</v>
      </c>
      <c r="E1018" t="str">
        <f>VLOOKUP(B1018,'HOGARES-ENDLINE'!$A:$B,2,FALSE)</f>
        <v>00010583</v>
      </c>
      <c r="F1018" s="6" t="str">
        <f t="shared" si="33"/>
        <v>0001058302</v>
      </c>
    </row>
    <row r="1019" spans="1:6" x14ac:dyDescent="0.3">
      <c r="A1019" s="6" t="s">
        <v>1958</v>
      </c>
      <c r="B1019">
        <v>32323288</v>
      </c>
      <c r="C1019">
        <v>3</v>
      </c>
      <c r="D1019" t="str">
        <f t="shared" si="34"/>
        <v>03</v>
      </c>
      <c r="E1019" t="str">
        <f>VLOOKUP(B1019,'HOGARES-ENDLINE'!$A:$B,2,FALSE)</f>
        <v>00010583</v>
      </c>
      <c r="F1019" s="6" t="str">
        <f t="shared" si="33"/>
        <v>0001058303</v>
      </c>
    </row>
    <row r="1020" spans="1:6" x14ac:dyDescent="0.3">
      <c r="A1020" s="6" t="s">
        <v>1960</v>
      </c>
      <c r="B1020">
        <v>32323288</v>
      </c>
      <c r="C1020">
        <v>1</v>
      </c>
      <c r="D1020" t="str">
        <f t="shared" si="34"/>
        <v>01</v>
      </c>
      <c r="E1020" t="str">
        <f>VLOOKUP(B1020,'HOGARES-ENDLINE'!$A:$B,2,FALSE)</f>
        <v>00010583</v>
      </c>
      <c r="F1020" s="6" t="str">
        <f t="shared" si="33"/>
        <v>0001058301</v>
      </c>
    </row>
    <row r="1021" spans="1:6" x14ac:dyDescent="0.3">
      <c r="A1021" s="6" t="s">
        <v>1961</v>
      </c>
      <c r="B1021">
        <v>32342765</v>
      </c>
      <c r="C1021">
        <v>1</v>
      </c>
      <c r="D1021" t="str">
        <f t="shared" si="34"/>
        <v>01</v>
      </c>
      <c r="E1021" t="str">
        <f>VLOOKUP(B1021,'HOGARES-ENDLINE'!$A:$B,2,FALSE)</f>
        <v>00010584</v>
      </c>
      <c r="F1021" s="6" t="str">
        <f t="shared" si="33"/>
        <v>0001058401</v>
      </c>
    </row>
    <row r="1022" spans="1:6" x14ac:dyDescent="0.3">
      <c r="A1022" s="6" t="s">
        <v>1962</v>
      </c>
      <c r="B1022">
        <v>32342765</v>
      </c>
      <c r="C1022">
        <v>2</v>
      </c>
      <c r="D1022" t="str">
        <f t="shared" si="34"/>
        <v>02</v>
      </c>
      <c r="E1022" t="str">
        <f>VLOOKUP(B1022,'HOGARES-ENDLINE'!$A:$B,2,FALSE)</f>
        <v>00010584</v>
      </c>
      <c r="F1022" s="6" t="str">
        <f t="shared" si="33"/>
        <v>0001058402</v>
      </c>
    </row>
    <row r="1023" spans="1:6" x14ac:dyDescent="0.3">
      <c r="A1023" s="6" t="s">
        <v>1963</v>
      </c>
      <c r="B1023">
        <v>32342765</v>
      </c>
      <c r="C1023">
        <v>3</v>
      </c>
      <c r="D1023" t="str">
        <f t="shared" si="34"/>
        <v>03</v>
      </c>
      <c r="E1023" t="str">
        <f>VLOOKUP(B1023,'HOGARES-ENDLINE'!$A:$B,2,FALSE)</f>
        <v>00010584</v>
      </c>
      <c r="F1023" s="6" t="str">
        <f t="shared" si="33"/>
        <v>0001058403</v>
      </c>
    </row>
    <row r="1024" spans="1:6" x14ac:dyDescent="0.3">
      <c r="A1024" s="6" t="s">
        <v>1968</v>
      </c>
      <c r="B1024">
        <v>32358114</v>
      </c>
      <c r="C1024">
        <v>1</v>
      </c>
      <c r="D1024" t="str">
        <f t="shared" si="34"/>
        <v>01</v>
      </c>
      <c r="E1024" t="str">
        <f>VLOOKUP(B1024,'HOGARES-ENDLINE'!$A:$B,2,FALSE)</f>
        <v>01010585</v>
      </c>
      <c r="F1024" s="6" t="str">
        <f t="shared" si="33"/>
        <v>0101058501</v>
      </c>
    </row>
    <row r="1025" spans="1:6" x14ac:dyDescent="0.3">
      <c r="A1025" s="6" t="s">
        <v>1970</v>
      </c>
      <c r="B1025">
        <v>32358159</v>
      </c>
      <c r="C1025">
        <v>1</v>
      </c>
      <c r="D1025" t="str">
        <f t="shared" si="34"/>
        <v>01</v>
      </c>
      <c r="E1025" t="str">
        <f>VLOOKUP(B1025,'HOGARES-ENDLINE'!$A:$B,2,FALSE)</f>
        <v>01010586</v>
      </c>
      <c r="F1025" s="6" t="str">
        <f t="shared" si="33"/>
        <v>0101058601</v>
      </c>
    </row>
    <row r="1026" spans="1:6" x14ac:dyDescent="0.3">
      <c r="A1026" s="6" t="s">
        <v>1975</v>
      </c>
      <c r="B1026">
        <v>32393942</v>
      </c>
      <c r="C1026">
        <v>5</v>
      </c>
      <c r="D1026" t="str">
        <f t="shared" si="34"/>
        <v>05</v>
      </c>
      <c r="E1026" t="str">
        <f>VLOOKUP(B1026,'HOGARES-ENDLINE'!$A:$B,2,FALSE)</f>
        <v>00010587</v>
      </c>
      <c r="F1026" s="6" t="str">
        <f t="shared" si="33"/>
        <v>0001058705</v>
      </c>
    </row>
    <row r="1027" spans="1:6" x14ac:dyDescent="0.3">
      <c r="A1027" s="6" t="s">
        <v>1976</v>
      </c>
      <c r="B1027">
        <v>32393942</v>
      </c>
      <c r="C1027">
        <v>4</v>
      </c>
      <c r="D1027" t="str">
        <f t="shared" si="34"/>
        <v>04</v>
      </c>
      <c r="E1027" t="str">
        <f>VLOOKUP(B1027,'HOGARES-ENDLINE'!$A:$B,2,FALSE)</f>
        <v>00010587</v>
      </c>
      <c r="F1027" s="6" t="str">
        <f t="shared" ref="F1027:F1090" si="35">_xlfn.CONCAT(E1027,D1027)</f>
        <v>0001058704</v>
      </c>
    </row>
    <row r="1028" spans="1:6" x14ac:dyDescent="0.3">
      <c r="A1028" s="6" t="s">
        <v>1979</v>
      </c>
      <c r="B1028">
        <v>32393942</v>
      </c>
      <c r="C1028">
        <v>6</v>
      </c>
      <c r="D1028" t="str">
        <f t="shared" si="34"/>
        <v>06</v>
      </c>
      <c r="E1028" t="str">
        <f>VLOOKUP(B1028,'HOGARES-ENDLINE'!$A:$B,2,FALSE)</f>
        <v>00010587</v>
      </c>
      <c r="F1028" s="6" t="str">
        <f t="shared" si="35"/>
        <v>0001058706</v>
      </c>
    </row>
    <row r="1029" spans="1:6" x14ac:dyDescent="0.3">
      <c r="A1029" s="6" t="s">
        <v>1978</v>
      </c>
      <c r="B1029">
        <v>32393942</v>
      </c>
      <c r="C1029">
        <v>2</v>
      </c>
      <c r="D1029" t="str">
        <f t="shared" si="34"/>
        <v>02</v>
      </c>
      <c r="E1029" t="str">
        <f>VLOOKUP(B1029,'HOGARES-ENDLINE'!$A:$B,2,FALSE)</f>
        <v>00010587</v>
      </c>
      <c r="F1029" s="6" t="str">
        <f t="shared" si="35"/>
        <v>0001058702</v>
      </c>
    </row>
    <row r="1030" spans="1:6" x14ac:dyDescent="0.3">
      <c r="A1030" s="6" t="s">
        <v>1974</v>
      </c>
      <c r="B1030">
        <v>32393942</v>
      </c>
      <c r="C1030">
        <v>1</v>
      </c>
      <c r="D1030" t="str">
        <f t="shared" si="34"/>
        <v>01</v>
      </c>
      <c r="E1030" t="str">
        <f>VLOOKUP(B1030,'HOGARES-ENDLINE'!$A:$B,2,FALSE)</f>
        <v>00010587</v>
      </c>
      <c r="F1030" s="6" t="str">
        <f t="shared" si="35"/>
        <v>0001058701</v>
      </c>
    </row>
    <row r="1031" spans="1:6" x14ac:dyDescent="0.3">
      <c r="A1031" s="6" t="s">
        <v>1982</v>
      </c>
      <c r="B1031">
        <v>32409494</v>
      </c>
      <c r="C1031">
        <v>4</v>
      </c>
      <c r="D1031" t="str">
        <f t="shared" si="34"/>
        <v>04</v>
      </c>
      <c r="E1031" t="str">
        <f>VLOOKUP(B1031,'HOGARES-ENDLINE'!$A:$B,2,FALSE)</f>
        <v>01010588</v>
      </c>
      <c r="F1031" s="6" t="str">
        <f t="shared" si="35"/>
        <v>0101058804</v>
      </c>
    </row>
    <row r="1032" spans="1:6" x14ac:dyDescent="0.3">
      <c r="A1032" s="6" t="s">
        <v>1980</v>
      </c>
      <c r="B1032">
        <v>32409494</v>
      </c>
      <c r="C1032">
        <v>1</v>
      </c>
      <c r="D1032" t="str">
        <f t="shared" si="34"/>
        <v>01</v>
      </c>
      <c r="E1032" t="str">
        <f>VLOOKUP(B1032,'HOGARES-ENDLINE'!$A:$B,2,FALSE)</f>
        <v>01010588</v>
      </c>
      <c r="F1032" s="6" t="str">
        <f t="shared" si="35"/>
        <v>0101058801</v>
      </c>
    </row>
    <row r="1033" spans="1:6" x14ac:dyDescent="0.3">
      <c r="A1033" s="6" t="s">
        <v>1983</v>
      </c>
      <c r="B1033">
        <v>32409494</v>
      </c>
      <c r="C1033">
        <v>2</v>
      </c>
      <c r="D1033" t="str">
        <f t="shared" si="34"/>
        <v>02</v>
      </c>
      <c r="E1033" t="str">
        <f>VLOOKUP(B1033,'HOGARES-ENDLINE'!$A:$B,2,FALSE)</f>
        <v>01010588</v>
      </c>
      <c r="F1033" s="6" t="str">
        <f t="shared" si="35"/>
        <v>0101058802</v>
      </c>
    </row>
    <row r="1034" spans="1:6" x14ac:dyDescent="0.3">
      <c r="A1034" s="6" t="s">
        <v>1985</v>
      </c>
      <c r="B1034">
        <v>32422939</v>
      </c>
      <c r="C1034">
        <v>2</v>
      </c>
      <c r="D1034" t="str">
        <f t="shared" si="34"/>
        <v>02</v>
      </c>
      <c r="E1034" t="str">
        <f>VLOOKUP(B1034,'HOGARES-ENDLINE'!$A:$B,2,FALSE)</f>
        <v>01010589</v>
      </c>
      <c r="F1034" s="6" t="str">
        <f t="shared" si="35"/>
        <v>0101058902</v>
      </c>
    </row>
    <row r="1035" spans="1:6" x14ac:dyDescent="0.3">
      <c r="A1035" s="6" t="s">
        <v>1984</v>
      </c>
      <c r="B1035">
        <v>32422939</v>
      </c>
      <c r="C1035">
        <v>1</v>
      </c>
      <c r="D1035" t="str">
        <f t="shared" si="34"/>
        <v>01</v>
      </c>
      <c r="E1035" t="str">
        <f>VLOOKUP(B1035,'HOGARES-ENDLINE'!$A:$B,2,FALSE)</f>
        <v>01010589</v>
      </c>
      <c r="F1035" s="6" t="str">
        <f t="shared" si="35"/>
        <v>0101058901</v>
      </c>
    </row>
    <row r="1036" spans="1:6" x14ac:dyDescent="0.3">
      <c r="A1036" s="6" t="s">
        <v>1986</v>
      </c>
      <c r="B1036">
        <v>32422939</v>
      </c>
      <c r="C1036">
        <v>3</v>
      </c>
      <c r="D1036" t="str">
        <f t="shared" si="34"/>
        <v>03</v>
      </c>
      <c r="E1036" t="str">
        <f>VLOOKUP(B1036,'HOGARES-ENDLINE'!$A:$B,2,FALSE)</f>
        <v>01010589</v>
      </c>
      <c r="F1036" s="6" t="str">
        <f t="shared" si="35"/>
        <v>0101058903</v>
      </c>
    </row>
    <row r="1037" spans="1:6" x14ac:dyDescent="0.3">
      <c r="A1037" s="6" t="s">
        <v>1987</v>
      </c>
      <c r="B1037">
        <v>32430020</v>
      </c>
      <c r="C1037">
        <v>1</v>
      </c>
      <c r="D1037" t="str">
        <f t="shared" si="34"/>
        <v>01</v>
      </c>
      <c r="E1037" t="str">
        <f>VLOOKUP(B1037,'HOGARES-ENDLINE'!$A:$B,2,FALSE)</f>
        <v>00010590</v>
      </c>
      <c r="F1037" s="6" t="str">
        <f t="shared" si="35"/>
        <v>0001059001</v>
      </c>
    </row>
    <row r="1038" spans="1:6" x14ac:dyDescent="0.3">
      <c r="A1038" s="6" t="s">
        <v>1988</v>
      </c>
      <c r="B1038">
        <v>32452654</v>
      </c>
      <c r="C1038">
        <v>3</v>
      </c>
      <c r="D1038" t="str">
        <f t="shared" si="34"/>
        <v>03</v>
      </c>
      <c r="E1038" t="str">
        <f>VLOOKUP(B1038,'HOGARES-ENDLINE'!$A:$B,2,FALSE)</f>
        <v>00010591</v>
      </c>
      <c r="F1038" s="6" t="str">
        <f t="shared" si="35"/>
        <v>0001059103</v>
      </c>
    </row>
    <row r="1039" spans="1:6" x14ac:dyDescent="0.3">
      <c r="A1039" s="6" t="s">
        <v>1990</v>
      </c>
      <c r="B1039">
        <v>32452654</v>
      </c>
      <c r="C1039">
        <v>2</v>
      </c>
      <c r="D1039" t="str">
        <f t="shared" si="34"/>
        <v>02</v>
      </c>
      <c r="E1039" t="str">
        <f>VLOOKUP(B1039,'HOGARES-ENDLINE'!$A:$B,2,FALSE)</f>
        <v>00010591</v>
      </c>
      <c r="F1039" s="6" t="str">
        <f t="shared" si="35"/>
        <v>0001059102</v>
      </c>
    </row>
    <row r="1040" spans="1:6" x14ac:dyDescent="0.3">
      <c r="A1040" s="6" t="s">
        <v>1992</v>
      </c>
      <c r="B1040">
        <v>32452654</v>
      </c>
      <c r="C1040">
        <v>1</v>
      </c>
      <c r="D1040" t="str">
        <f t="shared" si="34"/>
        <v>01</v>
      </c>
      <c r="E1040" t="str">
        <f>VLOOKUP(B1040,'HOGARES-ENDLINE'!$A:$B,2,FALSE)</f>
        <v>00010591</v>
      </c>
      <c r="F1040" s="6" t="str">
        <f t="shared" si="35"/>
        <v>0001059101</v>
      </c>
    </row>
    <row r="1041" spans="1:6" x14ac:dyDescent="0.3">
      <c r="A1041" s="6" t="s">
        <v>1993</v>
      </c>
      <c r="B1041">
        <v>32452654</v>
      </c>
      <c r="C1041">
        <v>5</v>
      </c>
      <c r="D1041" t="str">
        <f t="shared" si="34"/>
        <v>05</v>
      </c>
      <c r="E1041" t="str">
        <f>VLOOKUP(B1041,'HOGARES-ENDLINE'!$A:$B,2,FALSE)</f>
        <v>00010591</v>
      </c>
      <c r="F1041" s="6" t="str">
        <f t="shared" si="35"/>
        <v>0001059105</v>
      </c>
    </row>
    <row r="1042" spans="1:6" x14ac:dyDescent="0.3">
      <c r="A1042" s="6" t="s">
        <v>1989</v>
      </c>
      <c r="B1042">
        <v>32452654</v>
      </c>
      <c r="C1042">
        <v>6</v>
      </c>
      <c r="D1042" t="str">
        <f t="shared" si="34"/>
        <v>06</v>
      </c>
      <c r="E1042" t="str">
        <f>VLOOKUP(B1042,'HOGARES-ENDLINE'!$A:$B,2,FALSE)</f>
        <v>00010591</v>
      </c>
      <c r="F1042" s="6" t="str">
        <f t="shared" si="35"/>
        <v>0001059106</v>
      </c>
    </row>
    <row r="1043" spans="1:6" x14ac:dyDescent="0.3">
      <c r="A1043" s="6" t="s">
        <v>5169</v>
      </c>
      <c r="B1043">
        <v>32455454</v>
      </c>
      <c r="C1043">
        <v>2</v>
      </c>
      <c r="D1043" t="str">
        <f t="shared" si="34"/>
        <v>02</v>
      </c>
      <c r="E1043" t="str">
        <f>VLOOKUP(B1043,'HOGARES-ENDLINE'!$A:$B,2,FALSE)</f>
        <v>00010592</v>
      </c>
      <c r="F1043" s="6" t="str">
        <f t="shared" si="35"/>
        <v>0001059202</v>
      </c>
    </row>
    <row r="1044" spans="1:6" x14ac:dyDescent="0.3">
      <c r="A1044" s="6" t="s">
        <v>1994</v>
      </c>
      <c r="B1044">
        <v>32455454</v>
      </c>
      <c r="C1044">
        <v>1</v>
      </c>
      <c r="D1044" t="str">
        <f t="shared" si="34"/>
        <v>01</v>
      </c>
      <c r="E1044" t="str">
        <f>VLOOKUP(B1044,'HOGARES-ENDLINE'!$A:$B,2,FALSE)</f>
        <v>00010592</v>
      </c>
      <c r="F1044" s="6" t="str">
        <f t="shared" si="35"/>
        <v>0001059201</v>
      </c>
    </row>
    <row r="1045" spans="1:6" x14ac:dyDescent="0.3">
      <c r="A1045" s="6" t="s">
        <v>1997</v>
      </c>
      <c r="B1045">
        <v>32465235</v>
      </c>
      <c r="C1045">
        <v>1</v>
      </c>
      <c r="D1045" t="str">
        <f t="shared" si="34"/>
        <v>01</v>
      </c>
      <c r="E1045" t="str">
        <f>VLOOKUP(B1045,'HOGARES-ENDLINE'!$A:$B,2,FALSE)</f>
        <v>00010593</v>
      </c>
      <c r="F1045" s="6" t="str">
        <f t="shared" si="35"/>
        <v>0001059301</v>
      </c>
    </row>
    <row r="1046" spans="1:6" x14ac:dyDescent="0.3">
      <c r="A1046" s="6" t="s">
        <v>1998</v>
      </c>
      <c r="B1046">
        <v>32465235</v>
      </c>
      <c r="C1046">
        <v>2</v>
      </c>
      <c r="D1046" t="str">
        <f t="shared" si="34"/>
        <v>02</v>
      </c>
      <c r="E1046" t="str">
        <f>VLOOKUP(B1046,'HOGARES-ENDLINE'!$A:$B,2,FALSE)</f>
        <v>00010593</v>
      </c>
      <c r="F1046" s="6" t="str">
        <f t="shared" si="35"/>
        <v>0001059302</v>
      </c>
    </row>
    <row r="1047" spans="1:6" x14ac:dyDescent="0.3">
      <c r="A1047" s="6" t="s">
        <v>1996</v>
      </c>
      <c r="B1047">
        <v>32465235</v>
      </c>
      <c r="C1047">
        <v>3</v>
      </c>
      <c r="D1047" t="str">
        <f t="shared" si="34"/>
        <v>03</v>
      </c>
      <c r="E1047" t="str">
        <f>VLOOKUP(B1047,'HOGARES-ENDLINE'!$A:$B,2,FALSE)</f>
        <v>00010593</v>
      </c>
      <c r="F1047" s="6" t="str">
        <f t="shared" si="35"/>
        <v>0001059303</v>
      </c>
    </row>
    <row r="1048" spans="1:6" x14ac:dyDescent="0.3">
      <c r="A1048" s="6" t="s">
        <v>1995</v>
      </c>
      <c r="B1048">
        <v>32465235</v>
      </c>
      <c r="C1048">
        <v>4</v>
      </c>
      <c r="D1048" t="str">
        <f t="shared" si="34"/>
        <v>04</v>
      </c>
      <c r="E1048" t="str">
        <f>VLOOKUP(B1048,'HOGARES-ENDLINE'!$A:$B,2,FALSE)</f>
        <v>00010593</v>
      </c>
      <c r="F1048" s="6" t="str">
        <f t="shared" si="35"/>
        <v>0001059304</v>
      </c>
    </row>
    <row r="1049" spans="1:6" x14ac:dyDescent="0.3">
      <c r="A1049" s="6" t="s">
        <v>2000</v>
      </c>
      <c r="B1049">
        <v>32479953</v>
      </c>
      <c r="C1049">
        <v>3</v>
      </c>
      <c r="D1049" t="str">
        <f t="shared" si="34"/>
        <v>03</v>
      </c>
      <c r="E1049" t="str">
        <f>VLOOKUP(B1049,'HOGARES-ENDLINE'!$A:$B,2,FALSE)</f>
        <v>00010594</v>
      </c>
      <c r="F1049" s="6" t="str">
        <f t="shared" si="35"/>
        <v>0001059403</v>
      </c>
    </row>
    <row r="1050" spans="1:6" x14ac:dyDescent="0.3">
      <c r="A1050" s="6" t="s">
        <v>2001</v>
      </c>
      <c r="B1050">
        <v>32479953</v>
      </c>
      <c r="C1050">
        <v>1</v>
      </c>
      <c r="D1050" t="str">
        <f t="shared" si="34"/>
        <v>01</v>
      </c>
      <c r="E1050" t="str">
        <f>VLOOKUP(B1050,'HOGARES-ENDLINE'!$A:$B,2,FALSE)</f>
        <v>00010594</v>
      </c>
      <c r="F1050" s="6" t="str">
        <f t="shared" si="35"/>
        <v>0001059401</v>
      </c>
    </row>
    <row r="1051" spans="1:6" x14ac:dyDescent="0.3">
      <c r="A1051" s="6" t="s">
        <v>2003</v>
      </c>
      <c r="B1051">
        <v>32487224</v>
      </c>
      <c r="C1051">
        <v>2</v>
      </c>
      <c r="D1051" t="str">
        <f t="shared" si="34"/>
        <v>02</v>
      </c>
      <c r="E1051" t="str">
        <f>VLOOKUP(B1051,'HOGARES-ENDLINE'!$A:$B,2,FALSE)</f>
        <v>00010595</v>
      </c>
      <c r="F1051" s="6" t="str">
        <f t="shared" si="35"/>
        <v>0001059502</v>
      </c>
    </row>
    <row r="1052" spans="1:6" x14ac:dyDescent="0.3">
      <c r="A1052" s="6" t="s">
        <v>2009</v>
      </c>
      <c r="B1052">
        <v>32500559</v>
      </c>
      <c r="C1052">
        <v>2</v>
      </c>
      <c r="D1052" t="str">
        <f t="shared" si="34"/>
        <v>02</v>
      </c>
      <c r="E1052" t="str">
        <f>VLOOKUP(B1052,'HOGARES-ENDLINE'!$A:$B,2,FALSE)</f>
        <v>00010597</v>
      </c>
      <c r="F1052" s="6" t="str">
        <f t="shared" si="35"/>
        <v>0001059702</v>
      </c>
    </row>
    <row r="1053" spans="1:6" x14ac:dyDescent="0.3">
      <c r="A1053" s="6" t="s">
        <v>2006</v>
      </c>
      <c r="B1053">
        <v>32500559</v>
      </c>
      <c r="C1053">
        <v>5</v>
      </c>
      <c r="D1053" t="str">
        <f t="shared" si="34"/>
        <v>05</v>
      </c>
      <c r="E1053" t="str">
        <f>VLOOKUP(B1053,'HOGARES-ENDLINE'!$A:$B,2,FALSE)</f>
        <v>00010597</v>
      </c>
      <c r="F1053" s="6" t="str">
        <f t="shared" si="35"/>
        <v>0001059705</v>
      </c>
    </row>
    <row r="1054" spans="1:6" x14ac:dyDescent="0.3">
      <c r="A1054" s="6" t="s">
        <v>2005</v>
      </c>
      <c r="B1054">
        <v>32500559</v>
      </c>
      <c r="C1054">
        <v>1</v>
      </c>
      <c r="D1054" t="str">
        <f t="shared" si="34"/>
        <v>01</v>
      </c>
      <c r="E1054" t="str">
        <f>VLOOKUP(B1054,'HOGARES-ENDLINE'!$A:$B,2,FALSE)</f>
        <v>00010597</v>
      </c>
      <c r="F1054" s="6" t="str">
        <f t="shared" si="35"/>
        <v>0001059701</v>
      </c>
    </row>
    <row r="1055" spans="1:6" x14ac:dyDescent="0.3">
      <c r="A1055" s="6" t="s">
        <v>2008</v>
      </c>
      <c r="B1055">
        <v>32500559</v>
      </c>
      <c r="C1055">
        <v>3</v>
      </c>
      <c r="D1055" t="str">
        <f t="shared" si="34"/>
        <v>03</v>
      </c>
      <c r="E1055" t="str">
        <f>VLOOKUP(B1055,'HOGARES-ENDLINE'!$A:$B,2,FALSE)</f>
        <v>00010597</v>
      </c>
      <c r="F1055" s="6" t="str">
        <f t="shared" si="35"/>
        <v>0001059703</v>
      </c>
    </row>
    <row r="1056" spans="1:6" x14ac:dyDescent="0.3">
      <c r="A1056" s="6" t="s">
        <v>2007</v>
      </c>
      <c r="B1056">
        <v>32500559</v>
      </c>
      <c r="C1056">
        <v>4</v>
      </c>
      <c r="D1056" t="str">
        <f t="shared" si="34"/>
        <v>04</v>
      </c>
      <c r="E1056" t="str">
        <f>VLOOKUP(B1056,'HOGARES-ENDLINE'!$A:$B,2,FALSE)</f>
        <v>00010597</v>
      </c>
      <c r="F1056" s="6" t="str">
        <f t="shared" si="35"/>
        <v>0001059704</v>
      </c>
    </row>
    <row r="1057" spans="1:6" x14ac:dyDescent="0.3">
      <c r="A1057" s="6" t="s">
        <v>2013</v>
      </c>
      <c r="B1057">
        <v>32500696</v>
      </c>
      <c r="C1057">
        <v>1</v>
      </c>
      <c r="D1057" t="str">
        <f t="shared" si="34"/>
        <v>01</v>
      </c>
      <c r="E1057" t="str">
        <f>VLOOKUP(B1057,'HOGARES-ENDLINE'!$A:$B,2,FALSE)</f>
        <v>01010598</v>
      </c>
      <c r="F1057" s="6" t="str">
        <f t="shared" si="35"/>
        <v>0101059801</v>
      </c>
    </row>
    <row r="1058" spans="1:6" x14ac:dyDescent="0.3">
      <c r="A1058" s="6" t="s">
        <v>2012</v>
      </c>
      <c r="B1058">
        <v>32500696</v>
      </c>
      <c r="C1058">
        <v>3</v>
      </c>
      <c r="D1058" t="str">
        <f t="shared" si="34"/>
        <v>03</v>
      </c>
      <c r="E1058" t="str">
        <f>VLOOKUP(B1058,'HOGARES-ENDLINE'!$A:$B,2,FALSE)</f>
        <v>01010598</v>
      </c>
      <c r="F1058" s="6" t="str">
        <f t="shared" si="35"/>
        <v>0101059803</v>
      </c>
    </row>
    <row r="1059" spans="1:6" x14ac:dyDescent="0.3">
      <c r="A1059" s="6" t="s">
        <v>2010</v>
      </c>
      <c r="B1059">
        <v>32500696</v>
      </c>
      <c r="C1059">
        <v>2</v>
      </c>
      <c r="D1059" t="str">
        <f t="shared" si="34"/>
        <v>02</v>
      </c>
      <c r="E1059" t="str">
        <f>VLOOKUP(B1059,'HOGARES-ENDLINE'!$A:$B,2,FALSE)</f>
        <v>01010598</v>
      </c>
      <c r="F1059" s="6" t="str">
        <f t="shared" si="35"/>
        <v>0101059802</v>
      </c>
    </row>
    <row r="1060" spans="1:6" x14ac:dyDescent="0.3">
      <c r="A1060" s="6" t="s">
        <v>2011</v>
      </c>
      <c r="B1060">
        <v>32500696</v>
      </c>
      <c r="C1060">
        <v>4</v>
      </c>
      <c r="D1060" t="str">
        <f t="shared" si="34"/>
        <v>04</v>
      </c>
      <c r="E1060" t="str">
        <f>VLOOKUP(B1060,'HOGARES-ENDLINE'!$A:$B,2,FALSE)</f>
        <v>01010598</v>
      </c>
      <c r="F1060" s="6" t="str">
        <f t="shared" si="35"/>
        <v>0101059804</v>
      </c>
    </row>
    <row r="1061" spans="1:6" x14ac:dyDescent="0.3">
      <c r="A1061" s="6" t="s">
        <v>2017</v>
      </c>
      <c r="B1061">
        <v>32501795</v>
      </c>
      <c r="C1061">
        <v>3</v>
      </c>
      <c r="D1061" t="str">
        <f t="shared" si="34"/>
        <v>03</v>
      </c>
      <c r="E1061" t="str">
        <f>VLOOKUP(B1061,'HOGARES-ENDLINE'!$A:$B,2,FALSE)</f>
        <v>00010599</v>
      </c>
      <c r="F1061" s="6" t="str">
        <f t="shared" si="35"/>
        <v>0001059903</v>
      </c>
    </row>
    <row r="1062" spans="1:6" x14ac:dyDescent="0.3">
      <c r="A1062" s="6" t="s">
        <v>2015</v>
      </c>
      <c r="B1062">
        <v>32501795</v>
      </c>
      <c r="C1062">
        <v>5</v>
      </c>
      <c r="D1062" t="str">
        <f t="shared" si="34"/>
        <v>05</v>
      </c>
      <c r="E1062" t="str">
        <f>VLOOKUP(B1062,'HOGARES-ENDLINE'!$A:$B,2,FALSE)</f>
        <v>00010599</v>
      </c>
      <c r="F1062" s="6" t="str">
        <f t="shared" si="35"/>
        <v>0001059905</v>
      </c>
    </row>
    <row r="1063" spans="1:6" x14ac:dyDescent="0.3">
      <c r="A1063" s="6" t="s">
        <v>2016</v>
      </c>
      <c r="B1063">
        <v>32501795</v>
      </c>
      <c r="C1063">
        <v>1</v>
      </c>
      <c r="D1063" t="str">
        <f t="shared" si="34"/>
        <v>01</v>
      </c>
      <c r="E1063" t="str">
        <f>VLOOKUP(B1063,'HOGARES-ENDLINE'!$A:$B,2,FALSE)</f>
        <v>00010599</v>
      </c>
      <c r="F1063" s="6" t="str">
        <f t="shared" si="35"/>
        <v>0001059901</v>
      </c>
    </row>
    <row r="1064" spans="1:6" x14ac:dyDescent="0.3">
      <c r="A1064" s="6" t="s">
        <v>2018</v>
      </c>
      <c r="B1064">
        <v>32501795</v>
      </c>
      <c r="C1064">
        <v>4</v>
      </c>
      <c r="D1064" t="str">
        <f t="shared" si="34"/>
        <v>04</v>
      </c>
      <c r="E1064" t="str">
        <f>VLOOKUP(B1064,'HOGARES-ENDLINE'!$A:$B,2,FALSE)</f>
        <v>00010599</v>
      </c>
      <c r="F1064" s="6" t="str">
        <f t="shared" si="35"/>
        <v>0001059904</v>
      </c>
    </row>
    <row r="1065" spans="1:6" x14ac:dyDescent="0.3">
      <c r="A1065" s="6" t="s">
        <v>2020</v>
      </c>
      <c r="B1065">
        <v>32513453</v>
      </c>
      <c r="C1065">
        <v>2</v>
      </c>
      <c r="D1065" t="str">
        <f t="shared" si="34"/>
        <v>02</v>
      </c>
      <c r="E1065" t="str">
        <f>VLOOKUP(B1065,'HOGARES-ENDLINE'!$A:$B,2,FALSE)</f>
        <v>00010600</v>
      </c>
      <c r="F1065" s="6" t="str">
        <f t="shared" si="35"/>
        <v>0001060002</v>
      </c>
    </row>
    <row r="1066" spans="1:6" x14ac:dyDescent="0.3">
      <c r="A1066" s="6" t="s">
        <v>2019</v>
      </c>
      <c r="B1066">
        <v>32513453</v>
      </c>
      <c r="C1066">
        <v>1</v>
      </c>
      <c r="D1066" t="str">
        <f t="shared" si="34"/>
        <v>01</v>
      </c>
      <c r="E1066" t="str">
        <f>VLOOKUP(B1066,'HOGARES-ENDLINE'!$A:$B,2,FALSE)</f>
        <v>00010600</v>
      </c>
      <c r="F1066" s="6" t="str">
        <f t="shared" si="35"/>
        <v>0001060001</v>
      </c>
    </row>
    <row r="1067" spans="1:6" x14ac:dyDescent="0.3">
      <c r="A1067" s="6" t="s">
        <v>2021</v>
      </c>
      <c r="B1067">
        <v>32516837</v>
      </c>
      <c r="C1067">
        <v>2</v>
      </c>
      <c r="D1067" t="str">
        <f t="shared" si="34"/>
        <v>02</v>
      </c>
      <c r="E1067" t="str">
        <f>VLOOKUP(B1067,'HOGARES-ENDLINE'!$A:$B,2,FALSE)</f>
        <v>00010601</v>
      </c>
      <c r="F1067" s="6" t="str">
        <f t="shared" si="35"/>
        <v>0001060102</v>
      </c>
    </row>
    <row r="1068" spans="1:6" x14ac:dyDescent="0.3">
      <c r="A1068" s="6" t="s">
        <v>2022</v>
      </c>
      <c r="B1068">
        <v>32516837</v>
      </c>
      <c r="C1068">
        <v>1</v>
      </c>
      <c r="D1068" t="str">
        <f t="shared" si="34"/>
        <v>01</v>
      </c>
      <c r="E1068" t="str">
        <f>VLOOKUP(B1068,'HOGARES-ENDLINE'!$A:$B,2,FALSE)</f>
        <v>00010601</v>
      </c>
      <c r="F1068" s="6" t="str">
        <f t="shared" si="35"/>
        <v>0001060101</v>
      </c>
    </row>
    <row r="1069" spans="1:6" x14ac:dyDescent="0.3">
      <c r="A1069" s="6" t="s">
        <v>2024</v>
      </c>
      <c r="B1069">
        <v>32519087</v>
      </c>
      <c r="C1069">
        <v>2</v>
      </c>
      <c r="D1069" t="str">
        <f t="shared" si="34"/>
        <v>02</v>
      </c>
      <c r="E1069" t="str">
        <f>VLOOKUP(B1069,'HOGARES-ENDLINE'!$A:$B,2,FALSE)</f>
        <v>01010602</v>
      </c>
      <c r="F1069" s="6" t="str">
        <f t="shared" si="35"/>
        <v>0101060202</v>
      </c>
    </row>
    <row r="1070" spans="1:6" x14ac:dyDescent="0.3">
      <c r="A1070" s="6" t="s">
        <v>2023</v>
      </c>
      <c r="B1070">
        <v>32519087</v>
      </c>
      <c r="C1070">
        <v>1</v>
      </c>
      <c r="D1070" t="str">
        <f t="shared" si="34"/>
        <v>01</v>
      </c>
      <c r="E1070" t="str">
        <f>VLOOKUP(B1070,'HOGARES-ENDLINE'!$A:$B,2,FALSE)</f>
        <v>01010602</v>
      </c>
      <c r="F1070" s="6" t="str">
        <f t="shared" si="35"/>
        <v>0101060201</v>
      </c>
    </row>
    <row r="1071" spans="1:6" x14ac:dyDescent="0.3">
      <c r="A1071" s="6" t="s">
        <v>2027</v>
      </c>
      <c r="B1071">
        <v>32521000</v>
      </c>
      <c r="C1071">
        <v>2</v>
      </c>
      <c r="D1071" t="str">
        <f t="shared" si="34"/>
        <v>02</v>
      </c>
      <c r="E1071" t="str">
        <f>VLOOKUP(B1071,'HOGARES-ENDLINE'!$A:$B,2,FALSE)</f>
        <v>00010603</v>
      </c>
      <c r="F1071" s="6" t="str">
        <f t="shared" si="35"/>
        <v>0001060302</v>
      </c>
    </row>
    <row r="1072" spans="1:6" x14ac:dyDescent="0.3">
      <c r="A1072" s="6" t="s">
        <v>2025</v>
      </c>
      <c r="B1072">
        <v>32521000</v>
      </c>
      <c r="C1072">
        <v>1</v>
      </c>
      <c r="D1072" t="str">
        <f t="shared" si="34"/>
        <v>01</v>
      </c>
      <c r="E1072" t="str">
        <f>VLOOKUP(B1072,'HOGARES-ENDLINE'!$A:$B,2,FALSE)</f>
        <v>00010603</v>
      </c>
      <c r="F1072" s="6" t="str">
        <f t="shared" si="35"/>
        <v>0001060301</v>
      </c>
    </row>
    <row r="1073" spans="1:6" x14ac:dyDescent="0.3">
      <c r="A1073" s="6" t="s">
        <v>2028</v>
      </c>
      <c r="B1073">
        <v>32521000</v>
      </c>
      <c r="C1073">
        <v>3</v>
      </c>
      <c r="D1073" t="str">
        <f t="shared" si="34"/>
        <v>03</v>
      </c>
      <c r="E1073" t="str">
        <f>VLOOKUP(B1073,'HOGARES-ENDLINE'!$A:$B,2,FALSE)</f>
        <v>00010603</v>
      </c>
      <c r="F1073" s="6" t="str">
        <f t="shared" si="35"/>
        <v>0001060303</v>
      </c>
    </row>
    <row r="1074" spans="1:6" x14ac:dyDescent="0.3">
      <c r="A1074" s="6" t="s">
        <v>2026</v>
      </c>
      <c r="B1074">
        <v>32521000</v>
      </c>
      <c r="C1074">
        <v>4</v>
      </c>
      <c r="D1074" t="str">
        <f t="shared" si="34"/>
        <v>04</v>
      </c>
      <c r="E1074" t="str">
        <f>VLOOKUP(B1074,'HOGARES-ENDLINE'!$A:$B,2,FALSE)</f>
        <v>00010603</v>
      </c>
      <c r="F1074" s="6" t="str">
        <f t="shared" si="35"/>
        <v>0001060304</v>
      </c>
    </row>
    <row r="1075" spans="1:6" x14ac:dyDescent="0.3">
      <c r="A1075" s="6" t="s">
        <v>2029</v>
      </c>
      <c r="B1075">
        <v>32525563</v>
      </c>
      <c r="C1075">
        <v>1</v>
      </c>
      <c r="D1075" t="str">
        <f t="shared" si="34"/>
        <v>01</v>
      </c>
      <c r="E1075" t="str">
        <f>VLOOKUP(B1075,'HOGARES-ENDLINE'!$A:$B,2,FALSE)</f>
        <v>00010604</v>
      </c>
      <c r="F1075" s="6" t="str">
        <f t="shared" si="35"/>
        <v>0001060401</v>
      </c>
    </row>
    <row r="1076" spans="1:6" x14ac:dyDescent="0.3">
      <c r="A1076" s="6" t="s">
        <v>2030</v>
      </c>
      <c r="B1076">
        <v>32526054</v>
      </c>
      <c r="C1076">
        <v>1</v>
      </c>
      <c r="D1076" t="str">
        <f t="shared" si="34"/>
        <v>01</v>
      </c>
      <c r="E1076" t="str">
        <f>VLOOKUP(B1076,'HOGARES-ENDLINE'!$A:$B,2,FALSE)</f>
        <v>00010605</v>
      </c>
      <c r="F1076" s="6" t="str">
        <f t="shared" si="35"/>
        <v>0001060501</v>
      </c>
    </row>
    <row r="1077" spans="1:6" x14ac:dyDescent="0.3">
      <c r="A1077" s="6" t="s">
        <v>2032</v>
      </c>
      <c r="B1077">
        <v>32531832</v>
      </c>
      <c r="C1077">
        <v>1</v>
      </c>
      <c r="D1077" t="str">
        <f t="shared" si="34"/>
        <v>01</v>
      </c>
      <c r="E1077" t="str">
        <f>VLOOKUP(B1077,'HOGARES-ENDLINE'!$A:$B,2,FALSE)</f>
        <v>01010607</v>
      </c>
      <c r="F1077" s="6" t="str">
        <f t="shared" si="35"/>
        <v>0101060701</v>
      </c>
    </row>
    <row r="1078" spans="1:6" x14ac:dyDescent="0.3">
      <c r="A1078" s="6" t="s">
        <v>2034</v>
      </c>
      <c r="B1078">
        <v>32533675</v>
      </c>
      <c r="C1078">
        <v>1</v>
      </c>
      <c r="D1078" t="str">
        <f t="shared" si="34"/>
        <v>01</v>
      </c>
      <c r="E1078" t="str">
        <f>VLOOKUP(B1078,'HOGARES-ENDLINE'!$A:$B,2,FALSE)</f>
        <v>01010608</v>
      </c>
      <c r="F1078" s="6" t="str">
        <f t="shared" si="35"/>
        <v>0101060801</v>
      </c>
    </row>
    <row r="1079" spans="1:6" x14ac:dyDescent="0.3">
      <c r="A1079" s="6" t="s">
        <v>2036</v>
      </c>
      <c r="B1079">
        <v>32535369</v>
      </c>
      <c r="C1079">
        <v>1</v>
      </c>
      <c r="D1079" t="str">
        <f t="shared" ref="D1079:D1142" si="36">_xlfn.CONCAT(0,C1079)</f>
        <v>01</v>
      </c>
      <c r="E1079" t="str">
        <f>VLOOKUP(B1079,'HOGARES-ENDLINE'!$A:$B,2,FALSE)</f>
        <v>01010609</v>
      </c>
      <c r="F1079" s="6" t="str">
        <f t="shared" si="35"/>
        <v>0101060901</v>
      </c>
    </row>
    <row r="1080" spans="1:6" x14ac:dyDescent="0.3">
      <c r="A1080" s="6" t="s">
        <v>2042</v>
      </c>
      <c r="B1080">
        <v>32538485</v>
      </c>
      <c r="C1080">
        <v>1</v>
      </c>
      <c r="D1080" t="str">
        <f t="shared" si="36"/>
        <v>01</v>
      </c>
      <c r="E1080" t="str">
        <f>VLOOKUP(B1080,'HOGARES-ENDLINE'!$A:$B,2,FALSE)</f>
        <v>00010610</v>
      </c>
      <c r="F1080" s="6" t="str">
        <f t="shared" si="35"/>
        <v>0001061001</v>
      </c>
    </row>
    <row r="1081" spans="1:6" x14ac:dyDescent="0.3">
      <c r="A1081" s="6" t="s">
        <v>2048</v>
      </c>
      <c r="B1081">
        <v>32580754</v>
      </c>
      <c r="C1081">
        <v>1</v>
      </c>
      <c r="D1081" t="str">
        <f t="shared" si="36"/>
        <v>01</v>
      </c>
      <c r="E1081" t="str">
        <f>VLOOKUP(B1081,'HOGARES-ENDLINE'!$A:$B,2,FALSE)</f>
        <v>01030612</v>
      </c>
      <c r="F1081" s="6" t="str">
        <f t="shared" si="35"/>
        <v>0103061201</v>
      </c>
    </row>
    <row r="1082" spans="1:6" x14ac:dyDescent="0.3">
      <c r="A1082" s="6" t="s">
        <v>2047</v>
      </c>
      <c r="B1082">
        <v>32580754</v>
      </c>
      <c r="C1082">
        <v>3</v>
      </c>
      <c r="D1082" t="str">
        <f t="shared" si="36"/>
        <v>03</v>
      </c>
      <c r="E1082" t="str">
        <f>VLOOKUP(B1082,'HOGARES-ENDLINE'!$A:$B,2,FALSE)</f>
        <v>01030612</v>
      </c>
      <c r="F1082" s="6" t="str">
        <f t="shared" si="35"/>
        <v>0103061203</v>
      </c>
    </row>
    <row r="1083" spans="1:6" x14ac:dyDescent="0.3">
      <c r="A1083" s="6" t="s">
        <v>2049</v>
      </c>
      <c r="B1083">
        <v>32580754</v>
      </c>
      <c r="C1083">
        <v>4</v>
      </c>
      <c r="D1083" t="str">
        <f t="shared" si="36"/>
        <v>04</v>
      </c>
      <c r="E1083" t="str">
        <f>VLOOKUP(B1083,'HOGARES-ENDLINE'!$A:$B,2,FALSE)</f>
        <v>01030612</v>
      </c>
      <c r="F1083" s="6" t="str">
        <f t="shared" si="35"/>
        <v>0103061204</v>
      </c>
    </row>
    <row r="1084" spans="1:6" x14ac:dyDescent="0.3">
      <c r="A1084" s="6" t="s">
        <v>2052</v>
      </c>
      <c r="B1084">
        <v>32609231</v>
      </c>
      <c r="C1084">
        <v>2</v>
      </c>
      <c r="D1084" t="str">
        <f t="shared" si="36"/>
        <v>02</v>
      </c>
      <c r="E1084" t="str">
        <f>VLOOKUP(B1084,'HOGARES-ENDLINE'!$A:$B,2,FALSE)</f>
        <v>00030613</v>
      </c>
      <c r="F1084" s="6" t="str">
        <f t="shared" si="35"/>
        <v>0003061302</v>
      </c>
    </row>
    <row r="1085" spans="1:6" x14ac:dyDescent="0.3">
      <c r="A1085" s="6" t="s">
        <v>2054</v>
      </c>
      <c r="B1085">
        <v>32609231</v>
      </c>
      <c r="C1085">
        <v>1</v>
      </c>
      <c r="D1085" t="str">
        <f t="shared" si="36"/>
        <v>01</v>
      </c>
      <c r="E1085" t="str">
        <f>VLOOKUP(B1085,'HOGARES-ENDLINE'!$A:$B,2,FALSE)</f>
        <v>00030613</v>
      </c>
      <c r="F1085" s="6" t="str">
        <f t="shared" si="35"/>
        <v>0003061301</v>
      </c>
    </row>
    <row r="1086" spans="1:6" x14ac:dyDescent="0.3">
      <c r="A1086" s="6" t="s">
        <v>2056</v>
      </c>
      <c r="B1086">
        <v>32612783</v>
      </c>
      <c r="C1086">
        <v>4</v>
      </c>
      <c r="D1086" t="str">
        <f t="shared" si="36"/>
        <v>04</v>
      </c>
      <c r="E1086" t="str">
        <f>VLOOKUP(B1086,'HOGARES-ENDLINE'!$A:$B,2,FALSE)</f>
        <v>01030614</v>
      </c>
      <c r="F1086" s="6" t="str">
        <f t="shared" si="35"/>
        <v>0103061404</v>
      </c>
    </row>
    <row r="1087" spans="1:6" x14ac:dyDescent="0.3">
      <c r="A1087" s="6" t="s">
        <v>2057</v>
      </c>
      <c r="B1087">
        <v>32612783</v>
      </c>
      <c r="C1087">
        <v>2</v>
      </c>
      <c r="D1087" t="str">
        <f t="shared" si="36"/>
        <v>02</v>
      </c>
      <c r="E1087" t="str">
        <f>VLOOKUP(B1087,'HOGARES-ENDLINE'!$A:$B,2,FALSE)</f>
        <v>01030614</v>
      </c>
      <c r="F1087" s="6" t="str">
        <f t="shared" si="35"/>
        <v>0103061402</v>
      </c>
    </row>
    <row r="1088" spans="1:6" x14ac:dyDescent="0.3">
      <c r="A1088" s="6" t="s">
        <v>2059</v>
      </c>
      <c r="B1088">
        <v>32612783</v>
      </c>
      <c r="C1088">
        <v>5</v>
      </c>
      <c r="D1088" t="str">
        <f t="shared" si="36"/>
        <v>05</v>
      </c>
      <c r="E1088" t="str">
        <f>VLOOKUP(B1088,'HOGARES-ENDLINE'!$A:$B,2,FALSE)</f>
        <v>01030614</v>
      </c>
      <c r="F1088" s="6" t="str">
        <f t="shared" si="35"/>
        <v>0103061405</v>
      </c>
    </row>
    <row r="1089" spans="1:6" x14ac:dyDescent="0.3">
      <c r="A1089" s="6" t="s">
        <v>2060</v>
      </c>
      <c r="B1089">
        <v>32612783</v>
      </c>
      <c r="C1089">
        <v>1</v>
      </c>
      <c r="D1089" t="str">
        <f t="shared" si="36"/>
        <v>01</v>
      </c>
      <c r="E1089" t="str">
        <f>VLOOKUP(B1089,'HOGARES-ENDLINE'!$A:$B,2,FALSE)</f>
        <v>01030614</v>
      </c>
      <c r="F1089" s="6" t="str">
        <f t="shared" si="35"/>
        <v>0103061401</v>
      </c>
    </row>
    <row r="1090" spans="1:6" x14ac:dyDescent="0.3">
      <c r="A1090" s="6" t="s">
        <v>2058</v>
      </c>
      <c r="B1090">
        <v>32612783</v>
      </c>
      <c r="C1090">
        <v>3</v>
      </c>
      <c r="D1090" t="str">
        <f t="shared" si="36"/>
        <v>03</v>
      </c>
      <c r="E1090" t="str">
        <f>VLOOKUP(B1090,'HOGARES-ENDLINE'!$A:$B,2,FALSE)</f>
        <v>01030614</v>
      </c>
      <c r="F1090" s="6" t="str">
        <f t="shared" si="35"/>
        <v>0103061403</v>
      </c>
    </row>
    <row r="1091" spans="1:6" x14ac:dyDescent="0.3">
      <c r="A1091" s="6" t="s">
        <v>2062</v>
      </c>
      <c r="B1091">
        <v>32613935</v>
      </c>
      <c r="C1091">
        <v>1</v>
      </c>
      <c r="D1091" t="str">
        <f t="shared" si="36"/>
        <v>01</v>
      </c>
      <c r="E1091" t="str">
        <f>VLOOKUP(B1091,'HOGARES-ENDLINE'!$A:$B,2,FALSE)</f>
        <v>01030615</v>
      </c>
      <c r="F1091" s="6" t="str">
        <f t="shared" ref="F1091:F1154" si="37">_xlfn.CONCAT(E1091,D1091)</f>
        <v>0103061501</v>
      </c>
    </row>
    <row r="1092" spans="1:6" x14ac:dyDescent="0.3">
      <c r="A1092" s="6" t="s">
        <v>2061</v>
      </c>
      <c r="B1092">
        <v>32613935</v>
      </c>
      <c r="C1092">
        <v>3</v>
      </c>
      <c r="D1092" t="str">
        <f t="shared" si="36"/>
        <v>03</v>
      </c>
      <c r="E1092" t="str">
        <f>VLOOKUP(B1092,'HOGARES-ENDLINE'!$A:$B,2,FALSE)</f>
        <v>01030615</v>
      </c>
      <c r="F1092" s="6" t="str">
        <f t="shared" si="37"/>
        <v>0103061503</v>
      </c>
    </row>
    <row r="1093" spans="1:6" x14ac:dyDescent="0.3">
      <c r="A1093" s="6" t="s">
        <v>2064</v>
      </c>
      <c r="B1093">
        <v>32613935</v>
      </c>
      <c r="C1093">
        <v>2</v>
      </c>
      <c r="D1093" t="str">
        <f t="shared" si="36"/>
        <v>02</v>
      </c>
      <c r="E1093" t="str">
        <f>VLOOKUP(B1093,'HOGARES-ENDLINE'!$A:$B,2,FALSE)</f>
        <v>01030615</v>
      </c>
      <c r="F1093" s="6" t="str">
        <f t="shared" si="37"/>
        <v>0103061502</v>
      </c>
    </row>
    <row r="1094" spans="1:6" x14ac:dyDescent="0.3">
      <c r="A1094" s="6" t="s">
        <v>2067</v>
      </c>
      <c r="B1094">
        <v>32619848</v>
      </c>
      <c r="C1094">
        <v>2</v>
      </c>
      <c r="D1094" t="str">
        <f t="shared" si="36"/>
        <v>02</v>
      </c>
      <c r="E1094" t="str">
        <f>VLOOKUP(B1094,'HOGARES-ENDLINE'!$A:$B,2,FALSE)</f>
        <v>00030616</v>
      </c>
      <c r="F1094" s="6" t="str">
        <f t="shared" si="37"/>
        <v>0003061602</v>
      </c>
    </row>
    <row r="1095" spans="1:6" x14ac:dyDescent="0.3">
      <c r="A1095" s="6" t="s">
        <v>2065</v>
      </c>
      <c r="B1095">
        <v>32619848</v>
      </c>
      <c r="C1095">
        <v>1</v>
      </c>
      <c r="D1095" t="str">
        <f t="shared" si="36"/>
        <v>01</v>
      </c>
      <c r="E1095" t="str">
        <f>VLOOKUP(B1095,'HOGARES-ENDLINE'!$A:$B,2,FALSE)</f>
        <v>00030616</v>
      </c>
      <c r="F1095" s="6" t="str">
        <f t="shared" si="37"/>
        <v>0003061601</v>
      </c>
    </row>
    <row r="1096" spans="1:6" x14ac:dyDescent="0.3">
      <c r="A1096" s="6" t="s">
        <v>2066</v>
      </c>
      <c r="B1096">
        <v>32619848</v>
      </c>
      <c r="C1096">
        <v>3</v>
      </c>
      <c r="D1096" t="str">
        <f t="shared" si="36"/>
        <v>03</v>
      </c>
      <c r="E1096" t="str">
        <f>VLOOKUP(B1096,'HOGARES-ENDLINE'!$A:$B,2,FALSE)</f>
        <v>00030616</v>
      </c>
      <c r="F1096" s="6" t="str">
        <f t="shared" si="37"/>
        <v>0003061603</v>
      </c>
    </row>
    <row r="1097" spans="1:6" x14ac:dyDescent="0.3">
      <c r="A1097" s="6" t="s">
        <v>2072</v>
      </c>
      <c r="B1097">
        <v>32620693</v>
      </c>
      <c r="C1097">
        <v>5</v>
      </c>
      <c r="D1097" t="str">
        <f t="shared" si="36"/>
        <v>05</v>
      </c>
      <c r="E1097" t="str">
        <f>VLOOKUP(B1097,'HOGARES-ENDLINE'!$A:$B,2,FALSE)</f>
        <v>00030617</v>
      </c>
      <c r="F1097" s="6" t="str">
        <f t="shared" si="37"/>
        <v>0003061705</v>
      </c>
    </row>
    <row r="1098" spans="1:6" x14ac:dyDescent="0.3">
      <c r="A1098" s="6" t="s">
        <v>2068</v>
      </c>
      <c r="B1098">
        <v>32620693</v>
      </c>
      <c r="C1098">
        <v>3</v>
      </c>
      <c r="D1098" t="str">
        <f t="shared" si="36"/>
        <v>03</v>
      </c>
      <c r="E1098" t="str">
        <f>VLOOKUP(B1098,'HOGARES-ENDLINE'!$A:$B,2,FALSE)</f>
        <v>00030617</v>
      </c>
      <c r="F1098" s="6" t="str">
        <f t="shared" si="37"/>
        <v>0003061703</v>
      </c>
    </row>
    <row r="1099" spans="1:6" x14ac:dyDescent="0.3">
      <c r="A1099" s="6" t="s">
        <v>2070</v>
      </c>
      <c r="B1099">
        <v>32620693</v>
      </c>
      <c r="C1099">
        <v>4</v>
      </c>
      <c r="D1099" t="str">
        <f t="shared" si="36"/>
        <v>04</v>
      </c>
      <c r="E1099" t="str">
        <f>VLOOKUP(B1099,'HOGARES-ENDLINE'!$A:$B,2,FALSE)</f>
        <v>00030617</v>
      </c>
      <c r="F1099" s="6" t="str">
        <f t="shared" si="37"/>
        <v>0003061704</v>
      </c>
    </row>
    <row r="1100" spans="1:6" x14ac:dyDescent="0.3">
      <c r="A1100" s="6" t="s">
        <v>2069</v>
      </c>
      <c r="B1100">
        <v>32620693</v>
      </c>
      <c r="C1100">
        <v>1</v>
      </c>
      <c r="D1100" t="str">
        <f t="shared" si="36"/>
        <v>01</v>
      </c>
      <c r="E1100" t="str">
        <f>VLOOKUP(B1100,'HOGARES-ENDLINE'!$A:$B,2,FALSE)</f>
        <v>00030617</v>
      </c>
      <c r="F1100" s="6" t="str">
        <f t="shared" si="37"/>
        <v>0003061701</v>
      </c>
    </row>
    <row r="1101" spans="1:6" x14ac:dyDescent="0.3">
      <c r="A1101" s="6" t="s">
        <v>2071</v>
      </c>
      <c r="B1101">
        <v>32620693</v>
      </c>
      <c r="C1101">
        <v>2</v>
      </c>
      <c r="D1101" t="str">
        <f t="shared" si="36"/>
        <v>02</v>
      </c>
      <c r="E1101" t="str">
        <f>VLOOKUP(B1101,'HOGARES-ENDLINE'!$A:$B,2,FALSE)</f>
        <v>00030617</v>
      </c>
      <c r="F1101" s="6" t="str">
        <f t="shared" si="37"/>
        <v>0003061702</v>
      </c>
    </row>
    <row r="1102" spans="1:6" x14ac:dyDescent="0.3">
      <c r="A1102" s="6" t="s">
        <v>2073</v>
      </c>
      <c r="B1102">
        <v>32623209</v>
      </c>
      <c r="C1102">
        <v>1</v>
      </c>
      <c r="D1102" t="str">
        <f t="shared" si="36"/>
        <v>01</v>
      </c>
      <c r="E1102" t="str">
        <f>VLOOKUP(B1102,'HOGARES-ENDLINE'!$A:$B,2,FALSE)</f>
        <v>01030618</v>
      </c>
      <c r="F1102" s="6" t="str">
        <f t="shared" si="37"/>
        <v>0103061801</v>
      </c>
    </row>
    <row r="1103" spans="1:6" x14ac:dyDescent="0.3">
      <c r="A1103" s="6" t="s">
        <v>5170</v>
      </c>
      <c r="B1103">
        <v>32623209</v>
      </c>
      <c r="C1103">
        <v>2</v>
      </c>
      <c r="D1103" t="str">
        <f t="shared" si="36"/>
        <v>02</v>
      </c>
      <c r="E1103" t="str">
        <f>VLOOKUP(B1103,'HOGARES-ENDLINE'!$A:$B,2,FALSE)</f>
        <v>01030618</v>
      </c>
      <c r="F1103" s="6" t="str">
        <f t="shared" si="37"/>
        <v>0103061802</v>
      </c>
    </row>
    <row r="1104" spans="1:6" x14ac:dyDescent="0.3">
      <c r="A1104" s="6" t="s">
        <v>2074</v>
      </c>
      <c r="B1104">
        <v>32627098</v>
      </c>
      <c r="C1104">
        <v>1</v>
      </c>
      <c r="D1104" t="str">
        <f t="shared" si="36"/>
        <v>01</v>
      </c>
      <c r="E1104" t="str">
        <f>VLOOKUP(B1104,'HOGARES-ENDLINE'!$A:$B,2,FALSE)</f>
        <v>00030619</v>
      </c>
      <c r="F1104" s="6" t="str">
        <f t="shared" si="37"/>
        <v>0003061901</v>
      </c>
    </row>
    <row r="1105" spans="1:6" x14ac:dyDescent="0.3">
      <c r="A1105" s="6" t="s">
        <v>2077</v>
      </c>
      <c r="B1105">
        <v>32629512</v>
      </c>
      <c r="C1105">
        <v>2</v>
      </c>
      <c r="D1105" t="str">
        <f t="shared" si="36"/>
        <v>02</v>
      </c>
      <c r="E1105" t="str">
        <f>VLOOKUP(B1105,'HOGARES-ENDLINE'!$A:$B,2,FALSE)</f>
        <v>01030620</v>
      </c>
      <c r="F1105" s="6" t="str">
        <f t="shared" si="37"/>
        <v>0103062002</v>
      </c>
    </row>
    <row r="1106" spans="1:6" x14ac:dyDescent="0.3">
      <c r="A1106" s="6" t="s">
        <v>2075</v>
      </c>
      <c r="B1106">
        <v>32629512</v>
      </c>
      <c r="C1106">
        <v>3</v>
      </c>
      <c r="D1106" t="str">
        <f t="shared" si="36"/>
        <v>03</v>
      </c>
      <c r="E1106" t="str">
        <f>VLOOKUP(B1106,'HOGARES-ENDLINE'!$A:$B,2,FALSE)</f>
        <v>01030620</v>
      </c>
      <c r="F1106" s="6" t="str">
        <f t="shared" si="37"/>
        <v>0103062003</v>
      </c>
    </row>
    <row r="1107" spans="1:6" x14ac:dyDescent="0.3">
      <c r="A1107" s="6" t="s">
        <v>2076</v>
      </c>
      <c r="B1107">
        <v>32629512</v>
      </c>
      <c r="C1107">
        <v>1</v>
      </c>
      <c r="D1107" t="str">
        <f t="shared" si="36"/>
        <v>01</v>
      </c>
      <c r="E1107" t="str">
        <f>VLOOKUP(B1107,'HOGARES-ENDLINE'!$A:$B,2,FALSE)</f>
        <v>01030620</v>
      </c>
      <c r="F1107" s="6" t="str">
        <f t="shared" si="37"/>
        <v>0103062001</v>
      </c>
    </row>
    <row r="1108" spans="1:6" x14ac:dyDescent="0.3">
      <c r="A1108" s="6" t="s">
        <v>2080</v>
      </c>
      <c r="B1108">
        <v>32632016</v>
      </c>
      <c r="C1108">
        <v>1</v>
      </c>
      <c r="D1108" t="str">
        <f t="shared" si="36"/>
        <v>01</v>
      </c>
      <c r="E1108" t="str">
        <f>VLOOKUP(B1108,'HOGARES-ENDLINE'!$A:$B,2,FALSE)</f>
        <v>00030621</v>
      </c>
      <c r="F1108" s="6" t="str">
        <f t="shared" si="37"/>
        <v>0003062101</v>
      </c>
    </row>
    <row r="1109" spans="1:6" x14ac:dyDescent="0.3">
      <c r="A1109" s="6" t="s">
        <v>2082</v>
      </c>
      <c r="B1109">
        <v>32634688</v>
      </c>
      <c r="C1109">
        <v>1</v>
      </c>
      <c r="D1109" t="str">
        <f t="shared" si="36"/>
        <v>01</v>
      </c>
      <c r="E1109" t="str">
        <f>VLOOKUP(B1109,'HOGARES-ENDLINE'!$A:$B,2,FALSE)</f>
        <v>01030622</v>
      </c>
      <c r="F1109" s="6" t="str">
        <f t="shared" si="37"/>
        <v>0103062201</v>
      </c>
    </row>
    <row r="1110" spans="1:6" x14ac:dyDescent="0.3">
      <c r="A1110" s="6" t="s">
        <v>2089</v>
      </c>
      <c r="B1110">
        <v>32635477</v>
      </c>
      <c r="C1110">
        <v>2</v>
      </c>
      <c r="D1110" t="str">
        <f t="shared" si="36"/>
        <v>02</v>
      </c>
      <c r="E1110" t="str">
        <f>VLOOKUP(B1110,'HOGARES-ENDLINE'!$A:$B,2,FALSE)</f>
        <v>00030623</v>
      </c>
      <c r="F1110" s="6" t="str">
        <f t="shared" si="37"/>
        <v>0003062302</v>
      </c>
    </row>
    <row r="1111" spans="1:6" x14ac:dyDescent="0.3">
      <c r="A1111" s="6" t="s">
        <v>2091</v>
      </c>
      <c r="B1111">
        <v>32635477</v>
      </c>
      <c r="C1111">
        <v>1</v>
      </c>
      <c r="D1111" t="str">
        <f t="shared" si="36"/>
        <v>01</v>
      </c>
      <c r="E1111" t="str">
        <f>VLOOKUP(B1111,'HOGARES-ENDLINE'!$A:$B,2,FALSE)</f>
        <v>00030623</v>
      </c>
      <c r="F1111" s="6" t="str">
        <f t="shared" si="37"/>
        <v>0003062301</v>
      </c>
    </row>
    <row r="1112" spans="1:6" x14ac:dyDescent="0.3">
      <c r="A1112" s="6" t="s">
        <v>2088</v>
      </c>
      <c r="B1112">
        <v>32635477</v>
      </c>
      <c r="C1112">
        <v>3</v>
      </c>
      <c r="D1112" t="str">
        <f t="shared" si="36"/>
        <v>03</v>
      </c>
      <c r="E1112" t="str">
        <f>VLOOKUP(B1112,'HOGARES-ENDLINE'!$A:$B,2,FALSE)</f>
        <v>00030623</v>
      </c>
      <c r="F1112" s="6" t="str">
        <f t="shared" si="37"/>
        <v>0003062303</v>
      </c>
    </row>
    <row r="1113" spans="1:6" x14ac:dyDescent="0.3">
      <c r="A1113" s="6" t="s">
        <v>2090</v>
      </c>
      <c r="B1113">
        <v>32635477</v>
      </c>
      <c r="C1113">
        <v>4</v>
      </c>
      <c r="D1113" t="str">
        <f t="shared" si="36"/>
        <v>04</v>
      </c>
      <c r="E1113" t="str">
        <f>VLOOKUP(B1113,'HOGARES-ENDLINE'!$A:$B,2,FALSE)</f>
        <v>00030623</v>
      </c>
      <c r="F1113" s="6" t="str">
        <f t="shared" si="37"/>
        <v>0003062304</v>
      </c>
    </row>
    <row r="1114" spans="1:6" x14ac:dyDescent="0.3">
      <c r="A1114" s="6" t="s">
        <v>2096</v>
      </c>
      <c r="B1114">
        <v>32636512</v>
      </c>
      <c r="C1114">
        <v>1</v>
      </c>
      <c r="D1114" t="str">
        <f t="shared" si="36"/>
        <v>01</v>
      </c>
      <c r="E1114" t="str">
        <f>VLOOKUP(B1114,'HOGARES-ENDLINE'!$A:$B,2,FALSE)</f>
        <v>00030624</v>
      </c>
      <c r="F1114" s="6" t="str">
        <f t="shared" si="37"/>
        <v>0003062401</v>
      </c>
    </row>
    <row r="1115" spans="1:6" x14ac:dyDescent="0.3">
      <c r="A1115" s="6" t="s">
        <v>2095</v>
      </c>
      <c r="B1115">
        <v>32636512</v>
      </c>
      <c r="C1115">
        <v>2</v>
      </c>
      <c r="D1115" t="str">
        <f t="shared" si="36"/>
        <v>02</v>
      </c>
      <c r="E1115" t="str">
        <f>VLOOKUP(B1115,'HOGARES-ENDLINE'!$A:$B,2,FALSE)</f>
        <v>00030624</v>
      </c>
      <c r="F1115" s="6" t="str">
        <f t="shared" si="37"/>
        <v>0003062402</v>
      </c>
    </row>
    <row r="1116" spans="1:6" x14ac:dyDescent="0.3">
      <c r="A1116" s="6" t="s">
        <v>5171</v>
      </c>
      <c r="B1116">
        <v>32636512</v>
      </c>
      <c r="C1116">
        <v>6</v>
      </c>
      <c r="D1116" t="str">
        <f t="shared" si="36"/>
        <v>06</v>
      </c>
      <c r="E1116" t="str">
        <f>VLOOKUP(B1116,'HOGARES-ENDLINE'!$A:$B,2,FALSE)</f>
        <v>00030624</v>
      </c>
      <c r="F1116" s="6" t="str">
        <f t="shared" si="37"/>
        <v>0003062406</v>
      </c>
    </row>
    <row r="1117" spans="1:6" x14ac:dyDescent="0.3">
      <c r="A1117" s="6" t="s">
        <v>5172</v>
      </c>
      <c r="B1117">
        <v>32636512</v>
      </c>
      <c r="C1117">
        <v>7</v>
      </c>
      <c r="D1117" t="str">
        <f t="shared" si="36"/>
        <v>07</v>
      </c>
      <c r="E1117" t="str">
        <f>VLOOKUP(B1117,'HOGARES-ENDLINE'!$A:$B,2,FALSE)</f>
        <v>00030624</v>
      </c>
      <c r="F1117" s="6" t="str">
        <f t="shared" si="37"/>
        <v>0003062407</v>
      </c>
    </row>
    <row r="1118" spans="1:6" x14ac:dyDescent="0.3">
      <c r="A1118" s="6" t="s">
        <v>2099</v>
      </c>
      <c r="B1118">
        <v>32636575</v>
      </c>
      <c r="C1118">
        <v>1</v>
      </c>
      <c r="D1118" t="str">
        <f t="shared" si="36"/>
        <v>01</v>
      </c>
      <c r="E1118" t="str">
        <f>VLOOKUP(B1118,'HOGARES-ENDLINE'!$A:$B,2,FALSE)</f>
        <v>01030625</v>
      </c>
      <c r="F1118" s="6" t="str">
        <f t="shared" si="37"/>
        <v>0103062501</v>
      </c>
    </row>
    <row r="1119" spans="1:6" x14ac:dyDescent="0.3">
      <c r="A1119" s="6" t="s">
        <v>2102</v>
      </c>
      <c r="B1119">
        <v>32636575</v>
      </c>
      <c r="C1119">
        <v>2</v>
      </c>
      <c r="D1119" t="str">
        <f t="shared" si="36"/>
        <v>02</v>
      </c>
      <c r="E1119" t="str">
        <f>VLOOKUP(B1119,'HOGARES-ENDLINE'!$A:$B,2,FALSE)</f>
        <v>01030625</v>
      </c>
      <c r="F1119" s="6" t="str">
        <f t="shared" si="37"/>
        <v>0103062502</v>
      </c>
    </row>
    <row r="1120" spans="1:6" x14ac:dyDescent="0.3">
      <c r="A1120" s="6" t="s">
        <v>2098</v>
      </c>
      <c r="B1120">
        <v>32636575</v>
      </c>
      <c r="C1120">
        <v>8</v>
      </c>
      <c r="D1120" t="str">
        <f t="shared" si="36"/>
        <v>08</v>
      </c>
      <c r="E1120" t="str">
        <f>VLOOKUP(B1120,'HOGARES-ENDLINE'!$A:$B,2,FALSE)</f>
        <v>01030625</v>
      </c>
      <c r="F1120" s="6" t="str">
        <f t="shared" si="37"/>
        <v>0103062508</v>
      </c>
    </row>
    <row r="1121" spans="1:6" x14ac:dyDescent="0.3">
      <c r="A1121" s="6" t="s">
        <v>2097</v>
      </c>
      <c r="B1121">
        <v>32636575</v>
      </c>
      <c r="C1121">
        <v>5</v>
      </c>
      <c r="D1121" t="str">
        <f t="shared" si="36"/>
        <v>05</v>
      </c>
      <c r="E1121" t="str">
        <f>VLOOKUP(B1121,'HOGARES-ENDLINE'!$A:$B,2,FALSE)</f>
        <v>01030625</v>
      </c>
      <c r="F1121" s="6" t="str">
        <f t="shared" si="37"/>
        <v>0103062505</v>
      </c>
    </row>
    <row r="1122" spans="1:6" x14ac:dyDescent="0.3">
      <c r="A1122" s="6" t="s">
        <v>2100</v>
      </c>
      <c r="B1122">
        <v>32636575</v>
      </c>
      <c r="C1122">
        <v>7</v>
      </c>
      <c r="D1122" t="str">
        <f t="shared" si="36"/>
        <v>07</v>
      </c>
      <c r="E1122" t="str">
        <f>VLOOKUP(B1122,'HOGARES-ENDLINE'!$A:$B,2,FALSE)</f>
        <v>01030625</v>
      </c>
      <c r="F1122" s="6" t="str">
        <f t="shared" si="37"/>
        <v>0103062507</v>
      </c>
    </row>
    <row r="1123" spans="1:6" x14ac:dyDescent="0.3">
      <c r="A1123" s="6" t="s">
        <v>2101</v>
      </c>
      <c r="B1123">
        <v>32636575</v>
      </c>
      <c r="C1123">
        <v>4</v>
      </c>
      <c r="D1123" t="str">
        <f t="shared" si="36"/>
        <v>04</v>
      </c>
      <c r="E1123" t="str">
        <f>VLOOKUP(B1123,'HOGARES-ENDLINE'!$A:$B,2,FALSE)</f>
        <v>01030625</v>
      </c>
      <c r="F1123" s="6" t="str">
        <f t="shared" si="37"/>
        <v>0103062504</v>
      </c>
    </row>
    <row r="1124" spans="1:6" x14ac:dyDescent="0.3">
      <c r="A1124" s="6" t="s">
        <v>2105</v>
      </c>
      <c r="B1124">
        <v>32636575</v>
      </c>
      <c r="C1124">
        <v>3</v>
      </c>
      <c r="D1124" t="str">
        <f t="shared" si="36"/>
        <v>03</v>
      </c>
      <c r="E1124" t="str">
        <f>VLOOKUP(B1124,'HOGARES-ENDLINE'!$A:$B,2,FALSE)</f>
        <v>01030625</v>
      </c>
      <c r="F1124" s="6" t="str">
        <f t="shared" si="37"/>
        <v>0103062503</v>
      </c>
    </row>
    <row r="1125" spans="1:6" x14ac:dyDescent="0.3">
      <c r="A1125" s="6" t="s">
        <v>2103</v>
      </c>
      <c r="B1125">
        <v>32636575</v>
      </c>
      <c r="C1125">
        <v>6</v>
      </c>
      <c r="D1125" t="str">
        <f t="shared" si="36"/>
        <v>06</v>
      </c>
      <c r="E1125" t="str">
        <f>VLOOKUP(B1125,'HOGARES-ENDLINE'!$A:$B,2,FALSE)</f>
        <v>01030625</v>
      </c>
      <c r="F1125" s="6" t="str">
        <f t="shared" si="37"/>
        <v>0103062506</v>
      </c>
    </row>
    <row r="1126" spans="1:6" x14ac:dyDescent="0.3">
      <c r="A1126" s="6" t="s">
        <v>2104</v>
      </c>
      <c r="B1126">
        <v>32636575</v>
      </c>
      <c r="C1126">
        <v>9</v>
      </c>
      <c r="D1126" t="str">
        <f t="shared" si="36"/>
        <v>09</v>
      </c>
      <c r="E1126" t="str">
        <f>VLOOKUP(B1126,'HOGARES-ENDLINE'!$A:$B,2,FALSE)</f>
        <v>01030625</v>
      </c>
      <c r="F1126" s="6" t="str">
        <f t="shared" si="37"/>
        <v>0103062509</v>
      </c>
    </row>
    <row r="1127" spans="1:6" x14ac:dyDescent="0.3">
      <c r="A1127" s="6" t="s">
        <v>2108</v>
      </c>
      <c r="B1127">
        <v>32639743</v>
      </c>
      <c r="C1127">
        <v>1</v>
      </c>
      <c r="D1127" t="str">
        <f t="shared" si="36"/>
        <v>01</v>
      </c>
      <c r="E1127" t="str">
        <f>VLOOKUP(B1127,'HOGARES-ENDLINE'!$A:$B,2,FALSE)</f>
        <v>00030626</v>
      </c>
      <c r="F1127" s="6" t="str">
        <f t="shared" si="37"/>
        <v>0003062601</v>
      </c>
    </row>
    <row r="1128" spans="1:6" x14ac:dyDescent="0.3">
      <c r="A1128" s="6" t="s">
        <v>2107</v>
      </c>
      <c r="B1128">
        <v>32639743</v>
      </c>
      <c r="C1128">
        <v>2</v>
      </c>
      <c r="D1128" t="str">
        <f t="shared" si="36"/>
        <v>02</v>
      </c>
      <c r="E1128" t="str">
        <f>VLOOKUP(B1128,'HOGARES-ENDLINE'!$A:$B,2,FALSE)</f>
        <v>00030626</v>
      </c>
      <c r="F1128" s="6" t="str">
        <f t="shared" si="37"/>
        <v>0003062602</v>
      </c>
    </row>
    <row r="1129" spans="1:6" x14ac:dyDescent="0.3">
      <c r="A1129" s="6" t="s">
        <v>2106</v>
      </c>
      <c r="B1129">
        <v>32639743</v>
      </c>
      <c r="C1129">
        <v>3</v>
      </c>
      <c r="D1129" t="str">
        <f t="shared" si="36"/>
        <v>03</v>
      </c>
      <c r="E1129" t="str">
        <f>VLOOKUP(B1129,'HOGARES-ENDLINE'!$A:$B,2,FALSE)</f>
        <v>00030626</v>
      </c>
      <c r="F1129" s="6" t="str">
        <f t="shared" si="37"/>
        <v>0003062603</v>
      </c>
    </row>
    <row r="1130" spans="1:6" x14ac:dyDescent="0.3">
      <c r="A1130" s="6" t="s">
        <v>2109</v>
      </c>
      <c r="B1130">
        <v>32639848</v>
      </c>
      <c r="C1130">
        <v>2</v>
      </c>
      <c r="D1130" t="str">
        <f t="shared" si="36"/>
        <v>02</v>
      </c>
      <c r="E1130" t="str">
        <f>VLOOKUP(B1130,'HOGARES-ENDLINE'!$A:$B,2,FALSE)</f>
        <v>01030627</v>
      </c>
      <c r="F1130" s="6" t="str">
        <f t="shared" si="37"/>
        <v>0103062702</v>
      </c>
    </row>
    <row r="1131" spans="1:6" x14ac:dyDescent="0.3">
      <c r="A1131" s="6" t="s">
        <v>2110</v>
      </c>
      <c r="B1131">
        <v>32639848</v>
      </c>
      <c r="C1131">
        <v>1</v>
      </c>
      <c r="D1131" t="str">
        <f t="shared" si="36"/>
        <v>01</v>
      </c>
      <c r="E1131" t="str">
        <f>VLOOKUP(B1131,'HOGARES-ENDLINE'!$A:$B,2,FALSE)</f>
        <v>01030627</v>
      </c>
      <c r="F1131" s="6" t="str">
        <f t="shared" si="37"/>
        <v>0103062701</v>
      </c>
    </row>
    <row r="1132" spans="1:6" x14ac:dyDescent="0.3">
      <c r="A1132" s="6" t="s">
        <v>2111</v>
      </c>
      <c r="B1132">
        <v>32642312</v>
      </c>
      <c r="C1132">
        <v>2</v>
      </c>
      <c r="D1132" t="str">
        <f t="shared" si="36"/>
        <v>02</v>
      </c>
      <c r="E1132" t="str">
        <f>VLOOKUP(B1132,'HOGARES-ENDLINE'!$A:$B,2,FALSE)</f>
        <v>00030628</v>
      </c>
      <c r="F1132" s="6" t="str">
        <f t="shared" si="37"/>
        <v>0003062802</v>
      </c>
    </row>
    <row r="1133" spans="1:6" x14ac:dyDescent="0.3">
      <c r="A1133" s="6" t="s">
        <v>2112</v>
      </c>
      <c r="B1133">
        <v>32642312</v>
      </c>
      <c r="C1133">
        <v>1</v>
      </c>
      <c r="D1133" t="str">
        <f t="shared" si="36"/>
        <v>01</v>
      </c>
      <c r="E1133" t="str">
        <f>VLOOKUP(B1133,'HOGARES-ENDLINE'!$A:$B,2,FALSE)</f>
        <v>00030628</v>
      </c>
      <c r="F1133" s="6" t="str">
        <f t="shared" si="37"/>
        <v>0003062801</v>
      </c>
    </row>
    <row r="1134" spans="1:6" x14ac:dyDescent="0.3">
      <c r="A1134" s="6" t="s">
        <v>2113</v>
      </c>
      <c r="B1134">
        <v>32642312</v>
      </c>
      <c r="C1134">
        <v>3</v>
      </c>
      <c r="D1134" t="str">
        <f t="shared" si="36"/>
        <v>03</v>
      </c>
      <c r="E1134" t="str">
        <f>VLOOKUP(B1134,'HOGARES-ENDLINE'!$A:$B,2,FALSE)</f>
        <v>00030628</v>
      </c>
      <c r="F1134" s="6" t="str">
        <f t="shared" si="37"/>
        <v>0003062803</v>
      </c>
    </row>
    <row r="1135" spans="1:6" x14ac:dyDescent="0.3">
      <c r="A1135" s="6" t="s">
        <v>2114</v>
      </c>
      <c r="B1135">
        <v>32648994</v>
      </c>
      <c r="C1135">
        <v>2</v>
      </c>
      <c r="D1135" t="str">
        <f t="shared" si="36"/>
        <v>02</v>
      </c>
      <c r="E1135" t="str">
        <f>VLOOKUP(B1135,'HOGARES-ENDLINE'!$A:$B,2,FALSE)</f>
        <v>01030629</v>
      </c>
      <c r="F1135" s="6" t="str">
        <f t="shared" si="37"/>
        <v>0103062902</v>
      </c>
    </row>
    <row r="1136" spans="1:6" x14ac:dyDescent="0.3">
      <c r="A1136" s="6" t="s">
        <v>2116</v>
      </c>
      <c r="B1136">
        <v>32648994</v>
      </c>
      <c r="C1136">
        <v>4</v>
      </c>
      <c r="D1136" t="str">
        <f t="shared" si="36"/>
        <v>04</v>
      </c>
      <c r="E1136" t="str">
        <f>VLOOKUP(B1136,'HOGARES-ENDLINE'!$A:$B,2,FALSE)</f>
        <v>01030629</v>
      </c>
      <c r="F1136" s="6" t="str">
        <f t="shared" si="37"/>
        <v>0103062904</v>
      </c>
    </row>
    <row r="1137" spans="1:6" x14ac:dyDescent="0.3">
      <c r="A1137" s="6" t="s">
        <v>2115</v>
      </c>
      <c r="B1137">
        <v>32648994</v>
      </c>
      <c r="C1137">
        <v>1</v>
      </c>
      <c r="D1137" t="str">
        <f t="shared" si="36"/>
        <v>01</v>
      </c>
      <c r="E1137" t="str">
        <f>VLOOKUP(B1137,'HOGARES-ENDLINE'!$A:$B,2,FALSE)</f>
        <v>01030629</v>
      </c>
      <c r="F1137" s="6" t="str">
        <f t="shared" si="37"/>
        <v>0103062901</v>
      </c>
    </row>
    <row r="1138" spans="1:6" x14ac:dyDescent="0.3">
      <c r="A1138" s="6" t="s">
        <v>2117</v>
      </c>
      <c r="B1138">
        <v>32648994</v>
      </c>
      <c r="C1138">
        <v>3</v>
      </c>
      <c r="D1138" t="str">
        <f t="shared" si="36"/>
        <v>03</v>
      </c>
      <c r="E1138" t="str">
        <f>VLOOKUP(B1138,'HOGARES-ENDLINE'!$A:$B,2,FALSE)</f>
        <v>01030629</v>
      </c>
      <c r="F1138" s="6" t="str">
        <f t="shared" si="37"/>
        <v>0103062903</v>
      </c>
    </row>
    <row r="1139" spans="1:6" x14ac:dyDescent="0.3">
      <c r="A1139" s="6" t="s">
        <v>2119</v>
      </c>
      <c r="B1139">
        <v>32649402</v>
      </c>
      <c r="C1139">
        <v>1</v>
      </c>
      <c r="D1139" t="str">
        <f t="shared" si="36"/>
        <v>01</v>
      </c>
      <c r="E1139" t="str">
        <f>VLOOKUP(B1139,'HOGARES-ENDLINE'!$A:$B,2,FALSE)</f>
        <v>00030630</v>
      </c>
      <c r="F1139" s="6" t="str">
        <f t="shared" si="37"/>
        <v>0003063001</v>
      </c>
    </row>
    <row r="1140" spans="1:6" x14ac:dyDescent="0.3">
      <c r="A1140" s="6" t="s">
        <v>2120</v>
      </c>
      <c r="B1140">
        <v>32649402</v>
      </c>
      <c r="C1140">
        <v>3</v>
      </c>
      <c r="D1140" t="str">
        <f t="shared" si="36"/>
        <v>03</v>
      </c>
      <c r="E1140" t="str">
        <f>VLOOKUP(B1140,'HOGARES-ENDLINE'!$A:$B,2,FALSE)</f>
        <v>00030630</v>
      </c>
      <c r="F1140" s="6" t="str">
        <f t="shared" si="37"/>
        <v>0003063003</v>
      </c>
    </row>
    <row r="1141" spans="1:6" x14ac:dyDescent="0.3">
      <c r="A1141" s="6" t="s">
        <v>2118</v>
      </c>
      <c r="B1141">
        <v>32649402</v>
      </c>
      <c r="C1141">
        <v>2</v>
      </c>
      <c r="D1141" t="str">
        <f t="shared" si="36"/>
        <v>02</v>
      </c>
      <c r="E1141" t="str">
        <f>VLOOKUP(B1141,'HOGARES-ENDLINE'!$A:$B,2,FALSE)</f>
        <v>00030630</v>
      </c>
      <c r="F1141" s="6" t="str">
        <f t="shared" si="37"/>
        <v>0003063002</v>
      </c>
    </row>
    <row r="1142" spans="1:6" x14ac:dyDescent="0.3">
      <c r="A1142" s="6" t="s">
        <v>2122</v>
      </c>
      <c r="B1142">
        <v>32649402</v>
      </c>
      <c r="C1142">
        <v>4</v>
      </c>
      <c r="D1142" t="str">
        <f t="shared" si="36"/>
        <v>04</v>
      </c>
      <c r="E1142" t="str">
        <f>VLOOKUP(B1142,'HOGARES-ENDLINE'!$A:$B,2,FALSE)</f>
        <v>00030630</v>
      </c>
      <c r="F1142" s="6" t="str">
        <f t="shared" si="37"/>
        <v>0003063004</v>
      </c>
    </row>
    <row r="1143" spans="1:6" x14ac:dyDescent="0.3">
      <c r="A1143" s="6" t="s">
        <v>2121</v>
      </c>
      <c r="B1143">
        <v>32649402</v>
      </c>
      <c r="C1143">
        <v>5</v>
      </c>
      <c r="D1143" t="str">
        <f t="shared" ref="D1143:D1172" si="38">_xlfn.CONCAT(0,C1143)</f>
        <v>05</v>
      </c>
      <c r="E1143" t="str">
        <f>VLOOKUP(B1143,'HOGARES-ENDLINE'!$A:$B,2,FALSE)</f>
        <v>00030630</v>
      </c>
      <c r="F1143" s="6" t="str">
        <f t="shared" si="37"/>
        <v>0003063005</v>
      </c>
    </row>
    <row r="1144" spans="1:6" x14ac:dyDescent="0.3">
      <c r="A1144" s="6" t="s">
        <v>2125</v>
      </c>
      <c r="B1144">
        <v>32650703</v>
      </c>
      <c r="C1144">
        <v>2</v>
      </c>
      <c r="D1144" t="str">
        <f t="shared" si="38"/>
        <v>02</v>
      </c>
      <c r="E1144" t="str">
        <f>VLOOKUP(B1144,'HOGARES-ENDLINE'!$A:$B,2,FALSE)</f>
        <v>01030631</v>
      </c>
      <c r="F1144" s="6" t="str">
        <f t="shared" si="37"/>
        <v>0103063102</v>
      </c>
    </row>
    <row r="1145" spans="1:6" x14ac:dyDescent="0.3">
      <c r="A1145" s="6" t="s">
        <v>2123</v>
      </c>
      <c r="B1145">
        <v>32650703</v>
      </c>
      <c r="C1145">
        <v>3</v>
      </c>
      <c r="D1145" t="str">
        <f t="shared" si="38"/>
        <v>03</v>
      </c>
      <c r="E1145" t="str">
        <f>VLOOKUP(B1145,'HOGARES-ENDLINE'!$A:$B,2,FALSE)</f>
        <v>01030631</v>
      </c>
      <c r="F1145" s="6" t="str">
        <f t="shared" si="37"/>
        <v>0103063103</v>
      </c>
    </row>
    <row r="1146" spans="1:6" x14ac:dyDescent="0.3">
      <c r="A1146" s="6" t="s">
        <v>2124</v>
      </c>
      <c r="B1146">
        <v>32650703</v>
      </c>
      <c r="C1146">
        <v>1</v>
      </c>
      <c r="D1146" t="str">
        <f t="shared" si="38"/>
        <v>01</v>
      </c>
      <c r="E1146" t="str">
        <f>VLOOKUP(B1146,'HOGARES-ENDLINE'!$A:$B,2,FALSE)</f>
        <v>01030631</v>
      </c>
      <c r="F1146" s="6" t="str">
        <f t="shared" si="37"/>
        <v>0103063101</v>
      </c>
    </row>
    <row r="1147" spans="1:6" x14ac:dyDescent="0.3">
      <c r="A1147" s="6" t="s">
        <v>2131</v>
      </c>
      <c r="B1147">
        <v>32652678</v>
      </c>
      <c r="C1147">
        <v>3</v>
      </c>
      <c r="D1147" t="str">
        <f t="shared" si="38"/>
        <v>03</v>
      </c>
      <c r="E1147" t="str">
        <f>VLOOKUP(B1147,'HOGARES-ENDLINE'!$A:$B,2,FALSE)</f>
        <v>00030632</v>
      </c>
      <c r="F1147" s="6" t="str">
        <f t="shared" si="37"/>
        <v>0003063203</v>
      </c>
    </row>
    <row r="1148" spans="1:6" x14ac:dyDescent="0.3">
      <c r="A1148" s="6" t="s">
        <v>2130</v>
      </c>
      <c r="B1148">
        <v>32652678</v>
      </c>
      <c r="C1148">
        <v>6</v>
      </c>
      <c r="D1148" t="str">
        <f t="shared" si="38"/>
        <v>06</v>
      </c>
      <c r="E1148" t="str">
        <f>VLOOKUP(B1148,'HOGARES-ENDLINE'!$A:$B,2,FALSE)</f>
        <v>00030632</v>
      </c>
      <c r="F1148" s="6" t="str">
        <f t="shared" si="37"/>
        <v>0003063206</v>
      </c>
    </row>
    <row r="1149" spans="1:6" x14ac:dyDescent="0.3">
      <c r="A1149" s="6" t="s">
        <v>2129</v>
      </c>
      <c r="B1149">
        <v>32652678</v>
      </c>
      <c r="C1149">
        <v>4</v>
      </c>
      <c r="D1149" t="str">
        <f t="shared" si="38"/>
        <v>04</v>
      </c>
      <c r="E1149" t="str">
        <f>VLOOKUP(B1149,'HOGARES-ENDLINE'!$A:$B,2,FALSE)</f>
        <v>00030632</v>
      </c>
      <c r="F1149" s="6" t="str">
        <f t="shared" si="37"/>
        <v>0003063204</v>
      </c>
    </row>
    <row r="1150" spans="1:6" x14ac:dyDescent="0.3">
      <c r="A1150" s="6" t="s">
        <v>2132</v>
      </c>
      <c r="B1150">
        <v>32652678</v>
      </c>
      <c r="C1150">
        <v>1</v>
      </c>
      <c r="D1150" t="str">
        <f t="shared" si="38"/>
        <v>01</v>
      </c>
      <c r="E1150" t="str">
        <f>VLOOKUP(B1150,'HOGARES-ENDLINE'!$A:$B,2,FALSE)</f>
        <v>00030632</v>
      </c>
      <c r="F1150" s="6" t="str">
        <f t="shared" si="37"/>
        <v>0003063201</v>
      </c>
    </row>
    <row r="1151" spans="1:6" x14ac:dyDescent="0.3">
      <c r="A1151" s="6" t="s">
        <v>2128</v>
      </c>
      <c r="B1151">
        <v>32652678</v>
      </c>
      <c r="C1151">
        <v>7</v>
      </c>
      <c r="D1151" t="str">
        <f t="shared" si="38"/>
        <v>07</v>
      </c>
      <c r="E1151" t="str">
        <f>VLOOKUP(B1151,'HOGARES-ENDLINE'!$A:$B,2,FALSE)</f>
        <v>00030632</v>
      </c>
      <c r="F1151" s="6" t="str">
        <f t="shared" si="37"/>
        <v>0003063207</v>
      </c>
    </row>
    <row r="1152" spans="1:6" x14ac:dyDescent="0.3">
      <c r="A1152" s="6" t="s">
        <v>2126</v>
      </c>
      <c r="B1152">
        <v>32652678</v>
      </c>
      <c r="C1152">
        <v>2</v>
      </c>
      <c r="D1152" t="str">
        <f t="shared" si="38"/>
        <v>02</v>
      </c>
      <c r="E1152" t="str">
        <f>VLOOKUP(B1152,'HOGARES-ENDLINE'!$A:$B,2,FALSE)</f>
        <v>00030632</v>
      </c>
      <c r="F1152" s="6" t="str">
        <f t="shared" si="37"/>
        <v>0003063202</v>
      </c>
    </row>
    <row r="1153" spans="1:6" x14ac:dyDescent="0.3">
      <c r="A1153" s="6" t="s">
        <v>2127</v>
      </c>
      <c r="B1153">
        <v>32652678</v>
      </c>
      <c r="C1153">
        <v>5</v>
      </c>
      <c r="D1153" t="str">
        <f t="shared" si="38"/>
        <v>05</v>
      </c>
      <c r="E1153" t="str">
        <f>VLOOKUP(B1153,'HOGARES-ENDLINE'!$A:$B,2,FALSE)</f>
        <v>00030632</v>
      </c>
      <c r="F1153" s="6" t="str">
        <f t="shared" si="37"/>
        <v>0003063205</v>
      </c>
    </row>
    <row r="1154" spans="1:6" x14ac:dyDescent="0.3">
      <c r="A1154" s="6" t="s">
        <v>2135</v>
      </c>
      <c r="B1154">
        <v>32657122</v>
      </c>
      <c r="C1154">
        <v>2</v>
      </c>
      <c r="D1154" t="str">
        <f t="shared" si="38"/>
        <v>02</v>
      </c>
      <c r="E1154" t="str">
        <f>VLOOKUP(B1154,'HOGARES-ENDLINE'!$A:$B,2,FALSE)</f>
        <v>00030633</v>
      </c>
      <c r="F1154" s="6" t="str">
        <f t="shared" si="37"/>
        <v>0003063302</v>
      </c>
    </row>
    <row r="1155" spans="1:6" x14ac:dyDescent="0.3">
      <c r="A1155" s="6" t="s">
        <v>2133</v>
      </c>
      <c r="B1155">
        <v>32657122</v>
      </c>
      <c r="C1155">
        <v>1</v>
      </c>
      <c r="D1155" t="str">
        <f t="shared" si="38"/>
        <v>01</v>
      </c>
      <c r="E1155" t="str">
        <f>VLOOKUP(B1155,'HOGARES-ENDLINE'!$A:$B,2,FALSE)</f>
        <v>00030633</v>
      </c>
      <c r="F1155" s="6" t="str">
        <f t="shared" ref="F1155:F1218" si="39">_xlfn.CONCAT(E1155,D1155)</f>
        <v>0003063301</v>
      </c>
    </row>
    <row r="1156" spans="1:6" x14ac:dyDescent="0.3">
      <c r="A1156" s="6" t="s">
        <v>2140</v>
      </c>
      <c r="B1156">
        <v>32661084</v>
      </c>
      <c r="C1156">
        <v>1</v>
      </c>
      <c r="D1156" t="str">
        <f t="shared" si="38"/>
        <v>01</v>
      </c>
      <c r="E1156" t="str">
        <f>VLOOKUP(B1156,'HOGARES-ENDLINE'!$A:$B,2,FALSE)</f>
        <v>00030634</v>
      </c>
      <c r="F1156" s="6" t="str">
        <f t="shared" si="39"/>
        <v>0003063401</v>
      </c>
    </row>
    <row r="1157" spans="1:6" x14ac:dyDescent="0.3">
      <c r="A1157" s="6" t="s">
        <v>2138</v>
      </c>
      <c r="B1157">
        <v>32661084</v>
      </c>
      <c r="C1157">
        <v>3</v>
      </c>
      <c r="D1157" t="str">
        <f t="shared" si="38"/>
        <v>03</v>
      </c>
      <c r="E1157" t="str">
        <f>VLOOKUP(B1157,'HOGARES-ENDLINE'!$A:$B,2,FALSE)</f>
        <v>00030634</v>
      </c>
      <c r="F1157" s="6" t="str">
        <f t="shared" si="39"/>
        <v>0003063403</v>
      </c>
    </row>
    <row r="1158" spans="1:6" x14ac:dyDescent="0.3">
      <c r="A1158" s="6" t="s">
        <v>2139</v>
      </c>
      <c r="B1158">
        <v>32661084</v>
      </c>
      <c r="C1158">
        <v>2</v>
      </c>
      <c r="D1158" t="str">
        <f t="shared" si="38"/>
        <v>02</v>
      </c>
      <c r="E1158" t="str">
        <f>VLOOKUP(B1158,'HOGARES-ENDLINE'!$A:$B,2,FALSE)</f>
        <v>00030634</v>
      </c>
      <c r="F1158" s="6" t="str">
        <f t="shared" si="39"/>
        <v>0003063402</v>
      </c>
    </row>
    <row r="1159" spans="1:6" x14ac:dyDescent="0.3">
      <c r="A1159" s="6" t="s">
        <v>2141</v>
      </c>
      <c r="B1159">
        <v>32661700</v>
      </c>
      <c r="C1159">
        <v>1</v>
      </c>
      <c r="D1159" t="str">
        <f t="shared" si="38"/>
        <v>01</v>
      </c>
      <c r="E1159" t="str">
        <f>VLOOKUP(B1159,'HOGARES-ENDLINE'!$A:$B,2,FALSE)</f>
        <v>00030635</v>
      </c>
      <c r="F1159" s="6" t="str">
        <f t="shared" si="39"/>
        <v>0003063501</v>
      </c>
    </row>
    <row r="1160" spans="1:6" x14ac:dyDescent="0.3">
      <c r="A1160" s="6" t="s">
        <v>2142</v>
      </c>
      <c r="B1160">
        <v>32665786</v>
      </c>
      <c r="C1160">
        <v>1</v>
      </c>
      <c r="D1160" t="str">
        <f t="shared" si="38"/>
        <v>01</v>
      </c>
      <c r="E1160" t="str">
        <f>VLOOKUP(B1160,'HOGARES-ENDLINE'!$A:$B,2,FALSE)</f>
        <v>01030636</v>
      </c>
      <c r="F1160" s="6" t="str">
        <f t="shared" si="39"/>
        <v>0103063601</v>
      </c>
    </row>
    <row r="1161" spans="1:6" x14ac:dyDescent="0.3">
      <c r="A1161" s="6" t="s">
        <v>2145</v>
      </c>
      <c r="B1161">
        <v>32665786</v>
      </c>
      <c r="C1161">
        <v>2</v>
      </c>
      <c r="D1161" t="str">
        <f t="shared" si="38"/>
        <v>02</v>
      </c>
      <c r="E1161" t="str">
        <f>VLOOKUP(B1161,'HOGARES-ENDLINE'!$A:$B,2,FALSE)</f>
        <v>01030636</v>
      </c>
      <c r="F1161" s="6" t="str">
        <f t="shared" si="39"/>
        <v>0103063602</v>
      </c>
    </row>
    <row r="1162" spans="1:6" x14ac:dyDescent="0.3">
      <c r="A1162" s="6" t="s">
        <v>2148</v>
      </c>
      <c r="B1162">
        <v>32673448</v>
      </c>
      <c r="C1162">
        <v>3</v>
      </c>
      <c r="D1162" t="str">
        <f t="shared" si="38"/>
        <v>03</v>
      </c>
      <c r="E1162" t="str">
        <f>VLOOKUP(B1162,'HOGARES-ENDLINE'!$A:$B,2,FALSE)</f>
        <v>01030637</v>
      </c>
      <c r="F1162" s="6" t="str">
        <f t="shared" si="39"/>
        <v>0103063703</v>
      </c>
    </row>
    <row r="1163" spans="1:6" x14ac:dyDescent="0.3">
      <c r="A1163" s="6" t="s">
        <v>2150</v>
      </c>
      <c r="B1163">
        <v>32673448</v>
      </c>
      <c r="C1163">
        <v>1</v>
      </c>
      <c r="D1163" t="str">
        <f t="shared" si="38"/>
        <v>01</v>
      </c>
      <c r="E1163" t="str">
        <f>VLOOKUP(B1163,'HOGARES-ENDLINE'!$A:$B,2,FALSE)</f>
        <v>01030637</v>
      </c>
      <c r="F1163" s="6" t="str">
        <f t="shared" si="39"/>
        <v>0103063701</v>
      </c>
    </row>
    <row r="1164" spans="1:6" x14ac:dyDescent="0.3">
      <c r="A1164" s="6" t="s">
        <v>2149</v>
      </c>
      <c r="B1164">
        <v>32673448</v>
      </c>
      <c r="C1164">
        <v>2</v>
      </c>
      <c r="D1164" t="str">
        <f t="shared" si="38"/>
        <v>02</v>
      </c>
      <c r="E1164" t="str">
        <f>VLOOKUP(B1164,'HOGARES-ENDLINE'!$A:$B,2,FALSE)</f>
        <v>01030637</v>
      </c>
      <c r="F1164" s="6" t="str">
        <f t="shared" si="39"/>
        <v>0103063702</v>
      </c>
    </row>
    <row r="1165" spans="1:6" x14ac:dyDescent="0.3">
      <c r="A1165" s="6" t="s">
        <v>2151</v>
      </c>
      <c r="B1165">
        <v>32674359</v>
      </c>
      <c r="C1165">
        <v>1</v>
      </c>
      <c r="D1165" t="str">
        <f t="shared" si="38"/>
        <v>01</v>
      </c>
      <c r="E1165" t="str">
        <f>VLOOKUP(B1165,'HOGARES-ENDLINE'!$A:$B,2,FALSE)</f>
        <v>01030638</v>
      </c>
      <c r="F1165" s="6" t="str">
        <f t="shared" si="39"/>
        <v>0103063801</v>
      </c>
    </row>
    <row r="1166" spans="1:6" x14ac:dyDescent="0.3">
      <c r="A1166" s="6" t="s">
        <v>2153</v>
      </c>
      <c r="B1166">
        <v>32674864</v>
      </c>
      <c r="C1166">
        <v>3</v>
      </c>
      <c r="D1166" t="str">
        <f t="shared" si="38"/>
        <v>03</v>
      </c>
      <c r="E1166" t="str">
        <f>VLOOKUP(B1166,'HOGARES-ENDLINE'!$A:$B,2,FALSE)</f>
        <v>01030639</v>
      </c>
      <c r="F1166" s="6" t="str">
        <f t="shared" si="39"/>
        <v>0103063903</v>
      </c>
    </row>
    <row r="1167" spans="1:6" x14ac:dyDescent="0.3">
      <c r="A1167" s="6" t="s">
        <v>2152</v>
      </c>
      <c r="B1167">
        <v>32674864</v>
      </c>
      <c r="C1167">
        <v>1</v>
      </c>
      <c r="D1167" t="str">
        <f t="shared" si="38"/>
        <v>01</v>
      </c>
      <c r="E1167" t="str">
        <f>VLOOKUP(B1167,'HOGARES-ENDLINE'!$A:$B,2,FALSE)</f>
        <v>01030639</v>
      </c>
      <c r="F1167" s="6" t="str">
        <f t="shared" si="39"/>
        <v>0103063901</v>
      </c>
    </row>
    <row r="1168" spans="1:6" x14ac:dyDescent="0.3">
      <c r="A1168" s="6" t="s">
        <v>2154</v>
      </c>
      <c r="B1168">
        <v>32674864</v>
      </c>
      <c r="C1168">
        <v>2</v>
      </c>
      <c r="D1168" t="str">
        <f t="shared" si="38"/>
        <v>02</v>
      </c>
      <c r="E1168" t="str">
        <f>VLOOKUP(B1168,'HOGARES-ENDLINE'!$A:$B,2,FALSE)</f>
        <v>01030639</v>
      </c>
      <c r="F1168" s="6" t="str">
        <f t="shared" si="39"/>
        <v>0103063902</v>
      </c>
    </row>
    <row r="1169" spans="1:6" x14ac:dyDescent="0.3">
      <c r="A1169" s="6" t="s">
        <v>2155</v>
      </c>
      <c r="B1169">
        <v>32676566</v>
      </c>
      <c r="C1169">
        <v>3</v>
      </c>
      <c r="D1169" t="str">
        <f t="shared" si="38"/>
        <v>03</v>
      </c>
      <c r="E1169" t="str">
        <f>VLOOKUP(B1169,'HOGARES-ENDLINE'!$A:$B,2,FALSE)</f>
        <v>00030640</v>
      </c>
      <c r="F1169" s="6" t="str">
        <f t="shared" si="39"/>
        <v>0003064003</v>
      </c>
    </row>
    <row r="1170" spans="1:6" x14ac:dyDescent="0.3">
      <c r="A1170" s="6" t="s">
        <v>2156</v>
      </c>
      <c r="B1170">
        <v>32676566</v>
      </c>
      <c r="C1170">
        <v>1</v>
      </c>
      <c r="D1170" t="str">
        <f t="shared" si="38"/>
        <v>01</v>
      </c>
      <c r="E1170" t="str">
        <f>VLOOKUP(B1170,'HOGARES-ENDLINE'!$A:$B,2,FALSE)</f>
        <v>00030640</v>
      </c>
      <c r="F1170" s="6" t="str">
        <f t="shared" si="39"/>
        <v>0003064001</v>
      </c>
    </row>
    <row r="1171" spans="1:6" x14ac:dyDescent="0.3">
      <c r="A1171" s="6" t="s">
        <v>2157</v>
      </c>
      <c r="B1171">
        <v>32676566</v>
      </c>
      <c r="C1171">
        <v>2</v>
      </c>
      <c r="D1171" t="str">
        <f t="shared" si="38"/>
        <v>02</v>
      </c>
      <c r="E1171" t="str">
        <f>VLOOKUP(B1171,'HOGARES-ENDLINE'!$A:$B,2,FALSE)</f>
        <v>00030640</v>
      </c>
      <c r="F1171" s="6" t="str">
        <f t="shared" si="39"/>
        <v>0003064002</v>
      </c>
    </row>
    <row r="1172" spans="1:6" x14ac:dyDescent="0.3">
      <c r="A1172" s="6" t="s">
        <v>2164</v>
      </c>
      <c r="B1172">
        <v>32678914</v>
      </c>
      <c r="C1172">
        <v>3</v>
      </c>
      <c r="D1172" t="str">
        <f t="shared" si="38"/>
        <v>03</v>
      </c>
      <c r="E1172" t="str">
        <f>VLOOKUP(B1172,'HOGARES-ENDLINE'!$A:$B,2,FALSE)</f>
        <v>00030641</v>
      </c>
      <c r="F1172" s="6" t="str">
        <f t="shared" si="39"/>
        <v>0003064103</v>
      </c>
    </row>
    <row r="1173" spans="1:6" x14ac:dyDescent="0.3">
      <c r="A1173" s="6" t="s">
        <v>2161</v>
      </c>
      <c r="B1173">
        <v>32678914</v>
      </c>
      <c r="C1173">
        <v>10</v>
      </c>
      <c r="D1173">
        <f>C1173</f>
        <v>10</v>
      </c>
      <c r="E1173" t="str">
        <f>VLOOKUP(B1173,'HOGARES-ENDLINE'!$A:$B,2,FALSE)</f>
        <v>00030641</v>
      </c>
      <c r="F1173" s="6" t="str">
        <f t="shared" si="39"/>
        <v>0003064110</v>
      </c>
    </row>
    <row r="1174" spans="1:6" x14ac:dyDescent="0.3">
      <c r="A1174" s="6" t="s">
        <v>2165</v>
      </c>
      <c r="B1174">
        <v>32678914</v>
      </c>
      <c r="C1174">
        <v>7</v>
      </c>
      <c r="D1174" t="str">
        <f t="shared" ref="D1174:D1237" si="40">_xlfn.CONCAT(0,C1174)</f>
        <v>07</v>
      </c>
      <c r="E1174" t="str">
        <f>VLOOKUP(B1174,'HOGARES-ENDLINE'!$A:$B,2,FALSE)</f>
        <v>00030641</v>
      </c>
      <c r="F1174" s="6" t="str">
        <f t="shared" si="39"/>
        <v>0003064107</v>
      </c>
    </row>
    <row r="1175" spans="1:6" x14ac:dyDescent="0.3">
      <c r="A1175" s="6" t="s">
        <v>2167</v>
      </c>
      <c r="B1175">
        <v>32678914</v>
      </c>
      <c r="C1175">
        <v>8</v>
      </c>
      <c r="D1175" t="str">
        <f t="shared" si="40"/>
        <v>08</v>
      </c>
      <c r="E1175" t="str">
        <f>VLOOKUP(B1175,'HOGARES-ENDLINE'!$A:$B,2,FALSE)</f>
        <v>00030641</v>
      </c>
      <c r="F1175" s="6" t="str">
        <f t="shared" si="39"/>
        <v>0003064108</v>
      </c>
    </row>
    <row r="1176" spans="1:6" x14ac:dyDescent="0.3">
      <c r="A1176" s="6" t="s">
        <v>2162</v>
      </c>
      <c r="B1176">
        <v>32678914</v>
      </c>
      <c r="C1176">
        <v>6</v>
      </c>
      <c r="D1176" t="str">
        <f t="shared" si="40"/>
        <v>06</v>
      </c>
      <c r="E1176" t="str">
        <f>VLOOKUP(B1176,'HOGARES-ENDLINE'!$A:$B,2,FALSE)</f>
        <v>00030641</v>
      </c>
      <c r="F1176" s="6" t="str">
        <f t="shared" si="39"/>
        <v>0003064106</v>
      </c>
    </row>
    <row r="1177" spans="1:6" x14ac:dyDescent="0.3">
      <c r="A1177" s="6" t="s">
        <v>2166</v>
      </c>
      <c r="B1177">
        <v>32678914</v>
      </c>
      <c r="C1177">
        <v>4</v>
      </c>
      <c r="D1177" t="str">
        <f t="shared" si="40"/>
        <v>04</v>
      </c>
      <c r="E1177" t="str">
        <f>VLOOKUP(B1177,'HOGARES-ENDLINE'!$A:$B,2,FALSE)</f>
        <v>00030641</v>
      </c>
      <c r="F1177" s="6" t="str">
        <f t="shared" si="39"/>
        <v>0003064104</v>
      </c>
    </row>
    <row r="1178" spans="1:6" x14ac:dyDescent="0.3">
      <c r="A1178" s="6" t="s">
        <v>2158</v>
      </c>
      <c r="B1178">
        <v>32678914</v>
      </c>
      <c r="C1178">
        <v>5</v>
      </c>
      <c r="D1178" t="str">
        <f t="shared" si="40"/>
        <v>05</v>
      </c>
      <c r="E1178" t="str">
        <f>VLOOKUP(B1178,'HOGARES-ENDLINE'!$A:$B,2,FALSE)</f>
        <v>00030641</v>
      </c>
      <c r="F1178" s="6" t="str">
        <f t="shared" si="39"/>
        <v>0003064105</v>
      </c>
    </row>
    <row r="1179" spans="1:6" x14ac:dyDescent="0.3">
      <c r="A1179" s="6" t="s">
        <v>2159</v>
      </c>
      <c r="B1179">
        <v>32678914</v>
      </c>
      <c r="C1179">
        <v>1</v>
      </c>
      <c r="D1179" t="str">
        <f t="shared" si="40"/>
        <v>01</v>
      </c>
      <c r="E1179" t="str">
        <f>VLOOKUP(B1179,'HOGARES-ENDLINE'!$A:$B,2,FALSE)</f>
        <v>00030641</v>
      </c>
      <c r="F1179" s="6" t="str">
        <f t="shared" si="39"/>
        <v>0003064101</v>
      </c>
    </row>
    <row r="1180" spans="1:6" x14ac:dyDescent="0.3">
      <c r="A1180" s="6" t="s">
        <v>2163</v>
      </c>
      <c r="B1180">
        <v>32678914</v>
      </c>
      <c r="C1180">
        <v>2</v>
      </c>
      <c r="D1180" t="str">
        <f t="shared" si="40"/>
        <v>02</v>
      </c>
      <c r="E1180" t="str">
        <f>VLOOKUP(B1180,'HOGARES-ENDLINE'!$A:$B,2,FALSE)</f>
        <v>00030641</v>
      </c>
      <c r="F1180" s="6" t="str">
        <f t="shared" si="39"/>
        <v>0003064102</v>
      </c>
    </row>
    <row r="1181" spans="1:6" x14ac:dyDescent="0.3">
      <c r="A1181" s="6" t="s">
        <v>2168</v>
      </c>
      <c r="B1181">
        <v>32681585</v>
      </c>
      <c r="C1181">
        <v>1</v>
      </c>
      <c r="D1181" t="str">
        <f t="shared" si="40"/>
        <v>01</v>
      </c>
      <c r="E1181" t="str">
        <f>VLOOKUP(B1181,'HOGARES-ENDLINE'!$A:$B,2,FALSE)</f>
        <v>00030642</v>
      </c>
      <c r="F1181" s="6" t="str">
        <f t="shared" si="39"/>
        <v>0003064201</v>
      </c>
    </row>
    <row r="1182" spans="1:6" x14ac:dyDescent="0.3">
      <c r="A1182" s="6" t="s">
        <v>2169</v>
      </c>
      <c r="B1182">
        <v>32681585</v>
      </c>
      <c r="C1182">
        <v>3</v>
      </c>
      <c r="D1182" t="str">
        <f t="shared" si="40"/>
        <v>03</v>
      </c>
      <c r="E1182" t="str">
        <f>VLOOKUP(B1182,'HOGARES-ENDLINE'!$A:$B,2,FALSE)</f>
        <v>00030642</v>
      </c>
      <c r="F1182" s="6" t="str">
        <f t="shared" si="39"/>
        <v>0003064203</v>
      </c>
    </row>
    <row r="1183" spans="1:6" x14ac:dyDescent="0.3">
      <c r="A1183" s="6" t="s">
        <v>2170</v>
      </c>
      <c r="B1183">
        <v>32681585</v>
      </c>
      <c r="C1183">
        <v>2</v>
      </c>
      <c r="D1183" t="str">
        <f t="shared" si="40"/>
        <v>02</v>
      </c>
      <c r="E1183" t="str">
        <f>VLOOKUP(B1183,'HOGARES-ENDLINE'!$A:$B,2,FALSE)</f>
        <v>00030642</v>
      </c>
      <c r="F1183" s="6" t="str">
        <f t="shared" si="39"/>
        <v>0003064202</v>
      </c>
    </row>
    <row r="1184" spans="1:6" x14ac:dyDescent="0.3">
      <c r="A1184" s="6" t="s">
        <v>2174</v>
      </c>
      <c r="B1184">
        <v>32682939</v>
      </c>
      <c r="C1184">
        <v>1</v>
      </c>
      <c r="D1184" t="str">
        <f t="shared" si="40"/>
        <v>01</v>
      </c>
      <c r="E1184" t="str">
        <f>VLOOKUP(B1184,'HOGARES-ENDLINE'!$A:$B,2,FALSE)</f>
        <v>01030643</v>
      </c>
      <c r="F1184" s="6" t="str">
        <f t="shared" si="39"/>
        <v>0103064301</v>
      </c>
    </row>
    <row r="1185" spans="1:6" x14ac:dyDescent="0.3">
      <c r="A1185" s="6" t="s">
        <v>2173</v>
      </c>
      <c r="B1185">
        <v>32682939</v>
      </c>
      <c r="C1185">
        <v>5</v>
      </c>
      <c r="D1185" t="str">
        <f t="shared" si="40"/>
        <v>05</v>
      </c>
      <c r="E1185" t="str">
        <f>VLOOKUP(B1185,'HOGARES-ENDLINE'!$A:$B,2,FALSE)</f>
        <v>01030643</v>
      </c>
      <c r="F1185" s="6" t="str">
        <f t="shared" si="39"/>
        <v>0103064305</v>
      </c>
    </row>
    <row r="1186" spans="1:6" x14ac:dyDescent="0.3">
      <c r="A1186" s="6" t="s">
        <v>2172</v>
      </c>
      <c r="B1186">
        <v>32682939</v>
      </c>
      <c r="C1186">
        <v>3</v>
      </c>
      <c r="D1186" t="str">
        <f t="shared" si="40"/>
        <v>03</v>
      </c>
      <c r="E1186" t="str">
        <f>VLOOKUP(B1186,'HOGARES-ENDLINE'!$A:$B,2,FALSE)</f>
        <v>01030643</v>
      </c>
      <c r="F1186" s="6" t="str">
        <f t="shared" si="39"/>
        <v>0103064303</v>
      </c>
    </row>
    <row r="1187" spans="1:6" x14ac:dyDescent="0.3">
      <c r="A1187" s="6" t="s">
        <v>2175</v>
      </c>
      <c r="B1187">
        <v>32682939</v>
      </c>
      <c r="C1187">
        <v>6</v>
      </c>
      <c r="D1187" t="str">
        <f t="shared" si="40"/>
        <v>06</v>
      </c>
      <c r="E1187" t="str">
        <f>VLOOKUP(B1187,'HOGARES-ENDLINE'!$A:$B,2,FALSE)</f>
        <v>01030643</v>
      </c>
      <c r="F1187" s="6" t="str">
        <f t="shared" si="39"/>
        <v>0103064306</v>
      </c>
    </row>
    <row r="1188" spans="1:6" x14ac:dyDescent="0.3">
      <c r="A1188" s="6" t="s">
        <v>2178</v>
      </c>
      <c r="B1188">
        <v>32684085</v>
      </c>
      <c r="C1188">
        <v>1</v>
      </c>
      <c r="D1188" t="str">
        <f t="shared" si="40"/>
        <v>01</v>
      </c>
      <c r="E1188" t="str">
        <f>VLOOKUP(B1188,'HOGARES-ENDLINE'!$A:$B,2,FALSE)</f>
        <v>00030644</v>
      </c>
      <c r="F1188" s="6" t="str">
        <f t="shared" si="39"/>
        <v>0003064401</v>
      </c>
    </row>
    <row r="1189" spans="1:6" x14ac:dyDescent="0.3">
      <c r="A1189" s="6" t="s">
        <v>2180</v>
      </c>
      <c r="B1189">
        <v>32684827</v>
      </c>
      <c r="C1189">
        <v>2</v>
      </c>
      <c r="D1189" t="str">
        <f t="shared" si="40"/>
        <v>02</v>
      </c>
      <c r="E1189" t="str">
        <f>VLOOKUP(B1189,'HOGARES-ENDLINE'!$A:$B,2,FALSE)</f>
        <v>00030645</v>
      </c>
      <c r="F1189" s="6" t="str">
        <f t="shared" si="39"/>
        <v>0003064502</v>
      </c>
    </row>
    <row r="1190" spans="1:6" x14ac:dyDescent="0.3">
      <c r="A1190" s="6" t="s">
        <v>2179</v>
      </c>
      <c r="B1190">
        <v>32684827</v>
      </c>
      <c r="C1190">
        <v>1</v>
      </c>
      <c r="D1190" t="str">
        <f t="shared" si="40"/>
        <v>01</v>
      </c>
      <c r="E1190" t="str">
        <f>VLOOKUP(B1190,'HOGARES-ENDLINE'!$A:$B,2,FALSE)</f>
        <v>00030645</v>
      </c>
      <c r="F1190" s="6" t="str">
        <f t="shared" si="39"/>
        <v>0003064501</v>
      </c>
    </row>
    <row r="1191" spans="1:6" x14ac:dyDescent="0.3">
      <c r="A1191" s="6" t="s">
        <v>2182</v>
      </c>
      <c r="B1191">
        <v>32688218</v>
      </c>
      <c r="C1191">
        <v>1</v>
      </c>
      <c r="D1191" t="str">
        <f t="shared" si="40"/>
        <v>01</v>
      </c>
      <c r="E1191" t="str">
        <f>VLOOKUP(B1191,'HOGARES-ENDLINE'!$A:$B,2,FALSE)</f>
        <v>01030646</v>
      </c>
      <c r="F1191" s="6" t="str">
        <f t="shared" si="39"/>
        <v>0103064601</v>
      </c>
    </row>
    <row r="1192" spans="1:6" x14ac:dyDescent="0.3">
      <c r="A1192" s="6" t="s">
        <v>2181</v>
      </c>
      <c r="B1192">
        <v>32688218</v>
      </c>
      <c r="C1192">
        <v>2</v>
      </c>
      <c r="D1192" t="str">
        <f t="shared" si="40"/>
        <v>02</v>
      </c>
      <c r="E1192" t="str">
        <f>VLOOKUP(B1192,'HOGARES-ENDLINE'!$A:$B,2,FALSE)</f>
        <v>01030646</v>
      </c>
      <c r="F1192" s="6" t="str">
        <f t="shared" si="39"/>
        <v>0103064602</v>
      </c>
    </row>
    <row r="1193" spans="1:6" x14ac:dyDescent="0.3">
      <c r="A1193" s="6" t="s">
        <v>2186</v>
      </c>
      <c r="B1193">
        <v>32688521</v>
      </c>
      <c r="C1193">
        <v>7</v>
      </c>
      <c r="D1193" t="str">
        <f t="shared" si="40"/>
        <v>07</v>
      </c>
      <c r="E1193" t="str">
        <f>VLOOKUP(B1193,'HOGARES-ENDLINE'!$A:$B,2,FALSE)</f>
        <v>01030647</v>
      </c>
      <c r="F1193" s="6" t="str">
        <f t="shared" si="39"/>
        <v>0103064707</v>
      </c>
    </row>
    <row r="1194" spans="1:6" x14ac:dyDescent="0.3">
      <c r="A1194" s="6" t="s">
        <v>2189</v>
      </c>
      <c r="B1194">
        <v>32688521</v>
      </c>
      <c r="C1194">
        <v>1</v>
      </c>
      <c r="D1194" t="str">
        <f t="shared" si="40"/>
        <v>01</v>
      </c>
      <c r="E1194" t="str">
        <f>VLOOKUP(B1194,'HOGARES-ENDLINE'!$A:$B,2,FALSE)</f>
        <v>01030647</v>
      </c>
      <c r="F1194" s="6" t="str">
        <f t="shared" si="39"/>
        <v>0103064701</v>
      </c>
    </row>
    <row r="1195" spans="1:6" x14ac:dyDescent="0.3">
      <c r="A1195" s="6" t="s">
        <v>2188</v>
      </c>
      <c r="B1195">
        <v>32688521</v>
      </c>
      <c r="C1195">
        <v>5</v>
      </c>
      <c r="D1195" t="str">
        <f t="shared" si="40"/>
        <v>05</v>
      </c>
      <c r="E1195" t="str">
        <f>VLOOKUP(B1195,'HOGARES-ENDLINE'!$A:$B,2,FALSE)</f>
        <v>01030647</v>
      </c>
      <c r="F1195" s="6" t="str">
        <f t="shared" si="39"/>
        <v>0103064705</v>
      </c>
    </row>
    <row r="1196" spans="1:6" x14ac:dyDescent="0.3">
      <c r="A1196" s="6" t="s">
        <v>2185</v>
      </c>
      <c r="B1196">
        <v>32688521</v>
      </c>
      <c r="C1196">
        <v>4</v>
      </c>
      <c r="D1196" t="str">
        <f t="shared" si="40"/>
        <v>04</v>
      </c>
      <c r="E1196" t="str">
        <f>VLOOKUP(B1196,'HOGARES-ENDLINE'!$A:$B,2,FALSE)</f>
        <v>01030647</v>
      </c>
      <c r="F1196" s="6" t="str">
        <f t="shared" si="39"/>
        <v>0103064704</v>
      </c>
    </row>
    <row r="1197" spans="1:6" x14ac:dyDescent="0.3">
      <c r="A1197" s="6" t="s">
        <v>2187</v>
      </c>
      <c r="B1197">
        <v>32688521</v>
      </c>
      <c r="C1197">
        <v>6</v>
      </c>
      <c r="D1197" t="str">
        <f t="shared" si="40"/>
        <v>06</v>
      </c>
      <c r="E1197" t="str">
        <f>VLOOKUP(B1197,'HOGARES-ENDLINE'!$A:$B,2,FALSE)</f>
        <v>01030647</v>
      </c>
      <c r="F1197" s="6" t="str">
        <f t="shared" si="39"/>
        <v>0103064706</v>
      </c>
    </row>
    <row r="1198" spans="1:6" x14ac:dyDescent="0.3">
      <c r="A1198" s="6" t="s">
        <v>2183</v>
      </c>
      <c r="B1198">
        <v>32688521</v>
      </c>
      <c r="C1198">
        <v>2</v>
      </c>
      <c r="D1198" t="str">
        <f t="shared" si="40"/>
        <v>02</v>
      </c>
      <c r="E1198" t="str">
        <f>VLOOKUP(B1198,'HOGARES-ENDLINE'!$A:$B,2,FALSE)</f>
        <v>01030647</v>
      </c>
      <c r="F1198" s="6" t="str">
        <f t="shared" si="39"/>
        <v>0103064702</v>
      </c>
    </row>
    <row r="1199" spans="1:6" x14ac:dyDescent="0.3">
      <c r="A1199" s="6" t="s">
        <v>2184</v>
      </c>
      <c r="B1199">
        <v>32688521</v>
      </c>
      <c r="C1199">
        <v>3</v>
      </c>
      <c r="D1199" t="str">
        <f t="shared" si="40"/>
        <v>03</v>
      </c>
      <c r="E1199" t="str">
        <f>VLOOKUP(B1199,'HOGARES-ENDLINE'!$A:$B,2,FALSE)</f>
        <v>01030647</v>
      </c>
      <c r="F1199" s="6" t="str">
        <f t="shared" si="39"/>
        <v>0103064703</v>
      </c>
    </row>
    <row r="1200" spans="1:6" x14ac:dyDescent="0.3">
      <c r="A1200" s="6" t="s">
        <v>2190</v>
      </c>
      <c r="B1200">
        <v>32689210</v>
      </c>
      <c r="C1200">
        <v>1</v>
      </c>
      <c r="D1200" t="str">
        <f t="shared" si="40"/>
        <v>01</v>
      </c>
      <c r="E1200" t="str">
        <f>VLOOKUP(B1200,'HOGARES-ENDLINE'!$A:$B,2,FALSE)</f>
        <v>00030648</v>
      </c>
      <c r="F1200" s="6" t="str">
        <f t="shared" si="39"/>
        <v>0003064801</v>
      </c>
    </row>
    <row r="1201" spans="1:6" x14ac:dyDescent="0.3">
      <c r="A1201" s="6" t="s">
        <v>2192</v>
      </c>
      <c r="B1201">
        <v>32689210</v>
      </c>
      <c r="C1201">
        <v>3</v>
      </c>
      <c r="D1201" t="str">
        <f t="shared" si="40"/>
        <v>03</v>
      </c>
      <c r="E1201" t="str">
        <f>VLOOKUP(B1201,'HOGARES-ENDLINE'!$A:$B,2,FALSE)</f>
        <v>00030648</v>
      </c>
      <c r="F1201" s="6" t="str">
        <f t="shared" si="39"/>
        <v>0003064803</v>
      </c>
    </row>
    <row r="1202" spans="1:6" x14ac:dyDescent="0.3">
      <c r="A1202" s="6" t="s">
        <v>2191</v>
      </c>
      <c r="B1202">
        <v>32689210</v>
      </c>
      <c r="C1202">
        <v>2</v>
      </c>
      <c r="D1202" t="str">
        <f t="shared" si="40"/>
        <v>02</v>
      </c>
      <c r="E1202" t="str">
        <f>VLOOKUP(B1202,'HOGARES-ENDLINE'!$A:$B,2,FALSE)</f>
        <v>00030648</v>
      </c>
      <c r="F1202" s="6" t="str">
        <f t="shared" si="39"/>
        <v>0003064802</v>
      </c>
    </row>
    <row r="1203" spans="1:6" x14ac:dyDescent="0.3">
      <c r="A1203" s="6" t="s">
        <v>2195</v>
      </c>
      <c r="B1203">
        <v>32690815</v>
      </c>
      <c r="C1203">
        <v>1</v>
      </c>
      <c r="D1203" t="str">
        <f t="shared" si="40"/>
        <v>01</v>
      </c>
      <c r="E1203" t="str">
        <f>VLOOKUP(B1203,'HOGARES-ENDLINE'!$A:$B,2,FALSE)</f>
        <v>01030649</v>
      </c>
      <c r="F1203" s="6" t="str">
        <f t="shared" si="39"/>
        <v>0103064901</v>
      </c>
    </row>
    <row r="1204" spans="1:6" x14ac:dyDescent="0.3">
      <c r="A1204" s="6" t="s">
        <v>2194</v>
      </c>
      <c r="B1204">
        <v>32690815</v>
      </c>
      <c r="C1204">
        <v>3</v>
      </c>
      <c r="D1204" t="str">
        <f t="shared" si="40"/>
        <v>03</v>
      </c>
      <c r="E1204" t="str">
        <f>VLOOKUP(B1204,'HOGARES-ENDLINE'!$A:$B,2,FALSE)</f>
        <v>01030649</v>
      </c>
      <c r="F1204" s="6" t="str">
        <f t="shared" si="39"/>
        <v>0103064903</v>
      </c>
    </row>
    <row r="1205" spans="1:6" x14ac:dyDescent="0.3">
      <c r="A1205" s="6" t="s">
        <v>2196</v>
      </c>
      <c r="B1205">
        <v>32693059</v>
      </c>
      <c r="C1205">
        <v>1</v>
      </c>
      <c r="D1205" t="str">
        <f t="shared" si="40"/>
        <v>01</v>
      </c>
      <c r="E1205" t="str">
        <f>VLOOKUP(B1205,'HOGARES-ENDLINE'!$A:$B,2,FALSE)</f>
        <v>00010650</v>
      </c>
      <c r="F1205" s="6" t="str">
        <f t="shared" si="39"/>
        <v>0001065001</v>
      </c>
    </row>
    <row r="1206" spans="1:6" x14ac:dyDescent="0.3">
      <c r="A1206" s="6" t="s">
        <v>2200</v>
      </c>
      <c r="B1206">
        <v>32694200</v>
      </c>
      <c r="C1206">
        <v>3</v>
      </c>
      <c r="D1206" t="str">
        <f t="shared" si="40"/>
        <v>03</v>
      </c>
      <c r="E1206" t="str">
        <f>VLOOKUP(B1206,'HOGARES-ENDLINE'!$A:$B,2,FALSE)</f>
        <v>01030651</v>
      </c>
      <c r="F1206" s="6" t="str">
        <f t="shared" si="39"/>
        <v>0103065103</v>
      </c>
    </row>
    <row r="1207" spans="1:6" x14ac:dyDescent="0.3">
      <c r="A1207" s="6" t="s">
        <v>2199</v>
      </c>
      <c r="B1207">
        <v>32694200</v>
      </c>
      <c r="C1207">
        <v>1</v>
      </c>
      <c r="D1207" t="str">
        <f t="shared" si="40"/>
        <v>01</v>
      </c>
      <c r="E1207" t="str">
        <f>VLOOKUP(B1207,'HOGARES-ENDLINE'!$A:$B,2,FALSE)</f>
        <v>01030651</v>
      </c>
      <c r="F1207" s="6" t="str">
        <f t="shared" si="39"/>
        <v>0103065101</v>
      </c>
    </row>
    <row r="1208" spans="1:6" x14ac:dyDescent="0.3">
      <c r="A1208" s="6" t="s">
        <v>2198</v>
      </c>
      <c r="B1208">
        <v>32694200</v>
      </c>
      <c r="C1208">
        <v>4</v>
      </c>
      <c r="D1208" t="str">
        <f t="shared" si="40"/>
        <v>04</v>
      </c>
      <c r="E1208" t="str">
        <f>VLOOKUP(B1208,'HOGARES-ENDLINE'!$A:$B,2,FALSE)</f>
        <v>01030651</v>
      </c>
      <c r="F1208" s="6" t="str">
        <f t="shared" si="39"/>
        <v>0103065104</v>
      </c>
    </row>
    <row r="1209" spans="1:6" x14ac:dyDescent="0.3">
      <c r="A1209" s="6" t="s">
        <v>2197</v>
      </c>
      <c r="B1209">
        <v>32694200</v>
      </c>
      <c r="C1209">
        <v>2</v>
      </c>
      <c r="D1209" t="str">
        <f t="shared" si="40"/>
        <v>02</v>
      </c>
      <c r="E1209" t="str">
        <f>VLOOKUP(B1209,'HOGARES-ENDLINE'!$A:$B,2,FALSE)</f>
        <v>01030651</v>
      </c>
      <c r="F1209" s="6" t="str">
        <f t="shared" si="39"/>
        <v>0103065102</v>
      </c>
    </row>
    <row r="1210" spans="1:6" x14ac:dyDescent="0.3">
      <c r="A1210" s="6" t="s">
        <v>2204</v>
      </c>
      <c r="B1210">
        <v>32694457</v>
      </c>
      <c r="C1210">
        <v>1</v>
      </c>
      <c r="D1210" t="str">
        <f t="shared" si="40"/>
        <v>01</v>
      </c>
      <c r="E1210" t="str">
        <f>VLOOKUP(B1210,'HOGARES-ENDLINE'!$A:$B,2,FALSE)</f>
        <v>00030652</v>
      </c>
      <c r="F1210" s="6" t="str">
        <f t="shared" si="39"/>
        <v>0003065201</v>
      </c>
    </row>
    <row r="1211" spans="1:6" x14ac:dyDescent="0.3">
      <c r="A1211" s="6" t="s">
        <v>2201</v>
      </c>
      <c r="B1211">
        <v>32694457</v>
      </c>
      <c r="C1211">
        <v>3</v>
      </c>
      <c r="D1211" t="str">
        <f t="shared" si="40"/>
        <v>03</v>
      </c>
      <c r="E1211" t="str">
        <f>VLOOKUP(B1211,'HOGARES-ENDLINE'!$A:$B,2,FALSE)</f>
        <v>00030652</v>
      </c>
      <c r="F1211" s="6" t="str">
        <f t="shared" si="39"/>
        <v>0003065203</v>
      </c>
    </row>
    <row r="1212" spans="1:6" x14ac:dyDescent="0.3">
      <c r="A1212" s="6" t="s">
        <v>2207</v>
      </c>
      <c r="B1212">
        <v>32694900</v>
      </c>
      <c r="C1212">
        <v>1</v>
      </c>
      <c r="D1212" t="str">
        <f t="shared" si="40"/>
        <v>01</v>
      </c>
      <c r="E1212" t="str">
        <f>VLOOKUP(B1212,'HOGARES-ENDLINE'!$A:$B,2,FALSE)</f>
        <v>00030653</v>
      </c>
      <c r="F1212" s="6" t="str">
        <f t="shared" si="39"/>
        <v>0003065301</v>
      </c>
    </row>
    <row r="1213" spans="1:6" x14ac:dyDescent="0.3">
      <c r="A1213" s="6" t="s">
        <v>2206</v>
      </c>
      <c r="B1213">
        <v>32694900</v>
      </c>
      <c r="C1213">
        <v>3</v>
      </c>
      <c r="D1213" t="str">
        <f t="shared" si="40"/>
        <v>03</v>
      </c>
      <c r="E1213" t="str">
        <f>VLOOKUP(B1213,'HOGARES-ENDLINE'!$A:$B,2,FALSE)</f>
        <v>00030653</v>
      </c>
      <c r="F1213" s="6" t="str">
        <f t="shared" si="39"/>
        <v>0003065303</v>
      </c>
    </row>
    <row r="1214" spans="1:6" x14ac:dyDescent="0.3">
      <c r="A1214" s="6" t="s">
        <v>2205</v>
      </c>
      <c r="B1214">
        <v>32694900</v>
      </c>
      <c r="C1214">
        <v>2</v>
      </c>
      <c r="D1214" t="str">
        <f t="shared" si="40"/>
        <v>02</v>
      </c>
      <c r="E1214" t="str">
        <f>VLOOKUP(B1214,'HOGARES-ENDLINE'!$A:$B,2,FALSE)</f>
        <v>00030653</v>
      </c>
      <c r="F1214" s="6" t="str">
        <f t="shared" si="39"/>
        <v>0003065302</v>
      </c>
    </row>
    <row r="1215" spans="1:6" x14ac:dyDescent="0.3">
      <c r="A1215" s="6" t="s">
        <v>5173</v>
      </c>
      <c r="B1215">
        <v>32694900</v>
      </c>
      <c r="C1215">
        <v>4</v>
      </c>
      <c r="D1215" t="str">
        <f t="shared" si="40"/>
        <v>04</v>
      </c>
      <c r="E1215" t="str">
        <f>VLOOKUP(B1215,'HOGARES-ENDLINE'!$A:$B,2,FALSE)</f>
        <v>00030653</v>
      </c>
      <c r="F1215" s="6" t="str">
        <f t="shared" si="39"/>
        <v>0003065304</v>
      </c>
    </row>
    <row r="1216" spans="1:6" x14ac:dyDescent="0.3">
      <c r="A1216" s="6" t="s">
        <v>2208</v>
      </c>
      <c r="B1216">
        <v>32697995</v>
      </c>
      <c r="C1216">
        <v>1</v>
      </c>
      <c r="D1216" t="str">
        <f t="shared" si="40"/>
        <v>01</v>
      </c>
      <c r="E1216" t="str">
        <f>VLOOKUP(B1216,'HOGARES-ENDLINE'!$A:$B,2,FALSE)</f>
        <v>00030654</v>
      </c>
      <c r="F1216" s="6" t="str">
        <f t="shared" si="39"/>
        <v>0003065401</v>
      </c>
    </row>
    <row r="1217" spans="1:6" x14ac:dyDescent="0.3">
      <c r="A1217" s="6" t="s">
        <v>2209</v>
      </c>
      <c r="B1217">
        <v>32697995</v>
      </c>
      <c r="C1217">
        <v>2</v>
      </c>
      <c r="D1217" t="str">
        <f t="shared" si="40"/>
        <v>02</v>
      </c>
      <c r="E1217" t="str">
        <f>VLOOKUP(B1217,'HOGARES-ENDLINE'!$A:$B,2,FALSE)</f>
        <v>00030654</v>
      </c>
      <c r="F1217" s="6" t="str">
        <f t="shared" si="39"/>
        <v>0003065402</v>
      </c>
    </row>
    <row r="1218" spans="1:6" x14ac:dyDescent="0.3">
      <c r="A1218" s="6" t="s">
        <v>2210</v>
      </c>
      <c r="B1218">
        <v>32703275</v>
      </c>
      <c r="C1218">
        <v>1</v>
      </c>
      <c r="D1218" t="str">
        <f t="shared" si="40"/>
        <v>01</v>
      </c>
      <c r="E1218" t="str">
        <f>VLOOKUP(B1218,'HOGARES-ENDLINE'!$A:$B,2,FALSE)</f>
        <v>00030655</v>
      </c>
      <c r="F1218" s="6" t="str">
        <f t="shared" si="39"/>
        <v>0003065501</v>
      </c>
    </row>
    <row r="1219" spans="1:6" x14ac:dyDescent="0.3">
      <c r="A1219" s="6" t="s">
        <v>2216</v>
      </c>
      <c r="B1219">
        <v>32705837</v>
      </c>
      <c r="C1219">
        <v>1</v>
      </c>
      <c r="D1219" t="str">
        <f t="shared" si="40"/>
        <v>01</v>
      </c>
      <c r="E1219" t="str">
        <f>VLOOKUP(B1219,'HOGARES-ENDLINE'!$A:$B,2,FALSE)</f>
        <v>00030656</v>
      </c>
      <c r="F1219" s="6" t="str">
        <f t="shared" ref="F1219:F1282" si="41">_xlfn.CONCAT(E1219,D1219)</f>
        <v>0003065601</v>
      </c>
    </row>
    <row r="1220" spans="1:6" x14ac:dyDescent="0.3">
      <c r="A1220" s="6" t="s">
        <v>2212</v>
      </c>
      <c r="B1220">
        <v>32705837</v>
      </c>
      <c r="C1220">
        <v>3</v>
      </c>
      <c r="D1220" t="str">
        <f t="shared" si="40"/>
        <v>03</v>
      </c>
      <c r="E1220" t="str">
        <f>VLOOKUP(B1220,'HOGARES-ENDLINE'!$A:$B,2,FALSE)</f>
        <v>00030656</v>
      </c>
      <c r="F1220" s="6" t="str">
        <f t="shared" si="41"/>
        <v>0003065603</v>
      </c>
    </row>
    <row r="1221" spans="1:6" x14ac:dyDescent="0.3">
      <c r="A1221" s="6" t="s">
        <v>2213</v>
      </c>
      <c r="B1221">
        <v>32705837</v>
      </c>
      <c r="C1221">
        <v>2</v>
      </c>
      <c r="D1221" t="str">
        <f t="shared" si="40"/>
        <v>02</v>
      </c>
      <c r="E1221" t="str">
        <f>VLOOKUP(B1221,'HOGARES-ENDLINE'!$A:$B,2,FALSE)</f>
        <v>00030656</v>
      </c>
      <c r="F1221" s="6" t="str">
        <f t="shared" si="41"/>
        <v>0003065602</v>
      </c>
    </row>
    <row r="1222" spans="1:6" x14ac:dyDescent="0.3">
      <c r="A1222" s="6" t="s">
        <v>2217</v>
      </c>
      <c r="B1222">
        <v>32705837</v>
      </c>
      <c r="C1222">
        <v>5</v>
      </c>
      <c r="D1222" t="str">
        <f t="shared" si="40"/>
        <v>05</v>
      </c>
      <c r="E1222" t="str">
        <f>VLOOKUP(B1222,'HOGARES-ENDLINE'!$A:$B,2,FALSE)</f>
        <v>00030656</v>
      </c>
      <c r="F1222" s="6" t="str">
        <f t="shared" si="41"/>
        <v>0003065605</v>
      </c>
    </row>
    <row r="1223" spans="1:6" x14ac:dyDescent="0.3">
      <c r="A1223" s="6" t="s">
        <v>2219</v>
      </c>
      <c r="B1223">
        <v>32707038</v>
      </c>
      <c r="C1223">
        <v>2</v>
      </c>
      <c r="D1223" t="str">
        <f t="shared" si="40"/>
        <v>02</v>
      </c>
      <c r="E1223" t="str">
        <f>VLOOKUP(B1223,'HOGARES-ENDLINE'!$A:$B,2,FALSE)</f>
        <v>01030657</v>
      </c>
      <c r="F1223" s="6" t="str">
        <f t="shared" si="41"/>
        <v>0103065702</v>
      </c>
    </row>
    <row r="1224" spans="1:6" x14ac:dyDescent="0.3">
      <c r="A1224" s="6" t="s">
        <v>2218</v>
      </c>
      <c r="B1224">
        <v>32707038</v>
      </c>
      <c r="C1224">
        <v>1</v>
      </c>
      <c r="D1224" t="str">
        <f t="shared" si="40"/>
        <v>01</v>
      </c>
      <c r="E1224" t="str">
        <f>VLOOKUP(B1224,'HOGARES-ENDLINE'!$A:$B,2,FALSE)</f>
        <v>01030657</v>
      </c>
      <c r="F1224" s="6" t="str">
        <f t="shared" si="41"/>
        <v>0103065701</v>
      </c>
    </row>
    <row r="1225" spans="1:6" x14ac:dyDescent="0.3">
      <c r="A1225" s="6" t="s">
        <v>2222</v>
      </c>
      <c r="B1225">
        <v>32708738</v>
      </c>
      <c r="C1225">
        <v>3</v>
      </c>
      <c r="D1225" t="str">
        <f t="shared" si="40"/>
        <v>03</v>
      </c>
      <c r="E1225" t="str">
        <f>VLOOKUP(B1225,'HOGARES-ENDLINE'!$A:$B,2,FALSE)</f>
        <v>01030658</v>
      </c>
      <c r="F1225" s="6" t="str">
        <f t="shared" si="41"/>
        <v>0103065803</v>
      </c>
    </row>
    <row r="1226" spans="1:6" x14ac:dyDescent="0.3">
      <c r="A1226" s="6" t="s">
        <v>2220</v>
      </c>
      <c r="B1226">
        <v>32708738</v>
      </c>
      <c r="C1226">
        <v>2</v>
      </c>
      <c r="D1226" t="str">
        <f t="shared" si="40"/>
        <v>02</v>
      </c>
      <c r="E1226" t="str">
        <f>VLOOKUP(B1226,'HOGARES-ENDLINE'!$A:$B,2,FALSE)</f>
        <v>01030658</v>
      </c>
      <c r="F1226" s="6" t="str">
        <f t="shared" si="41"/>
        <v>0103065802</v>
      </c>
    </row>
    <row r="1227" spans="1:6" x14ac:dyDescent="0.3">
      <c r="A1227" s="6" t="s">
        <v>2224</v>
      </c>
      <c r="B1227">
        <v>32708738</v>
      </c>
      <c r="C1227">
        <v>1</v>
      </c>
      <c r="D1227" t="str">
        <f t="shared" si="40"/>
        <v>01</v>
      </c>
      <c r="E1227" t="str">
        <f>VLOOKUP(B1227,'HOGARES-ENDLINE'!$A:$B,2,FALSE)</f>
        <v>01030658</v>
      </c>
      <c r="F1227" s="6" t="str">
        <f t="shared" si="41"/>
        <v>0103065801</v>
      </c>
    </row>
    <row r="1228" spans="1:6" x14ac:dyDescent="0.3">
      <c r="A1228" s="6" t="s">
        <v>2223</v>
      </c>
      <c r="B1228">
        <v>32708738</v>
      </c>
      <c r="C1228">
        <v>4</v>
      </c>
      <c r="D1228" t="str">
        <f t="shared" si="40"/>
        <v>04</v>
      </c>
      <c r="E1228" t="str">
        <f>VLOOKUP(B1228,'HOGARES-ENDLINE'!$A:$B,2,FALSE)</f>
        <v>01030658</v>
      </c>
      <c r="F1228" s="6" t="str">
        <f t="shared" si="41"/>
        <v>0103065804</v>
      </c>
    </row>
    <row r="1229" spans="1:6" x14ac:dyDescent="0.3">
      <c r="A1229" s="6" t="s">
        <v>2221</v>
      </c>
      <c r="B1229">
        <v>32708738</v>
      </c>
      <c r="C1229">
        <v>5</v>
      </c>
      <c r="D1229" t="str">
        <f t="shared" si="40"/>
        <v>05</v>
      </c>
      <c r="E1229" t="str">
        <f>VLOOKUP(B1229,'HOGARES-ENDLINE'!$A:$B,2,FALSE)</f>
        <v>01030658</v>
      </c>
      <c r="F1229" s="6" t="str">
        <f t="shared" si="41"/>
        <v>0103065805</v>
      </c>
    </row>
    <row r="1230" spans="1:6" x14ac:dyDescent="0.3">
      <c r="A1230" s="6" t="s">
        <v>2229</v>
      </c>
      <c r="B1230">
        <v>32709507</v>
      </c>
      <c r="C1230">
        <v>3</v>
      </c>
      <c r="D1230" t="str">
        <f t="shared" si="40"/>
        <v>03</v>
      </c>
      <c r="E1230" t="str">
        <f>VLOOKUP(B1230,'HOGARES-ENDLINE'!$A:$B,2,FALSE)</f>
        <v>01030659</v>
      </c>
      <c r="F1230" s="6" t="str">
        <f t="shared" si="41"/>
        <v>0103065903</v>
      </c>
    </row>
    <row r="1231" spans="1:6" x14ac:dyDescent="0.3">
      <c r="A1231" s="6" t="s">
        <v>2228</v>
      </c>
      <c r="B1231">
        <v>32709507</v>
      </c>
      <c r="C1231">
        <v>5</v>
      </c>
      <c r="D1231" t="str">
        <f t="shared" si="40"/>
        <v>05</v>
      </c>
      <c r="E1231" t="str">
        <f>VLOOKUP(B1231,'HOGARES-ENDLINE'!$A:$B,2,FALSE)</f>
        <v>01030659</v>
      </c>
      <c r="F1231" s="6" t="str">
        <f t="shared" si="41"/>
        <v>0103065905</v>
      </c>
    </row>
    <row r="1232" spans="1:6" x14ac:dyDescent="0.3">
      <c r="A1232" s="6" t="s">
        <v>2225</v>
      </c>
      <c r="B1232">
        <v>32709507</v>
      </c>
      <c r="C1232">
        <v>4</v>
      </c>
      <c r="D1232" t="str">
        <f t="shared" si="40"/>
        <v>04</v>
      </c>
      <c r="E1232" t="str">
        <f>VLOOKUP(B1232,'HOGARES-ENDLINE'!$A:$B,2,FALSE)</f>
        <v>01030659</v>
      </c>
      <c r="F1232" s="6" t="str">
        <f t="shared" si="41"/>
        <v>0103065904</v>
      </c>
    </row>
    <row r="1233" spans="1:6" x14ac:dyDescent="0.3">
      <c r="A1233" s="6" t="s">
        <v>2226</v>
      </c>
      <c r="B1233">
        <v>32709507</v>
      </c>
      <c r="C1233">
        <v>2</v>
      </c>
      <c r="D1233" t="str">
        <f t="shared" si="40"/>
        <v>02</v>
      </c>
      <c r="E1233" t="str">
        <f>VLOOKUP(B1233,'HOGARES-ENDLINE'!$A:$B,2,FALSE)</f>
        <v>01030659</v>
      </c>
      <c r="F1233" s="6" t="str">
        <f t="shared" si="41"/>
        <v>0103065902</v>
      </c>
    </row>
    <row r="1234" spans="1:6" x14ac:dyDescent="0.3">
      <c r="A1234" s="6" t="s">
        <v>2227</v>
      </c>
      <c r="B1234">
        <v>32709507</v>
      </c>
      <c r="C1234">
        <v>1</v>
      </c>
      <c r="D1234" t="str">
        <f t="shared" si="40"/>
        <v>01</v>
      </c>
      <c r="E1234" t="str">
        <f>VLOOKUP(B1234,'HOGARES-ENDLINE'!$A:$B,2,FALSE)</f>
        <v>01030659</v>
      </c>
      <c r="F1234" s="6" t="str">
        <f t="shared" si="41"/>
        <v>0103065901</v>
      </c>
    </row>
    <row r="1235" spans="1:6" x14ac:dyDescent="0.3">
      <c r="A1235" s="6" t="s">
        <v>2230</v>
      </c>
      <c r="B1235">
        <v>32709662</v>
      </c>
      <c r="C1235">
        <v>2</v>
      </c>
      <c r="D1235" t="str">
        <f t="shared" si="40"/>
        <v>02</v>
      </c>
      <c r="E1235" t="str">
        <f>VLOOKUP(B1235,'HOGARES-ENDLINE'!$A:$B,2,FALSE)</f>
        <v>00030660</v>
      </c>
      <c r="F1235" s="6" t="str">
        <f t="shared" si="41"/>
        <v>0003066002</v>
      </c>
    </row>
    <row r="1236" spans="1:6" x14ac:dyDescent="0.3">
      <c r="A1236" s="6" t="s">
        <v>2231</v>
      </c>
      <c r="B1236">
        <v>32709662</v>
      </c>
      <c r="C1236">
        <v>1</v>
      </c>
      <c r="D1236" t="str">
        <f t="shared" si="40"/>
        <v>01</v>
      </c>
      <c r="E1236" t="str">
        <f>VLOOKUP(B1236,'HOGARES-ENDLINE'!$A:$B,2,FALSE)</f>
        <v>00030660</v>
      </c>
      <c r="F1236" s="6" t="str">
        <f t="shared" si="41"/>
        <v>0003066001</v>
      </c>
    </row>
    <row r="1237" spans="1:6" x14ac:dyDescent="0.3">
      <c r="A1237" s="6" t="s">
        <v>2234</v>
      </c>
      <c r="B1237">
        <v>32710701</v>
      </c>
      <c r="C1237">
        <v>2</v>
      </c>
      <c r="D1237" t="str">
        <f t="shared" si="40"/>
        <v>02</v>
      </c>
      <c r="E1237" t="str">
        <f>VLOOKUP(B1237,'HOGARES-ENDLINE'!$A:$B,2,FALSE)</f>
        <v>01030661</v>
      </c>
      <c r="F1237" s="6" t="str">
        <f t="shared" si="41"/>
        <v>0103066102</v>
      </c>
    </row>
    <row r="1238" spans="1:6" x14ac:dyDescent="0.3">
      <c r="A1238" s="6" t="s">
        <v>2232</v>
      </c>
      <c r="B1238">
        <v>32710701</v>
      </c>
      <c r="C1238">
        <v>1</v>
      </c>
      <c r="D1238" t="str">
        <f t="shared" ref="D1238:D1301" si="42">_xlfn.CONCAT(0,C1238)</f>
        <v>01</v>
      </c>
      <c r="E1238" t="str">
        <f>VLOOKUP(B1238,'HOGARES-ENDLINE'!$A:$B,2,FALSE)</f>
        <v>01030661</v>
      </c>
      <c r="F1238" s="6" t="str">
        <f t="shared" si="41"/>
        <v>0103066101</v>
      </c>
    </row>
    <row r="1239" spans="1:6" x14ac:dyDescent="0.3">
      <c r="A1239" s="6" t="s">
        <v>2233</v>
      </c>
      <c r="B1239">
        <v>32710701</v>
      </c>
      <c r="C1239">
        <v>3</v>
      </c>
      <c r="D1239" t="str">
        <f t="shared" si="42"/>
        <v>03</v>
      </c>
      <c r="E1239" t="str">
        <f>VLOOKUP(B1239,'HOGARES-ENDLINE'!$A:$B,2,FALSE)</f>
        <v>01030661</v>
      </c>
      <c r="F1239" s="6" t="str">
        <f t="shared" si="41"/>
        <v>0103066103</v>
      </c>
    </row>
    <row r="1240" spans="1:6" x14ac:dyDescent="0.3">
      <c r="A1240" s="6" t="s">
        <v>2235</v>
      </c>
      <c r="B1240">
        <v>32712481</v>
      </c>
      <c r="C1240">
        <v>1</v>
      </c>
      <c r="D1240" t="str">
        <f t="shared" si="42"/>
        <v>01</v>
      </c>
      <c r="E1240" t="str">
        <f>VLOOKUP(B1240,'HOGARES-ENDLINE'!$A:$B,2,FALSE)</f>
        <v>01030662</v>
      </c>
      <c r="F1240" s="6" t="str">
        <f t="shared" si="41"/>
        <v>0103066201</v>
      </c>
    </row>
    <row r="1241" spans="1:6" x14ac:dyDescent="0.3">
      <c r="A1241" s="6" t="s">
        <v>2240</v>
      </c>
      <c r="B1241">
        <v>32716378</v>
      </c>
      <c r="C1241">
        <v>2</v>
      </c>
      <c r="D1241" t="str">
        <f t="shared" si="42"/>
        <v>02</v>
      </c>
      <c r="E1241" t="str">
        <f>VLOOKUP(B1241,'HOGARES-ENDLINE'!$A:$B,2,FALSE)</f>
        <v>01030663</v>
      </c>
      <c r="F1241" s="6" t="str">
        <f t="shared" si="41"/>
        <v>0103066302</v>
      </c>
    </row>
    <row r="1242" spans="1:6" x14ac:dyDescent="0.3">
      <c r="A1242" s="6" t="s">
        <v>2239</v>
      </c>
      <c r="B1242">
        <v>32716378</v>
      </c>
      <c r="C1242">
        <v>4</v>
      </c>
      <c r="D1242" t="str">
        <f t="shared" si="42"/>
        <v>04</v>
      </c>
      <c r="E1242" t="str">
        <f>VLOOKUP(B1242,'HOGARES-ENDLINE'!$A:$B,2,FALSE)</f>
        <v>01030663</v>
      </c>
      <c r="F1242" s="6" t="str">
        <f t="shared" si="41"/>
        <v>0103066304</v>
      </c>
    </row>
    <row r="1243" spans="1:6" x14ac:dyDescent="0.3">
      <c r="A1243" s="6" t="s">
        <v>2236</v>
      </c>
      <c r="B1243">
        <v>32716378</v>
      </c>
      <c r="C1243">
        <v>1</v>
      </c>
      <c r="D1243" t="str">
        <f t="shared" si="42"/>
        <v>01</v>
      </c>
      <c r="E1243" t="str">
        <f>VLOOKUP(B1243,'HOGARES-ENDLINE'!$A:$B,2,FALSE)</f>
        <v>01030663</v>
      </c>
      <c r="F1243" s="6" t="str">
        <f t="shared" si="41"/>
        <v>0103066301</v>
      </c>
    </row>
    <row r="1244" spans="1:6" x14ac:dyDescent="0.3">
      <c r="A1244" s="6" t="s">
        <v>2237</v>
      </c>
      <c r="B1244">
        <v>32716378</v>
      </c>
      <c r="C1244">
        <v>3</v>
      </c>
      <c r="D1244" t="str">
        <f t="shared" si="42"/>
        <v>03</v>
      </c>
      <c r="E1244" t="str">
        <f>VLOOKUP(B1244,'HOGARES-ENDLINE'!$A:$B,2,FALSE)</f>
        <v>01030663</v>
      </c>
      <c r="F1244" s="6" t="str">
        <f t="shared" si="41"/>
        <v>0103066303</v>
      </c>
    </row>
    <row r="1245" spans="1:6" x14ac:dyDescent="0.3">
      <c r="A1245" s="6" t="s">
        <v>2238</v>
      </c>
      <c r="B1245">
        <v>32716378</v>
      </c>
      <c r="C1245">
        <v>5</v>
      </c>
      <c r="D1245" t="str">
        <f t="shared" si="42"/>
        <v>05</v>
      </c>
      <c r="E1245" t="str">
        <f>VLOOKUP(B1245,'HOGARES-ENDLINE'!$A:$B,2,FALSE)</f>
        <v>01030663</v>
      </c>
      <c r="F1245" s="6" t="str">
        <f t="shared" si="41"/>
        <v>0103066305</v>
      </c>
    </row>
    <row r="1246" spans="1:6" x14ac:dyDescent="0.3">
      <c r="A1246" s="6" t="s">
        <v>2246</v>
      </c>
      <c r="B1246">
        <v>32719297</v>
      </c>
      <c r="C1246">
        <v>1</v>
      </c>
      <c r="D1246" t="str">
        <f t="shared" si="42"/>
        <v>01</v>
      </c>
      <c r="E1246" t="str">
        <f>VLOOKUP(B1246,'HOGARES-ENDLINE'!$A:$B,2,FALSE)</f>
        <v>00030665</v>
      </c>
      <c r="F1246" s="6" t="str">
        <f t="shared" si="41"/>
        <v>0003066501</v>
      </c>
    </row>
    <row r="1247" spans="1:6" x14ac:dyDescent="0.3">
      <c r="A1247" s="6" t="s">
        <v>2244</v>
      </c>
      <c r="B1247">
        <v>32719297</v>
      </c>
      <c r="C1247">
        <v>3</v>
      </c>
      <c r="D1247" t="str">
        <f t="shared" si="42"/>
        <v>03</v>
      </c>
      <c r="E1247" t="str">
        <f>VLOOKUP(B1247,'HOGARES-ENDLINE'!$A:$B,2,FALSE)</f>
        <v>00030665</v>
      </c>
      <c r="F1247" s="6" t="str">
        <f t="shared" si="41"/>
        <v>0003066503</v>
      </c>
    </row>
    <row r="1248" spans="1:6" x14ac:dyDescent="0.3">
      <c r="A1248" s="6" t="s">
        <v>2245</v>
      </c>
      <c r="B1248">
        <v>32719297</v>
      </c>
      <c r="C1248">
        <v>2</v>
      </c>
      <c r="D1248" t="str">
        <f t="shared" si="42"/>
        <v>02</v>
      </c>
      <c r="E1248" t="str">
        <f>VLOOKUP(B1248,'HOGARES-ENDLINE'!$A:$B,2,FALSE)</f>
        <v>00030665</v>
      </c>
      <c r="F1248" s="6" t="str">
        <f t="shared" si="41"/>
        <v>0003066502</v>
      </c>
    </row>
    <row r="1249" spans="1:6" x14ac:dyDescent="0.3">
      <c r="A1249" s="6" t="s">
        <v>2252</v>
      </c>
      <c r="B1249">
        <v>32727855</v>
      </c>
      <c r="C1249">
        <v>1</v>
      </c>
      <c r="D1249" t="str">
        <f t="shared" si="42"/>
        <v>01</v>
      </c>
      <c r="E1249" t="str">
        <f>VLOOKUP(B1249,'HOGARES-ENDLINE'!$A:$B,2,FALSE)</f>
        <v>01030666</v>
      </c>
      <c r="F1249" s="6" t="str">
        <f t="shared" si="41"/>
        <v>0103066601</v>
      </c>
    </row>
    <row r="1250" spans="1:6" x14ac:dyDescent="0.3">
      <c r="A1250" s="6" t="s">
        <v>2249</v>
      </c>
      <c r="B1250">
        <v>32727855</v>
      </c>
      <c r="C1250">
        <v>3</v>
      </c>
      <c r="D1250" t="str">
        <f t="shared" si="42"/>
        <v>03</v>
      </c>
      <c r="E1250" t="str">
        <f>VLOOKUP(B1250,'HOGARES-ENDLINE'!$A:$B,2,FALSE)</f>
        <v>01030666</v>
      </c>
      <c r="F1250" s="6" t="str">
        <f t="shared" si="41"/>
        <v>0103066603</v>
      </c>
    </row>
    <row r="1251" spans="1:6" x14ac:dyDescent="0.3">
      <c r="A1251" s="6" t="s">
        <v>2250</v>
      </c>
      <c r="B1251">
        <v>32727855</v>
      </c>
      <c r="C1251">
        <v>6</v>
      </c>
      <c r="D1251" t="str">
        <f t="shared" si="42"/>
        <v>06</v>
      </c>
      <c r="E1251" t="str">
        <f>VLOOKUP(B1251,'HOGARES-ENDLINE'!$A:$B,2,FALSE)</f>
        <v>01030666</v>
      </c>
      <c r="F1251" s="6" t="str">
        <f t="shared" si="41"/>
        <v>0103066606</v>
      </c>
    </row>
    <row r="1252" spans="1:6" x14ac:dyDescent="0.3">
      <c r="A1252" s="6" t="s">
        <v>2248</v>
      </c>
      <c r="B1252">
        <v>32727855</v>
      </c>
      <c r="C1252">
        <v>4</v>
      </c>
      <c r="D1252" t="str">
        <f t="shared" si="42"/>
        <v>04</v>
      </c>
      <c r="E1252" t="str">
        <f>VLOOKUP(B1252,'HOGARES-ENDLINE'!$A:$B,2,FALSE)</f>
        <v>01030666</v>
      </c>
      <c r="F1252" s="6" t="str">
        <f t="shared" si="41"/>
        <v>0103066604</v>
      </c>
    </row>
    <row r="1253" spans="1:6" x14ac:dyDescent="0.3">
      <c r="A1253" s="6" t="s">
        <v>2247</v>
      </c>
      <c r="B1253">
        <v>32727855</v>
      </c>
      <c r="C1253">
        <v>5</v>
      </c>
      <c r="D1253" t="str">
        <f t="shared" si="42"/>
        <v>05</v>
      </c>
      <c r="E1253" t="str">
        <f>VLOOKUP(B1253,'HOGARES-ENDLINE'!$A:$B,2,FALSE)</f>
        <v>01030666</v>
      </c>
      <c r="F1253" s="6" t="str">
        <f t="shared" si="41"/>
        <v>0103066605</v>
      </c>
    </row>
    <row r="1254" spans="1:6" x14ac:dyDescent="0.3">
      <c r="A1254" s="6" t="s">
        <v>2251</v>
      </c>
      <c r="B1254">
        <v>32727855</v>
      </c>
      <c r="C1254">
        <v>2</v>
      </c>
      <c r="D1254" t="str">
        <f t="shared" si="42"/>
        <v>02</v>
      </c>
      <c r="E1254" t="str">
        <f>VLOOKUP(B1254,'HOGARES-ENDLINE'!$A:$B,2,FALSE)</f>
        <v>01030666</v>
      </c>
      <c r="F1254" s="6" t="str">
        <f t="shared" si="41"/>
        <v>0103066602</v>
      </c>
    </row>
    <row r="1255" spans="1:6" x14ac:dyDescent="0.3">
      <c r="A1255" s="6" t="s">
        <v>2254</v>
      </c>
      <c r="B1255">
        <v>32729377</v>
      </c>
      <c r="C1255">
        <v>1</v>
      </c>
      <c r="D1255" t="str">
        <f t="shared" si="42"/>
        <v>01</v>
      </c>
      <c r="E1255" t="str">
        <f>VLOOKUP(B1255,'HOGARES-ENDLINE'!$A:$B,2,FALSE)</f>
        <v>00030667</v>
      </c>
      <c r="F1255" s="6" t="str">
        <f t="shared" si="41"/>
        <v>0003066701</v>
      </c>
    </row>
    <row r="1256" spans="1:6" x14ac:dyDescent="0.3">
      <c r="A1256" s="6" t="s">
        <v>2255</v>
      </c>
      <c r="B1256">
        <v>32729377</v>
      </c>
      <c r="C1256">
        <v>2</v>
      </c>
      <c r="D1256" t="str">
        <f t="shared" si="42"/>
        <v>02</v>
      </c>
      <c r="E1256" t="str">
        <f>VLOOKUP(B1256,'HOGARES-ENDLINE'!$A:$B,2,FALSE)</f>
        <v>00030667</v>
      </c>
      <c r="F1256" s="6" t="str">
        <f t="shared" si="41"/>
        <v>0003066702</v>
      </c>
    </row>
    <row r="1257" spans="1:6" x14ac:dyDescent="0.3">
      <c r="A1257" s="6" t="s">
        <v>2253</v>
      </c>
      <c r="B1257">
        <v>32729377</v>
      </c>
      <c r="C1257">
        <v>3</v>
      </c>
      <c r="D1257" t="str">
        <f t="shared" si="42"/>
        <v>03</v>
      </c>
      <c r="E1257" t="str">
        <f>VLOOKUP(B1257,'HOGARES-ENDLINE'!$A:$B,2,FALSE)</f>
        <v>00030667</v>
      </c>
      <c r="F1257" s="6" t="str">
        <f t="shared" si="41"/>
        <v>0003066703</v>
      </c>
    </row>
    <row r="1258" spans="1:6" x14ac:dyDescent="0.3">
      <c r="A1258" s="6" t="s">
        <v>2256</v>
      </c>
      <c r="B1258">
        <v>32729377</v>
      </c>
      <c r="C1258">
        <v>4</v>
      </c>
      <c r="D1258" t="str">
        <f t="shared" si="42"/>
        <v>04</v>
      </c>
      <c r="E1258" t="str">
        <f>VLOOKUP(B1258,'HOGARES-ENDLINE'!$A:$B,2,FALSE)</f>
        <v>00030667</v>
      </c>
      <c r="F1258" s="6" t="str">
        <f t="shared" si="41"/>
        <v>0003066704</v>
      </c>
    </row>
    <row r="1259" spans="1:6" x14ac:dyDescent="0.3">
      <c r="A1259" s="6" t="s">
        <v>2257</v>
      </c>
      <c r="B1259">
        <v>32730886</v>
      </c>
      <c r="C1259">
        <v>1</v>
      </c>
      <c r="D1259" t="str">
        <f t="shared" si="42"/>
        <v>01</v>
      </c>
      <c r="E1259" t="str">
        <f>VLOOKUP(B1259,'HOGARES-ENDLINE'!$A:$B,2,FALSE)</f>
        <v>00030668</v>
      </c>
      <c r="F1259" s="6" t="str">
        <f t="shared" si="41"/>
        <v>0003066801</v>
      </c>
    </row>
    <row r="1260" spans="1:6" x14ac:dyDescent="0.3">
      <c r="A1260" s="6" t="s">
        <v>2259</v>
      </c>
      <c r="B1260">
        <v>32732227</v>
      </c>
      <c r="C1260">
        <v>1</v>
      </c>
      <c r="D1260" t="str">
        <f t="shared" si="42"/>
        <v>01</v>
      </c>
      <c r="E1260" t="str">
        <f>VLOOKUP(B1260,'HOGARES-ENDLINE'!$A:$B,2,FALSE)</f>
        <v>00030669</v>
      </c>
      <c r="F1260" s="6" t="str">
        <f t="shared" si="41"/>
        <v>0003066901</v>
      </c>
    </row>
    <row r="1261" spans="1:6" x14ac:dyDescent="0.3">
      <c r="A1261" s="6" t="s">
        <v>2258</v>
      </c>
      <c r="B1261">
        <v>32732227</v>
      </c>
      <c r="C1261">
        <v>2</v>
      </c>
      <c r="D1261" t="str">
        <f t="shared" si="42"/>
        <v>02</v>
      </c>
      <c r="E1261" t="str">
        <f>VLOOKUP(B1261,'HOGARES-ENDLINE'!$A:$B,2,FALSE)</f>
        <v>00030669</v>
      </c>
      <c r="F1261" s="6" t="str">
        <f t="shared" si="41"/>
        <v>0003066902</v>
      </c>
    </row>
    <row r="1262" spans="1:6" x14ac:dyDescent="0.3">
      <c r="A1262" s="6" t="s">
        <v>2260</v>
      </c>
      <c r="B1262">
        <v>32732227</v>
      </c>
      <c r="C1262">
        <v>3</v>
      </c>
      <c r="D1262" t="str">
        <f t="shared" si="42"/>
        <v>03</v>
      </c>
      <c r="E1262" t="str">
        <f>VLOOKUP(B1262,'HOGARES-ENDLINE'!$A:$B,2,FALSE)</f>
        <v>00030669</v>
      </c>
      <c r="F1262" s="6" t="str">
        <f t="shared" si="41"/>
        <v>0003066903</v>
      </c>
    </row>
    <row r="1263" spans="1:6" x14ac:dyDescent="0.3">
      <c r="A1263" s="6" t="s">
        <v>2264</v>
      </c>
      <c r="B1263">
        <v>32733938</v>
      </c>
      <c r="C1263">
        <v>2</v>
      </c>
      <c r="D1263" t="str">
        <f t="shared" si="42"/>
        <v>02</v>
      </c>
      <c r="E1263" t="str">
        <f>VLOOKUP(B1263,'HOGARES-ENDLINE'!$A:$B,2,FALSE)</f>
        <v>01030670</v>
      </c>
      <c r="F1263" s="6" t="str">
        <f t="shared" si="41"/>
        <v>0103067002</v>
      </c>
    </row>
    <row r="1264" spans="1:6" x14ac:dyDescent="0.3">
      <c r="A1264" s="6" t="s">
        <v>2263</v>
      </c>
      <c r="B1264">
        <v>32733938</v>
      </c>
      <c r="C1264">
        <v>1</v>
      </c>
      <c r="D1264" t="str">
        <f t="shared" si="42"/>
        <v>01</v>
      </c>
      <c r="E1264" t="str">
        <f>VLOOKUP(B1264,'HOGARES-ENDLINE'!$A:$B,2,FALSE)</f>
        <v>01030670</v>
      </c>
      <c r="F1264" s="6" t="str">
        <f t="shared" si="41"/>
        <v>0103067001</v>
      </c>
    </row>
    <row r="1265" spans="1:6" x14ac:dyDescent="0.3">
      <c r="A1265" s="6" t="s">
        <v>2262</v>
      </c>
      <c r="B1265">
        <v>32733938</v>
      </c>
      <c r="C1265">
        <v>4</v>
      </c>
      <c r="D1265" t="str">
        <f t="shared" si="42"/>
        <v>04</v>
      </c>
      <c r="E1265" t="str">
        <f>VLOOKUP(B1265,'HOGARES-ENDLINE'!$A:$B,2,FALSE)</f>
        <v>01030670</v>
      </c>
      <c r="F1265" s="6" t="str">
        <f t="shared" si="41"/>
        <v>0103067004</v>
      </c>
    </row>
    <row r="1266" spans="1:6" x14ac:dyDescent="0.3">
      <c r="A1266" s="6" t="s">
        <v>2265</v>
      </c>
      <c r="B1266">
        <v>32733938</v>
      </c>
      <c r="C1266">
        <v>5</v>
      </c>
      <c r="D1266" t="str">
        <f t="shared" si="42"/>
        <v>05</v>
      </c>
      <c r="E1266" t="str">
        <f>VLOOKUP(B1266,'HOGARES-ENDLINE'!$A:$B,2,FALSE)</f>
        <v>01030670</v>
      </c>
      <c r="F1266" s="6" t="str">
        <f t="shared" si="41"/>
        <v>0103067005</v>
      </c>
    </row>
    <row r="1267" spans="1:6" x14ac:dyDescent="0.3">
      <c r="A1267" s="6" t="s">
        <v>2261</v>
      </c>
      <c r="B1267">
        <v>32733938</v>
      </c>
      <c r="C1267">
        <v>3</v>
      </c>
      <c r="D1267" t="str">
        <f t="shared" si="42"/>
        <v>03</v>
      </c>
      <c r="E1267" t="str">
        <f>VLOOKUP(B1267,'HOGARES-ENDLINE'!$A:$B,2,FALSE)</f>
        <v>01030670</v>
      </c>
      <c r="F1267" s="6" t="str">
        <f t="shared" si="41"/>
        <v>0103067003</v>
      </c>
    </row>
    <row r="1268" spans="1:6" x14ac:dyDescent="0.3">
      <c r="A1268" s="6" t="s">
        <v>2266</v>
      </c>
      <c r="B1268">
        <v>32734044</v>
      </c>
      <c r="C1268">
        <v>1</v>
      </c>
      <c r="D1268" t="str">
        <f t="shared" si="42"/>
        <v>01</v>
      </c>
      <c r="E1268" t="str">
        <f>VLOOKUP(B1268,'HOGARES-ENDLINE'!$A:$B,2,FALSE)</f>
        <v>01030671</v>
      </c>
      <c r="F1268" s="6" t="str">
        <f t="shared" si="41"/>
        <v>0103067101</v>
      </c>
    </row>
    <row r="1269" spans="1:6" x14ac:dyDescent="0.3">
      <c r="A1269" s="6" t="s">
        <v>2267</v>
      </c>
      <c r="B1269">
        <v>32734044</v>
      </c>
      <c r="C1269">
        <v>2</v>
      </c>
      <c r="D1269" t="str">
        <f t="shared" si="42"/>
        <v>02</v>
      </c>
      <c r="E1269" t="str">
        <f>VLOOKUP(B1269,'HOGARES-ENDLINE'!$A:$B,2,FALSE)</f>
        <v>01030671</v>
      </c>
      <c r="F1269" s="6" t="str">
        <f t="shared" si="41"/>
        <v>0103067102</v>
      </c>
    </row>
    <row r="1270" spans="1:6" x14ac:dyDescent="0.3">
      <c r="A1270" s="6" t="s">
        <v>2272</v>
      </c>
      <c r="B1270">
        <v>32736975</v>
      </c>
      <c r="C1270">
        <v>1</v>
      </c>
      <c r="D1270" t="str">
        <f t="shared" si="42"/>
        <v>01</v>
      </c>
      <c r="E1270" t="str">
        <f>VLOOKUP(B1270,'HOGARES-ENDLINE'!$A:$B,2,FALSE)</f>
        <v>01030672</v>
      </c>
      <c r="F1270" s="6" t="str">
        <f t="shared" si="41"/>
        <v>0103067201</v>
      </c>
    </row>
    <row r="1271" spans="1:6" x14ac:dyDescent="0.3">
      <c r="A1271" s="6" t="s">
        <v>2275</v>
      </c>
      <c r="B1271">
        <v>32740221</v>
      </c>
      <c r="C1271">
        <v>2</v>
      </c>
      <c r="D1271" t="str">
        <f t="shared" si="42"/>
        <v>02</v>
      </c>
      <c r="E1271" t="str">
        <f>VLOOKUP(B1271,'HOGARES-ENDLINE'!$A:$B,2,FALSE)</f>
        <v>01030673</v>
      </c>
      <c r="F1271" s="6" t="str">
        <f t="shared" si="41"/>
        <v>0103067302</v>
      </c>
    </row>
    <row r="1272" spans="1:6" x14ac:dyDescent="0.3">
      <c r="A1272" s="6" t="s">
        <v>2276</v>
      </c>
      <c r="B1272">
        <v>32740221</v>
      </c>
      <c r="C1272">
        <v>1</v>
      </c>
      <c r="D1272" t="str">
        <f t="shared" si="42"/>
        <v>01</v>
      </c>
      <c r="E1272" t="str">
        <f>VLOOKUP(B1272,'HOGARES-ENDLINE'!$A:$B,2,FALSE)</f>
        <v>01030673</v>
      </c>
      <c r="F1272" s="6" t="str">
        <f t="shared" si="41"/>
        <v>0103067301</v>
      </c>
    </row>
    <row r="1273" spans="1:6" x14ac:dyDescent="0.3">
      <c r="A1273" s="6" t="s">
        <v>2277</v>
      </c>
      <c r="B1273">
        <v>32740279</v>
      </c>
      <c r="C1273">
        <v>1</v>
      </c>
      <c r="D1273" t="str">
        <f t="shared" si="42"/>
        <v>01</v>
      </c>
      <c r="E1273" t="str">
        <f>VLOOKUP(B1273,'HOGARES-ENDLINE'!$A:$B,2,FALSE)</f>
        <v>00030674</v>
      </c>
      <c r="F1273" s="6" t="str">
        <f t="shared" si="41"/>
        <v>0003067401</v>
      </c>
    </row>
    <row r="1274" spans="1:6" x14ac:dyDescent="0.3">
      <c r="A1274" s="6" t="s">
        <v>2278</v>
      </c>
      <c r="B1274">
        <v>32740999</v>
      </c>
      <c r="C1274">
        <v>4</v>
      </c>
      <c r="D1274" t="str">
        <f t="shared" si="42"/>
        <v>04</v>
      </c>
      <c r="E1274" t="str">
        <f>VLOOKUP(B1274,'HOGARES-ENDLINE'!$A:$B,2,FALSE)</f>
        <v>01030675</v>
      </c>
      <c r="F1274" s="6" t="str">
        <f t="shared" si="41"/>
        <v>0103067504</v>
      </c>
    </row>
    <row r="1275" spans="1:6" x14ac:dyDescent="0.3">
      <c r="A1275" s="6" t="s">
        <v>2282</v>
      </c>
      <c r="B1275">
        <v>32740999</v>
      </c>
      <c r="C1275">
        <v>1</v>
      </c>
      <c r="D1275" t="str">
        <f t="shared" si="42"/>
        <v>01</v>
      </c>
      <c r="E1275" t="str">
        <f>VLOOKUP(B1275,'HOGARES-ENDLINE'!$A:$B,2,FALSE)</f>
        <v>01030675</v>
      </c>
      <c r="F1275" s="6" t="str">
        <f t="shared" si="41"/>
        <v>0103067501</v>
      </c>
    </row>
    <row r="1276" spans="1:6" x14ac:dyDescent="0.3">
      <c r="A1276" s="6" t="s">
        <v>2280</v>
      </c>
      <c r="B1276">
        <v>32740999</v>
      </c>
      <c r="C1276">
        <v>2</v>
      </c>
      <c r="D1276" t="str">
        <f t="shared" si="42"/>
        <v>02</v>
      </c>
      <c r="E1276" t="str">
        <f>VLOOKUP(B1276,'HOGARES-ENDLINE'!$A:$B,2,FALSE)</f>
        <v>01030675</v>
      </c>
      <c r="F1276" s="6" t="str">
        <f t="shared" si="41"/>
        <v>0103067502</v>
      </c>
    </row>
    <row r="1277" spans="1:6" x14ac:dyDescent="0.3">
      <c r="A1277" s="6" t="s">
        <v>2283</v>
      </c>
      <c r="B1277">
        <v>32740999</v>
      </c>
      <c r="C1277">
        <v>3</v>
      </c>
      <c r="D1277" t="str">
        <f t="shared" si="42"/>
        <v>03</v>
      </c>
      <c r="E1277" t="str">
        <f>VLOOKUP(B1277,'HOGARES-ENDLINE'!$A:$B,2,FALSE)</f>
        <v>01030675</v>
      </c>
      <c r="F1277" s="6" t="str">
        <f t="shared" si="41"/>
        <v>0103067503</v>
      </c>
    </row>
    <row r="1278" spans="1:6" x14ac:dyDescent="0.3">
      <c r="A1278" s="6" t="s">
        <v>2286</v>
      </c>
      <c r="B1278">
        <v>32741994</v>
      </c>
      <c r="C1278">
        <v>2</v>
      </c>
      <c r="D1278" t="str">
        <f t="shared" si="42"/>
        <v>02</v>
      </c>
      <c r="E1278" t="str">
        <f>VLOOKUP(B1278,'HOGARES-ENDLINE'!$A:$B,2,FALSE)</f>
        <v>01030676</v>
      </c>
      <c r="F1278" s="6" t="str">
        <f t="shared" si="41"/>
        <v>0103067602</v>
      </c>
    </row>
    <row r="1279" spans="1:6" x14ac:dyDescent="0.3">
      <c r="A1279" s="6" t="s">
        <v>2284</v>
      </c>
      <c r="B1279">
        <v>32741994</v>
      </c>
      <c r="C1279">
        <v>7</v>
      </c>
      <c r="D1279" t="str">
        <f t="shared" si="42"/>
        <v>07</v>
      </c>
      <c r="E1279" t="str">
        <f>VLOOKUP(B1279,'HOGARES-ENDLINE'!$A:$B,2,FALSE)</f>
        <v>01030676</v>
      </c>
      <c r="F1279" s="6" t="str">
        <f t="shared" si="41"/>
        <v>0103067607</v>
      </c>
    </row>
    <row r="1280" spans="1:6" x14ac:dyDescent="0.3">
      <c r="A1280" s="6" t="s">
        <v>2287</v>
      </c>
      <c r="B1280">
        <v>32741994</v>
      </c>
      <c r="C1280">
        <v>4</v>
      </c>
      <c r="D1280" t="str">
        <f t="shared" si="42"/>
        <v>04</v>
      </c>
      <c r="E1280" t="str">
        <f>VLOOKUP(B1280,'HOGARES-ENDLINE'!$A:$B,2,FALSE)</f>
        <v>01030676</v>
      </c>
      <c r="F1280" s="6" t="str">
        <f t="shared" si="41"/>
        <v>0103067604</v>
      </c>
    </row>
    <row r="1281" spans="1:6" x14ac:dyDescent="0.3">
      <c r="A1281" s="6" t="s">
        <v>2285</v>
      </c>
      <c r="B1281">
        <v>32741994</v>
      </c>
      <c r="C1281">
        <v>6</v>
      </c>
      <c r="D1281" t="str">
        <f t="shared" si="42"/>
        <v>06</v>
      </c>
      <c r="E1281" t="str">
        <f>VLOOKUP(B1281,'HOGARES-ENDLINE'!$A:$B,2,FALSE)</f>
        <v>01030676</v>
      </c>
      <c r="F1281" s="6" t="str">
        <f t="shared" si="41"/>
        <v>0103067606</v>
      </c>
    </row>
    <row r="1282" spans="1:6" x14ac:dyDescent="0.3">
      <c r="A1282" s="6" t="s">
        <v>2288</v>
      </c>
      <c r="B1282">
        <v>32741994</v>
      </c>
      <c r="C1282">
        <v>5</v>
      </c>
      <c r="D1282" t="str">
        <f t="shared" si="42"/>
        <v>05</v>
      </c>
      <c r="E1282" t="str">
        <f>VLOOKUP(B1282,'HOGARES-ENDLINE'!$A:$B,2,FALSE)</f>
        <v>01030676</v>
      </c>
      <c r="F1282" s="6" t="str">
        <f t="shared" si="41"/>
        <v>0103067605</v>
      </c>
    </row>
    <row r="1283" spans="1:6" x14ac:dyDescent="0.3">
      <c r="A1283" s="6" t="s">
        <v>2289</v>
      </c>
      <c r="B1283">
        <v>32741994</v>
      </c>
      <c r="C1283">
        <v>3</v>
      </c>
      <c r="D1283" t="str">
        <f t="shared" si="42"/>
        <v>03</v>
      </c>
      <c r="E1283" t="str">
        <f>VLOOKUP(B1283,'HOGARES-ENDLINE'!$A:$B,2,FALSE)</f>
        <v>01030676</v>
      </c>
      <c r="F1283" s="6" t="str">
        <f t="shared" ref="F1283:F1346" si="43">_xlfn.CONCAT(E1283,D1283)</f>
        <v>0103067603</v>
      </c>
    </row>
    <row r="1284" spans="1:6" x14ac:dyDescent="0.3">
      <c r="A1284" s="6" t="s">
        <v>2290</v>
      </c>
      <c r="B1284">
        <v>32741994</v>
      </c>
      <c r="C1284">
        <v>1</v>
      </c>
      <c r="D1284" t="str">
        <f t="shared" si="42"/>
        <v>01</v>
      </c>
      <c r="E1284" t="str">
        <f>VLOOKUP(B1284,'HOGARES-ENDLINE'!$A:$B,2,FALSE)</f>
        <v>01030676</v>
      </c>
      <c r="F1284" s="6" t="str">
        <f t="shared" si="43"/>
        <v>0103067601</v>
      </c>
    </row>
    <row r="1285" spans="1:6" x14ac:dyDescent="0.3">
      <c r="A1285" s="6" t="s">
        <v>2292</v>
      </c>
      <c r="B1285">
        <v>32744428</v>
      </c>
      <c r="C1285">
        <v>1</v>
      </c>
      <c r="D1285" t="str">
        <f t="shared" si="42"/>
        <v>01</v>
      </c>
      <c r="E1285" t="str">
        <f>VLOOKUP(B1285,'HOGARES-ENDLINE'!$A:$B,2,FALSE)</f>
        <v>01030677</v>
      </c>
      <c r="F1285" s="6" t="str">
        <f t="shared" si="43"/>
        <v>0103067701</v>
      </c>
    </row>
    <row r="1286" spans="1:6" x14ac:dyDescent="0.3">
      <c r="A1286" s="6" t="s">
        <v>2291</v>
      </c>
      <c r="B1286">
        <v>32744428</v>
      </c>
      <c r="C1286">
        <v>3</v>
      </c>
      <c r="D1286" t="str">
        <f t="shared" si="42"/>
        <v>03</v>
      </c>
      <c r="E1286" t="str">
        <f>VLOOKUP(B1286,'HOGARES-ENDLINE'!$A:$B,2,FALSE)</f>
        <v>01030677</v>
      </c>
      <c r="F1286" s="6" t="str">
        <f t="shared" si="43"/>
        <v>0103067703</v>
      </c>
    </row>
    <row r="1287" spans="1:6" x14ac:dyDescent="0.3">
      <c r="A1287" s="6" t="s">
        <v>2293</v>
      </c>
      <c r="B1287">
        <v>32744428</v>
      </c>
      <c r="C1287">
        <v>2</v>
      </c>
      <c r="D1287" t="str">
        <f t="shared" si="42"/>
        <v>02</v>
      </c>
      <c r="E1287" t="str">
        <f>VLOOKUP(B1287,'HOGARES-ENDLINE'!$A:$B,2,FALSE)</f>
        <v>01030677</v>
      </c>
      <c r="F1287" s="6" t="str">
        <f t="shared" si="43"/>
        <v>0103067702</v>
      </c>
    </row>
    <row r="1288" spans="1:6" x14ac:dyDescent="0.3">
      <c r="A1288" s="6" t="s">
        <v>2298</v>
      </c>
      <c r="B1288">
        <v>32745229</v>
      </c>
      <c r="C1288">
        <v>3</v>
      </c>
      <c r="D1288" t="str">
        <f t="shared" si="42"/>
        <v>03</v>
      </c>
      <c r="E1288" t="str">
        <f>VLOOKUP(B1288,'HOGARES-ENDLINE'!$A:$B,2,FALSE)</f>
        <v>00030678</v>
      </c>
      <c r="F1288" s="6" t="str">
        <f t="shared" si="43"/>
        <v>0003067803</v>
      </c>
    </row>
    <row r="1289" spans="1:6" x14ac:dyDescent="0.3">
      <c r="A1289" s="6" t="s">
        <v>2299</v>
      </c>
      <c r="B1289">
        <v>32745229</v>
      </c>
      <c r="C1289">
        <v>1</v>
      </c>
      <c r="D1289" t="str">
        <f t="shared" si="42"/>
        <v>01</v>
      </c>
      <c r="E1289" t="str">
        <f>VLOOKUP(B1289,'HOGARES-ENDLINE'!$A:$B,2,FALSE)</f>
        <v>00030678</v>
      </c>
      <c r="F1289" s="6" t="str">
        <f t="shared" si="43"/>
        <v>0003067801</v>
      </c>
    </row>
    <row r="1290" spans="1:6" x14ac:dyDescent="0.3">
      <c r="A1290" s="6" t="s">
        <v>2294</v>
      </c>
      <c r="B1290">
        <v>32745229</v>
      </c>
      <c r="C1290">
        <v>4</v>
      </c>
      <c r="D1290" t="str">
        <f t="shared" si="42"/>
        <v>04</v>
      </c>
      <c r="E1290" t="str">
        <f>VLOOKUP(B1290,'HOGARES-ENDLINE'!$A:$B,2,FALSE)</f>
        <v>00030678</v>
      </c>
      <c r="F1290" s="6" t="str">
        <f t="shared" si="43"/>
        <v>0003067804</v>
      </c>
    </row>
    <row r="1291" spans="1:6" x14ac:dyDescent="0.3">
      <c r="A1291" s="6" t="s">
        <v>2297</v>
      </c>
      <c r="B1291">
        <v>32745229</v>
      </c>
      <c r="C1291">
        <v>2</v>
      </c>
      <c r="D1291" t="str">
        <f t="shared" si="42"/>
        <v>02</v>
      </c>
      <c r="E1291" t="str">
        <f>VLOOKUP(B1291,'HOGARES-ENDLINE'!$A:$B,2,FALSE)</f>
        <v>00030678</v>
      </c>
      <c r="F1291" s="6" t="str">
        <f t="shared" si="43"/>
        <v>0003067802</v>
      </c>
    </row>
    <row r="1292" spans="1:6" x14ac:dyDescent="0.3">
      <c r="A1292" s="6" t="s">
        <v>2296</v>
      </c>
      <c r="B1292">
        <v>32745229</v>
      </c>
      <c r="C1292">
        <v>6</v>
      </c>
      <c r="D1292" t="str">
        <f t="shared" si="42"/>
        <v>06</v>
      </c>
      <c r="E1292" t="str">
        <f>VLOOKUP(B1292,'HOGARES-ENDLINE'!$A:$B,2,FALSE)</f>
        <v>00030678</v>
      </c>
      <c r="F1292" s="6" t="str">
        <f t="shared" si="43"/>
        <v>0003067806</v>
      </c>
    </row>
    <row r="1293" spans="1:6" x14ac:dyDescent="0.3">
      <c r="A1293" s="6" t="s">
        <v>2295</v>
      </c>
      <c r="B1293">
        <v>32745229</v>
      </c>
      <c r="C1293">
        <v>5</v>
      </c>
      <c r="D1293" t="str">
        <f t="shared" si="42"/>
        <v>05</v>
      </c>
      <c r="E1293" t="str">
        <f>VLOOKUP(B1293,'HOGARES-ENDLINE'!$A:$B,2,FALSE)</f>
        <v>00030678</v>
      </c>
      <c r="F1293" s="6" t="str">
        <f t="shared" si="43"/>
        <v>0003067805</v>
      </c>
    </row>
    <row r="1294" spans="1:6" x14ac:dyDescent="0.3">
      <c r="A1294" s="6" t="s">
        <v>2303</v>
      </c>
      <c r="B1294">
        <v>32749067</v>
      </c>
      <c r="C1294">
        <v>1</v>
      </c>
      <c r="D1294" t="str">
        <f t="shared" si="42"/>
        <v>01</v>
      </c>
      <c r="E1294" t="str">
        <f>VLOOKUP(B1294,'HOGARES-ENDLINE'!$A:$B,2,FALSE)</f>
        <v>00030679</v>
      </c>
      <c r="F1294" s="6" t="str">
        <f t="shared" si="43"/>
        <v>0003067901</v>
      </c>
    </row>
    <row r="1295" spans="1:6" x14ac:dyDescent="0.3">
      <c r="A1295" s="6" t="s">
        <v>2300</v>
      </c>
      <c r="B1295">
        <v>32749067</v>
      </c>
      <c r="C1295">
        <v>4</v>
      </c>
      <c r="D1295" t="str">
        <f t="shared" si="42"/>
        <v>04</v>
      </c>
      <c r="E1295" t="str">
        <f>VLOOKUP(B1295,'HOGARES-ENDLINE'!$A:$B,2,FALSE)</f>
        <v>00030679</v>
      </c>
      <c r="F1295" s="6" t="str">
        <f t="shared" si="43"/>
        <v>0003067904</v>
      </c>
    </row>
    <row r="1296" spans="1:6" x14ac:dyDescent="0.3">
      <c r="A1296" s="6" t="s">
        <v>2301</v>
      </c>
      <c r="B1296">
        <v>32749067</v>
      </c>
      <c r="C1296">
        <v>3</v>
      </c>
      <c r="D1296" t="str">
        <f t="shared" si="42"/>
        <v>03</v>
      </c>
      <c r="E1296" t="str">
        <f>VLOOKUP(B1296,'HOGARES-ENDLINE'!$A:$B,2,FALSE)</f>
        <v>00030679</v>
      </c>
      <c r="F1296" s="6" t="str">
        <f t="shared" si="43"/>
        <v>0003067903</v>
      </c>
    </row>
    <row r="1297" spans="1:6" x14ac:dyDescent="0.3">
      <c r="A1297" s="6" t="s">
        <v>2302</v>
      </c>
      <c r="B1297">
        <v>32749067</v>
      </c>
      <c r="C1297">
        <v>2</v>
      </c>
      <c r="D1297" t="str">
        <f t="shared" si="42"/>
        <v>02</v>
      </c>
      <c r="E1297" t="str">
        <f>VLOOKUP(B1297,'HOGARES-ENDLINE'!$A:$B,2,FALSE)</f>
        <v>00030679</v>
      </c>
      <c r="F1297" s="6" t="str">
        <f t="shared" si="43"/>
        <v>0003067902</v>
      </c>
    </row>
    <row r="1298" spans="1:6" x14ac:dyDescent="0.3">
      <c r="A1298" s="6" t="s">
        <v>2304</v>
      </c>
      <c r="B1298">
        <v>32750464</v>
      </c>
      <c r="C1298">
        <v>4</v>
      </c>
      <c r="D1298" t="str">
        <f t="shared" si="42"/>
        <v>04</v>
      </c>
      <c r="E1298" t="str">
        <f>VLOOKUP(B1298,'HOGARES-ENDLINE'!$A:$B,2,FALSE)</f>
        <v>00030680</v>
      </c>
      <c r="F1298" s="6" t="str">
        <f t="shared" si="43"/>
        <v>0003068004</v>
      </c>
    </row>
    <row r="1299" spans="1:6" x14ac:dyDescent="0.3">
      <c r="A1299" s="6" t="s">
        <v>2305</v>
      </c>
      <c r="B1299">
        <v>32750464</v>
      </c>
      <c r="C1299">
        <v>5</v>
      </c>
      <c r="D1299" t="str">
        <f t="shared" si="42"/>
        <v>05</v>
      </c>
      <c r="E1299" t="str">
        <f>VLOOKUP(B1299,'HOGARES-ENDLINE'!$A:$B,2,FALSE)</f>
        <v>00030680</v>
      </c>
      <c r="F1299" s="6" t="str">
        <f t="shared" si="43"/>
        <v>0003068005</v>
      </c>
    </row>
    <row r="1300" spans="1:6" x14ac:dyDescent="0.3">
      <c r="A1300" s="6" t="s">
        <v>2307</v>
      </c>
      <c r="B1300">
        <v>32750464</v>
      </c>
      <c r="C1300">
        <v>2</v>
      </c>
      <c r="D1300" t="str">
        <f t="shared" si="42"/>
        <v>02</v>
      </c>
      <c r="E1300" t="str">
        <f>VLOOKUP(B1300,'HOGARES-ENDLINE'!$A:$B,2,FALSE)</f>
        <v>00030680</v>
      </c>
      <c r="F1300" s="6" t="str">
        <f t="shared" si="43"/>
        <v>0003068002</v>
      </c>
    </row>
    <row r="1301" spans="1:6" x14ac:dyDescent="0.3">
      <c r="A1301" s="6" t="s">
        <v>5174</v>
      </c>
      <c r="B1301">
        <v>32750464</v>
      </c>
      <c r="C1301">
        <v>6</v>
      </c>
      <c r="D1301" t="str">
        <f t="shared" si="42"/>
        <v>06</v>
      </c>
      <c r="E1301" t="str">
        <f>VLOOKUP(B1301,'HOGARES-ENDLINE'!$A:$B,2,FALSE)</f>
        <v>00030680</v>
      </c>
      <c r="F1301" s="6" t="str">
        <f t="shared" si="43"/>
        <v>0003068006</v>
      </c>
    </row>
    <row r="1302" spans="1:6" x14ac:dyDescent="0.3">
      <c r="A1302" s="6" t="s">
        <v>2306</v>
      </c>
      <c r="B1302">
        <v>32750464</v>
      </c>
      <c r="C1302">
        <v>1</v>
      </c>
      <c r="D1302" t="str">
        <f t="shared" ref="D1302:D1354" si="44">_xlfn.CONCAT(0,C1302)</f>
        <v>01</v>
      </c>
      <c r="E1302" t="str">
        <f>VLOOKUP(B1302,'HOGARES-ENDLINE'!$A:$B,2,FALSE)</f>
        <v>00030680</v>
      </c>
      <c r="F1302" s="6" t="str">
        <f t="shared" si="43"/>
        <v>0003068001</v>
      </c>
    </row>
    <row r="1303" spans="1:6" x14ac:dyDescent="0.3">
      <c r="A1303" s="6" t="s">
        <v>2308</v>
      </c>
      <c r="B1303">
        <v>32750464</v>
      </c>
      <c r="C1303">
        <v>3</v>
      </c>
      <c r="D1303" t="str">
        <f t="shared" si="44"/>
        <v>03</v>
      </c>
      <c r="E1303" t="str">
        <f>VLOOKUP(B1303,'HOGARES-ENDLINE'!$A:$B,2,FALSE)</f>
        <v>00030680</v>
      </c>
      <c r="F1303" s="6" t="str">
        <f t="shared" si="43"/>
        <v>0003068003</v>
      </c>
    </row>
    <row r="1304" spans="1:6" x14ac:dyDescent="0.3">
      <c r="A1304" s="6" t="s">
        <v>2310</v>
      </c>
      <c r="B1304">
        <v>32752555</v>
      </c>
      <c r="C1304">
        <v>3</v>
      </c>
      <c r="D1304" t="str">
        <f t="shared" si="44"/>
        <v>03</v>
      </c>
      <c r="E1304" t="str">
        <f>VLOOKUP(B1304,'HOGARES-ENDLINE'!$A:$B,2,FALSE)</f>
        <v>01030681</v>
      </c>
      <c r="F1304" s="6" t="str">
        <f t="shared" si="43"/>
        <v>0103068103</v>
      </c>
    </row>
    <row r="1305" spans="1:6" x14ac:dyDescent="0.3">
      <c r="A1305" s="6" t="s">
        <v>2312</v>
      </c>
      <c r="B1305">
        <v>32752555</v>
      </c>
      <c r="C1305">
        <v>1</v>
      </c>
      <c r="D1305" t="str">
        <f t="shared" si="44"/>
        <v>01</v>
      </c>
      <c r="E1305" t="str">
        <f>VLOOKUP(B1305,'HOGARES-ENDLINE'!$A:$B,2,FALSE)</f>
        <v>01030681</v>
      </c>
      <c r="F1305" s="6" t="str">
        <f t="shared" si="43"/>
        <v>0103068101</v>
      </c>
    </row>
    <row r="1306" spans="1:6" x14ac:dyDescent="0.3">
      <c r="A1306" s="6" t="s">
        <v>2309</v>
      </c>
      <c r="B1306">
        <v>32752555</v>
      </c>
      <c r="C1306">
        <v>2</v>
      </c>
      <c r="D1306" t="str">
        <f t="shared" si="44"/>
        <v>02</v>
      </c>
      <c r="E1306" t="str">
        <f>VLOOKUP(B1306,'HOGARES-ENDLINE'!$A:$B,2,FALSE)</f>
        <v>01030681</v>
      </c>
      <c r="F1306" s="6" t="str">
        <f t="shared" si="43"/>
        <v>0103068102</v>
      </c>
    </row>
    <row r="1307" spans="1:6" x14ac:dyDescent="0.3">
      <c r="A1307" s="6" t="s">
        <v>2314</v>
      </c>
      <c r="B1307">
        <v>32754634</v>
      </c>
      <c r="C1307">
        <v>2</v>
      </c>
      <c r="D1307" t="str">
        <f t="shared" si="44"/>
        <v>02</v>
      </c>
      <c r="E1307" t="str">
        <f>VLOOKUP(B1307,'HOGARES-ENDLINE'!$A:$B,2,FALSE)</f>
        <v>00030682</v>
      </c>
      <c r="F1307" s="6" t="str">
        <f t="shared" si="43"/>
        <v>0003068202</v>
      </c>
    </row>
    <row r="1308" spans="1:6" x14ac:dyDescent="0.3">
      <c r="A1308" s="6" t="s">
        <v>2313</v>
      </c>
      <c r="B1308">
        <v>32754634</v>
      </c>
      <c r="C1308">
        <v>1</v>
      </c>
      <c r="D1308" t="str">
        <f t="shared" si="44"/>
        <v>01</v>
      </c>
      <c r="E1308" t="str">
        <f>VLOOKUP(B1308,'HOGARES-ENDLINE'!$A:$B,2,FALSE)</f>
        <v>00030682</v>
      </c>
      <c r="F1308" s="6" t="str">
        <f t="shared" si="43"/>
        <v>0003068201</v>
      </c>
    </row>
    <row r="1309" spans="1:6" x14ac:dyDescent="0.3">
      <c r="A1309" s="6" t="s">
        <v>2321</v>
      </c>
      <c r="B1309">
        <v>32761116</v>
      </c>
      <c r="C1309">
        <v>2</v>
      </c>
      <c r="D1309" t="str">
        <f t="shared" si="44"/>
        <v>02</v>
      </c>
      <c r="E1309" t="str">
        <f>VLOOKUP(B1309,'HOGARES-ENDLINE'!$A:$B,2,FALSE)</f>
        <v>00030683</v>
      </c>
      <c r="F1309" s="6" t="str">
        <f t="shared" si="43"/>
        <v>0003068302</v>
      </c>
    </row>
    <row r="1310" spans="1:6" x14ac:dyDescent="0.3">
      <c r="A1310" s="6" t="s">
        <v>2315</v>
      </c>
      <c r="B1310">
        <v>32761116</v>
      </c>
      <c r="C1310">
        <v>7</v>
      </c>
      <c r="D1310" t="str">
        <f t="shared" si="44"/>
        <v>07</v>
      </c>
      <c r="E1310" t="str">
        <f>VLOOKUP(B1310,'HOGARES-ENDLINE'!$A:$B,2,FALSE)</f>
        <v>00030683</v>
      </c>
      <c r="F1310" s="6" t="str">
        <f t="shared" si="43"/>
        <v>0003068307</v>
      </c>
    </row>
    <row r="1311" spans="1:6" x14ac:dyDescent="0.3">
      <c r="A1311" s="6" t="s">
        <v>2316</v>
      </c>
      <c r="B1311">
        <v>32761116</v>
      </c>
      <c r="C1311">
        <v>5</v>
      </c>
      <c r="D1311" t="str">
        <f t="shared" si="44"/>
        <v>05</v>
      </c>
      <c r="E1311" t="str">
        <f>VLOOKUP(B1311,'HOGARES-ENDLINE'!$A:$B,2,FALSE)</f>
        <v>00030683</v>
      </c>
      <c r="F1311" s="6" t="str">
        <f t="shared" si="43"/>
        <v>0003068305</v>
      </c>
    </row>
    <row r="1312" spans="1:6" x14ac:dyDescent="0.3">
      <c r="A1312" s="6" t="s">
        <v>2318</v>
      </c>
      <c r="B1312">
        <v>32761116</v>
      </c>
      <c r="C1312">
        <v>1</v>
      </c>
      <c r="D1312" t="str">
        <f t="shared" si="44"/>
        <v>01</v>
      </c>
      <c r="E1312" t="str">
        <f>VLOOKUP(B1312,'HOGARES-ENDLINE'!$A:$B,2,FALSE)</f>
        <v>00030683</v>
      </c>
      <c r="F1312" s="6" t="str">
        <f t="shared" si="43"/>
        <v>0003068301</v>
      </c>
    </row>
    <row r="1313" spans="1:6" x14ac:dyDescent="0.3">
      <c r="A1313" s="6" t="s">
        <v>2317</v>
      </c>
      <c r="B1313">
        <v>32761116</v>
      </c>
      <c r="C1313">
        <v>6</v>
      </c>
      <c r="D1313" t="str">
        <f t="shared" si="44"/>
        <v>06</v>
      </c>
      <c r="E1313" t="str">
        <f>VLOOKUP(B1313,'HOGARES-ENDLINE'!$A:$B,2,FALSE)</f>
        <v>00030683</v>
      </c>
      <c r="F1313" s="6" t="str">
        <f t="shared" si="43"/>
        <v>0003068306</v>
      </c>
    </row>
    <row r="1314" spans="1:6" x14ac:dyDescent="0.3">
      <c r="A1314" s="6" t="s">
        <v>2320</v>
      </c>
      <c r="B1314">
        <v>32761116</v>
      </c>
      <c r="C1314">
        <v>4</v>
      </c>
      <c r="D1314" t="str">
        <f t="shared" si="44"/>
        <v>04</v>
      </c>
      <c r="E1314" t="str">
        <f>VLOOKUP(B1314,'HOGARES-ENDLINE'!$A:$B,2,FALSE)</f>
        <v>00030683</v>
      </c>
      <c r="F1314" s="6" t="str">
        <f t="shared" si="43"/>
        <v>0003068304</v>
      </c>
    </row>
    <row r="1315" spans="1:6" x14ac:dyDescent="0.3">
      <c r="A1315" s="6" t="s">
        <v>2325</v>
      </c>
      <c r="B1315">
        <v>32764598</v>
      </c>
      <c r="C1315">
        <v>4</v>
      </c>
      <c r="D1315" t="str">
        <f t="shared" si="44"/>
        <v>04</v>
      </c>
      <c r="E1315" t="str">
        <f>VLOOKUP(B1315,'HOGARES-ENDLINE'!$A:$B,2,FALSE)</f>
        <v>01030684</v>
      </c>
      <c r="F1315" s="6" t="str">
        <f t="shared" si="43"/>
        <v>0103068404</v>
      </c>
    </row>
    <row r="1316" spans="1:6" x14ac:dyDescent="0.3">
      <c r="A1316" s="6" t="s">
        <v>2324</v>
      </c>
      <c r="B1316">
        <v>32764598</v>
      </c>
      <c r="C1316">
        <v>5</v>
      </c>
      <c r="D1316" t="str">
        <f t="shared" si="44"/>
        <v>05</v>
      </c>
      <c r="E1316" t="str">
        <f>VLOOKUP(B1316,'HOGARES-ENDLINE'!$A:$B,2,FALSE)</f>
        <v>01030684</v>
      </c>
      <c r="F1316" s="6" t="str">
        <f t="shared" si="43"/>
        <v>0103068405</v>
      </c>
    </row>
    <row r="1317" spans="1:6" x14ac:dyDescent="0.3">
      <c r="A1317" s="6" t="s">
        <v>2322</v>
      </c>
      <c r="B1317">
        <v>32764598</v>
      </c>
      <c r="C1317">
        <v>2</v>
      </c>
      <c r="D1317" t="str">
        <f t="shared" si="44"/>
        <v>02</v>
      </c>
      <c r="E1317" t="str">
        <f>VLOOKUP(B1317,'HOGARES-ENDLINE'!$A:$B,2,FALSE)</f>
        <v>01030684</v>
      </c>
      <c r="F1317" s="6" t="str">
        <f t="shared" si="43"/>
        <v>0103068402</v>
      </c>
    </row>
    <row r="1318" spans="1:6" x14ac:dyDescent="0.3">
      <c r="A1318" s="6" t="s">
        <v>2323</v>
      </c>
      <c r="B1318">
        <v>32764598</v>
      </c>
      <c r="C1318">
        <v>1</v>
      </c>
      <c r="D1318" t="str">
        <f t="shared" si="44"/>
        <v>01</v>
      </c>
      <c r="E1318" t="str">
        <f>VLOOKUP(B1318,'HOGARES-ENDLINE'!$A:$B,2,FALSE)</f>
        <v>01030684</v>
      </c>
      <c r="F1318" s="6" t="str">
        <f t="shared" si="43"/>
        <v>0103068401</v>
      </c>
    </row>
    <row r="1319" spans="1:6" x14ac:dyDescent="0.3">
      <c r="A1319" s="6" t="s">
        <v>2331</v>
      </c>
      <c r="B1319">
        <v>32766298</v>
      </c>
      <c r="C1319">
        <v>2</v>
      </c>
      <c r="D1319" t="str">
        <f t="shared" si="44"/>
        <v>02</v>
      </c>
      <c r="E1319" t="str">
        <f>VLOOKUP(B1319,'HOGARES-ENDLINE'!$A:$B,2,FALSE)</f>
        <v>00030685</v>
      </c>
      <c r="F1319" s="6" t="str">
        <f t="shared" si="43"/>
        <v>0003068502</v>
      </c>
    </row>
    <row r="1320" spans="1:6" x14ac:dyDescent="0.3">
      <c r="A1320" s="6" t="s">
        <v>2329</v>
      </c>
      <c r="B1320">
        <v>32766298</v>
      </c>
      <c r="C1320">
        <v>4</v>
      </c>
      <c r="D1320" t="str">
        <f t="shared" si="44"/>
        <v>04</v>
      </c>
      <c r="E1320" t="str">
        <f>VLOOKUP(B1320,'HOGARES-ENDLINE'!$A:$B,2,FALSE)</f>
        <v>00030685</v>
      </c>
      <c r="F1320" s="6" t="str">
        <f t="shared" si="43"/>
        <v>0003068504</v>
      </c>
    </row>
    <row r="1321" spans="1:6" x14ac:dyDescent="0.3">
      <c r="A1321" s="6" t="s">
        <v>2328</v>
      </c>
      <c r="B1321">
        <v>32766298</v>
      </c>
      <c r="C1321">
        <v>3</v>
      </c>
      <c r="D1321" t="str">
        <f t="shared" si="44"/>
        <v>03</v>
      </c>
      <c r="E1321" t="str">
        <f>VLOOKUP(B1321,'HOGARES-ENDLINE'!$A:$B,2,FALSE)</f>
        <v>00030685</v>
      </c>
      <c r="F1321" s="6" t="str">
        <f t="shared" si="43"/>
        <v>0003068503</v>
      </c>
    </row>
    <row r="1322" spans="1:6" x14ac:dyDescent="0.3">
      <c r="A1322" s="6" t="s">
        <v>2330</v>
      </c>
      <c r="B1322">
        <v>32766298</v>
      </c>
      <c r="C1322">
        <v>5</v>
      </c>
      <c r="D1322" t="str">
        <f t="shared" si="44"/>
        <v>05</v>
      </c>
      <c r="E1322" t="str">
        <f>VLOOKUP(B1322,'HOGARES-ENDLINE'!$A:$B,2,FALSE)</f>
        <v>00030685</v>
      </c>
      <c r="F1322" s="6" t="str">
        <f t="shared" si="43"/>
        <v>0003068505</v>
      </c>
    </row>
    <row r="1323" spans="1:6" x14ac:dyDescent="0.3">
      <c r="A1323" s="6" t="s">
        <v>2327</v>
      </c>
      <c r="B1323">
        <v>32766298</v>
      </c>
      <c r="C1323">
        <v>6</v>
      </c>
      <c r="D1323" t="str">
        <f t="shared" si="44"/>
        <v>06</v>
      </c>
      <c r="E1323" t="str">
        <f>VLOOKUP(B1323,'HOGARES-ENDLINE'!$A:$B,2,FALSE)</f>
        <v>00030685</v>
      </c>
      <c r="F1323" s="6" t="str">
        <f t="shared" si="43"/>
        <v>0003068506</v>
      </c>
    </row>
    <row r="1324" spans="1:6" x14ac:dyDescent="0.3">
      <c r="A1324" s="6" t="s">
        <v>2332</v>
      </c>
      <c r="B1324">
        <v>32766298</v>
      </c>
      <c r="C1324">
        <v>1</v>
      </c>
      <c r="D1324" t="str">
        <f t="shared" si="44"/>
        <v>01</v>
      </c>
      <c r="E1324" t="str">
        <f>VLOOKUP(B1324,'HOGARES-ENDLINE'!$A:$B,2,FALSE)</f>
        <v>00030685</v>
      </c>
      <c r="F1324" s="6" t="str">
        <f t="shared" si="43"/>
        <v>0003068501</v>
      </c>
    </row>
    <row r="1325" spans="1:6" x14ac:dyDescent="0.3">
      <c r="A1325" s="6" t="s">
        <v>2333</v>
      </c>
      <c r="B1325">
        <v>32766298</v>
      </c>
      <c r="C1325">
        <v>7</v>
      </c>
      <c r="D1325" t="str">
        <f t="shared" si="44"/>
        <v>07</v>
      </c>
      <c r="E1325" t="str">
        <f>VLOOKUP(B1325,'HOGARES-ENDLINE'!$A:$B,2,FALSE)</f>
        <v>00030685</v>
      </c>
      <c r="F1325" s="6" t="str">
        <f t="shared" si="43"/>
        <v>0003068507</v>
      </c>
    </row>
    <row r="1326" spans="1:6" x14ac:dyDescent="0.3">
      <c r="A1326" s="6" t="s">
        <v>2336</v>
      </c>
      <c r="B1326">
        <v>32766429</v>
      </c>
      <c r="C1326">
        <v>3</v>
      </c>
      <c r="D1326" t="str">
        <f t="shared" si="44"/>
        <v>03</v>
      </c>
      <c r="E1326" t="str">
        <f>VLOOKUP(B1326,'HOGARES-ENDLINE'!$A:$B,2,FALSE)</f>
        <v>00030686</v>
      </c>
      <c r="F1326" s="6" t="str">
        <f t="shared" si="43"/>
        <v>0003068603</v>
      </c>
    </row>
    <row r="1327" spans="1:6" x14ac:dyDescent="0.3">
      <c r="A1327" s="6" t="s">
        <v>2335</v>
      </c>
      <c r="B1327">
        <v>32766429</v>
      </c>
      <c r="C1327">
        <v>2</v>
      </c>
      <c r="D1327" t="str">
        <f t="shared" si="44"/>
        <v>02</v>
      </c>
      <c r="E1327" t="str">
        <f>VLOOKUP(B1327,'HOGARES-ENDLINE'!$A:$B,2,FALSE)</f>
        <v>00030686</v>
      </c>
      <c r="F1327" s="6" t="str">
        <f t="shared" si="43"/>
        <v>0003068602</v>
      </c>
    </row>
    <row r="1328" spans="1:6" x14ac:dyDescent="0.3">
      <c r="A1328" s="6" t="s">
        <v>5175</v>
      </c>
      <c r="B1328">
        <v>32766429</v>
      </c>
      <c r="C1328">
        <v>4</v>
      </c>
      <c r="D1328" t="str">
        <f t="shared" si="44"/>
        <v>04</v>
      </c>
      <c r="E1328" t="str">
        <f>VLOOKUP(B1328,'HOGARES-ENDLINE'!$A:$B,2,FALSE)</f>
        <v>00030686</v>
      </c>
      <c r="F1328" s="6" t="str">
        <f t="shared" si="43"/>
        <v>0003068604</v>
      </c>
    </row>
    <row r="1329" spans="1:6" x14ac:dyDescent="0.3">
      <c r="A1329" s="6" t="s">
        <v>5176</v>
      </c>
      <c r="B1329">
        <v>32766429</v>
      </c>
      <c r="C1329">
        <v>5</v>
      </c>
      <c r="D1329" t="str">
        <f t="shared" si="44"/>
        <v>05</v>
      </c>
      <c r="E1329" t="str">
        <f>VLOOKUP(B1329,'HOGARES-ENDLINE'!$A:$B,2,FALSE)</f>
        <v>00030686</v>
      </c>
      <c r="F1329" s="6" t="str">
        <f t="shared" si="43"/>
        <v>0003068605</v>
      </c>
    </row>
    <row r="1330" spans="1:6" x14ac:dyDescent="0.3">
      <c r="A1330" s="6" t="s">
        <v>2334</v>
      </c>
      <c r="B1330">
        <v>32766429</v>
      </c>
      <c r="C1330">
        <v>1</v>
      </c>
      <c r="D1330" t="str">
        <f t="shared" si="44"/>
        <v>01</v>
      </c>
      <c r="E1330" t="str">
        <f>VLOOKUP(B1330,'HOGARES-ENDLINE'!$A:$B,2,FALSE)</f>
        <v>00030686</v>
      </c>
      <c r="F1330" s="6" t="str">
        <f t="shared" si="43"/>
        <v>0003068601</v>
      </c>
    </row>
    <row r="1331" spans="1:6" x14ac:dyDescent="0.3">
      <c r="A1331" s="6" t="s">
        <v>2339</v>
      </c>
      <c r="B1331">
        <v>32771620</v>
      </c>
      <c r="C1331">
        <v>1</v>
      </c>
      <c r="D1331" t="str">
        <f t="shared" si="44"/>
        <v>01</v>
      </c>
      <c r="E1331" t="str">
        <f>VLOOKUP(B1331,'HOGARES-ENDLINE'!$A:$B,2,FALSE)</f>
        <v>00030687</v>
      </c>
      <c r="F1331" s="6" t="str">
        <f t="shared" si="43"/>
        <v>0003068701</v>
      </c>
    </row>
    <row r="1332" spans="1:6" x14ac:dyDescent="0.3">
      <c r="A1332" s="6" t="s">
        <v>2337</v>
      </c>
      <c r="B1332">
        <v>32771620</v>
      </c>
      <c r="C1332">
        <v>3</v>
      </c>
      <c r="D1332" t="str">
        <f t="shared" si="44"/>
        <v>03</v>
      </c>
      <c r="E1332" t="str">
        <f>VLOOKUP(B1332,'HOGARES-ENDLINE'!$A:$B,2,FALSE)</f>
        <v>00030687</v>
      </c>
      <c r="F1332" s="6" t="str">
        <f t="shared" si="43"/>
        <v>0003068703</v>
      </c>
    </row>
    <row r="1333" spans="1:6" x14ac:dyDescent="0.3">
      <c r="A1333" s="6" t="s">
        <v>2338</v>
      </c>
      <c r="B1333">
        <v>32771620</v>
      </c>
      <c r="C1333">
        <v>2</v>
      </c>
      <c r="D1333" t="str">
        <f t="shared" si="44"/>
        <v>02</v>
      </c>
      <c r="E1333" t="str">
        <f>VLOOKUP(B1333,'HOGARES-ENDLINE'!$A:$B,2,FALSE)</f>
        <v>00030687</v>
      </c>
      <c r="F1333" s="6" t="str">
        <f t="shared" si="43"/>
        <v>0003068702</v>
      </c>
    </row>
    <row r="1334" spans="1:6" x14ac:dyDescent="0.3">
      <c r="A1334" s="6" t="s">
        <v>2342</v>
      </c>
      <c r="B1334">
        <v>32772911</v>
      </c>
      <c r="C1334">
        <v>1</v>
      </c>
      <c r="D1334" t="str">
        <f t="shared" si="44"/>
        <v>01</v>
      </c>
      <c r="E1334" t="str">
        <f>VLOOKUP(B1334,'HOGARES-ENDLINE'!$A:$B,2,FALSE)</f>
        <v>01030688</v>
      </c>
      <c r="F1334" s="6" t="str">
        <f t="shared" si="43"/>
        <v>0103068801</v>
      </c>
    </row>
    <row r="1335" spans="1:6" x14ac:dyDescent="0.3">
      <c r="A1335" s="6" t="s">
        <v>2340</v>
      </c>
      <c r="B1335">
        <v>32772911</v>
      </c>
      <c r="C1335">
        <v>3</v>
      </c>
      <c r="D1335" t="str">
        <f t="shared" si="44"/>
        <v>03</v>
      </c>
      <c r="E1335" t="str">
        <f>VLOOKUP(B1335,'HOGARES-ENDLINE'!$A:$B,2,FALSE)</f>
        <v>01030688</v>
      </c>
      <c r="F1335" s="6" t="str">
        <f t="shared" si="43"/>
        <v>0103068803</v>
      </c>
    </row>
    <row r="1336" spans="1:6" x14ac:dyDescent="0.3">
      <c r="A1336" s="6" t="s">
        <v>2341</v>
      </c>
      <c r="B1336">
        <v>32772911</v>
      </c>
      <c r="C1336">
        <v>2</v>
      </c>
      <c r="D1336" t="str">
        <f t="shared" si="44"/>
        <v>02</v>
      </c>
      <c r="E1336" t="str">
        <f>VLOOKUP(B1336,'HOGARES-ENDLINE'!$A:$B,2,FALSE)</f>
        <v>01030688</v>
      </c>
      <c r="F1336" s="6" t="str">
        <f t="shared" si="43"/>
        <v>0103068802</v>
      </c>
    </row>
    <row r="1337" spans="1:6" x14ac:dyDescent="0.3">
      <c r="A1337" s="6" t="s">
        <v>2343</v>
      </c>
      <c r="B1337">
        <v>32776426</v>
      </c>
      <c r="C1337">
        <v>1</v>
      </c>
      <c r="D1337" t="str">
        <f t="shared" si="44"/>
        <v>01</v>
      </c>
      <c r="E1337" t="str">
        <f>VLOOKUP(B1337,'HOGARES-ENDLINE'!$A:$B,2,FALSE)</f>
        <v>00030689</v>
      </c>
      <c r="F1337" s="6" t="str">
        <f t="shared" si="43"/>
        <v>0003068901</v>
      </c>
    </row>
    <row r="1338" spans="1:6" x14ac:dyDescent="0.3">
      <c r="A1338" s="6" t="s">
        <v>2346</v>
      </c>
      <c r="B1338">
        <v>32776499</v>
      </c>
      <c r="C1338">
        <v>3</v>
      </c>
      <c r="D1338" t="str">
        <f t="shared" si="44"/>
        <v>03</v>
      </c>
      <c r="E1338" t="str">
        <f>VLOOKUP(B1338,'HOGARES-ENDLINE'!$A:$B,2,FALSE)</f>
        <v>00030690</v>
      </c>
      <c r="F1338" s="6" t="str">
        <f t="shared" si="43"/>
        <v>0003069003</v>
      </c>
    </row>
    <row r="1339" spans="1:6" x14ac:dyDescent="0.3">
      <c r="A1339" s="6" t="s">
        <v>2345</v>
      </c>
      <c r="B1339">
        <v>32776499</v>
      </c>
      <c r="C1339">
        <v>1</v>
      </c>
      <c r="D1339" t="str">
        <f t="shared" si="44"/>
        <v>01</v>
      </c>
      <c r="E1339" t="str">
        <f>VLOOKUP(B1339,'HOGARES-ENDLINE'!$A:$B,2,FALSE)</f>
        <v>00030690</v>
      </c>
      <c r="F1339" s="6" t="str">
        <f t="shared" si="43"/>
        <v>0003069001</v>
      </c>
    </row>
    <row r="1340" spans="1:6" x14ac:dyDescent="0.3">
      <c r="A1340" s="6" t="s">
        <v>2344</v>
      </c>
      <c r="B1340">
        <v>32776499</v>
      </c>
      <c r="C1340">
        <v>2</v>
      </c>
      <c r="D1340" t="str">
        <f t="shared" si="44"/>
        <v>02</v>
      </c>
      <c r="E1340" t="str">
        <f>VLOOKUP(B1340,'HOGARES-ENDLINE'!$A:$B,2,FALSE)</f>
        <v>00030690</v>
      </c>
      <c r="F1340" s="6" t="str">
        <f t="shared" si="43"/>
        <v>0003069002</v>
      </c>
    </row>
    <row r="1341" spans="1:6" x14ac:dyDescent="0.3">
      <c r="A1341" s="6" t="s">
        <v>2349</v>
      </c>
      <c r="B1341">
        <v>32778590</v>
      </c>
      <c r="C1341">
        <v>1</v>
      </c>
      <c r="D1341" t="str">
        <f t="shared" si="44"/>
        <v>01</v>
      </c>
      <c r="E1341" t="str">
        <f>VLOOKUP(B1341,'HOGARES-ENDLINE'!$A:$B,2,FALSE)</f>
        <v>01030691</v>
      </c>
      <c r="F1341" s="6" t="str">
        <f t="shared" si="43"/>
        <v>0103069101</v>
      </c>
    </row>
    <row r="1342" spans="1:6" x14ac:dyDescent="0.3">
      <c r="A1342" s="6" t="s">
        <v>2348</v>
      </c>
      <c r="B1342">
        <v>32778590</v>
      </c>
      <c r="C1342">
        <v>3</v>
      </c>
      <c r="D1342" t="str">
        <f t="shared" si="44"/>
        <v>03</v>
      </c>
      <c r="E1342" t="str">
        <f>VLOOKUP(B1342,'HOGARES-ENDLINE'!$A:$B,2,FALSE)</f>
        <v>01030691</v>
      </c>
      <c r="F1342" s="6" t="str">
        <f t="shared" si="43"/>
        <v>0103069103</v>
      </c>
    </row>
    <row r="1343" spans="1:6" x14ac:dyDescent="0.3">
      <c r="A1343" s="6" t="s">
        <v>2350</v>
      </c>
      <c r="B1343">
        <v>32778590</v>
      </c>
      <c r="C1343">
        <v>5</v>
      </c>
      <c r="D1343" t="str">
        <f t="shared" si="44"/>
        <v>05</v>
      </c>
      <c r="E1343" t="str">
        <f>VLOOKUP(B1343,'HOGARES-ENDLINE'!$A:$B,2,FALSE)</f>
        <v>01030691</v>
      </c>
      <c r="F1343" s="6" t="str">
        <f t="shared" si="43"/>
        <v>0103069105</v>
      </c>
    </row>
    <row r="1344" spans="1:6" x14ac:dyDescent="0.3">
      <c r="A1344" s="6" t="s">
        <v>2351</v>
      </c>
      <c r="B1344">
        <v>32778590</v>
      </c>
      <c r="C1344">
        <v>2</v>
      </c>
      <c r="D1344" t="str">
        <f t="shared" si="44"/>
        <v>02</v>
      </c>
      <c r="E1344" t="str">
        <f>VLOOKUP(B1344,'HOGARES-ENDLINE'!$A:$B,2,FALSE)</f>
        <v>01030691</v>
      </c>
      <c r="F1344" s="6" t="str">
        <f t="shared" si="43"/>
        <v>0103069102</v>
      </c>
    </row>
    <row r="1345" spans="1:6" x14ac:dyDescent="0.3">
      <c r="A1345" s="6" t="s">
        <v>2347</v>
      </c>
      <c r="B1345">
        <v>32778590</v>
      </c>
      <c r="C1345">
        <v>4</v>
      </c>
      <c r="D1345" t="str">
        <f t="shared" si="44"/>
        <v>04</v>
      </c>
      <c r="E1345" t="str">
        <f>VLOOKUP(B1345,'HOGARES-ENDLINE'!$A:$B,2,FALSE)</f>
        <v>01030691</v>
      </c>
      <c r="F1345" s="6" t="str">
        <f t="shared" si="43"/>
        <v>0103069104</v>
      </c>
    </row>
    <row r="1346" spans="1:6" x14ac:dyDescent="0.3">
      <c r="A1346" s="6" t="s">
        <v>2352</v>
      </c>
      <c r="B1346">
        <v>32779874</v>
      </c>
      <c r="C1346">
        <v>1</v>
      </c>
      <c r="D1346" t="str">
        <f t="shared" si="44"/>
        <v>01</v>
      </c>
      <c r="E1346" t="str">
        <f>VLOOKUP(B1346,'HOGARES-ENDLINE'!$A:$B,2,FALSE)</f>
        <v>01030692</v>
      </c>
      <c r="F1346" s="6" t="str">
        <f t="shared" si="43"/>
        <v>0103069201</v>
      </c>
    </row>
    <row r="1347" spans="1:6" x14ac:dyDescent="0.3">
      <c r="A1347" s="6" t="s">
        <v>2353</v>
      </c>
      <c r="B1347">
        <v>32779874</v>
      </c>
      <c r="C1347">
        <v>2</v>
      </c>
      <c r="D1347" t="str">
        <f t="shared" si="44"/>
        <v>02</v>
      </c>
      <c r="E1347" t="str">
        <f>VLOOKUP(B1347,'HOGARES-ENDLINE'!$A:$B,2,FALSE)</f>
        <v>01030692</v>
      </c>
      <c r="F1347" s="6" t="str">
        <f t="shared" ref="F1347:F1410" si="45">_xlfn.CONCAT(E1347,D1347)</f>
        <v>0103069202</v>
      </c>
    </row>
    <row r="1348" spans="1:6" x14ac:dyDescent="0.3">
      <c r="A1348" s="6" t="s">
        <v>2354</v>
      </c>
      <c r="B1348">
        <v>32779874</v>
      </c>
      <c r="C1348">
        <v>3</v>
      </c>
      <c r="D1348" t="str">
        <f t="shared" si="44"/>
        <v>03</v>
      </c>
      <c r="E1348" t="str">
        <f>VLOOKUP(B1348,'HOGARES-ENDLINE'!$A:$B,2,FALSE)</f>
        <v>01030692</v>
      </c>
      <c r="F1348" s="6" t="str">
        <f t="shared" si="45"/>
        <v>0103069203</v>
      </c>
    </row>
    <row r="1349" spans="1:6" x14ac:dyDescent="0.3">
      <c r="A1349" s="6" t="s">
        <v>2357</v>
      </c>
      <c r="B1349">
        <v>32783129</v>
      </c>
      <c r="C1349">
        <v>6</v>
      </c>
      <c r="D1349" t="str">
        <f t="shared" si="44"/>
        <v>06</v>
      </c>
      <c r="E1349" t="str">
        <f>VLOOKUP(B1349,'HOGARES-ENDLINE'!$A:$B,2,FALSE)</f>
        <v>01030693</v>
      </c>
      <c r="F1349" s="6" t="str">
        <f t="shared" si="45"/>
        <v>0103069306</v>
      </c>
    </row>
    <row r="1350" spans="1:6" x14ac:dyDescent="0.3">
      <c r="A1350" s="6" t="s">
        <v>2360</v>
      </c>
      <c r="B1350">
        <v>32783129</v>
      </c>
      <c r="C1350">
        <v>5</v>
      </c>
      <c r="D1350" t="str">
        <f t="shared" si="44"/>
        <v>05</v>
      </c>
      <c r="E1350" t="str">
        <f>VLOOKUP(B1350,'HOGARES-ENDLINE'!$A:$B,2,FALSE)</f>
        <v>01030693</v>
      </c>
      <c r="F1350" s="6" t="str">
        <f t="shared" si="45"/>
        <v>0103069305</v>
      </c>
    </row>
    <row r="1351" spans="1:6" x14ac:dyDescent="0.3">
      <c r="A1351" s="6" t="s">
        <v>2361</v>
      </c>
      <c r="B1351">
        <v>32783129</v>
      </c>
      <c r="C1351">
        <v>3</v>
      </c>
      <c r="D1351" t="str">
        <f t="shared" si="44"/>
        <v>03</v>
      </c>
      <c r="E1351" t="str">
        <f>VLOOKUP(B1351,'HOGARES-ENDLINE'!$A:$B,2,FALSE)</f>
        <v>01030693</v>
      </c>
      <c r="F1351" s="6" t="str">
        <f t="shared" si="45"/>
        <v>0103069303</v>
      </c>
    </row>
    <row r="1352" spans="1:6" x14ac:dyDescent="0.3">
      <c r="A1352" s="6" t="s">
        <v>2359</v>
      </c>
      <c r="B1352">
        <v>32783129</v>
      </c>
      <c r="C1352">
        <v>4</v>
      </c>
      <c r="D1352" t="str">
        <f t="shared" si="44"/>
        <v>04</v>
      </c>
      <c r="E1352" t="str">
        <f>VLOOKUP(B1352,'HOGARES-ENDLINE'!$A:$B,2,FALSE)</f>
        <v>01030693</v>
      </c>
      <c r="F1352" s="6" t="str">
        <f t="shared" si="45"/>
        <v>0103069304</v>
      </c>
    </row>
    <row r="1353" spans="1:6" x14ac:dyDescent="0.3">
      <c r="A1353" s="6" t="s">
        <v>2355</v>
      </c>
      <c r="B1353">
        <v>32783129</v>
      </c>
      <c r="C1353">
        <v>7</v>
      </c>
      <c r="D1353" t="str">
        <f t="shared" si="44"/>
        <v>07</v>
      </c>
      <c r="E1353" t="str">
        <f>VLOOKUP(B1353,'HOGARES-ENDLINE'!$A:$B,2,FALSE)</f>
        <v>01030693</v>
      </c>
      <c r="F1353" s="6" t="str">
        <f t="shared" si="45"/>
        <v>0103069307</v>
      </c>
    </row>
    <row r="1354" spans="1:6" x14ac:dyDescent="0.3">
      <c r="A1354" s="6" t="s">
        <v>2356</v>
      </c>
      <c r="B1354">
        <v>32783129</v>
      </c>
      <c r="C1354">
        <v>1</v>
      </c>
      <c r="D1354" t="str">
        <f t="shared" si="44"/>
        <v>01</v>
      </c>
      <c r="E1354" t="str">
        <f>VLOOKUP(B1354,'HOGARES-ENDLINE'!$A:$B,2,FALSE)</f>
        <v>01030693</v>
      </c>
      <c r="F1354" s="6" t="str">
        <f t="shared" si="45"/>
        <v>0103069301</v>
      </c>
    </row>
    <row r="1355" spans="1:6" x14ac:dyDescent="0.3">
      <c r="A1355" s="6" t="s">
        <v>2368</v>
      </c>
      <c r="B1355">
        <v>32783639</v>
      </c>
      <c r="C1355">
        <v>11</v>
      </c>
      <c r="D1355">
        <f>C1355</f>
        <v>11</v>
      </c>
      <c r="E1355" t="str">
        <f>VLOOKUP(B1355,'HOGARES-ENDLINE'!$A:$B,2,FALSE)</f>
        <v>00030694</v>
      </c>
      <c r="F1355" s="6" t="str">
        <f t="shared" si="45"/>
        <v>0003069411</v>
      </c>
    </row>
    <row r="1356" spans="1:6" x14ac:dyDescent="0.3">
      <c r="A1356" s="6" t="s">
        <v>2365</v>
      </c>
      <c r="B1356">
        <v>32783639</v>
      </c>
      <c r="C1356">
        <v>9</v>
      </c>
      <c r="D1356" t="str">
        <f>_xlfn.CONCAT(0,C1356)</f>
        <v>09</v>
      </c>
      <c r="E1356" t="str">
        <f>VLOOKUP(B1356,'HOGARES-ENDLINE'!$A:$B,2,FALSE)</f>
        <v>00030694</v>
      </c>
      <c r="F1356" s="6" t="str">
        <f t="shared" si="45"/>
        <v>0003069409</v>
      </c>
    </row>
    <row r="1357" spans="1:6" x14ac:dyDescent="0.3">
      <c r="A1357" s="6" t="s">
        <v>2364</v>
      </c>
      <c r="B1357">
        <v>32783639</v>
      </c>
      <c r="C1357">
        <v>12</v>
      </c>
      <c r="D1357">
        <f>C1357</f>
        <v>12</v>
      </c>
      <c r="E1357" t="str">
        <f>VLOOKUP(B1357,'HOGARES-ENDLINE'!$A:$B,2,FALSE)</f>
        <v>00030694</v>
      </c>
      <c r="F1357" s="6" t="str">
        <f t="shared" si="45"/>
        <v>0003069412</v>
      </c>
    </row>
    <row r="1358" spans="1:6" x14ac:dyDescent="0.3">
      <c r="A1358" s="6" t="s">
        <v>2371</v>
      </c>
      <c r="B1358">
        <v>32783639</v>
      </c>
      <c r="C1358">
        <v>1</v>
      </c>
      <c r="D1358" t="str">
        <f t="shared" ref="D1358:D1361" si="46">_xlfn.CONCAT(0,C1358)</f>
        <v>01</v>
      </c>
      <c r="E1358" t="str">
        <f>VLOOKUP(B1358,'HOGARES-ENDLINE'!$A:$B,2,FALSE)</f>
        <v>00030694</v>
      </c>
      <c r="F1358" s="6" t="str">
        <f t="shared" si="45"/>
        <v>0003069401</v>
      </c>
    </row>
    <row r="1359" spans="1:6" x14ac:dyDescent="0.3">
      <c r="A1359" s="6" t="s">
        <v>2367</v>
      </c>
      <c r="B1359">
        <v>32783639</v>
      </c>
      <c r="C1359">
        <v>3</v>
      </c>
      <c r="D1359" t="str">
        <f t="shared" si="46"/>
        <v>03</v>
      </c>
      <c r="E1359" t="str">
        <f>VLOOKUP(B1359,'HOGARES-ENDLINE'!$A:$B,2,FALSE)</f>
        <v>00030694</v>
      </c>
      <c r="F1359" s="6" t="str">
        <f t="shared" si="45"/>
        <v>0003069403</v>
      </c>
    </row>
    <row r="1360" spans="1:6" x14ac:dyDescent="0.3">
      <c r="A1360" s="6" t="s">
        <v>2363</v>
      </c>
      <c r="B1360">
        <v>32783639</v>
      </c>
      <c r="C1360">
        <v>2</v>
      </c>
      <c r="D1360" t="str">
        <f t="shared" si="46"/>
        <v>02</v>
      </c>
      <c r="E1360" t="str">
        <f>VLOOKUP(B1360,'HOGARES-ENDLINE'!$A:$B,2,FALSE)</f>
        <v>00030694</v>
      </c>
      <c r="F1360" s="6" t="str">
        <f t="shared" si="45"/>
        <v>0003069402</v>
      </c>
    </row>
    <row r="1361" spans="1:6" x14ac:dyDescent="0.3">
      <c r="A1361" s="6" t="s">
        <v>2370</v>
      </c>
      <c r="B1361">
        <v>32783639</v>
      </c>
      <c r="C1361">
        <v>4</v>
      </c>
      <c r="D1361" t="str">
        <f t="shared" si="46"/>
        <v>04</v>
      </c>
      <c r="E1361" t="str">
        <f>VLOOKUP(B1361,'HOGARES-ENDLINE'!$A:$B,2,FALSE)</f>
        <v>00030694</v>
      </c>
      <c r="F1361" s="6" t="str">
        <f t="shared" si="45"/>
        <v>0003069404</v>
      </c>
    </row>
    <row r="1362" spans="1:6" x14ac:dyDescent="0.3">
      <c r="A1362" s="6" t="s">
        <v>2372</v>
      </c>
      <c r="B1362">
        <v>32783639</v>
      </c>
      <c r="C1362">
        <v>10</v>
      </c>
      <c r="D1362">
        <f>C1362</f>
        <v>10</v>
      </c>
      <c r="E1362" t="str">
        <f>VLOOKUP(B1362,'HOGARES-ENDLINE'!$A:$B,2,FALSE)</f>
        <v>00030694</v>
      </c>
      <c r="F1362" s="6" t="str">
        <f t="shared" si="45"/>
        <v>0003069410</v>
      </c>
    </row>
    <row r="1363" spans="1:6" x14ac:dyDescent="0.3">
      <c r="A1363" s="6" t="s">
        <v>2366</v>
      </c>
      <c r="B1363">
        <v>32783639</v>
      </c>
      <c r="C1363">
        <v>8</v>
      </c>
      <c r="D1363" t="str">
        <f t="shared" ref="D1363:D1365" si="47">_xlfn.CONCAT(0,C1363)</f>
        <v>08</v>
      </c>
      <c r="E1363" t="str">
        <f>VLOOKUP(B1363,'HOGARES-ENDLINE'!$A:$B,2,FALSE)</f>
        <v>00030694</v>
      </c>
      <c r="F1363" s="6" t="str">
        <f t="shared" si="45"/>
        <v>0003069408</v>
      </c>
    </row>
    <row r="1364" spans="1:6" x14ac:dyDescent="0.3">
      <c r="A1364" s="6" t="s">
        <v>2373</v>
      </c>
      <c r="B1364">
        <v>32783639</v>
      </c>
      <c r="C1364">
        <v>6</v>
      </c>
      <c r="D1364" t="str">
        <f t="shared" si="47"/>
        <v>06</v>
      </c>
      <c r="E1364" t="str">
        <f>VLOOKUP(B1364,'HOGARES-ENDLINE'!$A:$B,2,FALSE)</f>
        <v>00030694</v>
      </c>
      <c r="F1364" s="6" t="str">
        <f t="shared" si="45"/>
        <v>0003069406</v>
      </c>
    </row>
    <row r="1365" spans="1:6" x14ac:dyDescent="0.3">
      <c r="A1365" s="6" t="s">
        <v>2369</v>
      </c>
      <c r="B1365">
        <v>32783639</v>
      </c>
      <c r="C1365">
        <v>5</v>
      </c>
      <c r="D1365" t="str">
        <f t="shared" si="47"/>
        <v>05</v>
      </c>
      <c r="E1365" t="str">
        <f>VLOOKUP(B1365,'HOGARES-ENDLINE'!$A:$B,2,FALSE)</f>
        <v>00030694</v>
      </c>
      <c r="F1365" s="6" t="str">
        <f t="shared" si="45"/>
        <v>0003069405</v>
      </c>
    </row>
    <row r="1366" spans="1:6" x14ac:dyDescent="0.3">
      <c r="A1366" s="6" t="s">
        <v>2362</v>
      </c>
      <c r="B1366">
        <v>32783639</v>
      </c>
      <c r="C1366">
        <v>13</v>
      </c>
      <c r="D1366">
        <f>C1366</f>
        <v>13</v>
      </c>
      <c r="E1366" t="str">
        <f>VLOOKUP(B1366,'HOGARES-ENDLINE'!$A:$B,2,FALSE)</f>
        <v>00030694</v>
      </c>
      <c r="F1366" s="6" t="str">
        <f t="shared" si="45"/>
        <v>0003069413</v>
      </c>
    </row>
    <row r="1367" spans="1:6" x14ac:dyDescent="0.3">
      <c r="A1367" s="6" t="s">
        <v>2374</v>
      </c>
      <c r="B1367">
        <v>32783639</v>
      </c>
      <c r="C1367">
        <v>7</v>
      </c>
      <c r="D1367" t="str">
        <f t="shared" ref="D1367:D1430" si="48">_xlfn.CONCAT(0,C1367)</f>
        <v>07</v>
      </c>
      <c r="E1367" t="str">
        <f>VLOOKUP(B1367,'HOGARES-ENDLINE'!$A:$B,2,FALSE)</f>
        <v>00030694</v>
      </c>
      <c r="F1367" s="6" t="str">
        <f t="shared" si="45"/>
        <v>0003069407</v>
      </c>
    </row>
    <row r="1368" spans="1:6" x14ac:dyDescent="0.3">
      <c r="A1368" s="6" t="s">
        <v>2375</v>
      </c>
      <c r="B1368">
        <v>32783797</v>
      </c>
      <c r="C1368">
        <v>2</v>
      </c>
      <c r="D1368" t="str">
        <f t="shared" si="48"/>
        <v>02</v>
      </c>
      <c r="E1368" t="str">
        <f>VLOOKUP(B1368,'HOGARES-ENDLINE'!$A:$B,2,FALSE)</f>
        <v>01030695</v>
      </c>
      <c r="F1368" s="6" t="str">
        <f t="shared" si="45"/>
        <v>0103069502</v>
      </c>
    </row>
    <row r="1369" spans="1:6" x14ac:dyDescent="0.3">
      <c r="A1369" s="6" t="s">
        <v>2376</v>
      </c>
      <c r="B1369">
        <v>32783797</v>
      </c>
      <c r="C1369">
        <v>1</v>
      </c>
      <c r="D1369" t="str">
        <f t="shared" si="48"/>
        <v>01</v>
      </c>
      <c r="E1369" t="str">
        <f>VLOOKUP(B1369,'HOGARES-ENDLINE'!$A:$B,2,FALSE)</f>
        <v>01030695</v>
      </c>
      <c r="F1369" s="6" t="str">
        <f t="shared" si="45"/>
        <v>0103069501</v>
      </c>
    </row>
    <row r="1370" spans="1:6" x14ac:dyDescent="0.3">
      <c r="A1370" s="6" t="s">
        <v>2384</v>
      </c>
      <c r="B1370">
        <v>32783861</v>
      </c>
      <c r="C1370">
        <v>3</v>
      </c>
      <c r="D1370" t="str">
        <f t="shared" si="48"/>
        <v>03</v>
      </c>
      <c r="E1370" t="str">
        <f>VLOOKUP(B1370,'HOGARES-ENDLINE'!$A:$B,2,FALSE)</f>
        <v>00030696</v>
      </c>
      <c r="F1370" s="6" t="str">
        <f t="shared" si="45"/>
        <v>0003069603</v>
      </c>
    </row>
    <row r="1371" spans="1:6" x14ac:dyDescent="0.3">
      <c r="A1371" s="6" t="s">
        <v>2382</v>
      </c>
      <c r="B1371">
        <v>32783861</v>
      </c>
      <c r="C1371">
        <v>6</v>
      </c>
      <c r="D1371" t="str">
        <f t="shared" si="48"/>
        <v>06</v>
      </c>
      <c r="E1371" t="str">
        <f>VLOOKUP(B1371,'HOGARES-ENDLINE'!$A:$B,2,FALSE)</f>
        <v>00030696</v>
      </c>
      <c r="F1371" s="6" t="str">
        <f t="shared" si="45"/>
        <v>0003069606</v>
      </c>
    </row>
    <row r="1372" spans="1:6" x14ac:dyDescent="0.3">
      <c r="A1372" s="6" t="s">
        <v>2378</v>
      </c>
      <c r="B1372">
        <v>32783861</v>
      </c>
      <c r="C1372">
        <v>4</v>
      </c>
      <c r="D1372" t="str">
        <f t="shared" si="48"/>
        <v>04</v>
      </c>
      <c r="E1372" t="str">
        <f>VLOOKUP(B1372,'HOGARES-ENDLINE'!$A:$B,2,FALSE)</f>
        <v>00030696</v>
      </c>
      <c r="F1372" s="6" t="str">
        <f t="shared" si="45"/>
        <v>0003069604</v>
      </c>
    </row>
    <row r="1373" spans="1:6" x14ac:dyDescent="0.3">
      <c r="A1373" s="6" t="s">
        <v>2381</v>
      </c>
      <c r="B1373">
        <v>32783861</v>
      </c>
      <c r="C1373">
        <v>2</v>
      </c>
      <c r="D1373" t="str">
        <f t="shared" si="48"/>
        <v>02</v>
      </c>
      <c r="E1373" t="str">
        <f>VLOOKUP(B1373,'HOGARES-ENDLINE'!$A:$B,2,FALSE)</f>
        <v>00030696</v>
      </c>
      <c r="F1373" s="6" t="str">
        <f t="shared" si="45"/>
        <v>0003069602</v>
      </c>
    </row>
    <row r="1374" spans="1:6" x14ac:dyDescent="0.3">
      <c r="A1374" s="6" t="s">
        <v>2377</v>
      </c>
      <c r="B1374">
        <v>32783861</v>
      </c>
      <c r="C1374">
        <v>1</v>
      </c>
      <c r="D1374" t="str">
        <f t="shared" si="48"/>
        <v>01</v>
      </c>
      <c r="E1374" t="str">
        <f>VLOOKUP(B1374,'HOGARES-ENDLINE'!$A:$B,2,FALSE)</f>
        <v>00030696</v>
      </c>
      <c r="F1374" s="6" t="str">
        <f t="shared" si="45"/>
        <v>0003069601</v>
      </c>
    </row>
    <row r="1375" spans="1:6" x14ac:dyDescent="0.3">
      <c r="A1375" s="6" t="s">
        <v>2383</v>
      </c>
      <c r="B1375">
        <v>32783861</v>
      </c>
      <c r="C1375">
        <v>7</v>
      </c>
      <c r="D1375" t="str">
        <f t="shared" si="48"/>
        <v>07</v>
      </c>
      <c r="E1375" t="str">
        <f>VLOOKUP(B1375,'HOGARES-ENDLINE'!$A:$B,2,FALSE)</f>
        <v>00030696</v>
      </c>
      <c r="F1375" s="6" t="str">
        <f t="shared" si="45"/>
        <v>0003069607</v>
      </c>
    </row>
    <row r="1376" spans="1:6" x14ac:dyDescent="0.3">
      <c r="A1376" s="6" t="s">
        <v>2386</v>
      </c>
      <c r="B1376">
        <v>32785097</v>
      </c>
      <c r="C1376">
        <v>2</v>
      </c>
      <c r="D1376" t="str">
        <f t="shared" si="48"/>
        <v>02</v>
      </c>
      <c r="E1376" t="str">
        <f>VLOOKUP(B1376,'HOGARES-ENDLINE'!$A:$B,2,FALSE)</f>
        <v>01030697</v>
      </c>
      <c r="F1376" s="6" t="str">
        <f t="shared" si="45"/>
        <v>0103069702</v>
      </c>
    </row>
    <row r="1377" spans="1:6" x14ac:dyDescent="0.3">
      <c r="A1377" s="6" t="s">
        <v>2385</v>
      </c>
      <c r="B1377">
        <v>32785097</v>
      </c>
      <c r="C1377">
        <v>3</v>
      </c>
      <c r="D1377" t="str">
        <f t="shared" si="48"/>
        <v>03</v>
      </c>
      <c r="E1377" t="str">
        <f>VLOOKUP(B1377,'HOGARES-ENDLINE'!$A:$B,2,FALSE)</f>
        <v>01030697</v>
      </c>
      <c r="F1377" s="6" t="str">
        <f t="shared" si="45"/>
        <v>0103069703</v>
      </c>
    </row>
    <row r="1378" spans="1:6" x14ac:dyDescent="0.3">
      <c r="A1378" s="6" t="s">
        <v>2388</v>
      </c>
      <c r="B1378">
        <v>32785097</v>
      </c>
      <c r="C1378">
        <v>4</v>
      </c>
      <c r="D1378" t="str">
        <f t="shared" si="48"/>
        <v>04</v>
      </c>
      <c r="E1378" t="str">
        <f>VLOOKUP(B1378,'HOGARES-ENDLINE'!$A:$B,2,FALSE)</f>
        <v>01030697</v>
      </c>
      <c r="F1378" s="6" t="str">
        <f t="shared" si="45"/>
        <v>0103069704</v>
      </c>
    </row>
    <row r="1379" spans="1:6" x14ac:dyDescent="0.3">
      <c r="A1379" s="6" t="s">
        <v>2387</v>
      </c>
      <c r="B1379">
        <v>32785097</v>
      </c>
      <c r="C1379">
        <v>1</v>
      </c>
      <c r="D1379" t="str">
        <f t="shared" si="48"/>
        <v>01</v>
      </c>
      <c r="E1379" t="str">
        <f>VLOOKUP(B1379,'HOGARES-ENDLINE'!$A:$B,2,FALSE)</f>
        <v>01030697</v>
      </c>
      <c r="F1379" s="6" t="str">
        <f t="shared" si="45"/>
        <v>0103069701</v>
      </c>
    </row>
    <row r="1380" spans="1:6" x14ac:dyDescent="0.3">
      <c r="A1380" s="6" t="s">
        <v>2389</v>
      </c>
      <c r="B1380">
        <v>32786242</v>
      </c>
      <c r="C1380">
        <v>2</v>
      </c>
      <c r="D1380" t="str">
        <f t="shared" si="48"/>
        <v>02</v>
      </c>
      <c r="E1380" t="str">
        <f>VLOOKUP(B1380,'HOGARES-ENDLINE'!$A:$B,2,FALSE)</f>
        <v>00030698</v>
      </c>
      <c r="F1380" s="6" t="str">
        <f t="shared" si="45"/>
        <v>0003069802</v>
      </c>
    </row>
    <row r="1381" spans="1:6" x14ac:dyDescent="0.3">
      <c r="A1381" s="6" t="s">
        <v>2393</v>
      </c>
      <c r="B1381">
        <v>32790051</v>
      </c>
      <c r="C1381">
        <v>1</v>
      </c>
      <c r="D1381" t="str">
        <f t="shared" si="48"/>
        <v>01</v>
      </c>
      <c r="E1381" t="str">
        <f>VLOOKUP(B1381,'HOGARES-ENDLINE'!$A:$B,2,FALSE)</f>
        <v>01030699</v>
      </c>
      <c r="F1381" s="6" t="str">
        <f t="shared" si="45"/>
        <v>0103069901</v>
      </c>
    </row>
    <row r="1382" spans="1:6" x14ac:dyDescent="0.3">
      <c r="A1382" s="6" t="s">
        <v>2392</v>
      </c>
      <c r="B1382">
        <v>32790051</v>
      </c>
      <c r="C1382">
        <v>5</v>
      </c>
      <c r="D1382" t="str">
        <f t="shared" si="48"/>
        <v>05</v>
      </c>
      <c r="E1382" t="str">
        <f>VLOOKUP(B1382,'HOGARES-ENDLINE'!$A:$B,2,FALSE)</f>
        <v>01030699</v>
      </c>
      <c r="F1382" s="6" t="str">
        <f t="shared" si="45"/>
        <v>0103069905</v>
      </c>
    </row>
    <row r="1383" spans="1:6" x14ac:dyDescent="0.3">
      <c r="A1383" s="6" t="s">
        <v>2395</v>
      </c>
      <c r="B1383">
        <v>32790051</v>
      </c>
      <c r="C1383">
        <v>4</v>
      </c>
      <c r="D1383" t="str">
        <f t="shared" si="48"/>
        <v>04</v>
      </c>
      <c r="E1383" t="str">
        <f>VLOOKUP(B1383,'HOGARES-ENDLINE'!$A:$B,2,FALSE)</f>
        <v>01030699</v>
      </c>
      <c r="F1383" s="6" t="str">
        <f t="shared" si="45"/>
        <v>0103069904</v>
      </c>
    </row>
    <row r="1384" spans="1:6" x14ac:dyDescent="0.3">
      <c r="A1384" s="6" t="s">
        <v>2391</v>
      </c>
      <c r="B1384">
        <v>32790051</v>
      </c>
      <c r="C1384">
        <v>3</v>
      </c>
      <c r="D1384" t="str">
        <f t="shared" si="48"/>
        <v>03</v>
      </c>
      <c r="E1384" t="str">
        <f>VLOOKUP(B1384,'HOGARES-ENDLINE'!$A:$B,2,FALSE)</f>
        <v>01030699</v>
      </c>
      <c r="F1384" s="6" t="str">
        <f t="shared" si="45"/>
        <v>0103069903</v>
      </c>
    </row>
    <row r="1385" spans="1:6" x14ac:dyDescent="0.3">
      <c r="A1385" s="6" t="s">
        <v>2396</v>
      </c>
      <c r="B1385">
        <v>32790051</v>
      </c>
      <c r="C1385">
        <v>6</v>
      </c>
      <c r="D1385" t="str">
        <f t="shared" si="48"/>
        <v>06</v>
      </c>
      <c r="E1385" t="str">
        <f>VLOOKUP(B1385,'HOGARES-ENDLINE'!$A:$B,2,FALSE)</f>
        <v>01030699</v>
      </c>
      <c r="F1385" s="6" t="str">
        <f t="shared" si="45"/>
        <v>0103069906</v>
      </c>
    </row>
    <row r="1386" spans="1:6" x14ac:dyDescent="0.3">
      <c r="A1386" s="6" t="s">
        <v>2394</v>
      </c>
      <c r="B1386">
        <v>32790051</v>
      </c>
      <c r="C1386">
        <v>2</v>
      </c>
      <c r="D1386" t="str">
        <f t="shared" si="48"/>
        <v>02</v>
      </c>
      <c r="E1386" t="str">
        <f>VLOOKUP(B1386,'HOGARES-ENDLINE'!$A:$B,2,FALSE)</f>
        <v>01030699</v>
      </c>
      <c r="F1386" s="6" t="str">
        <f t="shared" si="45"/>
        <v>0103069902</v>
      </c>
    </row>
    <row r="1387" spans="1:6" x14ac:dyDescent="0.3">
      <c r="A1387" s="6" t="s">
        <v>2397</v>
      </c>
      <c r="B1387">
        <v>32792195</v>
      </c>
      <c r="C1387">
        <v>2</v>
      </c>
      <c r="D1387" t="str">
        <f t="shared" si="48"/>
        <v>02</v>
      </c>
      <c r="E1387" t="str">
        <f>VLOOKUP(B1387,'HOGARES-ENDLINE'!$A:$B,2,FALSE)</f>
        <v>00030700</v>
      </c>
      <c r="F1387" s="6" t="str">
        <f t="shared" si="45"/>
        <v>0003070002</v>
      </c>
    </row>
    <row r="1388" spans="1:6" x14ac:dyDescent="0.3">
      <c r="A1388" s="6" t="s">
        <v>2399</v>
      </c>
      <c r="B1388">
        <v>32792195</v>
      </c>
      <c r="C1388">
        <v>1</v>
      </c>
      <c r="D1388" t="str">
        <f t="shared" si="48"/>
        <v>01</v>
      </c>
      <c r="E1388" t="str">
        <f>VLOOKUP(B1388,'HOGARES-ENDLINE'!$A:$B,2,FALSE)</f>
        <v>00030700</v>
      </c>
      <c r="F1388" s="6" t="str">
        <f t="shared" si="45"/>
        <v>0003070001</v>
      </c>
    </row>
    <row r="1389" spans="1:6" x14ac:dyDescent="0.3">
      <c r="A1389" s="6" t="s">
        <v>2398</v>
      </c>
      <c r="B1389">
        <v>32792195</v>
      </c>
      <c r="C1389">
        <v>3</v>
      </c>
      <c r="D1389" t="str">
        <f t="shared" si="48"/>
        <v>03</v>
      </c>
      <c r="E1389" t="str">
        <f>VLOOKUP(B1389,'HOGARES-ENDLINE'!$A:$B,2,FALSE)</f>
        <v>00030700</v>
      </c>
      <c r="F1389" s="6" t="str">
        <f t="shared" si="45"/>
        <v>0003070003</v>
      </c>
    </row>
    <row r="1390" spans="1:6" x14ac:dyDescent="0.3">
      <c r="A1390" s="6" t="s">
        <v>2403</v>
      </c>
      <c r="B1390">
        <v>32796944</v>
      </c>
      <c r="C1390">
        <v>3</v>
      </c>
      <c r="D1390" t="str">
        <f t="shared" si="48"/>
        <v>03</v>
      </c>
      <c r="E1390" t="str">
        <f>VLOOKUP(B1390,'HOGARES-ENDLINE'!$A:$B,2,FALSE)</f>
        <v>01030701</v>
      </c>
      <c r="F1390" s="6" t="str">
        <f t="shared" si="45"/>
        <v>0103070103</v>
      </c>
    </row>
    <row r="1391" spans="1:6" x14ac:dyDescent="0.3">
      <c r="A1391" s="6" t="s">
        <v>2400</v>
      </c>
      <c r="B1391">
        <v>32796944</v>
      </c>
      <c r="C1391">
        <v>1</v>
      </c>
      <c r="D1391" t="str">
        <f t="shared" si="48"/>
        <v>01</v>
      </c>
      <c r="E1391" t="str">
        <f>VLOOKUP(B1391,'HOGARES-ENDLINE'!$A:$B,2,FALSE)</f>
        <v>01030701</v>
      </c>
      <c r="F1391" s="6" t="str">
        <f t="shared" si="45"/>
        <v>0103070101</v>
      </c>
    </row>
    <row r="1392" spans="1:6" x14ac:dyDescent="0.3">
      <c r="A1392" s="6" t="s">
        <v>2402</v>
      </c>
      <c r="B1392">
        <v>32796944</v>
      </c>
      <c r="C1392">
        <v>4</v>
      </c>
      <c r="D1392" t="str">
        <f t="shared" si="48"/>
        <v>04</v>
      </c>
      <c r="E1392" t="str">
        <f>VLOOKUP(B1392,'HOGARES-ENDLINE'!$A:$B,2,FALSE)</f>
        <v>01030701</v>
      </c>
      <c r="F1392" s="6" t="str">
        <f t="shared" si="45"/>
        <v>0103070104</v>
      </c>
    </row>
    <row r="1393" spans="1:6" x14ac:dyDescent="0.3">
      <c r="A1393" s="6" t="s">
        <v>2414</v>
      </c>
      <c r="B1393">
        <v>32797627</v>
      </c>
      <c r="C1393">
        <v>8</v>
      </c>
      <c r="D1393" t="str">
        <f t="shared" si="48"/>
        <v>08</v>
      </c>
      <c r="E1393" t="str">
        <f>VLOOKUP(B1393,'HOGARES-ENDLINE'!$A:$B,2,FALSE)</f>
        <v>01030702</v>
      </c>
      <c r="F1393" s="6" t="str">
        <f t="shared" si="45"/>
        <v>0103070208</v>
      </c>
    </row>
    <row r="1394" spans="1:6" x14ac:dyDescent="0.3">
      <c r="A1394" s="6" t="s">
        <v>2405</v>
      </c>
      <c r="B1394">
        <v>32797627</v>
      </c>
      <c r="C1394">
        <v>3</v>
      </c>
      <c r="D1394" t="str">
        <f t="shared" si="48"/>
        <v>03</v>
      </c>
      <c r="E1394" t="str">
        <f>VLOOKUP(B1394,'HOGARES-ENDLINE'!$A:$B,2,FALSE)</f>
        <v>01030702</v>
      </c>
      <c r="F1394" s="6" t="str">
        <f t="shared" si="45"/>
        <v>0103070203</v>
      </c>
    </row>
    <row r="1395" spans="1:6" x14ac:dyDescent="0.3">
      <c r="A1395" s="6" t="s">
        <v>2412</v>
      </c>
      <c r="B1395">
        <v>32797627</v>
      </c>
      <c r="C1395">
        <v>2</v>
      </c>
      <c r="D1395" t="str">
        <f t="shared" si="48"/>
        <v>02</v>
      </c>
      <c r="E1395" t="str">
        <f>VLOOKUP(B1395,'HOGARES-ENDLINE'!$A:$B,2,FALSE)</f>
        <v>01030702</v>
      </c>
      <c r="F1395" s="6" t="str">
        <f t="shared" si="45"/>
        <v>0103070202</v>
      </c>
    </row>
    <row r="1396" spans="1:6" x14ac:dyDescent="0.3">
      <c r="A1396" s="6" t="s">
        <v>2407</v>
      </c>
      <c r="B1396">
        <v>32797627</v>
      </c>
      <c r="C1396">
        <v>6</v>
      </c>
      <c r="D1396" t="str">
        <f t="shared" si="48"/>
        <v>06</v>
      </c>
      <c r="E1396" t="str">
        <f>VLOOKUP(B1396,'HOGARES-ENDLINE'!$A:$B,2,FALSE)</f>
        <v>01030702</v>
      </c>
      <c r="F1396" s="6" t="str">
        <f t="shared" si="45"/>
        <v>0103070206</v>
      </c>
    </row>
    <row r="1397" spans="1:6" x14ac:dyDescent="0.3">
      <c r="A1397" s="6" t="s">
        <v>2413</v>
      </c>
      <c r="B1397">
        <v>32797627</v>
      </c>
      <c r="C1397">
        <v>4</v>
      </c>
      <c r="D1397" t="str">
        <f t="shared" si="48"/>
        <v>04</v>
      </c>
      <c r="E1397" t="str">
        <f>VLOOKUP(B1397,'HOGARES-ENDLINE'!$A:$B,2,FALSE)</f>
        <v>01030702</v>
      </c>
      <c r="F1397" s="6" t="str">
        <f t="shared" si="45"/>
        <v>0103070204</v>
      </c>
    </row>
    <row r="1398" spans="1:6" x14ac:dyDescent="0.3">
      <c r="A1398" s="6" t="s">
        <v>2406</v>
      </c>
      <c r="B1398">
        <v>32797627</v>
      </c>
      <c r="C1398">
        <v>7</v>
      </c>
      <c r="D1398" t="str">
        <f t="shared" si="48"/>
        <v>07</v>
      </c>
      <c r="E1398" t="str">
        <f>VLOOKUP(B1398,'HOGARES-ENDLINE'!$A:$B,2,FALSE)</f>
        <v>01030702</v>
      </c>
      <c r="F1398" s="6" t="str">
        <f t="shared" si="45"/>
        <v>0103070207</v>
      </c>
    </row>
    <row r="1399" spans="1:6" x14ac:dyDescent="0.3">
      <c r="A1399" s="6" t="s">
        <v>2410</v>
      </c>
      <c r="B1399">
        <v>32797627</v>
      </c>
      <c r="C1399">
        <v>9</v>
      </c>
      <c r="D1399" t="str">
        <f t="shared" si="48"/>
        <v>09</v>
      </c>
      <c r="E1399" t="str">
        <f>VLOOKUP(B1399,'HOGARES-ENDLINE'!$A:$B,2,FALSE)</f>
        <v>01030702</v>
      </c>
      <c r="F1399" s="6" t="str">
        <f t="shared" si="45"/>
        <v>0103070209</v>
      </c>
    </row>
    <row r="1400" spans="1:6" x14ac:dyDescent="0.3">
      <c r="A1400" s="6" t="s">
        <v>2404</v>
      </c>
      <c r="B1400">
        <v>32797627</v>
      </c>
      <c r="C1400">
        <v>1</v>
      </c>
      <c r="D1400" t="str">
        <f t="shared" si="48"/>
        <v>01</v>
      </c>
      <c r="E1400" t="str">
        <f>VLOOKUP(B1400,'HOGARES-ENDLINE'!$A:$B,2,FALSE)</f>
        <v>01030702</v>
      </c>
      <c r="F1400" s="6" t="str">
        <f t="shared" si="45"/>
        <v>0103070201</v>
      </c>
    </row>
    <row r="1401" spans="1:6" x14ac:dyDescent="0.3">
      <c r="A1401" s="6" t="s">
        <v>2416</v>
      </c>
      <c r="B1401">
        <v>32800662</v>
      </c>
      <c r="C1401">
        <v>3</v>
      </c>
      <c r="D1401" t="str">
        <f t="shared" si="48"/>
        <v>03</v>
      </c>
      <c r="E1401" t="str">
        <f>VLOOKUP(B1401,'HOGARES-ENDLINE'!$A:$B,2,FALSE)</f>
        <v>01030703</v>
      </c>
      <c r="F1401" s="6" t="str">
        <f t="shared" si="45"/>
        <v>0103070303</v>
      </c>
    </row>
    <row r="1402" spans="1:6" x14ac:dyDescent="0.3">
      <c r="A1402" s="6" t="s">
        <v>2415</v>
      </c>
      <c r="B1402">
        <v>32800662</v>
      </c>
      <c r="C1402">
        <v>2</v>
      </c>
      <c r="D1402" t="str">
        <f t="shared" si="48"/>
        <v>02</v>
      </c>
      <c r="E1402" t="str">
        <f>VLOOKUP(B1402,'HOGARES-ENDLINE'!$A:$B,2,FALSE)</f>
        <v>01030703</v>
      </c>
      <c r="F1402" s="6" t="str">
        <f t="shared" si="45"/>
        <v>0103070302</v>
      </c>
    </row>
    <row r="1403" spans="1:6" x14ac:dyDescent="0.3">
      <c r="A1403" s="6" t="s">
        <v>2418</v>
      </c>
      <c r="B1403">
        <v>32800662</v>
      </c>
      <c r="C1403">
        <v>4</v>
      </c>
      <c r="D1403" t="str">
        <f t="shared" si="48"/>
        <v>04</v>
      </c>
      <c r="E1403" t="str">
        <f>VLOOKUP(B1403,'HOGARES-ENDLINE'!$A:$B,2,FALSE)</f>
        <v>01030703</v>
      </c>
      <c r="F1403" s="6" t="str">
        <f t="shared" si="45"/>
        <v>0103070304</v>
      </c>
    </row>
    <row r="1404" spans="1:6" x14ac:dyDescent="0.3">
      <c r="A1404" s="6" t="s">
        <v>2417</v>
      </c>
      <c r="B1404">
        <v>32800662</v>
      </c>
      <c r="C1404">
        <v>1</v>
      </c>
      <c r="D1404" t="str">
        <f t="shared" si="48"/>
        <v>01</v>
      </c>
      <c r="E1404" t="str">
        <f>VLOOKUP(B1404,'HOGARES-ENDLINE'!$A:$B,2,FALSE)</f>
        <v>01030703</v>
      </c>
      <c r="F1404" s="6" t="str">
        <f t="shared" si="45"/>
        <v>0103070301</v>
      </c>
    </row>
    <row r="1405" spans="1:6" x14ac:dyDescent="0.3">
      <c r="A1405" s="6" t="s">
        <v>2419</v>
      </c>
      <c r="B1405">
        <v>32802610</v>
      </c>
      <c r="C1405">
        <v>1</v>
      </c>
      <c r="D1405" t="str">
        <f t="shared" si="48"/>
        <v>01</v>
      </c>
      <c r="E1405" t="str">
        <f>VLOOKUP(B1405,'HOGARES-ENDLINE'!$A:$B,2,FALSE)</f>
        <v>01030704</v>
      </c>
      <c r="F1405" s="6" t="str">
        <f t="shared" si="45"/>
        <v>0103070401</v>
      </c>
    </row>
    <row r="1406" spans="1:6" x14ac:dyDescent="0.3">
      <c r="A1406" s="6" t="s">
        <v>2426</v>
      </c>
      <c r="B1406">
        <v>32803448</v>
      </c>
      <c r="C1406">
        <v>2</v>
      </c>
      <c r="D1406" t="str">
        <f t="shared" si="48"/>
        <v>02</v>
      </c>
      <c r="E1406" t="str">
        <f>VLOOKUP(B1406,'HOGARES-ENDLINE'!$A:$B,2,FALSE)</f>
        <v>01030705</v>
      </c>
      <c r="F1406" s="6" t="str">
        <f t="shared" si="45"/>
        <v>0103070502</v>
      </c>
    </row>
    <row r="1407" spans="1:6" x14ac:dyDescent="0.3">
      <c r="A1407" s="6" t="s">
        <v>2424</v>
      </c>
      <c r="B1407">
        <v>32803448</v>
      </c>
      <c r="C1407">
        <v>4</v>
      </c>
      <c r="D1407" t="str">
        <f t="shared" si="48"/>
        <v>04</v>
      </c>
      <c r="E1407" t="str">
        <f>VLOOKUP(B1407,'HOGARES-ENDLINE'!$A:$B,2,FALSE)</f>
        <v>01030705</v>
      </c>
      <c r="F1407" s="6" t="str">
        <f t="shared" si="45"/>
        <v>0103070504</v>
      </c>
    </row>
    <row r="1408" spans="1:6" x14ac:dyDescent="0.3">
      <c r="A1408" s="6" t="s">
        <v>2422</v>
      </c>
      <c r="B1408">
        <v>32803448</v>
      </c>
      <c r="C1408">
        <v>1</v>
      </c>
      <c r="D1408" t="str">
        <f t="shared" si="48"/>
        <v>01</v>
      </c>
      <c r="E1408" t="str">
        <f>VLOOKUP(B1408,'HOGARES-ENDLINE'!$A:$B,2,FALSE)</f>
        <v>01030705</v>
      </c>
      <c r="F1408" s="6" t="str">
        <f t="shared" si="45"/>
        <v>0103070501</v>
      </c>
    </row>
    <row r="1409" spans="1:6" x14ac:dyDescent="0.3">
      <c r="A1409" s="6" t="s">
        <v>2425</v>
      </c>
      <c r="B1409">
        <v>32803448</v>
      </c>
      <c r="C1409">
        <v>5</v>
      </c>
      <c r="D1409" t="str">
        <f t="shared" si="48"/>
        <v>05</v>
      </c>
      <c r="E1409" t="str">
        <f>VLOOKUP(B1409,'HOGARES-ENDLINE'!$A:$B,2,FALSE)</f>
        <v>01030705</v>
      </c>
      <c r="F1409" s="6" t="str">
        <f t="shared" si="45"/>
        <v>0103070505</v>
      </c>
    </row>
    <row r="1410" spans="1:6" x14ac:dyDescent="0.3">
      <c r="A1410" s="6" t="s">
        <v>2423</v>
      </c>
      <c r="B1410">
        <v>32803448</v>
      </c>
      <c r="C1410">
        <v>3</v>
      </c>
      <c r="D1410" t="str">
        <f t="shared" si="48"/>
        <v>03</v>
      </c>
      <c r="E1410" t="str">
        <f>VLOOKUP(B1410,'HOGARES-ENDLINE'!$A:$B,2,FALSE)</f>
        <v>01030705</v>
      </c>
      <c r="F1410" s="6" t="str">
        <f t="shared" si="45"/>
        <v>0103070503</v>
      </c>
    </row>
    <row r="1411" spans="1:6" x14ac:dyDescent="0.3">
      <c r="A1411" s="6" t="s">
        <v>2427</v>
      </c>
      <c r="B1411">
        <v>32803484</v>
      </c>
      <c r="C1411">
        <v>2</v>
      </c>
      <c r="D1411" t="str">
        <f t="shared" si="48"/>
        <v>02</v>
      </c>
      <c r="E1411" t="str">
        <f>VLOOKUP(B1411,'HOGARES-ENDLINE'!$A:$B,2,FALSE)</f>
        <v>01030706</v>
      </c>
      <c r="F1411" s="6" t="str">
        <f t="shared" ref="F1411:F1474" si="49">_xlfn.CONCAT(E1411,D1411)</f>
        <v>0103070602</v>
      </c>
    </row>
    <row r="1412" spans="1:6" x14ac:dyDescent="0.3">
      <c r="A1412" s="6" t="s">
        <v>2428</v>
      </c>
      <c r="B1412">
        <v>32803484</v>
      </c>
      <c r="C1412">
        <v>4</v>
      </c>
      <c r="D1412" t="str">
        <f t="shared" si="48"/>
        <v>04</v>
      </c>
      <c r="E1412" t="str">
        <f>VLOOKUP(B1412,'HOGARES-ENDLINE'!$A:$B,2,FALSE)</f>
        <v>01030706</v>
      </c>
      <c r="F1412" s="6" t="str">
        <f t="shared" si="49"/>
        <v>0103070604</v>
      </c>
    </row>
    <row r="1413" spans="1:6" x14ac:dyDescent="0.3">
      <c r="A1413" s="6" t="s">
        <v>2430</v>
      </c>
      <c r="B1413">
        <v>32803484</v>
      </c>
      <c r="C1413">
        <v>1</v>
      </c>
      <c r="D1413" t="str">
        <f t="shared" si="48"/>
        <v>01</v>
      </c>
      <c r="E1413" t="str">
        <f>VLOOKUP(B1413,'HOGARES-ENDLINE'!$A:$B,2,FALSE)</f>
        <v>01030706</v>
      </c>
      <c r="F1413" s="6" t="str">
        <f t="shared" si="49"/>
        <v>0103070601</v>
      </c>
    </row>
    <row r="1414" spans="1:6" x14ac:dyDescent="0.3">
      <c r="A1414" s="6" t="s">
        <v>2429</v>
      </c>
      <c r="B1414">
        <v>32803484</v>
      </c>
      <c r="C1414">
        <v>3</v>
      </c>
      <c r="D1414" t="str">
        <f t="shared" si="48"/>
        <v>03</v>
      </c>
      <c r="E1414" t="str">
        <f>VLOOKUP(B1414,'HOGARES-ENDLINE'!$A:$B,2,FALSE)</f>
        <v>01030706</v>
      </c>
      <c r="F1414" s="6" t="str">
        <f t="shared" si="49"/>
        <v>0103070603</v>
      </c>
    </row>
    <row r="1415" spans="1:6" x14ac:dyDescent="0.3">
      <c r="A1415" s="6" t="s">
        <v>2433</v>
      </c>
      <c r="B1415">
        <v>32810131</v>
      </c>
      <c r="C1415">
        <v>4</v>
      </c>
      <c r="D1415" t="str">
        <f t="shared" si="48"/>
        <v>04</v>
      </c>
      <c r="E1415" t="str">
        <f>VLOOKUP(B1415,'HOGARES-ENDLINE'!$A:$B,2,FALSE)</f>
        <v>01030707</v>
      </c>
      <c r="F1415" s="6" t="str">
        <f t="shared" si="49"/>
        <v>0103070704</v>
      </c>
    </row>
    <row r="1416" spans="1:6" x14ac:dyDescent="0.3">
      <c r="A1416" s="6" t="s">
        <v>2434</v>
      </c>
      <c r="B1416">
        <v>32810131</v>
      </c>
      <c r="C1416">
        <v>1</v>
      </c>
      <c r="D1416" t="str">
        <f t="shared" si="48"/>
        <v>01</v>
      </c>
      <c r="E1416" t="str">
        <f>VLOOKUP(B1416,'HOGARES-ENDLINE'!$A:$B,2,FALSE)</f>
        <v>01030707</v>
      </c>
      <c r="F1416" s="6" t="str">
        <f t="shared" si="49"/>
        <v>0103070701</v>
      </c>
    </row>
    <row r="1417" spans="1:6" x14ac:dyDescent="0.3">
      <c r="A1417" s="6" t="s">
        <v>2432</v>
      </c>
      <c r="B1417">
        <v>32810131</v>
      </c>
      <c r="C1417">
        <v>2</v>
      </c>
      <c r="D1417" t="str">
        <f t="shared" si="48"/>
        <v>02</v>
      </c>
      <c r="E1417" t="str">
        <f>VLOOKUP(B1417,'HOGARES-ENDLINE'!$A:$B,2,FALSE)</f>
        <v>01030707</v>
      </c>
      <c r="F1417" s="6" t="str">
        <f t="shared" si="49"/>
        <v>0103070702</v>
      </c>
    </row>
    <row r="1418" spans="1:6" x14ac:dyDescent="0.3">
      <c r="A1418" s="6" t="s">
        <v>2431</v>
      </c>
      <c r="B1418">
        <v>32810131</v>
      </c>
      <c r="C1418">
        <v>3</v>
      </c>
      <c r="D1418" t="str">
        <f t="shared" si="48"/>
        <v>03</v>
      </c>
      <c r="E1418" t="str">
        <f>VLOOKUP(B1418,'HOGARES-ENDLINE'!$A:$B,2,FALSE)</f>
        <v>01030707</v>
      </c>
      <c r="F1418" s="6" t="str">
        <f t="shared" si="49"/>
        <v>0103070703</v>
      </c>
    </row>
    <row r="1419" spans="1:6" x14ac:dyDescent="0.3">
      <c r="A1419" s="6" t="s">
        <v>2437</v>
      </c>
      <c r="B1419">
        <v>32811740</v>
      </c>
      <c r="C1419">
        <v>1</v>
      </c>
      <c r="D1419" t="str">
        <f t="shared" si="48"/>
        <v>01</v>
      </c>
      <c r="E1419" t="str">
        <f>VLOOKUP(B1419,'HOGARES-ENDLINE'!$A:$B,2,FALSE)</f>
        <v>00030708</v>
      </c>
      <c r="F1419" s="6" t="str">
        <f t="shared" si="49"/>
        <v>0003070801</v>
      </c>
    </row>
    <row r="1420" spans="1:6" x14ac:dyDescent="0.3">
      <c r="A1420" s="6" t="s">
        <v>2444</v>
      </c>
      <c r="B1420">
        <v>32812129</v>
      </c>
      <c r="C1420">
        <v>1</v>
      </c>
      <c r="D1420" t="str">
        <f t="shared" si="48"/>
        <v>01</v>
      </c>
      <c r="E1420" t="str">
        <f>VLOOKUP(B1420,'HOGARES-ENDLINE'!$A:$B,2,FALSE)</f>
        <v>01030709</v>
      </c>
      <c r="F1420" s="6" t="str">
        <f t="shared" si="49"/>
        <v>0103070901</v>
      </c>
    </row>
    <row r="1421" spans="1:6" x14ac:dyDescent="0.3">
      <c r="A1421" s="6" t="s">
        <v>2441</v>
      </c>
      <c r="B1421">
        <v>32812129</v>
      </c>
      <c r="C1421">
        <v>3</v>
      </c>
      <c r="D1421" t="str">
        <f t="shared" si="48"/>
        <v>03</v>
      </c>
      <c r="E1421" t="str">
        <f>VLOOKUP(B1421,'HOGARES-ENDLINE'!$A:$B,2,FALSE)</f>
        <v>01030709</v>
      </c>
      <c r="F1421" s="6" t="str">
        <f t="shared" si="49"/>
        <v>0103070903</v>
      </c>
    </row>
    <row r="1422" spans="1:6" x14ac:dyDescent="0.3">
      <c r="A1422" s="6" t="s">
        <v>2443</v>
      </c>
      <c r="B1422">
        <v>32812129</v>
      </c>
      <c r="C1422">
        <v>4</v>
      </c>
      <c r="D1422" t="str">
        <f t="shared" si="48"/>
        <v>04</v>
      </c>
      <c r="E1422" t="str">
        <f>VLOOKUP(B1422,'HOGARES-ENDLINE'!$A:$B,2,FALSE)</f>
        <v>01030709</v>
      </c>
      <c r="F1422" s="6" t="str">
        <f t="shared" si="49"/>
        <v>0103070904</v>
      </c>
    </row>
    <row r="1423" spans="1:6" x14ac:dyDescent="0.3">
      <c r="A1423" s="6" t="s">
        <v>2442</v>
      </c>
      <c r="B1423">
        <v>32812129</v>
      </c>
      <c r="C1423">
        <v>5</v>
      </c>
      <c r="D1423" t="str">
        <f t="shared" si="48"/>
        <v>05</v>
      </c>
      <c r="E1423" t="str">
        <f>VLOOKUP(B1423,'HOGARES-ENDLINE'!$A:$B,2,FALSE)</f>
        <v>01030709</v>
      </c>
      <c r="F1423" s="6" t="str">
        <f t="shared" si="49"/>
        <v>0103070905</v>
      </c>
    </row>
    <row r="1424" spans="1:6" x14ac:dyDescent="0.3">
      <c r="A1424" s="6" t="s">
        <v>2440</v>
      </c>
      <c r="B1424">
        <v>32812129</v>
      </c>
      <c r="C1424">
        <v>2</v>
      </c>
      <c r="D1424" t="str">
        <f t="shared" si="48"/>
        <v>02</v>
      </c>
      <c r="E1424" t="str">
        <f>VLOOKUP(B1424,'HOGARES-ENDLINE'!$A:$B,2,FALSE)</f>
        <v>01030709</v>
      </c>
      <c r="F1424" s="6" t="str">
        <f t="shared" si="49"/>
        <v>0103070902</v>
      </c>
    </row>
    <row r="1425" spans="1:6" x14ac:dyDescent="0.3">
      <c r="A1425" s="6" t="s">
        <v>2445</v>
      </c>
      <c r="B1425">
        <v>32812890</v>
      </c>
      <c r="C1425">
        <v>2</v>
      </c>
      <c r="D1425" t="str">
        <f t="shared" si="48"/>
        <v>02</v>
      </c>
      <c r="E1425" t="str">
        <f>VLOOKUP(B1425,'HOGARES-ENDLINE'!$A:$B,2,FALSE)</f>
        <v>01030710</v>
      </c>
      <c r="F1425" s="6" t="str">
        <f t="shared" si="49"/>
        <v>0103071002</v>
      </c>
    </row>
    <row r="1426" spans="1:6" x14ac:dyDescent="0.3">
      <c r="A1426" s="6" t="s">
        <v>2447</v>
      </c>
      <c r="B1426">
        <v>32812890</v>
      </c>
      <c r="C1426">
        <v>1</v>
      </c>
      <c r="D1426" t="str">
        <f t="shared" si="48"/>
        <v>01</v>
      </c>
      <c r="E1426" t="str">
        <f>VLOOKUP(B1426,'HOGARES-ENDLINE'!$A:$B,2,FALSE)</f>
        <v>01030710</v>
      </c>
      <c r="F1426" s="6" t="str">
        <f t="shared" si="49"/>
        <v>0103071001</v>
      </c>
    </row>
    <row r="1427" spans="1:6" x14ac:dyDescent="0.3">
      <c r="A1427" s="6" t="s">
        <v>2450</v>
      </c>
      <c r="B1427">
        <v>32817186</v>
      </c>
      <c r="C1427">
        <v>2</v>
      </c>
      <c r="D1427" t="str">
        <f t="shared" si="48"/>
        <v>02</v>
      </c>
      <c r="E1427" t="str">
        <f>VLOOKUP(B1427,'HOGARES-ENDLINE'!$A:$B,2,FALSE)</f>
        <v>00030711</v>
      </c>
      <c r="F1427" s="6" t="str">
        <f t="shared" si="49"/>
        <v>0003071102</v>
      </c>
    </row>
    <row r="1428" spans="1:6" x14ac:dyDescent="0.3">
      <c r="A1428" s="6" t="s">
        <v>2449</v>
      </c>
      <c r="B1428">
        <v>32817186</v>
      </c>
      <c r="C1428">
        <v>1</v>
      </c>
      <c r="D1428" t="str">
        <f t="shared" si="48"/>
        <v>01</v>
      </c>
      <c r="E1428" t="str">
        <f>VLOOKUP(B1428,'HOGARES-ENDLINE'!$A:$B,2,FALSE)</f>
        <v>00030711</v>
      </c>
      <c r="F1428" s="6" t="str">
        <f t="shared" si="49"/>
        <v>0003071101</v>
      </c>
    </row>
    <row r="1429" spans="1:6" x14ac:dyDescent="0.3">
      <c r="A1429" s="6" t="s">
        <v>2448</v>
      </c>
      <c r="B1429">
        <v>32817186</v>
      </c>
      <c r="C1429">
        <v>3</v>
      </c>
      <c r="D1429" t="str">
        <f t="shared" si="48"/>
        <v>03</v>
      </c>
      <c r="E1429" t="str">
        <f>VLOOKUP(B1429,'HOGARES-ENDLINE'!$A:$B,2,FALSE)</f>
        <v>00030711</v>
      </c>
      <c r="F1429" s="6" t="str">
        <f t="shared" si="49"/>
        <v>0003071103</v>
      </c>
    </row>
    <row r="1430" spans="1:6" x14ac:dyDescent="0.3">
      <c r="A1430" s="6" t="s">
        <v>2451</v>
      </c>
      <c r="B1430">
        <v>32820161</v>
      </c>
      <c r="C1430">
        <v>1</v>
      </c>
      <c r="D1430" t="str">
        <f t="shared" si="48"/>
        <v>01</v>
      </c>
      <c r="E1430" t="str">
        <f>VLOOKUP(B1430,'HOGARES-ENDLINE'!$A:$B,2,FALSE)</f>
        <v>00030712</v>
      </c>
      <c r="F1430" s="6" t="str">
        <f t="shared" si="49"/>
        <v>0003071201</v>
      </c>
    </row>
    <row r="1431" spans="1:6" x14ac:dyDescent="0.3">
      <c r="A1431" s="6" t="s">
        <v>2455</v>
      </c>
      <c r="B1431">
        <v>32821469</v>
      </c>
      <c r="C1431">
        <v>5</v>
      </c>
      <c r="D1431" t="str">
        <f t="shared" ref="D1431:D1433" si="50">_xlfn.CONCAT(0,C1431)</f>
        <v>05</v>
      </c>
      <c r="E1431" t="str">
        <f>VLOOKUP(B1431,'HOGARES-ENDLINE'!$A:$B,2,FALSE)</f>
        <v>00030713</v>
      </c>
      <c r="F1431" s="6" t="str">
        <f t="shared" si="49"/>
        <v>0003071305</v>
      </c>
    </row>
    <row r="1432" spans="1:6" x14ac:dyDescent="0.3">
      <c r="A1432" s="6" t="s">
        <v>2456</v>
      </c>
      <c r="B1432">
        <v>32821469</v>
      </c>
      <c r="C1432">
        <v>1</v>
      </c>
      <c r="D1432" t="str">
        <f t="shared" si="50"/>
        <v>01</v>
      </c>
      <c r="E1432" t="str">
        <f>VLOOKUP(B1432,'HOGARES-ENDLINE'!$A:$B,2,FALSE)</f>
        <v>00030713</v>
      </c>
      <c r="F1432" s="6" t="str">
        <f t="shared" si="49"/>
        <v>0003071301</v>
      </c>
    </row>
    <row r="1433" spans="1:6" x14ac:dyDescent="0.3">
      <c r="A1433" s="6" t="s">
        <v>5177</v>
      </c>
      <c r="B1433">
        <v>32821469</v>
      </c>
      <c r="C1433">
        <v>7</v>
      </c>
      <c r="D1433" t="str">
        <f t="shared" si="50"/>
        <v>07</v>
      </c>
      <c r="E1433" t="str">
        <f>VLOOKUP(B1433,'HOGARES-ENDLINE'!$A:$B,2,FALSE)</f>
        <v>00030713</v>
      </c>
      <c r="F1433" s="6" t="str">
        <f t="shared" si="49"/>
        <v>0003071307</v>
      </c>
    </row>
    <row r="1434" spans="1:6" x14ac:dyDescent="0.3">
      <c r="A1434" s="6" t="s">
        <v>5178</v>
      </c>
      <c r="B1434">
        <v>32821469</v>
      </c>
      <c r="C1434">
        <v>14</v>
      </c>
      <c r="D1434">
        <f t="shared" ref="D1434:D1435" si="51">C1434</f>
        <v>14</v>
      </c>
      <c r="E1434" t="str">
        <f>VLOOKUP(B1434,'HOGARES-ENDLINE'!$A:$B,2,FALSE)</f>
        <v>00030713</v>
      </c>
      <c r="F1434" s="6" t="str">
        <f t="shared" si="49"/>
        <v>0003071314</v>
      </c>
    </row>
    <row r="1435" spans="1:6" x14ac:dyDescent="0.3">
      <c r="A1435" s="6" t="s">
        <v>5179</v>
      </c>
      <c r="B1435">
        <v>32821469</v>
      </c>
      <c r="C1435">
        <v>12</v>
      </c>
      <c r="D1435">
        <f t="shared" si="51"/>
        <v>12</v>
      </c>
      <c r="E1435" t="str">
        <f>VLOOKUP(B1435,'HOGARES-ENDLINE'!$A:$B,2,FALSE)</f>
        <v>00030713</v>
      </c>
      <c r="F1435" s="6" t="str">
        <f t="shared" si="49"/>
        <v>0003071312</v>
      </c>
    </row>
    <row r="1436" spans="1:6" x14ac:dyDescent="0.3">
      <c r="A1436" s="6" t="s">
        <v>5180</v>
      </c>
      <c r="B1436">
        <v>32821469</v>
      </c>
      <c r="C1436">
        <v>6</v>
      </c>
      <c r="D1436" t="str">
        <f>_xlfn.CONCAT(0,C1436)</f>
        <v>06</v>
      </c>
      <c r="E1436" t="str">
        <f>VLOOKUP(B1436,'HOGARES-ENDLINE'!$A:$B,2,FALSE)</f>
        <v>00030713</v>
      </c>
      <c r="F1436" s="6" t="str">
        <f t="shared" si="49"/>
        <v>0003071306</v>
      </c>
    </row>
    <row r="1437" spans="1:6" x14ac:dyDescent="0.3">
      <c r="A1437" s="6" t="s">
        <v>5181</v>
      </c>
      <c r="B1437">
        <v>32821469</v>
      </c>
      <c r="C1437">
        <v>10</v>
      </c>
      <c r="D1437">
        <f t="shared" ref="D1437:D1438" si="52">C1437</f>
        <v>10</v>
      </c>
      <c r="E1437" t="str">
        <f>VLOOKUP(B1437,'HOGARES-ENDLINE'!$A:$B,2,FALSE)</f>
        <v>00030713</v>
      </c>
      <c r="F1437" s="6" t="str">
        <f t="shared" si="49"/>
        <v>0003071310</v>
      </c>
    </row>
    <row r="1438" spans="1:6" x14ac:dyDescent="0.3">
      <c r="A1438" s="6" t="s">
        <v>5182</v>
      </c>
      <c r="B1438">
        <v>32821469</v>
      </c>
      <c r="C1438">
        <v>11</v>
      </c>
      <c r="D1438">
        <f t="shared" si="52"/>
        <v>11</v>
      </c>
      <c r="E1438" t="str">
        <f>VLOOKUP(B1438,'HOGARES-ENDLINE'!$A:$B,2,FALSE)</f>
        <v>00030713</v>
      </c>
      <c r="F1438" s="6" t="str">
        <f t="shared" si="49"/>
        <v>0003071311</v>
      </c>
    </row>
    <row r="1439" spans="1:6" x14ac:dyDescent="0.3">
      <c r="A1439" s="6" t="s">
        <v>5183</v>
      </c>
      <c r="B1439">
        <v>32821469</v>
      </c>
      <c r="C1439">
        <v>8</v>
      </c>
      <c r="D1439" t="str">
        <f>_xlfn.CONCAT(0,C1439)</f>
        <v>08</v>
      </c>
      <c r="E1439" t="str">
        <f>VLOOKUP(B1439,'HOGARES-ENDLINE'!$A:$B,2,FALSE)</f>
        <v>00030713</v>
      </c>
      <c r="F1439" s="6" t="str">
        <f t="shared" si="49"/>
        <v>0003071308</v>
      </c>
    </row>
    <row r="1440" spans="1:6" x14ac:dyDescent="0.3">
      <c r="A1440" s="6" t="s">
        <v>5184</v>
      </c>
      <c r="B1440">
        <v>32821469</v>
      </c>
      <c r="C1440">
        <v>13</v>
      </c>
      <c r="D1440">
        <f>C1440</f>
        <v>13</v>
      </c>
      <c r="E1440" t="str">
        <f>VLOOKUP(B1440,'HOGARES-ENDLINE'!$A:$B,2,FALSE)</f>
        <v>00030713</v>
      </c>
      <c r="F1440" s="6" t="str">
        <f t="shared" si="49"/>
        <v>0003071313</v>
      </c>
    </row>
    <row r="1441" spans="1:6" x14ac:dyDescent="0.3">
      <c r="A1441" s="6" t="s">
        <v>5185</v>
      </c>
      <c r="B1441">
        <v>32821469</v>
      </c>
      <c r="C1441">
        <v>9</v>
      </c>
      <c r="D1441" t="str">
        <f t="shared" ref="D1441:D1504" si="53">_xlfn.CONCAT(0,C1441)</f>
        <v>09</v>
      </c>
      <c r="E1441" t="str">
        <f>VLOOKUP(B1441,'HOGARES-ENDLINE'!$A:$B,2,FALSE)</f>
        <v>00030713</v>
      </c>
      <c r="F1441" s="6" t="str">
        <f t="shared" si="49"/>
        <v>0003071309</v>
      </c>
    </row>
    <row r="1442" spans="1:6" x14ac:dyDescent="0.3">
      <c r="A1442" s="6" t="s">
        <v>2452</v>
      </c>
      <c r="B1442">
        <v>32821469</v>
      </c>
      <c r="C1442">
        <v>3</v>
      </c>
      <c r="D1442" t="str">
        <f t="shared" si="53"/>
        <v>03</v>
      </c>
      <c r="E1442" t="str">
        <f>VLOOKUP(B1442,'HOGARES-ENDLINE'!$A:$B,2,FALSE)</f>
        <v>00030713</v>
      </c>
      <c r="F1442" s="6" t="str">
        <f t="shared" si="49"/>
        <v>0003071303</v>
      </c>
    </row>
    <row r="1443" spans="1:6" x14ac:dyDescent="0.3">
      <c r="A1443" s="6" t="s">
        <v>2453</v>
      </c>
      <c r="B1443">
        <v>32821469</v>
      </c>
      <c r="C1443">
        <v>2</v>
      </c>
      <c r="D1443" t="str">
        <f t="shared" si="53"/>
        <v>02</v>
      </c>
      <c r="E1443" t="str">
        <f>VLOOKUP(B1443,'HOGARES-ENDLINE'!$A:$B,2,FALSE)</f>
        <v>00030713</v>
      </c>
      <c r="F1443" s="6" t="str">
        <f t="shared" si="49"/>
        <v>0003071302</v>
      </c>
    </row>
    <row r="1444" spans="1:6" x14ac:dyDescent="0.3">
      <c r="A1444" s="6" t="s">
        <v>2458</v>
      </c>
      <c r="B1444">
        <v>32840396</v>
      </c>
      <c r="C1444">
        <v>2</v>
      </c>
      <c r="D1444" t="str">
        <f t="shared" si="53"/>
        <v>02</v>
      </c>
      <c r="E1444" t="str">
        <f>VLOOKUP(B1444,'HOGARES-ENDLINE'!$A:$B,2,FALSE)</f>
        <v>01030714</v>
      </c>
      <c r="F1444" s="6" t="str">
        <f t="shared" si="49"/>
        <v>0103071402</v>
      </c>
    </row>
    <row r="1445" spans="1:6" x14ac:dyDescent="0.3">
      <c r="A1445" s="6" t="s">
        <v>2459</v>
      </c>
      <c r="B1445">
        <v>32840396</v>
      </c>
      <c r="C1445">
        <v>1</v>
      </c>
      <c r="D1445" t="str">
        <f t="shared" si="53"/>
        <v>01</v>
      </c>
      <c r="E1445" t="str">
        <f>VLOOKUP(B1445,'HOGARES-ENDLINE'!$A:$B,2,FALSE)</f>
        <v>01030714</v>
      </c>
      <c r="F1445" s="6" t="str">
        <f t="shared" si="49"/>
        <v>0103071401</v>
      </c>
    </row>
    <row r="1446" spans="1:6" x14ac:dyDescent="0.3">
      <c r="A1446" s="6" t="s">
        <v>2461</v>
      </c>
      <c r="B1446">
        <v>32842694</v>
      </c>
      <c r="C1446">
        <v>1</v>
      </c>
      <c r="D1446" t="str">
        <f t="shared" si="53"/>
        <v>01</v>
      </c>
      <c r="E1446" t="str">
        <f>VLOOKUP(B1446,'HOGARES-ENDLINE'!$A:$B,2,FALSE)</f>
        <v>00030715</v>
      </c>
      <c r="F1446" s="6" t="str">
        <f t="shared" si="49"/>
        <v>0003071501</v>
      </c>
    </row>
    <row r="1447" spans="1:6" x14ac:dyDescent="0.3">
      <c r="A1447" s="6" t="s">
        <v>2462</v>
      </c>
      <c r="B1447">
        <v>32843461</v>
      </c>
      <c r="C1447">
        <v>1</v>
      </c>
      <c r="D1447" t="str">
        <f t="shared" si="53"/>
        <v>01</v>
      </c>
      <c r="E1447" t="str">
        <f>VLOOKUP(B1447,'HOGARES-ENDLINE'!$A:$B,2,FALSE)</f>
        <v>00030716</v>
      </c>
      <c r="F1447" s="6" t="str">
        <f t="shared" si="49"/>
        <v>0003071601</v>
      </c>
    </row>
    <row r="1448" spans="1:6" x14ac:dyDescent="0.3">
      <c r="A1448" s="6" t="s">
        <v>2465</v>
      </c>
      <c r="B1448">
        <v>32843467</v>
      </c>
      <c r="C1448">
        <v>1</v>
      </c>
      <c r="D1448" t="str">
        <f t="shared" si="53"/>
        <v>01</v>
      </c>
      <c r="E1448" t="str">
        <f>VLOOKUP(B1448,'HOGARES-ENDLINE'!$A:$B,2,FALSE)</f>
        <v>00030717</v>
      </c>
      <c r="F1448" s="6" t="str">
        <f t="shared" si="49"/>
        <v>0003071701</v>
      </c>
    </row>
    <row r="1449" spans="1:6" x14ac:dyDescent="0.3">
      <c r="A1449" s="6" t="s">
        <v>2464</v>
      </c>
      <c r="B1449">
        <v>32843467</v>
      </c>
      <c r="C1449">
        <v>2</v>
      </c>
      <c r="D1449" t="str">
        <f t="shared" si="53"/>
        <v>02</v>
      </c>
      <c r="E1449" t="str">
        <f>VLOOKUP(B1449,'HOGARES-ENDLINE'!$A:$B,2,FALSE)</f>
        <v>00030717</v>
      </c>
      <c r="F1449" s="6" t="str">
        <f t="shared" si="49"/>
        <v>0003071702</v>
      </c>
    </row>
    <row r="1450" spans="1:6" x14ac:dyDescent="0.3">
      <c r="A1450" s="6" t="s">
        <v>2466</v>
      </c>
      <c r="B1450">
        <v>32843980</v>
      </c>
      <c r="C1450">
        <v>1</v>
      </c>
      <c r="D1450" t="str">
        <f t="shared" si="53"/>
        <v>01</v>
      </c>
      <c r="E1450" t="str">
        <f>VLOOKUP(B1450,'HOGARES-ENDLINE'!$A:$B,2,FALSE)</f>
        <v>01030718</v>
      </c>
      <c r="F1450" s="6" t="str">
        <f t="shared" si="49"/>
        <v>0103071801</v>
      </c>
    </row>
    <row r="1451" spans="1:6" x14ac:dyDescent="0.3">
      <c r="A1451" s="6" t="s">
        <v>2468</v>
      </c>
      <c r="B1451">
        <v>32844160</v>
      </c>
      <c r="C1451">
        <v>1</v>
      </c>
      <c r="D1451" t="str">
        <f t="shared" si="53"/>
        <v>01</v>
      </c>
      <c r="E1451" t="str">
        <f>VLOOKUP(B1451,'HOGARES-ENDLINE'!$A:$B,2,FALSE)</f>
        <v>00030719</v>
      </c>
      <c r="F1451" s="6" t="str">
        <f t="shared" si="49"/>
        <v>0003071901</v>
      </c>
    </row>
    <row r="1452" spans="1:6" x14ac:dyDescent="0.3">
      <c r="A1452" s="6" t="s">
        <v>2469</v>
      </c>
      <c r="B1452">
        <v>32844160</v>
      </c>
      <c r="C1452">
        <v>4</v>
      </c>
      <c r="D1452" t="str">
        <f t="shared" si="53"/>
        <v>04</v>
      </c>
      <c r="E1452" t="str">
        <f>VLOOKUP(B1452,'HOGARES-ENDLINE'!$A:$B,2,FALSE)</f>
        <v>00030719</v>
      </c>
      <c r="F1452" s="6" t="str">
        <f t="shared" si="49"/>
        <v>0003071904</v>
      </c>
    </row>
    <row r="1453" spans="1:6" x14ac:dyDescent="0.3">
      <c r="A1453" s="6" t="s">
        <v>2470</v>
      </c>
      <c r="B1453">
        <v>32844160</v>
      </c>
      <c r="C1453">
        <v>3</v>
      </c>
      <c r="D1453" t="str">
        <f t="shared" si="53"/>
        <v>03</v>
      </c>
      <c r="E1453" t="str">
        <f>VLOOKUP(B1453,'HOGARES-ENDLINE'!$A:$B,2,FALSE)</f>
        <v>00030719</v>
      </c>
      <c r="F1453" s="6" t="str">
        <f t="shared" si="49"/>
        <v>0003071903</v>
      </c>
    </row>
    <row r="1454" spans="1:6" x14ac:dyDescent="0.3">
      <c r="A1454" s="6" t="s">
        <v>2467</v>
      </c>
      <c r="B1454">
        <v>32844160</v>
      </c>
      <c r="C1454">
        <v>2</v>
      </c>
      <c r="D1454" t="str">
        <f t="shared" si="53"/>
        <v>02</v>
      </c>
      <c r="E1454" t="str">
        <f>VLOOKUP(B1454,'HOGARES-ENDLINE'!$A:$B,2,FALSE)</f>
        <v>00030719</v>
      </c>
      <c r="F1454" s="6" t="str">
        <f t="shared" si="49"/>
        <v>0003071902</v>
      </c>
    </row>
    <row r="1455" spans="1:6" x14ac:dyDescent="0.3">
      <c r="A1455" s="6" t="s">
        <v>2472</v>
      </c>
      <c r="B1455">
        <v>32850495</v>
      </c>
      <c r="C1455">
        <v>2</v>
      </c>
      <c r="D1455" t="str">
        <f t="shared" si="53"/>
        <v>02</v>
      </c>
      <c r="E1455" t="str">
        <f>VLOOKUP(B1455,'HOGARES-ENDLINE'!$A:$B,2,FALSE)</f>
        <v>01030720</v>
      </c>
      <c r="F1455" s="6" t="str">
        <f t="shared" si="49"/>
        <v>0103072002</v>
      </c>
    </row>
    <row r="1456" spans="1:6" x14ac:dyDescent="0.3">
      <c r="A1456" s="6" t="s">
        <v>2471</v>
      </c>
      <c r="B1456">
        <v>32850495</v>
      </c>
      <c r="C1456">
        <v>1</v>
      </c>
      <c r="D1456" t="str">
        <f t="shared" si="53"/>
        <v>01</v>
      </c>
      <c r="E1456" t="str">
        <f>VLOOKUP(B1456,'HOGARES-ENDLINE'!$A:$B,2,FALSE)</f>
        <v>01030720</v>
      </c>
      <c r="F1456" s="6" t="str">
        <f t="shared" si="49"/>
        <v>0103072001</v>
      </c>
    </row>
    <row r="1457" spans="1:6" x14ac:dyDescent="0.3">
      <c r="A1457" s="6" t="s">
        <v>2480</v>
      </c>
      <c r="B1457">
        <v>32867107</v>
      </c>
      <c r="C1457">
        <v>4</v>
      </c>
      <c r="D1457" t="str">
        <f t="shared" si="53"/>
        <v>04</v>
      </c>
      <c r="E1457" t="str">
        <f>VLOOKUP(B1457,'HOGARES-ENDLINE'!$A:$B,2,FALSE)</f>
        <v>00030721</v>
      </c>
      <c r="F1457" s="6" t="str">
        <f t="shared" si="49"/>
        <v>0003072104</v>
      </c>
    </row>
    <row r="1458" spans="1:6" x14ac:dyDescent="0.3">
      <c r="A1458" s="6" t="s">
        <v>2477</v>
      </c>
      <c r="B1458">
        <v>32867107</v>
      </c>
      <c r="C1458">
        <v>2</v>
      </c>
      <c r="D1458" t="str">
        <f t="shared" si="53"/>
        <v>02</v>
      </c>
      <c r="E1458" t="str">
        <f>VLOOKUP(B1458,'HOGARES-ENDLINE'!$A:$B,2,FALSE)</f>
        <v>00030721</v>
      </c>
      <c r="F1458" s="6" t="str">
        <f t="shared" si="49"/>
        <v>0003072102</v>
      </c>
    </row>
    <row r="1459" spans="1:6" x14ac:dyDescent="0.3">
      <c r="A1459" s="6" t="s">
        <v>2476</v>
      </c>
      <c r="B1459">
        <v>32867107</v>
      </c>
      <c r="C1459">
        <v>6</v>
      </c>
      <c r="D1459" t="str">
        <f t="shared" si="53"/>
        <v>06</v>
      </c>
      <c r="E1459" t="str">
        <f>VLOOKUP(B1459,'HOGARES-ENDLINE'!$A:$B,2,FALSE)</f>
        <v>00030721</v>
      </c>
      <c r="F1459" s="6" t="str">
        <f t="shared" si="49"/>
        <v>0003072106</v>
      </c>
    </row>
    <row r="1460" spans="1:6" x14ac:dyDescent="0.3">
      <c r="A1460" s="6" t="s">
        <v>2475</v>
      </c>
      <c r="B1460">
        <v>32867107</v>
      </c>
      <c r="C1460">
        <v>1</v>
      </c>
      <c r="D1460" t="str">
        <f t="shared" si="53"/>
        <v>01</v>
      </c>
      <c r="E1460" t="str">
        <f>VLOOKUP(B1460,'HOGARES-ENDLINE'!$A:$B,2,FALSE)</f>
        <v>00030721</v>
      </c>
      <c r="F1460" s="6" t="str">
        <f t="shared" si="49"/>
        <v>0003072101</v>
      </c>
    </row>
    <row r="1461" spans="1:6" x14ac:dyDescent="0.3">
      <c r="A1461" s="6" t="s">
        <v>2478</v>
      </c>
      <c r="B1461">
        <v>32867107</v>
      </c>
      <c r="C1461">
        <v>5</v>
      </c>
      <c r="D1461" t="str">
        <f t="shared" si="53"/>
        <v>05</v>
      </c>
      <c r="E1461" t="str">
        <f>VLOOKUP(B1461,'HOGARES-ENDLINE'!$A:$B,2,FALSE)</f>
        <v>00030721</v>
      </c>
      <c r="F1461" s="6" t="str">
        <f t="shared" si="49"/>
        <v>0003072105</v>
      </c>
    </row>
    <row r="1462" spans="1:6" x14ac:dyDescent="0.3">
      <c r="A1462" s="6" t="s">
        <v>2479</v>
      </c>
      <c r="B1462">
        <v>32867107</v>
      </c>
      <c r="C1462">
        <v>3</v>
      </c>
      <c r="D1462" t="str">
        <f t="shared" si="53"/>
        <v>03</v>
      </c>
      <c r="E1462" t="str">
        <f>VLOOKUP(B1462,'HOGARES-ENDLINE'!$A:$B,2,FALSE)</f>
        <v>00030721</v>
      </c>
      <c r="F1462" s="6" t="str">
        <f t="shared" si="49"/>
        <v>0003072103</v>
      </c>
    </row>
    <row r="1463" spans="1:6" x14ac:dyDescent="0.3">
      <c r="A1463" s="6" t="s">
        <v>5186</v>
      </c>
      <c r="B1463">
        <v>32873927</v>
      </c>
      <c r="C1463">
        <v>5</v>
      </c>
      <c r="D1463" t="str">
        <f t="shared" si="53"/>
        <v>05</v>
      </c>
      <c r="E1463" t="str">
        <f>VLOOKUP(B1463,'HOGARES-ENDLINE'!$A:$B,2,FALSE)</f>
        <v>00030722</v>
      </c>
      <c r="F1463" s="6" t="str">
        <f t="shared" si="49"/>
        <v>0003072205</v>
      </c>
    </row>
    <row r="1464" spans="1:6" x14ac:dyDescent="0.3">
      <c r="A1464" s="6" t="s">
        <v>2481</v>
      </c>
      <c r="B1464">
        <v>32873927</v>
      </c>
      <c r="C1464">
        <v>2</v>
      </c>
      <c r="D1464" t="str">
        <f t="shared" si="53"/>
        <v>02</v>
      </c>
      <c r="E1464" t="str">
        <f>VLOOKUP(B1464,'HOGARES-ENDLINE'!$A:$B,2,FALSE)</f>
        <v>00030722</v>
      </c>
      <c r="F1464" s="6" t="str">
        <f t="shared" si="49"/>
        <v>0003072202</v>
      </c>
    </row>
    <row r="1465" spans="1:6" x14ac:dyDescent="0.3">
      <c r="A1465" s="6" t="s">
        <v>2482</v>
      </c>
      <c r="B1465">
        <v>32873927</v>
      </c>
      <c r="C1465">
        <v>1</v>
      </c>
      <c r="D1465" t="str">
        <f t="shared" si="53"/>
        <v>01</v>
      </c>
      <c r="E1465" t="str">
        <f>VLOOKUP(B1465,'HOGARES-ENDLINE'!$A:$B,2,FALSE)</f>
        <v>00030722</v>
      </c>
      <c r="F1465" s="6" t="str">
        <f t="shared" si="49"/>
        <v>0003072201</v>
      </c>
    </row>
    <row r="1466" spans="1:6" x14ac:dyDescent="0.3">
      <c r="A1466" s="6" t="s">
        <v>2484</v>
      </c>
      <c r="B1466">
        <v>32873927</v>
      </c>
      <c r="C1466">
        <v>3</v>
      </c>
      <c r="D1466" t="str">
        <f t="shared" si="53"/>
        <v>03</v>
      </c>
      <c r="E1466" t="str">
        <f>VLOOKUP(B1466,'HOGARES-ENDLINE'!$A:$B,2,FALSE)</f>
        <v>00030722</v>
      </c>
      <c r="F1466" s="6" t="str">
        <f t="shared" si="49"/>
        <v>0003072203</v>
      </c>
    </row>
    <row r="1467" spans="1:6" x14ac:dyDescent="0.3">
      <c r="A1467" s="6" t="s">
        <v>2483</v>
      </c>
      <c r="B1467">
        <v>32873927</v>
      </c>
      <c r="C1467">
        <v>4</v>
      </c>
      <c r="D1467" t="str">
        <f t="shared" si="53"/>
        <v>04</v>
      </c>
      <c r="E1467" t="str">
        <f>VLOOKUP(B1467,'HOGARES-ENDLINE'!$A:$B,2,FALSE)</f>
        <v>00030722</v>
      </c>
      <c r="F1467" s="6" t="str">
        <f t="shared" si="49"/>
        <v>0003072204</v>
      </c>
    </row>
    <row r="1468" spans="1:6" x14ac:dyDescent="0.3">
      <c r="A1468" s="6" t="s">
        <v>2485</v>
      </c>
      <c r="B1468">
        <v>32876516</v>
      </c>
      <c r="C1468">
        <v>1</v>
      </c>
      <c r="D1468" t="str">
        <f t="shared" si="53"/>
        <v>01</v>
      </c>
      <c r="E1468" t="str">
        <f>VLOOKUP(B1468,'HOGARES-ENDLINE'!$A:$B,2,FALSE)</f>
        <v>00030723</v>
      </c>
      <c r="F1468" s="6" t="str">
        <f t="shared" si="49"/>
        <v>0003072301</v>
      </c>
    </row>
    <row r="1469" spans="1:6" x14ac:dyDescent="0.3">
      <c r="A1469" s="6" t="s">
        <v>2486</v>
      </c>
      <c r="B1469">
        <v>32876516</v>
      </c>
      <c r="C1469">
        <v>4</v>
      </c>
      <c r="D1469" t="str">
        <f t="shared" si="53"/>
        <v>04</v>
      </c>
      <c r="E1469" t="str">
        <f>VLOOKUP(B1469,'HOGARES-ENDLINE'!$A:$B,2,FALSE)</f>
        <v>00030723</v>
      </c>
      <c r="F1469" s="6" t="str">
        <f t="shared" si="49"/>
        <v>0003072304</v>
      </c>
    </row>
    <row r="1470" spans="1:6" x14ac:dyDescent="0.3">
      <c r="A1470" s="6" t="s">
        <v>2488</v>
      </c>
      <c r="B1470">
        <v>32876516</v>
      </c>
      <c r="C1470">
        <v>2</v>
      </c>
      <c r="D1470" t="str">
        <f t="shared" si="53"/>
        <v>02</v>
      </c>
      <c r="E1470" t="str">
        <f>VLOOKUP(B1470,'HOGARES-ENDLINE'!$A:$B,2,FALSE)</f>
        <v>00030723</v>
      </c>
      <c r="F1470" s="6" t="str">
        <f t="shared" si="49"/>
        <v>0003072302</v>
      </c>
    </row>
    <row r="1471" spans="1:6" x14ac:dyDescent="0.3">
      <c r="A1471" s="6" t="s">
        <v>2487</v>
      </c>
      <c r="B1471">
        <v>32876516</v>
      </c>
      <c r="C1471">
        <v>3</v>
      </c>
      <c r="D1471" t="str">
        <f t="shared" si="53"/>
        <v>03</v>
      </c>
      <c r="E1471" t="str">
        <f>VLOOKUP(B1471,'HOGARES-ENDLINE'!$A:$B,2,FALSE)</f>
        <v>00030723</v>
      </c>
      <c r="F1471" s="6" t="str">
        <f t="shared" si="49"/>
        <v>0003072303</v>
      </c>
    </row>
    <row r="1472" spans="1:6" x14ac:dyDescent="0.3">
      <c r="A1472" s="6" t="s">
        <v>2489</v>
      </c>
      <c r="B1472">
        <v>32884029</v>
      </c>
      <c r="C1472">
        <v>4</v>
      </c>
      <c r="D1472" t="str">
        <f t="shared" si="53"/>
        <v>04</v>
      </c>
      <c r="E1472" t="str">
        <f>VLOOKUP(B1472,'HOGARES-ENDLINE'!$A:$B,2,FALSE)</f>
        <v>01030724</v>
      </c>
      <c r="F1472" s="6" t="str">
        <f t="shared" si="49"/>
        <v>0103072404</v>
      </c>
    </row>
    <row r="1473" spans="1:6" x14ac:dyDescent="0.3">
      <c r="A1473" s="6" t="s">
        <v>2492</v>
      </c>
      <c r="B1473">
        <v>32884029</v>
      </c>
      <c r="C1473">
        <v>3</v>
      </c>
      <c r="D1473" t="str">
        <f t="shared" si="53"/>
        <v>03</v>
      </c>
      <c r="E1473" t="str">
        <f>VLOOKUP(B1473,'HOGARES-ENDLINE'!$A:$B,2,FALSE)</f>
        <v>01030724</v>
      </c>
      <c r="F1473" s="6" t="str">
        <f t="shared" si="49"/>
        <v>0103072403</v>
      </c>
    </row>
    <row r="1474" spans="1:6" x14ac:dyDescent="0.3">
      <c r="A1474" s="6" t="s">
        <v>2491</v>
      </c>
      <c r="B1474">
        <v>32884029</v>
      </c>
      <c r="C1474">
        <v>1</v>
      </c>
      <c r="D1474" t="str">
        <f t="shared" si="53"/>
        <v>01</v>
      </c>
      <c r="E1474" t="str">
        <f>VLOOKUP(B1474,'HOGARES-ENDLINE'!$A:$B,2,FALSE)</f>
        <v>01030724</v>
      </c>
      <c r="F1474" s="6" t="str">
        <f t="shared" si="49"/>
        <v>0103072401</v>
      </c>
    </row>
    <row r="1475" spans="1:6" x14ac:dyDescent="0.3">
      <c r="A1475" s="6" t="s">
        <v>2490</v>
      </c>
      <c r="B1475">
        <v>32884029</v>
      </c>
      <c r="C1475">
        <v>2</v>
      </c>
      <c r="D1475" t="str">
        <f t="shared" si="53"/>
        <v>02</v>
      </c>
      <c r="E1475" t="str">
        <f>VLOOKUP(B1475,'HOGARES-ENDLINE'!$A:$B,2,FALSE)</f>
        <v>01030724</v>
      </c>
      <c r="F1475" s="6" t="str">
        <f t="shared" ref="F1475:F1538" si="54">_xlfn.CONCAT(E1475,D1475)</f>
        <v>0103072402</v>
      </c>
    </row>
    <row r="1476" spans="1:6" x14ac:dyDescent="0.3">
      <c r="A1476" s="6" t="s">
        <v>2493</v>
      </c>
      <c r="B1476">
        <v>32884556</v>
      </c>
      <c r="C1476">
        <v>3</v>
      </c>
      <c r="D1476" t="str">
        <f t="shared" si="53"/>
        <v>03</v>
      </c>
      <c r="E1476" t="str">
        <f>VLOOKUP(B1476,'HOGARES-ENDLINE'!$A:$B,2,FALSE)</f>
        <v>01030725</v>
      </c>
      <c r="F1476" s="6" t="str">
        <f t="shared" si="54"/>
        <v>0103072503</v>
      </c>
    </row>
    <row r="1477" spans="1:6" x14ac:dyDescent="0.3">
      <c r="A1477" s="6" t="s">
        <v>2496</v>
      </c>
      <c r="B1477">
        <v>32884556</v>
      </c>
      <c r="C1477">
        <v>4</v>
      </c>
      <c r="D1477" t="str">
        <f t="shared" si="53"/>
        <v>04</v>
      </c>
      <c r="E1477" t="str">
        <f>VLOOKUP(B1477,'HOGARES-ENDLINE'!$A:$B,2,FALSE)</f>
        <v>01030725</v>
      </c>
      <c r="F1477" s="6" t="str">
        <f t="shared" si="54"/>
        <v>0103072504</v>
      </c>
    </row>
    <row r="1478" spans="1:6" x14ac:dyDescent="0.3">
      <c r="A1478" s="6" t="s">
        <v>2494</v>
      </c>
      <c r="B1478">
        <v>32884556</v>
      </c>
      <c r="C1478">
        <v>1</v>
      </c>
      <c r="D1478" t="str">
        <f t="shared" si="53"/>
        <v>01</v>
      </c>
      <c r="E1478" t="str">
        <f>VLOOKUP(B1478,'HOGARES-ENDLINE'!$A:$B,2,FALSE)</f>
        <v>01030725</v>
      </c>
      <c r="F1478" s="6" t="str">
        <f t="shared" si="54"/>
        <v>0103072501</v>
      </c>
    </row>
    <row r="1479" spans="1:6" x14ac:dyDescent="0.3">
      <c r="A1479" s="6" t="s">
        <v>2495</v>
      </c>
      <c r="B1479">
        <v>32884556</v>
      </c>
      <c r="C1479">
        <v>2</v>
      </c>
      <c r="D1479" t="str">
        <f t="shared" si="53"/>
        <v>02</v>
      </c>
      <c r="E1479" t="str">
        <f>VLOOKUP(B1479,'HOGARES-ENDLINE'!$A:$B,2,FALSE)</f>
        <v>01030725</v>
      </c>
      <c r="F1479" s="6" t="str">
        <f t="shared" si="54"/>
        <v>0103072502</v>
      </c>
    </row>
    <row r="1480" spans="1:6" x14ac:dyDescent="0.3">
      <c r="A1480" s="6" t="s">
        <v>2498</v>
      </c>
      <c r="B1480">
        <v>32884723</v>
      </c>
      <c r="C1480">
        <v>3</v>
      </c>
      <c r="D1480" t="str">
        <f t="shared" si="53"/>
        <v>03</v>
      </c>
      <c r="E1480" t="str">
        <f>VLOOKUP(B1480,'HOGARES-ENDLINE'!$A:$B,2,FALSE)</f>
        <v>01030726</v>
      </c>
      <c r="F1480" s="6" t="str">
        <f t="shared" si="54"/>
        <v>0103072603</v>
      </c>
    </row>
    <row r="1481" spans="1:6" x14ac:dyDescent="0.3">
      <c r="A1481" s="6" t="s">
        <v>2499</v>
      </c>
      <c r="B1481">
        <v>32884723</v>
      </c>
      <c r="C1481">
        <v>2</v>
      </c>
      <c r="D1481" t="str">
        <f t="shared" si="53"/>
        <v>02</v>
      </c>
      <c r="E1481" t="str">
        <f>VLOOKUP(B1481,'HOGARES-ENDLINE'!$A:$B,2,FALSE)</f>
        <v>01030726</v>
      </c>
      <c r="F1481" s="6" t="str">
        <f t="shared" si="54"/>
        <v>0103072602</v>
      </c>
    </row>
    <row r="1482" spans="1:6" x14ac:dyDescent="0.3">
      <c r="A1482" s="6" t="s">
        <v>2497</v>
      </c>
      <c r="B1482">
        <v>32884723</v>
      </c>
      <c r="C1482">
        <v>1</v>
      </c>
      <c r="D1482" t="str">
        <f t="shared" si="53"/>
        <v>01</v>
      </c>
      <c r="E1482" t="str">
        <f>VLOOKUP(B1482,'HOGARES-ENDLINE'!$A:$B,2,FALSE)</f>
        <v>01030726</v>
      </c>
      <c r="F1482" s="6" t="str">
        <f t="shared" si="54"/>
        <v>0103072601</v>
      </c>
    </row>
    <row r="1483" spans="1:6" x14ac:dyDescent="0.3">
      <c r="A1483" s="6" t="s">
        <v>2503</v>
      </c>
      <c r="B1483">
        <v>32893688</v>
      </c>
      <c r="C1483">
        <v>5</v>
      </c>
      <c r="D1483" t="str">
        <f t="shared" si="53"/>
        <v>05</v>
      </c>
      <c r="E1483" t="str">
        <f>VLOOKUP(B1483,'HOGARES-ENDLINE'!$A:$B,2,FALSE)</f>
        <v>01030727</v>
      </c>
      <c r="F1483" s="6" t="str">
        <f t="shared" si="54"/>
        <v>0103072705</v>
      </c>
    </row>
    <row r="1484" spans="1:6" x14ac:dyDescent="0.3">
      <c r="A1484" s="6" t="s">
        <v>2502</v>
      </c>
      <c r="B1484">
        <v>32893688</v>
      </c>
      <c r="C1484">
        <v>3</v>
      </c>
      <c r="D1484" t="str">
        <f t="shared" si="53"/>
        <v>03</v>
      </c>
      <c r="E1484" t="str">
        <f>VLOOKUP(B1484,'HOGARES-ENDLINE'!$A:$B,2,FALSE)</f>
        <v>01030727</v>
      </c>
      <c r="F1484" s="6" t="str">
        <f t="shared" si="54"/>
        <v>0103072703</v>
      </c>
    </row>
    <row r="1485" spans="1:6" x14ac:dyDescent="0.3">
      <c r="A1485" s="6" t="s">
        <v>2500</v>
      </c>
      <c r="B1485">
        <v>32893688</v>
      </c>
      <c r="C1485">
        <v>1</v>
      </c>
      <c r="D1485" t="str">
        <f t="shared" si="53"/>
        <v>01</v>
      </c>
      <c r="E1485" t="str">
        <f>VLOOKUP(B1485,'HOGARES-ENDLINE'!$A:$B,2,FALSE)</f>
        <v>01030727</v>
      </c>
      <c r="F1485" s="6" t="str">
        <f t="shared" si="54"/>
        <v>0103072701</v>
      </c>
    </row>
    <row r="1486" spans="1:6" x14ac:dyDescent="0.3">
      <c r="A1486" s="6" t="s">
        <v>2504</v>
      </c>
      <c r="B1486">
        <v>32893688</v>
      </c>
      <c r="C1486">
        <v>2</v>
      </c>
      <c r="D1486" t="str">
        <f t="shared" si="53"/>
        <v>02</v>
      </c>
      <c r="E1486" t="str">
        <f>VLOOKUP(B1486,'HOGARES-ENDLINE'!$A:$B,2,FALSE)</f>
        <v>01030727</v>
      </c>
      <c r="F1486" s="6" t="str">
        <f t="shared" si="54"/>
        <v>0103072702</v>
      </c>
    </row>
    <row r="1487" spans="1:6" x14ac:dyDescent="0.3">
      <c r="A1487" s="6" t="s">
        <v>2505</v>
      </c>
      <c r="B1487">
        <v>32893688</v>
      </c>
      <c r="C1487">
        <v>4</v>
      </c>
      <c r="D1487" t="str">
        <f t="shared" si="53"/>
        <v>04</v>
      </c>
      <c r="E1487" t="str">
        <f>VLOOKUP(B1487,'HOGARES-ENDLINE'!$A:$B,2,FALSE)</f>
        <v>01030727</v>
      </c>
      <c r="F1487" s="6" t="str">
        <f t="shared" si="54"/>
        <v>0103072704</v>
      </c>
    </row>
    <row r="1488" spans="1:6" x14ac:dyDescent="0.3">
      <c r="A1488" s="6" t="s">
        <v>2501</v>
      </c>
      <c r="B1488">
        <v>32893688</v>
      </c>
      <c r="C1488">
        <v>6</v>
      </c>
      <c r="D1488" t="str">
        <f t="shared" si="53"/>
        <v>06</v>
      </c>
      <c r="E1488" t="str">
        <f>VLOOKUP(B1488,'HOGARES-ENDLINE'!$A:$B,2,FALSE)</f>
        <v>01030727</v>
      </c>
      <c r="F1488" s="6" t="str">
        <f t="shared" si="54"/>
        <v>0103072706</v>
      </c>
    </row>
    <row r="1489" spans="1:6" x14ac:dyDescent="0.3">
      <c r="A1489" s="6" t="s">
        <v>2507</v>
      </c>
      <c r="B1489">
        <v>32894006</v>
      </c>
      <c r="C1489">
        <v>4</v>
      </c>
      <c r="D1489" t="str">
        <f t="shared" si="53"/>
        <v>04</v>
      </c>
      <c r="E1489" t="str">
        <f>VLOOKUP(B1489,'HOGARES-ENDLINE'!$A:$B,2,FALSE)</f>
        <v>01030728</v>
      </c>
      <c r="F1489" s="6" t="str">
        <f t="shared" si="54"/>
        <v>0103072804</v>
      </c>
    </row>
    <row r="1490" spans="1:6" x14ac:dyDescent="0.3">
      <c r="A1490" s="6" t="s">
        <v>2508</v>
      </c>
      <c r="B1490">
        <v>32894006</v>
      </c>
      <c r="C1490">
        <v>2</v>
      </c>
      <c r="D1490" t="str">
        <f t="shared" si="53"/>
        <v>02</v>
      </c>
      <c r="E1490" t="str">
        <f>VLOOKUP(B1490,'HOGARES-ENDLINE'!$A:$B,2,FALSE)</f>
        <v>01030728</v>
      </c>
      <c r="F1490" s="6" t="str">
        <f t="shared" si="54"/>
        <v>0103072802</v>
      </c>
    </row>
    <row r="1491" spans="1:6" x14ac:dyDescent="0.3">
      <c r="A1491" s="6" t="s">
        <v>2506</v>
      </c>
      <c r="B1491">
        <v>32894006</v>
      </c>
      <c r="C1491">
        <v>1</v>
      </c>
      <c r="D1491" t="str">
        <f t="shared" si="53"/>
        <v>01</v>
      </c>
      <c r="E1491" t="str">
        <f>VLOOKUP(B1491,'HOGARES-ENDLINE'!$A:$B,2,FALSE)</f>
        <v>01030728</v>
      </c>
      <c r="F1491" s="6" t="str">
        <f t="shared" si="54"/>
        <v>0103072801</v>
      </c>
    </row>
    <row r="1492" spans="1:6" x14ac:dyDescent="0.3">
      <c r="A1492" s="6" t="s">
        <v>2509</v>
      </c>
      <c r="B1492">
        <v>32894006</v>
      </c>
      <c r="C1492">
        <v>3</v>
      </c>
      <c r="D1492" t="str">
        <f t="shared" si="53"/>
        <v>03</v>
      </c>
      <c r="E1492" t="str">
        <f>VLOOKUP(B1492,'HOGARES-ENDLINE'!$A:$B,2,FALSE)</f>
        <v>01030728</v>
      </c>
      <c r="F1492" s="6" t="str">
        <f t="shared" si="54"/>
        <v>0103072803</v>
      </c>
    </row>
    <row r="1493" spans="1:6" x14ac:dyDescent="0.3">
      <c r="A1493" s="6" t="s">
        <v>2510</v>
      </c>
      <c r="B1493">
        <v>33107491</v>
      </c>
      <c r="C1493">
        <v>2</v>
      </c>
      <c r="D1493" t="str">
        <f t="shared" si="53"/>
        <v>02</v>
      </c>
      <c r="E1493" t="str">
        <f>VLOOKUP(B1493,'HOGARES-ENDLINE'!$A:$B,2,FALSE)</f>
        <v>00030729</v>
      </c>
      <c r="F1493" s="6" t="str">
        <f t="shared" si="54"/>
        <v>0003072902</v>
      </c>
    </row>
    <row r="1494" spans="1:6" x14ac:dyDescent="0.3">
      <c r="A1494" s="6" t="s">
        <v>2515</v>
      </c>
      <c r="B1494">
        <v>33107491</v>
      </c>
      <c r="C1494">
        <v>1</v>
      </c>
      <c r="D1494" t="str">
        <f t="shared" si="53"/>
        <v>01</v>
      </c>
      <c r="E1494" t="str">
        <f>VLOOKUP(B1494,'HOGARES-ENDLINE'!$A:$B,2,FALSE)</f>
        <v>00030729</v>
      </c>
      <c r="F1494" s="6" t="str">
        <f t="shared" si="54"/>
        <v>0003072901</v>
      </c>
    </row>
    <row r="1495" spans="1:6" x14ac:dyDescent="0.3">
      <c r="A1495" s="6" t="s">
        <v>2516</v>
      </c>
      <c r="B1495">
        <v>33172386</v>
      </c>
      <c r="C1495">
        <v>2</v>
      </c>
      <c r="D1495" t="str">
        <f t="shared" si="53"/>
        <v>02</v>
      </c>
      <c r="E1495" t="str">
        <f>VLOOKUP(B1495,'HOGARES-ENDLINE'!$A:$B,2,FALSE)</f>
        <v>00030730</v>
      </c>
      <c r="F1495" s="6" t="str">
        <f t="shared" si="54"/>
        <v>0003073002</v>
      </c>
    </row>
    <row r="1496" spans="1:6" x14ac:dyDescent="0.3">
      <c r="A1496" s="6" t="s">
        <v>2518</v>
      </c>
      <c r="B1496">
        <v>33172386</v>
      </c>
      <c r="C1496">
        <v>1</v>
      </c>
      <c r="D1496" t="str">
        <f t="shared" si="53"/>
        <v>01</v>
      </c>
      <c r="E1496" t="str">
        <f>VLOOKUP(B1496,'HOGARES-ENDLINE'!$A:$B,2,FALSE)</f>
        <v>00030730</v>
      </c>
      <c r="F1496" s="6" t="str">
        <f t="shared" si="54"/>
        <v>0003073001</v>
      </c>
    </row>
    <row r="1497" spans="1:6" x14ac:dyDescent="0.3">
      <c r="A1497" s="6" t="s">
        <v>2517</v>
      </c>
      <c r="B1497">
        <v>33172386</v>
      </c>
      <c r="C1497">
        <v>3</v>
      </c>
      <c r="D1497" t="str">
        <f t="shared" si="53"/>
        <v>03</v>
      </c>
      <c r="E1497" t="str">
        <f>VLOOKUP(B1497,'HOGARES-ENDLINE'!$A:$B,2,FALSE)</f>
        <v>00030730</v>
      </c>
      <c r="F1497" s="6" t="str">
        <f t="shared" si="54"/>
        <v>0003073003</v>
      </c>
    </row>
    <row r="1498" spans="1:6" x14ac:dyDescent="0.3">
      <c r="A1498" s="6" t="s">
        <v>2520</v>
      </c>
      <c r="B1498">
        <v>33255246</v>
      </c>
      <c r="C1498">
        <v>1</v>
      </c>
      <c r="D1498" t="str">
        <f t="shared" si="53"/>
        <v>01</v>
      </c>
      <c r="E1498" t="str">
        <f>VLOOKUP(B1498,'HOGARES-ENDLINE'!$A:$B,2,FALSE)</f>
        <v>01010731</v>
      </c>
      <c r="F1498" s="6" t="str">
        <f t="shared" si="54"/>
        <v>0101073101</v>
      </c>
    </row>
    <row r="1499" spans="1:6" x14ac:dyDescent="0.3">
      <c r="A1499" s="6" t="s">
        <v>2528</v>
      </c>
      <c r="B1499">
        <v>33428029</v>
      </c>
      <c r="C1499">
        <v>1</v>
      </c>
      <c r="D1499" t="str">
        <f t="shared" si="53"/>
        <v>01</v>
      </c>
      <c r="E1499" t="str">
        <f>VLOOKUP(B1499,'HOGARES-ENDLINE'!$A:$B,2,FALSE)</f>
        <v>00010732</v>
      </c>
      <c r="F1499" s="6" t="str">
        <f t="shared" si="54"/>
        <v>0001073201</v>
      </c>
    </row>
    <row r="1500" spans="1:6" x14ac:dyDescent="0.3">
      <c r="A1500" s="6" t="s">
        <v>2523</v>
      </c>
      <c r="B1500">
        <v>33428029</v>
      </c>
      <c r="C1500">
        <v>6</v>
      </c>
      <c r="D1500" t="str">
        <f t="shared" si="53"/>
        <v>06</v>
      </c>
      <c r="E1500" t="str">
        <f>VLOOKUP(B1500,'HOGARES-ENDLINE'!$A:$B,2,FALSE)</f>
        <v>00010732</v>
      </c>
      <c r="F1500" s="6" t="str">
        <f t="shared" si="54"/>
        <v>0001073206</v>
      </c>
    </row>
    <row r="1501" spans="1:6" x14ac:dyDescent="0.3">
      <c r="A1501" s="6" t="s">
        <v>2524</v>
      </c>
      <c r="B1501">
        <v>33428029</v>
      </c>
      <c r="C1501">
        <v>8</v>
      </c>
      <c r="D1501" t="str">
        <f t="shared" si="53"/>
        <v>08</v>
      </c>
      <c r="E1501" t="str">
        <f>VLOOKUP(B1501,'HOGARES-ENDLINE'!$A:$B,2,FALSE)</f>
        <v>00010732</v>
      </c>
      <c r="F1501" s="6" t="str">
        <f t="shared" si="54"/>
        <v>0001073208</v>
      </c>
    </row>
    <row r="1502" spans="1:6" x14ac:dyDescent="0.3">
      <c r="A1502" s="6" t="s">
        <v>2527</v>
      </c>
      <c r="B1502">
        <v>33428029</v>
      </c>
      <c r="C1502">
        <v>4</v>
      </c>
      <c r="D1502" t="str">
        <f t="shared" si="53"/>
        <v>04</v>
      </c>
      <c r="E1502" t="str">
        <f>VLOOKUP(B1502,'HOGARES-ENDLINE'!$A:$B,2,FALSE)</f>
        <v>00010732</v>
      </c>
      <c r="F1502" s="6" t="str">
        <f t="shared" si="54"/>
        <v>0001073204</v>
      </c>
    </row>
    <row r="1503" spans="1:6" x14ac:dyDescent="0.3">
      <c r="A1503" s="6" t="s">
        <v>2530</v>
      </c>
      <c r="B1503">
        <v>33428029</v>
      </c>
      <c r="C1503">
        <v>3</v>
      </c>
      <c r="D1503" t="str">
        <f t="shared" si="53"/>
        <v>03</v>
      </c>
      <c r="E1503" t="str">
        <f>VLOOKUP(B1503,'HOGARES-ENDLINE'!$A:$B,2,FALSE)</f>
        <v>00010732</v>
      </c>
      <c r="F1503" s="6" t="str">
        <f t="shared" si="54"/>
        <v>0001073203</v>
      </c>
    </row>
    <row r="1504" spans="1:6" x14ac:dyDescent="0.3">
      <c r="A1504" s="6" t="s">
        <v>2529</v>
      </c>
      <c r="B1504">
        <v>33428029</v>
      </c>
      <c r="C1504">
        <v>7</v>
      </c>
      <c r="D1504" t="str">
        <f t="shared" si="53"/>
        <v>07</v>
      </c>
      <c r="E1504" t="str">
        <f>VLOOKUP(B1504,'HOGARES-ENDLINE'!$A:$B,2,FALSE)</f>
        <v>00010732</v>
      </c>
      <c r="F1504" s="6" t="str">
        <f t="shared" si="54"/>
        <v>0001073207</v>
      </c>
    </row>
    <row r="1505" spans="1:6" x14ac:dyDescent="0.3">
      <c r="A1505" s="6" t="s">
        <v>2525</v>
      </c>
      <c r="B1505">
        <v>33428029</v>
      </c>
      <c r="C1505">
        <v>2</v>
      </c>
      <c r="D1505" t="str">
        <f t="shared" ref="D1505:D1568" si="55">_xlfn.CONCAT(0,C1505)</f>
        <v>02</v>
      </c>
      <c r="E1505" t="str">
        <f>VLOOKUP(B1505,'HOGARES-ENDLINE'!$A:$B,2,FALSE)</f>
        <v>00010732</v>
      </c>
      <c r="F1505" s="6" t="str">
        <f t="shared" si="54"/>
        <v>0001073202</v>
      </c>
    </row>
    <row r="1506" spans="1:6" x14ac:dyDescent="0.3">
      <c r="A1506" s="6" t="s">
        <v>2526</v>
      </c>
      <c r="B1506">
        <v>33428029</v>
      </c>
      <c r="C1506">
        <v>5</v>
      </c>
      <c r="D1506" t="str">
        <f t="shared" si="55"/>
        <v>05</v>
      </c>
      <c r="E1506" t="str">
        <f>VLOOKUP(B1506,'HOGARES-ENDLINE'!$A:$B,2,FALSE)</f>
        <v>00010732</v>
      </c>
      <c r="F1506" s="6" t="str">
        <f t="shared" si="54"/>
        <v>0001073205</v>
      </c>
    </row>
    <row r="1507" spans="1:6" x14ac:dyDescent="0.3">
      <c r="A1507" s="6" t="s">
        <v>2537</v>
      </c>
      <c r="B1507">
        <v>34400184</v>
      </c>
      <c r="C1507">
        <v>1</v>
      </c>
      <c r="D1507" t="str">
        <f t="shared" si="55"/>
        <v>01</v>
      </c>
      <c r="E1507" t="str">
        <f>VLOOKUP(B1507,'HOGARES-ENDLINE'!$A:$B,2,FALSE)</f>
        <v>01020734</v>
      </c>
      <c r="F1507" s="6" t="str">
        <f t="shared" si="54"/>
        <v>0102073401</v>
      </c>
    </row>
    <row r="1508" spans="1:6" x14ac:dyDescent="0.3">
      <c r="A1508" s="6" t="s">
        <v>2546</v>
      </c>
      <c r="B1508">
        <v>34515416</v>
      </c>
      <c r="C1508">
        <v>3</v>
      </c>
      <c r="D1508" t="str">
        <f t="shared" si="55"/>
        <v>03</v>
      </c>
      <c r="E1508" t="str">
        <f>VLOOKUP(B1508,'HOGARES-ENDLINE'!$A:$B,2,FALSE)</f>
        <v>01020737</v>
      </c>
      <c r="F1508" s="6" t="str">
        <f t="shared" si="54"/>
        <v>0102073703</v>
      </c>
    </row>
    <row r="1509" spans="1:6" x14ac:dyDescent="0.3">
      <c r="A1509" s="6" t="s">
        <v>2547</v>
      </c>
      <c r="B1509">
        <v>34515416</v>
      </c>
      <c r="C1509">
        <v>4</v>
      </c>
      <c r="D1509" t="str">
        <f t="shared" si="55"/>
        <v>04</v>
      </c>
      <c r="E1509" t="str">
        <f>VLOOKUP(B1509,'HOGARES-ENDLINE'!$A:$B,2,FALSE)</f>
        <v>01020737</v>
      </c>
      <c r="F1509" s="6" t="str">
        <f t="shared" si="54"/>
        <v>0102073704</v>
      </c>
    </row>
    <row r="1510" spans="1:6" x14ac:dyDescent="0.3">
      <c r="A1510" s="6" t="s">
        <v>2548</v>
      </c>
      <c r="B1510">
        <v>34515416</v>
      </c>
      <c r="C1510">
        <v>2</v>
      </c>
      <c r="D1510" t="str">
        <f t="shared" si="55"/>
        <v>02</v>
      </c>
      <c r="E1510" t="str">
        <f>VLOOKUP(B1510,'HOGARES-ENDLINE'!$A:$B,2,FALSE)</f>
        <v>01020737</v>
      </c>
      <c r="F1510" s="6" t="str">
        <f t="shared" si="54"/>
        <v>0102073702</v>
      </c>
    </row>
    <row r="1511" spans="1:6" x14ac:dyDescent="0.3">
      <c r="A1511" s="6" t="s">
        <v>2549</v>
      </c>
      <c r="B1511">
        <v>34515416</v>
      </c>
      <c r="C1511">
        <v>1</v>
      </c>
      <c r="D1511" t="str">
        <f t="shared" si="55"/>
        <v>01</v>
      </c>
      <c r="E1511" t="str">
        <f>VLOOKUP(B1511,'HOGARES-ENDLINE'!$A:$B,2,FALSE)</f>
        <v>01020737</v>
      </c>
      <c r="F1511" s="6" t="str">
        <f t="shared" si="54"/>
        <v>0102073701</v>
      </c>
    </row>
    <row r="1512" spans="1:6" x14ac:dyDescent="0.3">
      <c r="A1512" s="6" t="s">
        <v>2550</v>
      </c>
      <c r="B1512">
        <v>34572562</v>
      </c>
      <c r="C1512">
        <v>1</v>
      </c>
      <c r="D1512" t="str">
        <f t="shared" si="55"/>
        <v>01</v>
      </c>
      <c r="E1512" t="str">
        <f>VLOOKUP(B1512,'HOGARES-ENDLINE'!$A:$B,2,FALSE)</f>
        <v>01020738</v>
      </c>
      <c r="F1512" s="6" t="str">
        <f t="shared" si="54"/>
        <v>0102073801</v>
      </c>
    </row>
    <row r="1513" spans="1:6" x14ac:dyDescent="0.3">
      <c r="A1513" s="6" t="s">
        <v>2556</v>
      </c>
      <c r="B1513">
        <v>34573715</v>
      </c>
      <c r="C1513">
        <v>4</v>
      </c>
      <c r="D1513" t="str">
        <f t="shared" si="55"/>
        <v>04</v>
      </c>
      <c r="E1513" t="str">
        <f>VLOOKUP(B1513,'HOGARES-ENDLINE'!$A:$B,2,FALSE)</f>
        <v>01020739</v>
      </c>
      <c r="F1513" s="6" t="str">
        <f t="shared" si="54"/>
        <v>0102073904</v>
      </c>
    </row>
    <row r="1514" spans="1:6" x14ac:dyDescent="0.3">
      <c r="A1514" s="6" t="s">
        <v>2553</v>
      </c>
      <c r="B1514">
        <v>34573715</v>
      </c>
      <c r="C1514">
        <v>3</v>
      </c>
      <c r="D1514" t="str">
        <f t="shared" si="55"/>
        <v>03</v>
      </c>
      <c r="E1514" t="str">
        <f>VLOOKUP(B1514,'HOGARES-ENDLINE'!$A:$B,2,FALSE)</f>
        <v>01020739</v>
      </c>
      <c r="F1514" s="6" t="str">
        <f t="shared" si="54"/>
        <v>0102073903</v>
      </c>
    </row>
    <row r="1515" spans="1:6" x14ac:dyDescent="0.3">
      <c r="A1515" s="6" t="s">
        <v>2557</v>
      </c>
      <c r="B1515">
        <v>34690139</v>
      </c>
      <c r="C1515">
        <v>1</v>
      </c>
      <c r="D1515" t="str">
        <f t="shared" si="55"/>
        <v>01</v>
      </c>
      <c r="E1515" t="str">
        <f>VLOOKUP(B1515,'HOGARES-ENDLINE'!$A:$B,2,FALSE)</f>
        <v>01020740</v>
      </c>
      <c r="F1515" s="6" t="str">
        <f t="shared" si="54"/>
        <v>0102074001</v>
      </c>
    </row>
    <row r="1516" spans="1:6" x14ac:dyDescent="0.3">
      <c r="A1516" s="6" t="s">
        <v>2564</v>
      </c>
      <c r="B1516">
        <v>34977363</v>
      </c>
      <c r="C1516">
        <v>2</v>
      </c>
      <c r="D1516" t="str">
        <f t="shared" si="55"/>
        <v>02</v>
      </c>
      <c r="E1516" t="str">
        <f>VLOOKUP(B1516,'HOGARES-ENDLINE'!$A:$B,2,FALSE)</f>
        <v>01030741</v>
      </c>
      <c r="F1516" s="6" t="str">
        <f t="shared" si="54"/>
        <v>0103074102</v>
      </c>
    </row>
    <row r="1517" spans="1:6" x14ac:dyDescent="0.3">
      <c r="A1517" s="6" t="s">
        <v>2568</v>
      </c>
      <c r="B1517">
        <v>34977363</v>
      </c>
      <c r="C1517">
        <v>4</v>
      </c>
      <c r="D1517" t="str">
        <f t="shared" si="55"/>
        <v>04</v>
      </c>
      <c r="E1517" t="str">
        <f>VLOOKUP(B1517,'HOGARES-ENDLINE'!$A:$B,2,FALSE)</f>
        <v>01030741</v>
      </c>
      <c r="F1517" s="6" t="str">
        <f t="shared" si="54"/>
        <v>0103074104</v>
      </c>
    </row>
    <row r="1518" spans="1:6" x14ac:dyDescent="0.3">
      <c r="A1518" s="6" t="s">
        <v>2566</v>
      </c>
      <c r="B1518">
        <v>34977363</v>
      </c>
      <c r="C1518">
        <v>1</v>
      </c>
      <c r="D1518" t="str">
        <f t="shared" si="55"/>
        <v>01</v>
      </c>
      <c r="E1518" t="str">
        <f>VLOOKUP(B1518,'HOGARES-ENDLINE'!$A:$B,2,FALSE)</f>
        <v>01030741</v>
      </c>
      <c r="F1518" s="6" t="str">
        <f t="shared" si="54"/>
        <v>0103074101</v>
      </c>
    </row>
    <row r="1519" spans="1:6" x14ac:dyDescent="0.3">
      <c r="A1519" s="6" t="s">
        <v>2567</v>
      </c>
      <c r="B1519">
        <v>34977363</v>
      </c>
      <c r="C1519">
        <v>3</v>
      </c>
      <c r="D1519" t="str">
        <f t="shared" si="55"/>
        <v>03</v>
      </c>
      <c r="E1519" t="str">
        <f>VLOOKUP(B1519,'HOGARES-ENDLINE'!$A:$B,2,FALSE)</f>
        <v>01030741</v>
      </c>
      <c r="F1519" s="6" t="str">
        <f t="shared" si="54"/>
        <v>0103074103</v>
      </c>
    </row>
    <row r="1520" spans="1:6" x14ac:dyDescent="0.3">
      <c r="A1520" s="6" t="s">
        <v>2571</v>
      </c>
      <c r="B1520">
        <v>35546366</v>
      </c>
      <c r="C1520">
        <v>1</v>
      </c>
      <c r="D1520" t="str">
        <f t="shared" si="55"/>
        <v>01</v>
      </c>
      <c r="E1520" t="str">
        <f>VLOOKUP(B1520,'HOGARES-ENDLINE'!$A:$B,2,FALSE)</f>
        <v>01020742</v>
      </c>
      <c r="F1520" s="6" t="str">
        <f t="shared" si="54"/>
        <v>0102074201</v>
      </c>
    </row>
    <row r="1521" spans="1:6" x14ac:dyDescent="0.3">
      <c r="A1521" s="6" t="s">
        <v>2580</v>
      </c>
      <c r="B1521">
        <v>35990267</v>
      </c>
      <c r="C1521">
        <v>1</v>
      </c>
      <c r="D1521" t="str">
        <f t="shared" si="55"/>
        <v>01</v>
      </c>
      <c r="E1521" t="str">
        <f>VLOOKUP(B1521,'HOGARES-ENDLINE'!$A:$B,2,FALSE)</f>
        <v>01020745</v>
      </c>
      <c r="F1521" s="6" t="str">
        <f t="shared" si="54"/>
        <v>0102074501</v>
      </c>
    </row>
    <row r="1522" spans="1:6" x14ac:dyDescent="0.3">
      <c r="A1522" s="6" t="s">
        <v>2582</v>
      </c>
      <c r="B1522">
        <v>35990267</v>
      </c>
      <c r="C1522">
        <v>5</v>
      </c>
      <c r="D1522" t="str">
        <f t="shared" si="55"/>
        <v>05</v>
      </c>
      <c r="E1522" t="str">
        <f>VLOOKUP(B1522,'HOGARES-ENDLINE'!$A:$B,2,FALSE)</f>
        <v>01020745</v>
      </c>
      <c r="F1522" s="6" t="str">
        <f t="shared" si="54"/>
        <v>0102074505</v>
      </c>
    </row>
    <row r="1523" spans="1:6" x14ac:dyDescent="0.3">
      <c r="A1523" s="6" t="s">
        <v>2579</v>
      </c>
      <c r="B1523">
        <v>35990267</v>
      </c>
      <c r="C1523">
        <v>2</v>
      </c>
      <c r="D1523" t="str">
        <f t="shared" si="55"/>
        <v>02</v>
      </c>
      <c r="E1523" t="str">
        <f>VLOOKUP(B1523,'HOGARES-ENDLINE'!$A:$B,2,FALSE)</f>
        <v>01020745</v>
      </c>
      <c r="F1523" s="6" t="str">
        <f t="shared" si="54"/>
        <v>0102074502</v>
      </c>
    </row>
    <row r="1524" spans="1:6" x14ac:dyDescent="0.3">
      <c r="A1524" s="6" t="s">
        <v>2581</v>
      </c>
      <c r="B1524">
        <v>35990267</v>
      </c>
      <c r="C1524">
        <v>3</v>
      </c>
      <c r="D1524" t="str">
        <f t="shared" si="55"/>
        <v>03</v>
      </c>
      <c r="E1524" t="str">
        <f>VLOOKUP(B1524,'HOGARES-ENDLINE'!$A:$B,2,FALSE)</f>
        <v>01020745</v>
      </c>
      <c r="F1524" s="6" t="str">
        <f t="shared" si="54"/>
        <v>0102074503</v>
      </c>
    </row>
    <row r="1525" spans="1:6" x14ac:dyDescent="0.3">
      <c r="A1525" s="6" t="s">
        <v>2578</v>
      </c>
      <c r="B1525">
        <v>35990267</v>
      </c>
      <c r="C1525">
        <v>4</v>
      </c>
      <c r="D1525" t="str">
        <f t="shared" si="55"/>
        <v>04</v>
      </c>
      <c r="E1525" t="str">
        <f>VLOOKUP(B1525,'HOGARES-ENDLINE'!$A:$B,2,FALSE)</f>
        <v>01020745</v>
      </c>
      <c r="F1525" s="6" t="str">
        <f t="shared" si="54"/>
        <v>0102074504</v>
      </c>
    </row>
    <row r="1526" spans="1:6" x14ac:dyDescent="0.3">
      <c r="A1526" s="6" t="s">
        <v>2583</v>
      </c>
      <c r="B1526">
        <v>36489408</v>
      </c>
      <c r="C1526">
        <v>1</v>
      </c>
      <c r="D1526" t="str">
        <f t="shared" si="55"/>
        <v>01</v>
      </c>
      <c r="E1526" t="str">
        <f>VLOOKUP(B1526,'HOGARES-ENDLINE'!$A:$B,2,FALSE)</f>
        <v>00030746</v>
      </c>
      <c r="F1526" s="6" t="str">
        <f t="shared" si="54"/>
        <v>0003074601</v>
      </c>
    </row>
    <row r="1527" spans="1:6" x14ac:dyDescent="0.3">
      <c r="A1527" s="6" t="s">
        <v>2584</v>
      </c>
      <c r="B1527">
        <v>36594665</v>
      </c>
      <c r="C1527">
        <v>1</v>
      </c>
      <c r="D1527" t="str">
        <f t="shared" si="55"/>
        <v>01</v>
      </c>
      <c r="E1527" t="str">
        <f>VLOOKUP(B1527,'HOGARES-ENDLINE'!$A:$B,2,FALSE)</f>
        <v>00030747</v>
      </c>
      <c r="F1527" s="6" t="str">
        <f t="shared" si="54"/>
        <v>0003074701</v>
      </c>
    </row>
    <row r="1528" spans="1:6" x14ac:dyDescent="0.3">
      <c r="A1528" s="6" t="s">
        <v>2589</v>
      </c>
      <c r="B1528">
        <v>37075013</v>
      </c>
      <c r="C1528">
        <v>1</v>
      </c>
      <c r="D1528" t="str">
        <f t="shared" si="55"/>
        <v>01</v>
      </c>
      <c r="E1528" t="str">
        <f>VLOOKUP(B1528,'HOGARES-ENDLINE'!$A:$B,2,FALSE)</f>
        <v>01020748</v>
      </c>
      <c r="F1528" s="6" t="str">
        <f t="shared" si="54"/>
        <v>0102074801</v>
      </c>
    </row>
    <row r="1529" spans="1:6" x14ac:dyDescent="0.3">
      <c r="A1529" s="6" t="s">
        <v>2590</v>
      </c>
      <c r="B1529">
        <v>37236302</v>
      </c>
      <c r="C1529">
        <v>1</v>
      </c>
      <c r="D1529" t="str">
        <f t="shared" si="55"/>
        <v>01</v>
      </c>
      <c r="E1529" t="str">
        <f>VLOOKUP(B1529,'HOGARES-ENDLINE'!$A:$B,2,FALSE)</f>
        <v>00020749</v>
      </c>
      <c r="F1529" s="6" t="str">
        <f t="shared" si="54"/>
        <v>0002074901</v>
      </c>
    </row>
    <row r="1530" spans="1:6" x14ac:dyDescent="0.3">
      <c r="A1530" s="6" t="s">
        <v>2591</v>
      </c>
      <c r="B1530">
        <v>37253427</v>
      </c>
      <c r="C1530">
        <v>1</v>
      </c>
      <c r="D1530" t="str">
        <f t="shared" si="55"/>
        <v>01</v>
      </c>
      <c r="E1530" t="str">
        <f>VLOOKUP(B1530,'HOGARES-ENDLINE'!$A:$B,2,FALSE)</f>
        <v>01020750</v>
      </c>
      <c r="F1530" s="6" t="str">
        <f t="shared" si="54"/>
        <v>0102075001</v>
      </c>
    </row>
    <row r="1531" spans="1:6" x14ac:dyDescent="0.3">
      <c r="A1531" s="6" t="s">
        <v>2601</v>
      </c>
      <c r="B1531">
        <v>37926108</v>
      </c>
      <c r="C1531">
        <v>5</v>
      </c>
      <c r="D1531" t="str">
        <f t="shared" si="55"/>
        <v>05</v>
      </c>
      <c r="E1531" t="str">
        <f>VLOOKUP(B1531,'HOGARES-ENDLINE'!$A:$B,2,FALSE)</f>
        <v>01030752</v>
      </c>
      <c r="F1531" s="6" t="str">
        <f t="shared" si="54"/>
        <v>0103075205</v>
      </c>
    </row>
    <row r="1532" spans="1:6" x14ac:dyDescent="0.3">
      <c r="A1532" s="6" t="s">
        <v>2598</v>
      </c>
      <c r="B1532">
        <v>37926108</v>
      </c>
      <c r="C1532">
        <v>7</v>
      </c>
      <c r="D1532" t="str">
        <f t="shared" si="55"/>
        <v>07</v>
      </c>
      <c r="E1532" t="str">
        <f>VLOOKUP(B1532,'HOGARES-ENDLINE'!$A:$B,2,FALSE)</f>
        <v>01030752</v>
      </c>
      <c r="F1532" s="6" t="str">
        <f t="shared" si="54"/>
        <v>0103075207</v>
      </c>
    </row>
    <row r="1533" spans="1:6" x14ac:dyDescent="0.3">
      <c r="A1533" s="6" t="s">
        <v>2596</v>
      </c>
      <c r="B1533">
        <v>37926108</v>
      </c>
      <c r="C1533">
        <v>8</v>
      </c>
      <c r="D1533" t="str">
        <f t="shared" si="55"/>
        <v>08</v>
      </c>
      <c r="E1533" t="str">
        <f>VLOOKUP(B1533,'HOGARES-ENDLINE'!$A:$B,2,FALSE)</f>
        <v>01030752</v>
      </c>
      <c r="F1533" s="6" t="str">
        <f t="shared" si="54"/>
        <v>0103075208</v>
      </c>
    </row>
    <row r="1534" spans="1:6" x14ac:dyDescent="0.3">
      <c r="A1534" s="6" t="s">
        <v>2595</v>
      </c>
      <c r="B1534">
        <v>37926108</v>
      </c>
      <c r="C1534">
        <v>4</v>
      </c>
      <c r="D1534" t="str">
        <f t="shared" si="55"/>
        <v>04</v>
      </c>
      <c r="E1534" t="str">
        <f>VLOOKUP(B1534,'HOGARES-ENDLINE'!$A:$B,2,FALSE)</f>
        <v>01030752</v>
      </c>
      <c r="F1534" s="6" t="str">
        <f t="shared" si="54"/>
        <v>0103075204</v>
      </c>
    </row>
    <row r="1535" spans="1:6" x14ac:dyDescent="0.3">
      <c r="A1535" s="6" t="s">
        <v>2602</v>
      </c>
      <c r="B1535">
        <v>37926108</v>
      </c>
      <c r="C1535">
        <v>2</v>
      </c>
      <c r="D1535" t="str">
        <f t="shared" si="55"/>
        <v>02</v>
      </c>
      <c r="E1535" t="str">
        <f>VLOOKUP(B1535,'HOGARES-ENDLINE'!$A:$B,2,FALSE)</f>
        <v>01030752</v>
      </c>
      <c r="F1535" s="6" t="str">
        <f t="shared" si="54"/>
        <v>0103075202</v>
      </c>
    </row>
    <row r="1536" spans="1:6" x14ac:dyDescent="0.3">
      <c r="A1536" s="6" t="s">
        <v>2597</v>
      </c>
      <c r="B1536">
        <v>37926108</v>
      </c>
      <c r="C1536">
        <v>6</v>
      </c>
      <c r="D1536" t="str">
        <f t="shared" si="55"/>
        <v>06</v>
      </c>
      <c r="E1536" t="str">
        <f>VLOOKUP(B1536,'HOGARES-ENDLINE'!$A:$B,2,FALSE)</f>
        <v>01030752</v>
      </c>
      <c r="F1536" s="6" t="str">
        <f t="shared" si="54"/>
        <v>0103075206</v>
      </c>
    </row>
    <row r="1537" spans="1:6" x14ac:dyDescent="0.3">
      <c r="A1537" s="6" t="s">
        <v>2599</v>
      </c>
      <c r="B1537">
        <v>37926108</v>
      </c>
      <c r="C1537">
        <v>1</v>
      </c>
      <c r="D1537" t="str">
        <f t="shared" si="55"/>
        <v>01</v>
      </c>
      <c r="E1537" t="str">
        <f>VLOOKUP(B1537,'HOGARES-ENDLINE'!$A:$B,2,FALSE)</f>
        <v>01030752</v>
      </c>
      <c r="F1537" s="6" t="str">
        <f t="shared" si="54"/>
        <v>0103075201</v>
      </c>
    </row>
    <row r="1538" spans="1:6" x14ac:dyDescent="0.3">
      <c r="A1538" s="6" t="s">
        <v>2600</v>
      </c>
      <c r="B1538">
        <v>37926108</v>
      </c>
      <c r="C1538">
        <v>3</v>
      </c>
      <c r="D1538" t="str">
        <f t="shared" si="55"/>
        <v>03</v>
      </c>
      <c r="E1538" t="str">
        <f>VLOOKUP(B1538,'HOGARES-ENDLINE'!$A:$B,2,FALSE)</f>
        <v>01030752</v>
      </c>
      <c r="F1538" s="6" t="str">
        <f t="shared" si="54"/>
        <v>0103075203</v>
      </c>
    </row>
    <row r="1539" spans="1:6" x14ac:dyDescent="0.3">
      <c r="A1539" s="6" t="s">
        <v>2604</v>
      </c>
      <c r="B1539">
        <v>38551583</v>
      </c>
      <c r="C1539">
        <v>1</v>
      </c>
      <c r="D1539" t="str">
        <f t="shared" si="55"/>
        <v>01</v>
      </c>
      <c r="E1539" t="str">
        <f>VLOOKUP(B1539,'HOGARES-ENDLINE'!$A:$B,2,FALSE)</f>
        <v>00020753</v>
      </c>
      <c r="F1539" s="6" t="str">
        <f t="shared" ref="F1539:F1602" si="56">_xlfn.CONCAT(E1539,D1539)</f>
        <v>0002075301</v>
      </c>
    </row>
    <row r="1540" spans="1:6" x14ac:dyDescent="0.3">
      <c r="A1540" s="6" t="s">
        <v>2603</v>
      </c>
      <c r="B1540">
        <v>38551583</v>
      </c>
      <c r="C1540">
        <v>2</v>
      </c>
      <c r="D1540" t="str">
        <f t="shared" si="55"/>
        <v>02</v>
      </c>
      <c r="E1540" t="str">
        <f>VLOOKUP(B1540,'HOGARES-ENDLINE'!$A:$B,2,FALSE)</f>
        <v>00020753</v>
      </c>
      <c r="F1540" s="6" t="str">
        <f t="shared" si="56"/>
        <v>0002075302</v>
      </c>
    </row>
    <row r="1541" spans="1:6" x14ac:dyDescent="0.3">
      <c r="A1541" s="6" t="s">
        <v>2605</v>
      </c>
      <c r="B1541">
        <v>38551583</v>
      </c>
      <c r="C1541">
        <v>3</v>
      </c>
      <c r="D1541" t="str">
        <f t="shared" si="55"/>
        <v>03</v>
      </c>
      <c r="E1541" t="str">
        <f>VLOOKUP(B1541,'HOGARES-ENDLINE'!$A:$B,2,FALSE)</f>
        <v>00020753</v>
      </c>
      <c r="F1541" s="6" t="str">
        <f t="shared" si="56"/>
        <v>0002075303</v>
      </c>
    </row>
    <row r="1542" spans="1:6" x14ac:dyDescent="0.3">
      <c r="A1542" s="6" t="s">
        <v>2607</v>
      </c>
      <c r="B1542">
        <v>38558662</v>
      </c>
      <c r="C1542">
        <v>2</v>
      </c>
      <c r="D1542" t="str">
        <f t="shared" si="55"/>
        <v>02</v>
      </c>
      <c r="E1542" t="str">
        <f>VLOOKUP(B1542,'HOGARES-ENDLINE'!$A:$B,2,FALSE)</f>
        <v>00020754</v>
      </c>
      <c r="F1542" s="6" t="str">
        <f t="shared" si="56"/>
        <v>0002075402</v>
      </c>
    </row>
    <row r="1543" spans="1:6" x14ac:dyDescent="0.3">
      <c r="A1543" s="6" t="s">
        <v>2606</v>
      </c>
      <c r="B1543">
        <v>38558662</v>
      </c>
      <c r="C1543">
        <v>4</v>
      </c>
      <c r="D1543" t="str">
        <f t="shared" si="55"/>
        <v>04</v>
      </c>
      <c r="E1543" t="str">
        <f>VLOOKUP(B1543,'HOGARES-ENDLINE'!$A:$B,2,FALSE)</f>
        <v>00020754</v>
      </c>
      <c r="F1543" s="6" t="str">
        <f t="shared" si="56"/>
        <v>0002075404</v>
      </c>
    </row>
    <row r="1544" spans="1:6" x14ac:dyDescent="0.3">
      <c r="A1544" s="6" t="s">
        <v>2608</v>
      </c>
      <c r="B1544">
        <v>38558662</v>
      </c>
      <c r="C1544">
        <v>1</v>
      </c>
      <c r="D1544" t="str">
        <f t="shared" si="55"/>
        <v>01</v>
      </c>
      <c r="E1544" t="str">
        <f>VLOOKUP(B1544,'HOGARES-ENDLINE'!$A:$B,2,FALSE)</f>
        <v>00020754</v>
      </c>
      <c r="F1544" s="6" t="str">
        <f t="shared" si="56"/>
        <v>0002075401</v>
      </c>
    </row>
    <row r="1545" spans="1:6" x14ac:dyDescent="0.3">
      <c r="A1545" s="6" t="s">
        <v>2609</v>
      </c>
      <c r="B1545">
        <v>38558662</v>
      </c>
      <c r="C1545">
        <v>3</v>
      </c>
      <c r="D1545" t="str">
        <f t="shared" si="55"/>
        <v>03</v>
      </c>
      <c r="E1545" t="str">
        <f>VLOOKUP(B1545,'HOGARES-ENDLINE'!$A:$B,2,FALSE)</f>
        <v>00020754</v>
      </c>
      <c r="F1545" s="6" t="str">
        <f t="shared" si="56"/>
        <v>0002075403</v>
      </c>
    </row>
    <row r="1546" spans="1:6" x14ac:dyDescent="0.3">
      <c r="A1546" s="6" t="s">
        <v>2610</v>
      </c>
      <c r="B1546">
        <v>38561325</v>
      </c>
      <c r="C1546">
        <v>2</v>
      </c>
      <c r="D1546" t="str">
        <f t="shared" si="55"/>
        <v>02</v>
      </c>
      <c r="E1546" t="str">
        <f>VLOOKUP(B1546,'HOGARES-ENDLINE'!$A:$B,2,FALSE)</f>
        <v>00020755</v>
      </c>
      <c r="F1546" s="6" t="str">
        <f t="shared" si="56"/>
        <v>0002075502</v>
      </c>
    </row>
    <row r="1547" spans="1:6" x14ac:dyDescent="0.3">
      <c r="A1547" s="6" t="s">
        <v>2612</v>
      </c>
      <c r="B1547">
        <v>38561325</v>
      </c>
      <c r="C1547">
        <v>3</v>
      </c>
      <c r="D1547" t="str">
        <f t="shared" si="55"/>
        <v>03</v>
      </c>
      <c r="E1547" t="str">
        <f>VLOOKUP(B1547,'HOGARES-ENDLINE'!$A:$B,2,FALSE)</f>
        <v>00020755</v>
      </c>
      <c r="F1547" s="6" t="str">
        <f t="shared" si="56"/>
        <v>0002075503</v>
      </c>
    </row>
    <row r="1548" spans="1:6" x14ac:dyDescent="0.3">
      <c r="A1548" s="6" t="s">
        <v>2611</v>
      </c>
      <c r="B1548">
        <v>38561325</v>
      </c>
      <c r="C1548">
        <v>1</v>
      </c>
      <c r="D1548" t="str">
        <f t="shared" si="55"/>
        <v>01</v>
      </c>
      <c r="E1548" t="str">
        <f>VLOOKUP(B1548,'HOGARES-ENDLINE'!$A:$B,2,FALSE)</f>
        <v>00020755</v>
      </c>
      <c r="F1548" s="6" t="str">
        <f t="shared" si="56"/>
        <v>0002075501</v>
      </c>
    </row>
    <row r="1549" spans="1:6" x14ac:dyDescent="0.3">
      <c r="A1549" s="6" t="s">
        <v>2614</v>
      </c>
      <c r="B1549">
        <v>38567213</v>
      </c>
      <c r="C1549">
        <v>1</v>
      </c>
      <c r="D1549" t="str">
        <f t="shared" si="55"/>
        <v>01</v>
      </c>
      <c r="E1549" t="str">
        <f>VLOOKUP(B1549,'HOGARES-ENDLINE'!$A:$B,2,FALSE)</f>
        <v>00020756</v>
      </c>
      <c r="F1549" s="6" t="str">
        <f t="shared" si="56"/>
        <v>0002075601</v>
      </c>
    </row>
    <row r="1550" spans="1:6" x14ac:dyDescent="0.3">
      <c r="A1550" s="6" t="s">
        <v>2613</v>
      </c>
      <c r="B1550">
        <v>38567213</v>
      </c>
      <c r="C1550">
        <v>2</v>
      </c>
      <c r="D1550" t="str">
        <f t="shared" si="55"/>
        <v>02</v>
      </c>
      <c r="E1550" t="str">
        <f>VLOOKUP(B1550,'HOGARES-ENDLINE'!$A:$B,2,FALSE)</f>
        <v>00020756</v>
      </c>
      <c r="F1550" s="6" t="str">
        <f t="shared" si="56"/>
        <v>0002075602</v>
      </c>
    </row>
    <row r="1551" spans="1:6" x14ac:dyDescent="0.3">
      <c r="A1551" s="6" t="s">
        <v>2615</v>
      </c>
      <c r="B1551">
        <v>38601290</v>
      </c>
      <c r="C1551">
        <v>2</v>
      </c>
      <c r="D1551" t="str">
        <f t="shared" si="55"/>
        <v>02</v>
      </c>
      <c r="E1551" t="str">
        <f>VLOOKUP(B1551,'HOGARES-ENDLINE'!$A:$B,2,FALSE)</f>
        <v>01020757</v>
      </c>
      <c r="F1551" s="6" t="str">
        <f t="shared" si="56"/>
        <v>0102075702</v>
      </c>
    </row>
    <row r="1552" spans="1:6" x14ac:dyDescent="0.3">
      <c r="A1552" s="6" t="s">
        <v>2616</v>
      </c>
      <c r="B1552">
        <v>38601290</v>
      </c>
      <c r="C1552">
        <v>1</v>
      </c>
      <c r="D1552" t="str">
        <f t="shared" si="55"/>
        <v>01</v>
      </c>
      <c r="E1552" t="str">
        <f>VLOOKUP(B1552,'HOGARES-ENDLINE'!$A:$B,2,FALSE)</f>
        <v>01020757</v>
      </c>
      <c r="F1552" s="6" t="str">
        <f t="shared" si="56"/>
        <v>0102075701</v>
      </c>
    </row>
    <row r="1553" spans="1:6" x14ac:dyDescent="0.3">
      <c r="A1553" s="6" t="s">
        <v>2618</v>
      </c>
      <c r="B1553">
        <v>38604490</v>
      </c>
      <c r="C1553">
        <v>1</v>
      </c>
      <c r="D1553" t="str">
        <f t="shared" si="55"/>
        <v>01</v>
      </c>
      <c r="E1553" t="str">
        <f>VLOOKUP(B1553,'HOGARES-ENDLINE'!$A:$B,2,FALSE)</f>
        <v>00020758</v>
      </c>
      <c r="F1553" s="6" t="str">
        <f t="shared" si="56"/>
        <v>0002075801</v>
      </c>
    </row>
    <row r="1554" spans="1:6" x14ac:dyDescent="0.3">
      <c r="A1554" s="6" t="s">
        <v>2617</v>
      </c>
      <c r="B1554">
        <v>38604490</v>
      </c>
      <c r="C1554">
        <v>2</v>
      </c>
      <c r="D1554" t="str">
        <f t="shared" si="55"/>
        <v>02</v>
      </c>
      <c r="E1554" t="str">
        <f>VLOOKUP(B1554,'HOGARES-ENDLINE'!$A:$B,2,FALSE)</f>
        <v>00020758</v>
      </c>
      <c r="F1554" s="6" t="str">
        <f t="shared" si="56"/>
        <v>0002075802</v>
      </c>
    </row>
    <row r="1555" spans="1:6" x14ac:dyDescent="0.3">
      <c r="A1555" s="6" t="s">
        <v>2619</v>
      </c>
      <c r="B1555">
        <v>38641010</v>
      </c>
      <c r="C1555">
        <v>3</v>
      </c>
      <c r="D1555" t="str">
        <f t="shared" si="55"/>
        <v>03</v>
      </c>
      <c r="E1555" t="str">
        <f>VLOOKUP(B1555,'HOGARES-ENDLINE'!$A:$B,2,FALSE)</f>
        <v>00020759</v>
      </c>
      <c r="F1555" s="6" t="str">
        <f t="shared" si="56"/>
        <v>0002075903</v>
      </c>
    </row>
    <row r="1556" spans="1:6" x14ac:dyDescent="0.3">
      <c r="A1556" s="6" t="s">
        <v>2620</v>
      </c>
      <c r="B1556">
        <v>38641010</v>
      </c>
      <c r="C1556">
        <v>1</v>
      </c>
      <c r="D1556" t="str">
        <f t="shared" si="55"/>
        <v>01</v>
      </c>
      <c r="E1556" t="str">
        <f>VLOOKUP(B1556,'HOGARES-ENDLINE'!$A:$B,2,FALSE)</f>
        <v>00020759</v>
      </c>
      <c r="F1556" s="6" t="str">
        <f t="shared" si="56"/>
        <v>0002075901</v>
      </c>
    </row>
    <row r="1557" spans="1:6" x14ac:dyDescent="0.3">
      <c r="A1557" s="6" t="s">
        <v>2621</v>
      </c>
      <c r="B1557">
        <v>38641010</v>
      </c>
      <c r="C1557">
        <v>2</v>
      </c>
      <c r="D1557" t="str">
        <f t="shared" si="55"/>
        <v>02</v>
      </c>
      <c r="E1557" t="str">
        <f>VLOOKUP(B1557,'HOGARES-ENDLINE'!$A:$B,2,FALSE)</f>
        <v>00020759</v>
      </c>
      <c r="F1557" s="6" t="str">
        <f t="shared" si="56"/>
        <v>0002075902</v>
      </c>
    </row>
    <row r="1558" spans="1:6" x14ac:dyDescent="0.3">
      <c r="A1558" s="6" t="s">
        <v>2622</v>
      </c>
      <c r="B1558">
        <v>38642608</v>
      </c>
      <c r="C1558">
        <v>1</v>
      </c>
      <c r="D1558" t="str">
        <f t="shared" si="55"/>
        <v>01</v>
      </c>
      <c r="E1558" t="str">
        <f>VLOOKUP(B1558,'HOGARES-ENDLINE'!$A:$B,2,FALSE)</f>
        <v>01020760</v>
      </c>
      <c r="F1558" s="6" t="str">
        <f t="shared" si="56"/>
        <v>0102076001</v>
      </c>
    </row>
    <row r="1559" spans="1:6" x14ac:dyDescent="0.3">
      <c r="A1559" s="6" t="s">
        <v>2630</v>
      </c>
      <c r="B1559">
        <v>38665695</v>
      </c>
      <c r="C1559">
        <v>1</v>
      </c>
      <c r="D1559" t="str">
        <f t="shared" si="55"/>
        <v>01</v>
      </c>
      <c r="E1559" t="str">
        <f>VLOOKUP(B1559,'HOGARES-ENDLINE'!$A:$B,2,FALSE)</f>
        <v>01020761</v>
      </c>
      <c r="F1559" s="6" t="str">
        <f t="shared" si="56"/>
        <v>0102076101</v>
      </c>
    </row>
    <row r="1560" spans="1:6" x14ac:dyDescent="0.3">
      <c r="A1560" s="6" t="s">
        <v>2627</v>
      </c>
      <c r="B1560">
        <v>38665695</v>
      </c>
      <c r="C1560">
        <v>4</v>
      </c>
      <c r="D1560" t="str">
        <f t="shared" si="55"/>
        <v>04</v>
      </c>
      <c r="E1560" t="str">
        <f>VLOOKUP(B1560,'HOGARES-ENDLINE'!$A:$B,2,FALSE)</f>
        <v>01020761</v>
      </c>
      <c r="F1560" s="6" t="str">
        <f t="shared" si="56"/>
        <v>0102076104</v>
      </c>
    </row>
    <row r="1561" spans="1:6" x14ac:dyDescent="0.3">
      <c r="A1561" s="6" t="s">
        <v>2628</v>
      </c>
      <c r="B1561">
        <v>38665695</v>
      </c>
      <c r="C1561">
        <v>3</v>
      </c>
      <c r="D1561" t="str">
        <f t="shared" si="55"/>
        <v>03</v>
      </c>
      <c r="E1561" t="str">
        <f>VLOOKUP(B1561,'HOGARES-ENDLINE'!$A:$B,2,FALSE)</f>
        <v>01020761</v>
      </c>
      <c r="F1561" s="6" t="str">
        <f t="shared" si="56"/>
        <v>0102076103</v>
      </c>
    </row>
    <row r="1562" spans="1:6" x14ac:dyDescent="0.3">
      <c r="A1562" s="6" t="s">
        <v>2629</v>
      </c>
      <c r="B1562">
        <v>38665695</v>
      </c>
      <c r="C1562">
        <v>2</v>
      </c>
      <c r="D1562" t="str">
        <f t="shared" si="55"/>
        <v>02</v>
      </c>
      <c r="E1562" t="str">
        <f>VLOOKUP(B1562,'HOGARES-ENDLINE'!$A:$B,2,FALSE)</f>
        <v>01020761</v>
      </c>
      <c r="F1562" s="6" t="str">
        <f t="shared" si="56"/>
        <v>0102076102</v>
      </c>
    </row>
    <row r="1563" spans="1:6" x14ac:dyDescent="0.3">
      <c r="A1563" s="6" t="s">
        <v>2632</v>
      </c>
      <c r="B1563">
        <v>38667116</v>
      </c>
      <c r="C1563">
        <v>2</v>
      </c>
      <c r="D1563" t="str">
        <f t="shared" si="55"/>
        <v>02</v>
      </c>
      <c r="E1563" t="str">
        <f>VLOOKUP(B1563,'HOGARES-ENDLINE'!$A:$B,2,FALSE)</f>
        <v>00020762</v>
      </c>
      <c r="F1563" s="6" t="str">
        <f t="shared" si="56"/>
        <v>0002076202</v>
      </c>
    </row>
    <row r="1564" spans="1:6" x14ac:dyDescent="0.3">
      <c r="A1564" s="6" t="s">
        <v>2633</v>
      </c>
      <c r="B1564">
        <v>38667116</v>
      </c>
      <c r="C1564">
        <v>3</v>
      </c>
      <c r="D1564" t="str">
        <f t="shared" si="55"/>
        <v>03</v>
      </c>
      <c r="E1564" t="str">
        <f>VLOOKUP(B1564,'HOGARES-ENDLINE'!$A:$B,2,FALSE)</f>
        <v>00020762</v>
      </c>
      <c r="F1564" s="6" t="str">
        <f t="shared" si="56"/>
        <v>0002076203</v>
      </c>
    </row>
    <row r="1565" spans="1:6" x14ac:dyDescent="0.3">
      <c r="A1565" s="6" t="s">
        <v>2631</v>
      </c>
      <c r="B1565">
        <v>38667116</v>
      </c>
      <c r="C1565">
        <v>1</v>
      </c>
      <c r="D1565" t="str">
        <f t="shared" si="55"/>
        <v>01</v>
      </c>
      <c r="E1565" t="str">
        <f>VLOOKUP(B1565,'HOGARES-ENDLINE'!$A:$B,2,FALSE)</f>
        <v>00020762</v>
      </c>
      <c r="F1565" s="6" t="str">
        <f t="shared" si="56"/>
        <v>0002076201</v>
      </c>
    </row>
    <row r="1566" spans="1:6" x14ac:dyDescent="0.3">
      <c r="A1566" s="6" t="s">
        <v>2636</v>
      </c>
      <c r="B1566">
        <v>38667243</v>
      </c>
      <c r="C1566">
        <v>1</v>
      </c>
      <c r="D1566" t="str">
        <f t="shared" si="55"/>
        <v>01</v>
      </c>
      <c r="E1566" t="str">
        <f>VLOOKUP(B1566,'HOGARES-ENDLINE'!$A:$B,2,FALSE)</f>
        <v>00020763</v>
      </c>
      <c r="F1566" s="6" t="str">
        <f t="shared" si="56"/>
        <v>0002076301</v>
      </c>
    </row>
    <row r="1567" spans="1:6" x14ac:dyDescent="0.3">
      <c r="A1567" s="6" t="s">
        <v>2634</v>
      </c>
      <c r="B1567">
        <v>38667243</v>
      </c>
      <c r="C1567">
        <v>2</v>
      </c>
      <c r="D1567" t="str">
        <f t="shared" si="55"/>
        <v>02</v>
      </c>
      <c r="E1567" t="str">
        <f>VLOOKUP(B1567,'HOGARES-ENDLINE'!$A:$B,2,FALSE)</f>
        <v>00020763</v>
      </c>
      <c r="F1567" s="6" t="str">
        <f t="shared" si="56"/>
        <v>0002076302</v>
      </c>
    </row>
    <row r="1568" spans="1:6" x14ac:dyDescent="0.3">
      <c r="A1568" s="6" t="s">
        <v>2635</v>
      </c>
      <c r="B1568">
        <v>38667243</v>
      </c>
      <c r="C1568">
        <v>4</v>
      </c>
      <c r="D1568" t="str">
        <f t="shared" si="55"/>
        <v>04</v>
      </c>
      <c r="E1568" t="str">
        <f>VLOOKUP(B1568,'HOGARES-ENDLINE'!$A:$B,2,FALSE)</f>
        <v>00020763</v>
      </c>
      <c r="F1568" s="6" t="str">
        <f t="shared" si="56"/>
        <v>0002076304</v>
      </c>
    </row>
    <row r="1569" spans="1:6" x14ac:dyDescent="0.3">
      <c r="A1569" s="6" t="s">
        <v>2640</v>
      </c>
      <c r="B1569">
        <v>38668909</v>
      </c>
      <c r="C1569">
        <v>1</v>
      </c>
      <c r="D1569" t="str">
        <f t="shared" ref="D1569:D1632" si="57">_xlfn.CONCAT(0,C1569)</f>
        <v>01</v>
      </c>
      <c r="E1569" t="str">
        <f>VLOOKUP(B1569,'HOGARES-ENDLINE'!$A:$B,2,FALSE)</f>
        <v>01020764</v>
      </c>
      <c r="F1569" s="6" t="str">
        <f t="shared" si="56"/>
        <v>0102076401</v>
      </c>
    </row>
    <row r="1570" spans="1:6" x14ac:dyDescent="0.3">
      <c r="A1570" s="6" t="s">
        <v>2644</v>
      </c>
      <c r="B1570">
        <v>38669358</v>
      </c>
      <c r="C1570">
        <v>2</v>
      </c>
      <c r="D1570" t="str">
        <f t="shared" si="57"/>
        <v>02</v>
      </c>
      <c r="E1570" t="str">
        <f>VLOOKUP(B1570,'HOGARES-ENDLINE'!$A:$B,2,FALSE)</f>
        <v>00020765</v>
      </c>
      <c r="F1570" s="6" t="str">
        <f t="shared" si="56"/>
        <v>0002076502</v>
      </c>
    </row>
    <row r="1571" spans="1:6" x14ac:dyDescent="0.3">
      <c r="A1571" s="6" t="s">
        <v>2646</v>
      </c>
      <c r="B1571">
        <v>38671487</v>
      </c>
      <c r="C1571">
        <v>4</v>
      </c>
      <c r="D1571" t="str">
        <f t="shared" si="57"/>
        <v>04</v>
      </c>
      <c r="E1571" t="str">
        <f>VLOOKUP(B1571,'HOGARES-ENDLINE'!$A:$B,2,FALSE)</f>
        <v>01020766</v>
      </c>
      <c r="F1571" s="6" t="str">
        <f t="shared" si="56"/>
        <v>0102076604</v>
      </c>
    </row>
    <row r="1572" spans="1:6" x14ac:dyDescent="0.3">
      <c r="A1572" s="6" t="s">
        <v>2647</v>
      </c>
      <c r="B1572">
        <v>38671487</v>
      </c>
      <c r="C1572">
        <v>3</v>
      </c>
      <c r="D1572" t="str">
        <f t="shared" si="57"/>
        <v>03</v>
      </c>
      <c r="E1572" t="str">
        <f>VLOOKUP(B1572,'HOGARES-ENDLINE'!$A:$B,2,FALSE)</f>
        <v>01020766</v>
      </c>
      <c r="F1572" s="6" t="str">
        <f t="shared" si="56"/>
        <v>0102076603</v>
      </c>
    </row>
    <row r="1573" spans="1:6" x14ac:dyDescent="0.3">
      <c r="A1573" s="6" t="s">
        <v>2645</v>
      </c>
      <c r="B1573">
        <v>38671487</v>
      </c>
      <c r="C1573">
        <v>2</v>
      </c>
      <c r="D1573" t="str">
        <f t="shared" si="57"/>
        <v>02</v>
      </c>
      <c r="E1573" t="str">
        <f>VLOOKUP(B1573,'HOGARES-ENDLINE'!$A:$B,2,FALSE)</f>
        <v>01020766</v>
      </c>
      <c r="F1573" s="6" t="str">
        <f t="shared" si="56"/>
        <v>0102076602</v>
      </c>
    </row>
    <row r="1574" spans="1:6" x14ac:dyDescent="0.3">
      <c r="A1574" s="6" t="s">
        <v>2648</v>
      </c>
      <c r="B1574">
        <v>38671487</v>
      </c>
      <c r="C1574">
        <v>1</v>
      </c>
      <c r="D1574" t="str">
        <f t="shared" si="57"/>
        <v>01</v>
      </c>
      <c r="E1574" t="str">
        <f>VLOOKUP(B1574,'HOGARES-ENDLINE'!$A:$B,2,FALSE)</f>
        <v>01020766</v>
      </c>
      <c r="F1574" s="6" t="str">
        <f t="shared" si="56"/>
        <v>0102076601</v>
      </c>
    </row>
    <row r="1575" spans="1:6" x14ac:dyDescent="0.3">
      <c r="A1575" s="6" t="s">
        <v>2652</v>
      </c>
      <c r="B1575">
        <v>38892442</v>
      </c>
      <c r="C1575">
        <v>1</v>
      </c>
      <c r="D1575" t="str">
        <f t="shared" si="57"/>
        <v>01</v>
      </c>
      <c r="E1575" t="str">
        <f>VLOOKUP(B1575,'HOGARES-ENDLINE'!$A:$B,2,FALSE)</f>
        <v>00020767</v>
      </c>
      <c r="F1575" s="6" t="str">
        <f t="shared" si="56"/>
        <v>0002076701</v>
      </c>
    </row>
    <row r="1576" spans="1:6" x14ac:dyDescent="0.3">
      <c r="A1576" s="6" t="s">
        <v>2653</v>
      </c>
      <c r="B1576">
        <v>38941394</v>
      </c>
      <c r="C1576">
        <v>1</v>
      </c>
      <c r="D1576" t="str">
        <f t="shared" si="57"/>
        <v>01</v>
      </c>
      <c r="E1576" t="str">
        <f>VLOOKUP(B1576,'HOGARES-ENDLINE'!$A:$B,2,FALSE)</f>
        <v>00020768</v>
      </c>
      <c r="F1576" s="6" t="str">
        <f t="shared" si="56"/>
        <v>0002076801</v>
      </c>
    </row>
    <row r="1577" spans="1:6" x14ac:dyDescent="0.3">
      <c r="A1577" s="6" t="s">
        <v>2654</v>
      </c>
      <c r="B1577">
        <v>38941394</v>
      </c>
      <c r="C1577">
        <v>2</v>
      </c>
      <c r="D1577" t="str">
        <f t="shared" si="57"/>
        <v>02</v>
      </c>
      <c r="E1577" t="str">
        <f>VLOOKUP(B1577,'HOGARES-ENDLINE'!$A:$B,2,FALSE)</f>
        <v>00020768</v>
      </c>
      <c r="F1577" s="6" t="str">
        <f t="shared" si="56"/>
        <v>0002076802</v>
      </c>
    </row>
    <row r="1578" spans="1:6" x14ac:dyDescent="0.3">
      <c r="A1578" s="6" t="s">
        <v>2655</v>
      </c>
      <c r="B1578">
        <v>38942002</v>
      </c>
      <c r="C1578">
        <v>3</v>
      </c>
      <c r="D1578" t="str">
        <f t="shared" si="57"/>
        <v>03</v>
      </c>
      <c r="E1578" t="str">
        <f>VLOOKUP(B1578,'HOGARES-ENDLINE'!$A:$B,2,FALSE)</f>
        <v>00020769</v>
      </c>
      <c r="F1578" s="6" t="str">
        <f t="shared" si="56"/>
        <v>0002076903</v>
      </c>
    </row>
    <row r="1579" spans="1:6" x14ac:dyDescent="0.3">
      <c r="A1579" s="6" t="s">
        <v>2656</v>
      </c>
      <c r="B1579">
        <v>38942002</v>
      </c>
      <c r="C1579">
        <v>2</v>
      </c>
      <c r="D1579" t="str">
        <f t="shared" si="57"/>
        <v>02</v>
      </c>
      <c r="E1579" t="str">
        <f>VLOOKUP(B1579,'HOGARES-ENDLINE'!$A:$B,2,FALSE)</f>
        <v>00020769</v>
      </c>
      <c r="F1579" s="6" t="str">
        <f t="shared" si="56"/>
        <v>0002076902</v>
      </c>
    </row>
    <row r="1580" spans="1:6" x14ac:dyDescent="0.3">
      <c r="A1580" s="6" t="s">
        <v>2658</v>
      </c>
      <c r="B1580">
        <v>38942002</v>
      </c>
      <c r="C1580">
        <v>4</v>
      </c>
      <c r="D1580" t="str">
        <f t="shared" si="57"/>
        <v>04</v>
      </c>
      <c r="E1580" t="str">
        <f>VLOOKUP(B1580,'HOGARES-ENDLINE'!$A:$B,2,FALSE)</f>
        <v>00020769</v>
      </c>
      <c r="F1580" s="6" t="str">
        <f t="shared" si="56"/>
        <v>0002076904</v>
      </c>
    </row>
    <row r="1581" spans="1:6" x14ac:dyDescent="0.3">
      <c r="A1581" s="6" t="s">
        <v>2659</v>
      </c>
      <c r="B1581">
        <v>38942002</v>
      </c>
      <c r="C1581">
        <v>5</v>
      </c>
      <c r="D1581" t="str">
        <f t="shared" si="57"/>
        <v>05</v>
      </c>
      <c r="E1581" t="str">
        <f>VLOOKUP(B1581,'HOGARES-ENDLINE'!$A:$B,2,FALSE)</f>
        <v>00020769</v>
      </c>
      <c r="F1581" s="6" t="str">
        <f t="shared" si="56"/>
        <v>0002076905</v>
      </c>
    </row>
    <row r="1582" spans="1:6" x14ac:dyDescent="0.3">
      <c r="A1582" s="6" t="s">
        <v>2657</v>
      </c>
      <c r="B1582">
        <v>38942002</v>
      </c>
      <c r="C1582">
        <v>1</v>
      </c>
      <c r="D1582" t="str">
        <f t="shared" si="57"/>
        <v>01</v>
      </c>
      <c r="E1582" t="str">
        <f>VLOOKUP(B1582,'HOGARES-ENDLINE'!$A:$B,2,FALSE)</f>
        <v>00020769</v>
      </c>
      <c r="F1582" s="6" t="str">
        <f t="shared" si="56"/>
        <v>0002076901</v>
      </c>
    </row>
    <row r="1583" spans="1:6" x14ac:dyDescent="0.3">
      <c r="A1583" s="6" t="s">
        <v>2660</v>
      </c>
      <c r="B1583">
        <v>38973256</v>
      </c>
      <c r="C1583">
        <v>1</v>
      </c>
      <c r="D1583" t="str">
        <f t="shared" si="57"/>
        <v>01</v>
      </c>
      <c r="E1583" t="str">
        <f>VLOOKUP(B1583,'HOGARES-ENDLINE'!$A:$B,2,FALSE)</f>
        <v>01020770</v>
      </c>
      <c r="F1583" s="6" t="str">
        <f t="shared" si="56"/>
        <v>0102077001</v>
      </c>
    </row>
    <row r="1584" spans="1:6" x14ac:dyDescent="0.3">
      <c r="A1584" s="6" t="s">
        <v>2661</v>
      </c>
      <c r="B1584">
        <v>38973256</v>
      </c>
      <c r="C1584">
        <v>2</v>
      </c>
      <c r="D1584" t="str">
        <f t="shared" si="57"/>
        <v>02</v>
      </c>
      <c r="E1584" t="str">
        <f>VLOOKUP(B1584,'HOGARES-ENDLINE'!$A:$B,2,FALSE)</f>
        <v>01020770</v>
      </c>
      <c r="F1584" s="6" t="str">
        <f t="shared" si="56"/>
        <v>0102077002</v>
      </c>
    </row>
    <row r="1585" spans="1:6" x14ac:dyDescent="0.3">
      <c r="A1585" s="6" t="s">
        <v>2662</v>
      </c>
      <c r="B1585">
        <v>38980483</v>
      </c>
      <c r="C1585">
        <v>4</v>
      </c>
      <c r="D1585" t="str">
        <f t="shared" si="57"/>
        <v>04</v>
      </c>
      <c r="E1585" t="str">
        <f>VLOOKUP(B1585,'HOGARES-ENDLINE'!$A:$B,2,FALSE)</f>
        <v>00020771</v>
      </c>
      <c r="F1585" s="6" t="str">
        <f t="shared" si="56"/>
        <v>0002077104</v>
      </c>
    </row>
    <row r="1586" spans="1:6" x14ac:dyDescent="0.3">
      <c r="A1586" s="6" t="s">
        <v>2664</v>
      </c>
      <c r="B1586">
        <v>38980483</v>
      </c>
      <c r="C1586">
        <v>2</v>
      </c>
      <c r="D1586" t="str">
        <f t="shared" si="57"/>
        <v>02</v>
      </c>
      <c r="E1586" t="str">
        <f>VLOOKUP(B1586,'HOGARES-ENDLINE'!$A:$B,2,FALSE)</f>
        <v>00020771</v>
      </c>
      <c r="F1586" s="6" t="str">
        <f t="shared" si="56"/>
        <v>0002077102</v>
      </c>
    </row>
    <row r="1587" spans="1:6" x14ac:dyDescent="0.3">
      <c r="A1587" s="6" t="s">
        <v>2665</v>
      </c>
      <c r="B1587">
        <v>38980483</v>
      </c>
      <c r="C1587">
        <v>1</v>
      </c>
      <c r="D1587" t="str">
        <f t="shared" si="57"/>
        <v>01</v>
      </c>
      <c r="E1587" t="str">
        <f>VLOOKUP(B1587,'HOGARES-ENDLINE'!$A:$B,2,FALSE)</f>
        <v>00020771</v>
      </c>
      <c r="F1587" s="6" t="str">
        <f t="shared" si="56"/>
        <v>0002077101</v>
      </c>
    </row>
    <row r="1588" spans="1:6" x14ac:dyDescent="0.3">
      <c r="A1588" s="6" t="s">
        <v>2663</v>
      </c>
      <c r="B1588">
        <v>38980483</v>
      </c>
      <c r="C1588">
        <v>3</v>
      </c>
      <c r="D1588" t="str">
        <f t="shared" si="57"/>
        <v>03</v>
      </c>
      <c r="E1588" t="str">
        <f>VLOOKUP(B1588,'HOGARES-ENDLINE'!$A:$B,2,FALSE)</f>
        <v>00020771</v>
      </c>
      <c r="F1588" s="6" t="str">
        <f t="shared" si="56"/>
        <v>0002077103</v>
      </c>
    </row>
    <row r="1589" spans="1:6" x14ac:dyDescent="0.3">
      <c r="A1589" s="6" t="s">
        <v>2666</v>
      </c>
      <c r="B1589">
        <v>38992016</v>
      </c>
      <c r="C1589">
        <v>1</v>
      </c>
      <c r="D1589" t="str">
        <f t="shared" si="57"/>
        <v>01</v>
      </c>
      <c r="E1589" t="str">
        <f>VLOOKUP(B1589,'HOGARES-ENDLINE'!$A:$B,2,FALSE)</f>
        <v>01020772</v>
      </c>
      <c r="F1589" s="6" t="str">
        <f t="shared" si="56"/>
        <v>0102077201</v>
      </c>
    </row>
    <row r="1590" spans="1:6" x14ac:dyDescent="0.3">
      <c r="A1590" s="6" t="s">
        <v>5187</v>
      </c>
      <c r="B1590">
        <v>39177963</v>
      </c>
      <c r="C1590">
        <v>9</v>
      </c>
      <c r="D1590" t="str">
        <f t="shared" si="57"/>
        <v>09</v>
      </c>
      <c r="E1590" t="str">
        <f>VLOOKUP(B1590,'HOGARES-ENDLINE'!$A:$B,2,FALSE)</f>
        <v>00010773</v>
      </c>
      <c r="F1590" s="6" t="str">
        <f t="shared" si="56"/>
        <v>0001077309</v>
      </c>
    </row>
    <row r="1591" spans="1:6" x14ac:dyDescent="0.3">
      <c r="A1591" s="6" t="s">
        <v>2667</v>
      </c>
      <c r="B1591">
        <v>39177963</v>
      </c>
      <c r="C1591">
        <v>7</v>
      </c>
      <c r="D1591" t="str">
        <f t="shared" si="57"/>
        <v>07</v>
      </c>
      <c r="E1591" t="str">
        <f>VLOOKUP(B1591,'HOGARES-ENDLINE'!$A:$B,2,FALSE)</f>
        <v>00010773</v>
      </c>
      <c r="F1591" s="6" t="str">
        <f t="shared" si="56"/>
        <v>0001077307</v>
      </c>
    </row>
    <row r="1592" spans="1:6" x14ac:dyDescent="0.3">
      <c r="A1592" s="6" t="s">
        <v>2670</v>
      </c>
      <c r="B1592">
        <v>39177963</v>
      </c>
      <c r="C1592">
        <v>4</v>
      </c>
      <c r="D1592" t="str">
        <f t="shared" si="57"/>
        <v>04</v>
      </c>
      <c r="E1592" t="str">
        <f>VLOOKUP(B1592,'HOGARES-ENDLINE'!$A:$B,2,FALSE)</f>
        <v>00010773</v>
      </c>
      <c r="F1592" s="6" t="str">
        <f t="shared" si="56"/>
        <v>0001077304</v>
      </c>
    </row>
    <row r="1593" spans="1:6" x14ac:dyDescent="0.3">
      <c r="A1593" s="6" t="s">
        <v>5188</v>
      </c>
      <c r="B1593">
        <v>39177963</v>
      </c>
      <c r="C1593">
        <v>8</v>
      </c>
      <c r="D1593" t="str">
        <f t="shared" si="57"/>
        <v>08</v>
      </c>
      <c r="E1593" t="str">
        <f>VLOOKUP(B1593,'HOGARES-ENDLINE'!$A:$B,2,FALSE)</f>
        <v>00010773</v>
      </c>
      <c r="F1593" s="6" t="str">
        <f t="shared" si="56"/>
        <v>0001077308</v>
      </c>
    </row>
    <row r="1594" spans="1:6" x14ac:dyDescent="0.3">
      <c r="A1594" s="6" t="s">
        <v>2673</v>
      </c>
      <c r="B1594">
        <v>39177963</v>
      </c>
      <c r="C1594">
        <v>6</v>
      </c>
      <c r="D1594" t="str">
        <f t="shared" si="57"/>
        <v>06</v>
      </c>
      <c r="E1594" t="str">
        <f>VLOOKUP(B1594,'HOGARES-ENDLINE'!$A:$B,2,FALSE)</f>
        <v>00010773</v>
      </c>
      <c r="F1594" s="6" t="str">
        <f t="shared" si="56"/>
        <v>0001077306</v>
      </c>
    </row>
    <row r="1595" spans="1:6" x14ac:dyDescent="0.3">
      <c r="A1595" s="6" t="s">
        <v>2671</v>
      </c>
      <c r="B1595">
        <v>39177963</v>
      </c>
      <c r="C1595">
        <v>5</v>
      </c>
      <c r="D1595" t="str">
        <f t="shared" si="57"/>
        <v>05</v>
      </c>
      <c r="E1595" t="str">
        <f>VLOOKUP(B1595,'HOGARES-ENDLINE'!$A:$B,2,FALSE)</f>
        <v>00010773</v>
      </c>
      <c r="F1595" s="6" t="str">
        <f t="shared" si="56"/>
        <v>0001077305</v>
      </c>
    </row>
    <row r="1596" spans="1:6" x14ac:dyDescent="0.3">
      <c r="A1596" s="6" t="s">
        <v>2672</v>
      </c>
      <c r="B1596">
        <v>39177963</v>
      </c>
      <c r="C1596">
        <v>1</v>
      </c>
      <c r="D1596" t="str">
        <f t="shared" si="57"/>
        <v>01</v>
      </c>
      <c r="E1596" t="str">
        <f>VLOOKUP(B1596,'HOGARES-ENDLINE'!$A:$B,2,FALSE)</f>
        <v>00010773</v>
      </c>
      <c r="F1596" s="6" t="str">
        <f t="shared" si="56"/>
        <v>0001077301</v>
      </c>
    </row>
    <row r="1597" spans="1:6" x14ac:dyDescent="0.3">
      <c r="A1597" s="6" t="s">
        <v>2669</v>
      </c>
      <c r="B1597">
        <v>39177963</v>
      </c>
      <c r="C1597">
        <v>3</v>
      </c>
      <c r="D1597" t="str">
        <f t="shared" si="57"/>
        <v>03</v>
      </c>
      <c r="E1597" t="str">
        <f>VLOOKUP(B1597,'HOGARES-ENDLINE'!$A:$B,2,FALSE)</f>
        <v>00010773</v>
      </c>
      <c r="F1597" s="6" t="str">
        <f t="shared" si="56"/>
        <v>0001077303</v>
      </c>
    </row>
    <row r="1598" spans="1:6" x14ac:dyDescent="0.3">
      <c r="A1598" s="6" t="s">
        <v>2677</v>
      </c>
      <c r="B1598">
        <v>39179753</v>
      </c>
      <c r="C1598">
        <v>5</v>
      </c>
      <c r="D1598" t="str">
        <f t="shared" si="57"/>
        <v>05</v>
      </c>
      <c r="E1598" t="str">
        <f>VLOOKUP(B1598,'HOGARES-ENDLINE'!$A:$B,2,FALSE)</f>
        <v>00010774</v>
      </c>
      <c r="F1598" s="6" t="str">
        <f t="shared" si="56"/>
        <v>0001077405</v>
      </c>
    </row>
    <row r="1599" spans="1:6" x14ac:dyDescent="0.3">
      <c r="A1599" s="6" t="s">
        <v>2675</v>
      </c>
      <c r="B1599">
        <v>39179753</v>
      </c>
      <c r="C1599">
        <v>4</v>
      </c>
      <c r="D1599" t="str">
        <f t="shared" si="57"/>
        <v>04</v>
      </c>
      <c r="E1599" t="str">
        <f>VLOOKUP(B1599,'HOGARES-ENDLINE'!$A:$B,2,FALSE)</f>
        <v>00010774</v>
      </c>
      <c r="F1599" s="6" t="str">
        <f t="shared" si="56"/>
        <v>0001077404</v>
      </c>
    </row>
    <row r="1600" spans="1:6" x14ac:dyDescent="0.3">
      <c r="A1600" s="6" t="s">
        <v>2678</v>
      </c>
      <c r="B1600">
        <v>39179753</v>
      </c>
      <c r="C1600">
        <v>3</v>
      </c>
      <c r="D1600" t="str">
        <f t="shared" si="57"/>
        <v>03</v>
      </c>
      <c r="E1600" t="str">
        <f>VLOOKUP(B1600,'HOGARES-ENDLINE'!$A:$B,2,FALSE)</f>
        <v>00010774</v>
      </c>
      <c r="F1600" s="6" t="str">
        <f t="shared" si="56"/>
        <v>0001077403</v>
      </c>
    </row>
    <row r="1601" spans="1:6" x14ac:dyDescent="0.3">
      <c r="A1601" s="6" t="s">
        <v>2674</v>
      </c>
      <c r="B1601">
        <v>39179753</v>
      </c>
      <c r="C1601">
        <v>2</v>
      </c>
      <c r="D1601" t="str">
        <f t="shared" si="57"/>
        <v>02</v>
      </c>
      <c r="E1601" t="str">
        <f>VLOOKUP(B1601,'HOGARES-ENDLINE'!$A:$B,2,FALSE)</f>
        <v>00010774</v>
      </c>
      <c r="F1601" s="6" t="str">
        <f t="shared" si="56"/>
        <v>0001077402</v>
      </c>
    </row>
    <row r="1602" spans="1:6" x14ac:dyDescent="0.3">
      <c r="A1602" s="6" t="s">
        <v>2681</v>
      </c>
      <c r="B1602">
        <v>39268214</v>
      </c>
      <c r="C1602">
        <v>1</v>
      </c>
      <c r="D1602" t="str">
        <f t="shared" si="57"/>
        <v>01</v>
      </c>
      <c r="E1602" t="str">
        <f>VLOOKUP(B1602,'HOGARES-ENDLINE'!$A:$B,2,FALSE)</f>
        <v>01010775</v>
      </c>
      <c r="F1602" s="6" t="str">
        <f t="shared" si="56"/>
        <v>0101077501</v>
      </c>
    </row>
    <row r="1603" spans="1:6" x14ac:dyDescent="0.3">
      <c r="A1603" s="6" t="s">
        <v>2682</v>
      </c>
      <c r="B1603">
        <v>39384513</v>
      </c>
      <c r="C1603">
        <v>2</v>
      </c>
      <c r="D1603" t="str">
        <f t="shared" si="57"/>
        <v>02</v>
      </c>
      <c r="E1603" t="str">
        <f>VLOOKUP(B1603,'HOGARES-ENDLINE'!$A:$B,2,FALSE)</f>
        <v>01010776</v>
      </c>
      <c r="F1603" s="6" t="str">
        <f t="shared" ref="F1603:F1666" si="58">_xlfn.CONCAT(E1603,D1603)</f>
        <v>0101077602</v>
      </c>
    </row>
    <row r="1604" spans="1:6" x14ac:dyDescent="0.3">
      <c r="A1604" s="6" t="s">
        <v>2683</v>
      </c>
      <c r="B1604">
        <v>39384513</v>
      </c>
      <c r="C1604">
        <v>1</v>
      </c>
      <c r="D1604" t="str">
        <f t="shared" si="57"/>
        <v>01</v>
      </c>
      <c r="E1604" t="str">
        <f>VLOOKUP(B1604,'HOGARES-ENDLINE'!$A:$B,2,FALSE)</f>
        <v>01010776</v>
      </c>
      <c r="F1604" s="6" t="str">
        <f t="shared" si="58"/>
        <v>0101077601</v>
      </c>
    </row>
    <row r="1605" spans="1:6" x14ac:dyDescent="0.3">
      <c r="A1605" s="6" t="s">
        <v>2684</v>
      </c>
      <c r="B1605">
        <v>39384513</v>
      </c>
      <c r="C1605">
        <v>3</v>
      </c>
      <c r="D1605" t="str">
        <f t="shared" si="57"/>
        <v>03</v>
      </c>
      <c r="E1605" t="str">
        <f>VLOOKUP(B1605,'HOGARES-ENDLINE'!$A:$B,2,FALSE)</f>
        <v>01010776</v>
      </c>
      <c r="F1605" s="6" t="str">
        <f t="shared" si="58"/>
        <v>0101077603</v>
      </c>
    </row>
    <row r="1606" spans="1:6" x14ac:dyDescent="0.3">
      <c r="A1606" s="6" t="s">
        <v>2686</v>
      </c>
      <c r="B1606">
        <v>39387899</v>
      </c>
      <c r="C1606">
        <v>2</v>
      </c>
      <c r="D1606" t="str">
        <f t="shared" si="57"/>
        <v>02</v>
      </c>
      <c r="E1606" t="str">
        <f>VLOOKUP(B1606,'HOGARES-ENDLINE'!$A:$B,2,FALSE)</f>
        <v>00010777</v>
      </c>
      <c r="F1606" s="6" t="str">
        <f t="shared" si="58"/>
        <v>0001077702</v>
      </c>
    </row>
    <row r="1607" spans="1:6" x14ac:dyDescent="0.3">
      <c r="A1607" s="6" t="s">
        <v>2685</v>
      </c>
      <c r="B1607">
        <v>39387899</v>
      </c>
      <c r="C1607">
        <v>1</v>
      </c>
      <c r="D1607" t="str">
        <f t="shared" si="57"/>
        <v>01</v>
      </c>
      <c r="E1607" t="str">
        <f>VLOOKUP(B1607,'HOGARES-ENDLINE'!$A:$B,2,FALSE)</f>
        <v>00010777</v>
      </c>
      <c r="F1607" s="6" t="str">
        <f t="shared" si="58"/>
        <v>0001077701</v>
      </c>
    </row>
    <row r="1608" spans="1:6" x14ac:dyDescent="0.3">
      <c r="A1608" s="6" t="s">
        <v>2687</v>
      </c>
      <c r="B1608">
        <v>39387899</v>
      </c>
      <c r="C1608">
        <v>3</v>
      </c>
      <c r="D1608" t="str">
        <f t="shared" si="57"/>
        <v>03</v>
      </c>
      <c r="E1608" t="str">
        <f>VLOOKUP(B1608,'HOGARES-ENDLINE'!$A:$B,2,FALSE)</f>
        <v>00010777</v>
      </c>
      <c r="F1608" s="6" t="str">
        <f t="shared" si="58"/>
        <v>0001077703</v>
      </c>
    </row>
    <row r="1609" spans="1:6" x14ac:dyDescent="0.3">
      <c r="A1609" s="6" t="s">
        <v>2688</v>
      </c>
      <c r="B1609">
        <v>39387899</v>
      </c>
      <c r="C1609">
        <v>4</v>
      </c>
      <c r="D1609" t="str">
        <f t="shared" si="57"/>
        <v>04</v>
      </c>
      <c r="E1609" t="str">
        <f>VLOOKUP(B1609,'HOGARES-ENDLINE'!$A:$B,2,FALSE)</f>
        <v>00010777</v>
      </c>
      <c r="F1609" s="6" t="str">
        <f t="shared" si="58"/>
        <v>0001077704</v>
      </c>
    </row>
    <row r="1610" spans="1:6" x14ac:dyDescent="0.3">
      <c r="A1610" s="6" t="s">
        <v>2689</v>
      </c>
      <c r="B1610">
        <v>39435019</v>
      </c>
      <c r="C1610">
        <v>1</v>
      </c>
      <c r="D1610" t="str">
        <f t="shared" si="57"/>
        <v>01</v>
      </c>
      <c r="E1610" t="str">
        <f>VLOOKUP(B1610,'HOGARES-ENDLINE'!$A:$B,2,FALSE)</f>
        <v>00010778</v>
      </c>
      <c r="F1610" s="6" t="str">
        <f t="shared" si="58"/>
        <v>0001077801</v>
      </c>
    </row>
    <row r="1611" spans="1:6" x14ac:dyDescent="0.3">
      <c r="A1611" s="6" t="s">
        <v>2691</v>
      </c>
      <c r="B1611">
        <v>40765438</v>
      </c>
      <c r="C1611">
        <v>1</v>
      </c>
      <c r="D1611" t="str">
        <f t="shared" si="57"/>
        <v>01</v>
      </c>
      <c r="E1611" t="str">
        <f>VLOOKUP(B1611,'HOGARES-ENDLINE'!$A:$B,2,FALSE)</f>
        <v>00020779</v>
      </c>
      <c r="F1611" s="6" t="str">
        <f t="shared" si="58"/>
        <v>0002077901</v>
      </c>
    </row>
    <row r="1612" spans="1:6" x14ac:dyDescent="0.3">
      <c r="A1612" s="6" t="s">
        <v>2690</v>
      </c>
      <c r="B1612">
        <v>40765438</v>
      </c>
      <c r="C1612">
        <v>2</v>
      </c>
      <c r="D1612" t="str">
        <f t="shared" si="57"/>
        <v>02</v>
      </c>
      <c r="E1612" t="str">
        <f>VLOOKUP(B1612,'HOGARES-ENDLINE'!$A:$B,2,FALSE)</f>
        <v>00020779</v>
      </c>
      <c r="F1612" s="6" t="str">
        <f t="shared" si="58"/>
        <v>0002077902</v>
      </c>
    </row>
    <row r="1613" spans="1:6" x14ac:dyDescent="0.3">
      <c r="A1613" s="6" t="s">
        <v>2694</v>
      </c>
      <c r="B1613">
        <v>41631902</v>
      </c>
      <c r="C1613">
        <v>2</v>
      </c>
      <c r="D1613" t="str">
        <f t="shared" si="57"/>
        <v>02</v>
      </c>
      <c r="E1613" t="str">
        <f>VLOOKUP(B1613,'HOGARES-ENDLINE'!$A:$B,2,FALSE)</f>
        <v>00030780</v>
      </c>
      <c r="F1613" s="6" t="str">
        <f t="shared" si="58"/>
        <v>0003078002</v>
      </c>
    </row>
    <row r="1614" spans="1:6" x14ac:dyDescent="0.3">
      <c r="A1614" s="6" t="s">
        <v>2695</v>
      </c>
      <c r="B1614">
        <v>41631902</v>
      </c>
      <c r="C1614">
        <v>1</v>
      </c>
      <c r="D1614" t="str">
        <f t="shared" si="57"/>
        <v>01</v>
      </c>
      <c r="E1614" t="str">
        <f>VLOOKUP(B1614,'HOGARES-ENDLINE'!$A:$B,2,FALSE)</f>
        <v>00030780</v>
      </c>
      <c r="F1614" s="6" t="str">
        <f t="shared" si="58"/>
        <v>0003078001</v>
      </c>
    </row>
    <row r="1615" spans="1:6" x14ac:dyDescent="0.3">
      <c r="A1615" s="6" t="s">
        <v>2697</v>
      </c>
      <c r="B1615">
        <v>41632550</v>
      </c>
      <c r="C1615">
        <v>2</v>
      </c>
      <c r="D1615" t="str">
        <f t="shared" si="57"/>
        <v>02</v>
      </c>
      <c r="E1615" t="str">
        <f>VLOOKUP(B1615,'HOGARES-ENDLINE'!$A:$B,2,FALSE)</f>
        <v>01010781</v>
      </c>
      <c r="F1615" s="6" t="str">
        <f t="shared" si="58"/>
        <v>0101078102</v>
      </c>
    </row>
    <row r="1616" spans="1:6" x14ac:dyDescent="0.3">
      <c r="A1616" s="6" t="s">
        <v>2698</v>
      </c>
      <c r="B1616">
        <v>41632550</v>
      </c>
      <c r="C1616">
        <v>1</v>
      </c>
      <c r="D1616" t="str">
        <f t="shared" si="57"/>
        <v>01</v>
      </c>
      <c r="E1616" t="str">
        <f>VLOOKUP(B1616,'HOGARES-ENDLINE'!$A:$B,2,FALSE)</f>
        <v>01010781</v>
      </c>
      <c r="F1616" s="6" t="str">
        <f t="shared" si="58"/>
        <v>0101078101</v>
      </c>
    </row>
    <row r="1617" spans="1:6" x14ac:dyDescent="0.3">
      <c r="A1617" s="6" t="s">
        <v>2700</v>
      </c>
      <c r="B1617">
        <v>42008677</v>
      </c>
      <c r="C1617">
        <v>3</v>
      </c>
      <c r="D1617" t="str">
        <f t="shared" si="57"/>
        <v>03</v>
      </c>
      <c r="E1617" t="str">
        <f>VLOOKUP(B1617,'HOGARES-ENDLINE'!$A:$B,2,FALSE)</f>
        <v>00010782</v>
      </c>
      <c r="F1617" s="6" t="str">
        <f t="shared" si="58"/>
        <v>0001078203</v>
      </c>
    </row>
    <row r="1618" spans="1:6" x14ac:dyDescent="0.3">
      <c r="A1618" s="6" t="s">
        <v>2699</v>
      </c>
      <c r="B1618">
        <v>42008677</v>
      </c>
      <c r="C1618">
        <v>1</v>
      </c>
      <c r="D1618" t="str">
        <f t="shared" si="57"/>
        <v>01</v>
      </c>
      <c r="E1618" t="str">
        <f>VLOOKUP(B1618,'HOGARES-ENDLINE'!$A:$B,2,FALSE)</f>
        <v>00010782</v>
      </c>
      <c r="F1618" s="6" t="str">
        <f t="shared" si="58"/>
        <v>0001078201</v>
      </c>
    </row>
    <row r="1619" spans="1:6" x14ac:dyDescent="0.3">
      <c r="A1619" s="6" t="s">
        <v>2701</v>
      </c>
      <c r="B1619">
        <v>42008677</v>
      </c>
      <c r="C1619">
        <v>2</v>
      </c>
      <c r="D1619" t="str">
        <f t="shared" si="57"/>
        <v>02</v>
      </c>
      <c r="E1619" t="str">
        <f>VLOOKUP(B1619,'HOGARES-ENDLINE'!$A:$B,2,FALSE)</f>
        <v>00010782</v>
      </c>
      <c r="F1619" s="6" t="str">
        <f t="shared" si="58"/>
        <v>0001078202</v>
      </c>
    </row>
    <row r="1620" spans="1:6" x14ac:dyDescent="0.3">
      <c r="A1620" s="6" t="s">
        <v>2703</v>
      </c>
      <c r="B1620">
        <v>42061051</v>
      </c>
      <c r="C1620">
        <v>4</v>
      </c>
      <c r="D1620" t="str">
        <f t="shared" si="57"/>
        <v>04</v>
      </c>
      <c r="E1620" t="str">
        <f>VLOOKUP(B1620,'HOGARES-ENDLINE'!$A:$B,2,FALSE)</f>
        <v>01020783</v>
      </c>
      <c r="F1620" s="6" t="str">
        <f t="shared" si="58"/>
        <v>0102078304</v>
      </c>
    </row>
    <row r="1621" spans="1:6" x14ac:dyDescent="0.3">
      <c r="A1621" s="6" t="s">
        <v>2702</v>
      </c>
      <c r="B1621">
        <v>42061051</v>
      </c>
      <c r="C1621">
        <v>3</v>
      </c>
      <c r="D1621" t="str">
        <f t="shared" si="57"/>
        <v>03</v>
      </c>
      <c r="E1621" t="str">
        <f>VLOOKUP(B1621,'HOGARES-ENDLINE'!$A:$B,2,FALSE)</f>
        <v>01020783</v>
      </c>
      <c r="F1621" s="6" t="str">
        <f t="shared" si="58"/>
        <v>0102078303</v>
      </c>
    </row>
    <row r="1622" spans="1:6" x14ac:dyDescent="0.3">
      <c r="A1622" s="6" t="s">
        <v>2704</v>
      </c>
      <c r="B1622">
        <v>42061051</v>
      </c>
      <c r="C1622">
        <v>2</v>
      </c>
      <c r="D1622" t="str">
        <f t="shared" si="57"/>
        <v>02</v>
      </c>
      <c r="E1622" t="str">
        <f>VLOOKUP(B1622,'HOGARES-ENDLINE'!$A:$B,2,FALSE)</f>
        <v>01020783</v>
      </c>
      <c r="F1622" s="6" t="str">
        <f t="shared" si="58"/>
        <v>0102078302</v>
      </c>
    </row>
    <row r="1623" spans="1:6" x14ac:dyDescent="0.3">
      <c r="A1623" s="6" t="s">
        <v>2705</v>
      </c>
      <c r="B1623">
        <v>42061051</v>
      </c>
      <c r="C1623">
        <v>1</v>
      </c>
      <c r="D1623" t="str">
        <f t="shared" si="57"/>
        <v>01</v>
      </c>
      <c r="E1623" t="str">
        <f>VLOOKUP(B1623,'HOGARES-ENDLINE'!$A:$B,2,FALSE)</f>
        <v>01020783</v>
      </c>
      <c r="F1623" s="6" t="str">
        <f t="shared" si="58"/>
        <v>0102078301</v>
      </c>
    </row>
    <row r="1624" spans="1:6" x14ac:dyDescent="0.3">
      <c r="A1624" s="6" t="s">
        <v>2708</v>
      </c>
      <c r="B1624">
        <v>42128788</v>
      </c>
      <c r="C1624">
        <v>1</v>
      </c>
      <c r="D1624" t="str">
        <f t="shared" si="57"/>
        <v>01</v>
      </c>
      <c r="E1624" t="str">
        <f>VLOOKUP(B1624,'HOGARES-ENDLINE'!$A:$B,2,FALSE)</f>
        <v>01010784</v>
      </c>
      <c r="F1624" s="6" t="str">
        <f t="shared" si="58"/>
        <v>0101078401</v>
      </c>
    </row>
    <row r="1625" spans="1:6" x14ac:dyDescent="0.3">
      <c r="A1625" s="6" t="s">
        <v>2707</v>
      </c>
      <c r="B1625">
        <v>42128788</v>
      </c>
      <c r="C1625">
        <v>2</v>
      </c>
      <c r="D1625" t="str">
        <f t="shared" si="57"/>
        <v>02</v>
      </c>
      <c r="E1625" t="str">
        <f>VLOOKUP(B1625,'HOGARES-ENDLINE'!$A:$B,2,FALSE)</f>
        <v>01010784</v>
      </c>
      <c r="F1625" s="6" t="str">
        <f t="shared" si="58"/>
        <v>0101078402</v>
      </c>
    </row>
    <row r="1626" spans="1:6" x14ac:dyDescent="0.3">
      <c r="A1626" s="6" t="s">
        <v>2706</v>
      </c>
      <c r="B1626">
        <v>42128788</v>
      </c>
      <c r="C1626">
        <v>3</v>
      </c>
      <c r="D1626" t="str">
        <f t="shared" si="57"/>
        <v>03</v>
      </c>
      <c r="E1626" t="str">
        <f>VLOOKUP(B1626,'HOGARES-ENDLINE'!$A:$B,2,FALSE)</f>
        <v>01010784</v>
      </c>
      <c r="F1626" s="6" t="str">
        <f t="shared" si="58"/>
        <v>0101078403</v>
      </c>
    </row>
    <row r="1627" spans="1:6" x14ac:dyDescent="0.3">
      <c r="A1627" s="6" t="s">
        <v>2709</v>
      </c>
      <c r="B1627">
        <v>42271248</v>
      </c>
      <c r="C1627">
        <v>3</v>
      </c>
      <c r="D1627" t="str">
        <f t="shared" si="57"/>
        <v>03</v>
      </c>
      <c r="E1627" t="str">
        <f>VLOOKUP(B1627,'HOGARES-ENDLINE'!$A:$B,2,FALSE)</f>
        <v>01030785</v>
      </c>
      <c r="F1627" s="6" t="str">
        <f t="shared" si="58"/>
        <v>0103078503</v>
      </c>
    </row>
    <row r="1628" spans="1:6" x14ac:dyDescent="0.3">
      <c r="A1628" s="6" t="s">
        <v>2711</v>
      </c>
      <c r="B1628">
        <v>42271248</v>
      </c>
      <c r="C1628">
        <v>1</v>
      </c>
      <c r="D1628" t="str">
        <f t="shared" si="57"/>
        <v>01</v>
      </c>
      <c r="E1628" t="str">
        <f>VLOOKUP(B1628,'HOGARES-ENDLINE'!$A:$B,2,FALSE)</f>
        <v>01030785</v>
      </c>
      <c r="F1628" s="6" t="str">
        <f t="shared" si="58"/>
        <v>0103078501</v>
      </c>
    </row>
    <row r="1629" spans="1:6" x14ac:dyDescent="0.3">
      <c r="A1629" s="6" t="s">
        <v>2714</v>
      </c>
      <c r="B1629">
        <v>42701708</v>
      </c>
      <c r="C1629">
        <v>5</v>
      </c>
      <c r="D1629" t="str">
        <f t="shared" si="57"/>
        <v>05</v>
      </c>
      <c r="E1629" t="str">
        <f>VLOOKUP(B1629,'HOGARES-ENDLINE'!$A:$B,2,FALSE)</f>
        <v>01010786</v>
      </c>
      <c r="F1629" s="6" t="str">
        <f t="shared" si="58"/>
        <v>0101078605</v>
      </c>
    </row>
    <row r="1630" spans="1:6" x14ac:dyDescent="0.3">
      <c r="A1630" s="6" t="s">
        <v>2713</v>
      </c>
      <c r="B1630">
        <v>42701708</v>
      </c>
      <c r="C1630">
        <v>4</v>
      </c>
      <c r="D1630" t="str">
        <f t="shared" si="57"/>
        <v>04</v>
      </c>
      <c r="E1630" t="str">
        <f>VLOOKUP(B1630,'HOGARES-ENDLINE'!$A:$B,2,FALSE)</f>
        <v>01010786</v>
      </c>
      <c r="F1630" s="6" t="str">
        <f t="shared" si="58"/>
        <v>0101078604</v>
      </c>
    </row>
    <row r="1631" spans="1:6" x14ac:dyDescent="0.3">
      <c r="A1631" s="6" t="s">
        <v>2712</v>
      </c>
      <c r="B1631">
        <v>42701708</v>
      </c>
      <c r="C1631">
        <v>1</v>
      </c>
      <c r="D1631" t="str">
        <f t="shared" si="57"/>
        <v>01</v>
      </c>
      <c r="E1631" t="str">
        <f>VLOOKUP(B1631,'HOGARES-ENDLINE'!$A:$B,2,FALSE)</f>
        <v>01010786</v>
      </c>
      <c r="F1631" s="6" t="str">
        <f t="shared" si="58"/>
        <v>0101078601</v>
      </c>
    </row>
    <row r="1632" spans="1:6" x14ac:dyDescent="0.3">
      <c r="A1632" s="6" t="s">
        <v>2715</v>
      </c>
      <c r="B1632">
        <v>42701708</v>
      </c>
      <c r="C1632">
        <v>2</v>
      </c>
      <c r="D1632" t="str">
        <f t="shared" si="57"/>
        <v>02</v>
      </c>
      <c r="E1632" t="str">
        <f>VLOOKUP(B1632,'HOGARES-ENDLINE'!$A:$B,2,FALSE)</f>
        <v>01010786</v>
      </c>
      <c r="F1632" s="6" t="str">
        <f t="shared" si="58"/>
        <v>0101078602</v>
      </c>
    </row>
    <row r="1633" spans="1:6" x14ac:dyDescent="0.3">
      <c r="A1633" s="6" t="s">
        <v>2716</v>
      </c>
      <c r="B1633">
        <v>42701708</v>
      </c>
      <c r="C1633">
        <v>3</v>
      </c>
      <c r="D1633" t="str">
        <f t="shared" ref="D1633:D1696" si="59">_xlfn.CONCAT(0,C1633)</f>
        <v>03</v>
      </c>
      <c r="E1633" t="str">
        <f>VLOOKUP(B1633,'HOGARES-ENDLINE'!$A:$B,2,FALSE)</f>
        <v>01010786</v>
      </c>
      <c r="F1633" s="6" t="str">
        <f t="shared" si="58"/>
        <v>0101078603</v>
      </c>
    </row>
    <row r="1634" spans="1:6" x14ac:dyDescent="0.3">
      <c r="A1634" s="6" t="s">
        <v>2718</v>
      </c>
      <c r="B1634">
        <v>42762856</v>
      </c>
      <c r="C1634">
        <v>1</v>
      </c>
      <c r="D1634" t="str">
        <f t="shared" si="59"/>
        <v>01</v>
      </c>
      <c r="E1634" t="str">
        <f>VLOOKUP(B1634,'HOGARES-ENDLINE'!$A:$B,2,FALSE)</f>
        <v>00010787</v>
      </c>
      <c r="F1634" s="6" t="str">
        <f t="shared" si="58"/>
        <v>0001078701</v>
      </c>
    </row>
    <row r="1635" spans="1:6" x14ac:dyDescent="0.3">
      <c r="A1635" s="6" t="s">
        <v>2717</v>
      </c>
      <c r="B1635">
        <v>42762856</v>
      </c>
      <c r="C1635">
        <v>2</v>
      </c>
      <c r="D1635" t="str">
        <f t="shared" si="59"/>
        <v>02</v>
      </c>
      <c r="E1635" t="str">
        <f>VLOOKUP(B1635,'HOGARES-ENDLINE'!$A:$B,2,FALSE)</f>
        <v>00010787</v>
      </c>
      <c r="F1635" s="6" t="str">
        <f t="shared" si="58"/>
        <v>0001078702</v>
      </c>
    </row>
    <row r="1636" spans="1:6" x14ac:dyDescent="0.3">
      <c r="A1636" s="6" t="s">
        <v>2722</v>
      </c>
      <c r="B1636">
        <v>42767896</v>
      </c>
      <c r="C1636">
        <v>1</v>
      </c>
      <c r="D1636" t="str">
        <f t="shared" si="59"/>
        <v>01</v>
      </c>
      <c r="E1636" t="str">
        <f>VLOOKUP(B1636,'HOGARES-ENDLINE'!$A:$B,2,FALSE)</f>
        <v>01010788</v>
      </c>
      <c r="F1636" s="6" t="str">
        <f t="shared" si="58"/>
        <v>0101078801</v>
      </c>
    </row>
    <row r="1637" spans="1:6" x14ac:dyDescent="0.3">
      <c r="A1637" s="6" t="s">
        <v>2724</v>
      </c>
      <c r="B1637">
        <v>42772039</v>
      </c>
      <c r="C1637">
        <v>2</v>
      </c>
      <c r="D1637" t="str">
        <f t="shared" si="59"/>
        <v>02</v>
      </c>
      <c r="E1637" t="str">
        <f>VLOOKUP(B1637,'HOGARES-ENDLINE'!$A:$B,2,FALSE)</f>
        <v>01010789</v>
      </c>
      <c r="F1637" s="6" t="str">
        <f t="shared" si="58"/>
        <v>0101078902</v>
      </c>
    </row>
    <row r="1638" spans="1:6" x14ac:dyDescent="0.3">
      <c r="A1638" s="6" t="s">
        <v>2725</v>
      </c>
      <c r="B1638">
        <v>42772039</v>
      </c>
      <c r="C1638">
        <v>6</v>
      </c>
      <c r="D1638" t="str">
        <f t="shared" si="59"/>
        <v>06</v>
      </c>
      <c r="E1638" t="str">
        <f>VLOOKUP(B1638,'HOGARES-ENDLINE'!$A:$B,2,FALSE)</f>
        <v>01010789</v>
      </c>
      <c r="F1638" s="6" t="str">
        <f t="shared" si="58"/>
        <v>0101078906</v>
      </c>
    </row>
    <row r="1639" spans="1:6" x14ac:dyDescent="0.3">
      <c r="A1639" s="6" t="s">
        <v>2728</v>
      </c>
      <c r="B1639">
        <v>42772039</v>
      </c>
      <c r="C1639">
        <v>4</v>
      </c>
      <c r="D1639" t="str">
        <f t="shared" si="59"/>
        <v>04</v>
      </c>
      <c r="E1639" t="str">
        <f>VLOOKUP(B1639,'HOGARES-ENDLINE'!$A:$B,2,FALSE)</f>
        <v>01010789</v>
      </c>
      <c r="F1639" s="6" t="str">
        <f t="shared" si="58"/>
        <v>0101078904</v>
      </c>
    </row>
    <row r="1640" spans="1:6" x14ac:dyDescent="0.3">
      <c r="A1640" s="6" t="s">
        <v>2727</v>
      </c>
      <c r="B1640">
        <v>42772039</v>
      </c>
      <c r="C1640">
        <v>3</v>
      </c>
      <c r="D1640" t="str">
        <f t="shared" si="59"/>
        <v>03</v>
      </c>
      <c r="E1640" t="str">
        <f>VLOOKUP(B1640,'HOGARES-ENDLINE'!$A:$B,2,FALSE)</f>
        <v>01010789</v>
      </c>
      <c r="F1640" s="6" t="str">
        <f t="shared" si="58"/>
        <v>0101078903</v>
      </c>
    </row>
    <row r="1641" spans="1:6" x14ac:dyDescent="0.3">
      <c r="A1641" s="6" t="s">
        <v>2730</v>
      </c>
      <c r="B1641">
        <v>42792571</v>
      </c>
      <c r="C1641">
        <v>1</v>
      </c>
      <c r="D1641" t="str">
        <f t="shared" si="59"/>
        <v>01</v>
      </c>
      <c r="E1641" t="str">
        <f>VLOOKUP(B1641,'HOGARES-ENDLINE'!$A:$B,2,FALSE)</f>
        <v>00010790</v>
      </c>
      <c r="F1641" s="6" t="str">
        <f t="shared" si="58"/>
        <v>0001079001</v>
      </c>
    </row>
    <row r="1642" spans="1:6" x14ac:dyDescent="0.3">
      <c r="A1642" s="6" t="s">
        <v>2734</v>
      </c>
      <c r="B1642">
        <v>42820074</v>
      </c>
      <c r="C1642">
        <v>4</v>
      </c>
      <c r="D1642" t="str">
        <f t="shared" si="59"/>
        <v>04</v>
      </c>
      <c r="E1642" t="str">
        <f>VLOOKUP(B1642,'HOGARES-ENDLINE'!$A:$B,2,FALSE)</f>
        <v>00010792</v>
      </c>
      <c r="F1642" s="6" t="str">
        <f t="shared" si="58"/>
        <v>0001079204</v>
      </c>
    </row>
    <row r="1643" spans="1:6" x14ac:dyDescent="0.3">
      <c r="A1643" s="6" t="s">
        <v>2735</v>
      </c>
      <c r="B1643">
        <v>42820074</v>
      </c>
      <c r="C1643">
        <v>1</v>
      </c>
      <c r="D1643" t="str">
        <f t="shared" si="59"/>
        <v>01</v>
      </c>
      <c r="E1643" t="str">
        <f>VLOOKUP(B1643,'HOGARES-ENDLINE'!$A:$B,2,FALSE)</f>
        <v>00010792</v>
      </c>
      <c r="F1643" s="6" t="str">
        <f t="shared" si="58"/>
        <v>0001079201</v>
      </c>
    </row>
    <row r="1644" spans="1:6" x14ac:dyDescent="0.3">
      <c r="A1644" s="6" t="s">
        <v>2733</v>
      </c>
      <c r="B1644">
        <v>42820074</v>
      </c>
      <c r="C1644">
        <v>2</v>
      </c>
      <c r="D1644" t="str">
        <f t="shared" si="59"/>
        <v>02</v>
      </c>
      <c r="E1644" t="str">
        <f>VLOOKUP(B1644,'HOGARES-ENDLINE'!$A:$B,2,FALSE)</f>
        <v>00010792</v>
      </c>
      <c r="F1644" s="6" t="str">
        <f t="shared" si="58"/>
        <v>0001079202</v>
      </c>
    </row>
    <row r="1645" spans="1:6" x14ac:dyDescent="0.3">
      <c r="A1645" s="6" t="s">
        <v>2732</v>
      </c>
      <c r="B1645">
        <v>42820074</v>
      </c>
      <c r="C1645">
        <v>3</v>
      </c>
      <c r="D1645" t="str">
        <f t="shared" si="59"/>
        <v>03</v>
      </c>
      <c r="E1645" t="str">
        <f>VLOOKUP(B1645,'HOGARES-ENDLINE'!$A:$B,2,FALSE)</f>
        <v>00010792</v>
      </c>
      <c r="F1645" s="6" t="str">
        <f t="shared" si="58"/>
        <v>0001079203</v>
      </c>
    </row>
    <row r="1646" spans="1:6" x14ac:dyDescent="0.3">
      <c r="A1646" s="6" t="s">
        <v>2738</v>
      </c>
      <c r="B1646">
        <v>42884497</v>
      </c>
      <c r="C1646">
        <v>3</v>
      </c>
      <c r="D1646" t="str">
        <f t="shared" si="59"/>
        <v>03</v>
      </c>
      <c r="E1646" t="str">
        <f>VLOOKUP(B1646,'HOGARES-ENDLINE'!$A:$B,2,FALSE)</f>
        <v>01010793</v>
      </c>
      <c r="F1646" s="6" t="str">
        <f t="shared" si="58"/>
        <v>0101079303</v>
      </c>
    </row>
    <row r="1647" spans="1:6" x14ac:dyDescent="0.3">
      <c r="A1647" s="6" t="s">
        <v>2736</v>
      </c>
      <c r="B1647">
        <v>42884497</v>
      </c>
      <c r="C1647">
        <v>1</v>
      </c>
      <c r="D1647" t="str">
        <f t="shared" si="59"/>
        <v>01</v>
      </c>
      <c r="E1647" t="str">
        <f>VLOOKUP(B1647,'HOGARES-ENDLINE'!$A:$B,2,FALSE)</f>
        <v>01010793</v>
      </c>
      <c r="F1647" s="6" t="str">
        <f t="shared" si="58"/>
        <v>0101079301</v>
      </c>
    </row>
    <row r="1648" spans="1:6" x14ac:dyDescent="0.3">
      <c r="A1648" s="6" t="s">
        <v>2743</v>
      </c>
      <c r="B1648">
        <v>42892754</v>
      </c>
      <c r="C1648">
        <v>1</v>
      </c>
      <c r="D1648" t="str">
        <f t="shared" si="59"/>
        <v>01</v>
      </c>
      <c r="E1648" t="str">
        <f>VLOOKUP(B1648,'HOGARES-ENDLINE'!$A:$B,2,FALSE)</f>
        <v>00010794</v>
      </c>
      <c r="F1648" s="6" t="str">
        <f t="shared" si="58"/>
        <v>0001079401</v>
      </c>
    </row>
    <row r="1649" spans="1:6" x14ac:dyDescent="0.3">
      <c r="A1649" s="6" t="s">
        <v>2740</v>
      </c>
      <c r="B1649">
        <v>42892754</v>
      </c>
      <c r="C1649">
        <v>4</v>
      </c>
      <c r="D1649" t="str">
        <f t="shared" si="59"/>
        <v>04</v>
      </c>
      <c r="E1649" t="str">
        <f>VLOOKUP(B1649,'HOGARES-ENDLINE'!$A:$B,2,FALSE)</f>
        <v>00010794</v>
      </c>
      <c r="F1649" s="6" t="str">
        <f t="shared" si="58"/>
        <v>0001079404</v>
      </c>
    </row>
    <row r="1650" spans="1:6" x14ac:dyDescent="0.3">
      <c r="A1650" s="6" t="s">
        <v>2741</v>
      </c>
      <c r="B1650">
        <v>42892754</v>
      </c>
      <c r="C1650">
        <v>3</v>
      </c>
      <c r="D1650" t="str">
        <f t="shared" si="59"/>
        <v>03</v>
      </c>
      <c r="E1650" t="str">
        <f>VLOOKUP(B1650,'HOGARES-ENDLINE'!$A:$B,2,FALSE)</f>
        <v>00010794</v>
      </c>
      <c r="F1650" s="6" t="str">
        <f t="shared" si="58"/>
        <v>0001079403</v>
      </c>
    </row>
    <row r="1651" spans="1:6" x14ac:dyDescent="0.3">
      <c r="A1651" s="6" t="s">
        <v>2739</v>
      </c>
      <c r="B1651">
        <v>42892754</v>
      </c>
      <c r="C1651">
        <v>5</v>
      </c>
      <c r="D1651" t="str">
        <f t="shared" si="59"/>
        <v>05</v>
      </c>
      <c r="E1651" t="str">
        <f>VLOOKUP(B1651,'HOGARES-ENDLINE'!$A:$B,2,FALSE)</f>
        <v>00010794</v>
      </c>
      <c r="F1651" s="6" t="str">
        <f t="shared" si="58"/>
        <v>0001079405</v>
      </c>
    </row>
    <row r="1652" spans="1:6" x14ac:dyDescent="0.3">
      <c r="A1652" s="6" t="s">
        <v>2742</v>
      </c>
      <c r="B1652">
        <v>42892754</v>
      </c>
      <c r="C1652">
        <v>2</v>
      </c>
      <c r="D1652" t="str">
        <f t="shared" si="59"/>
        <v>02</v>
      </c>
      <c r="E1652" t="str">
        <f>VLOOKUP(B1652,'HOGARES-ENDLINE'!$A:$B,2,FALSE)</f>
        <v>00010794</v>
      </c>
      <c r="F1652" s="6" t="str">
        <f t="shared" si="58"/>
        <v>0001079402</v>
      </c>
    </row>
    <row r="1653" spans="1:6" x14ac:dyDescent="0.3">
      <c r="A1653" s="6" t="s">
        <v>2745</v>
      </c>
      <c r="B1653">
        <v>42973581</v>
      </c>
      <c r="C1653">
        <v>1</v>
      </c>
      <c r="D1653" t="str">
        <f t="shared" si="59"/>
        <v>01</v>
      </c>
      <c r="E1653" t="str">
        <f>VLOOKUP(B1653,'HOGARES-ENDLINE'!$A:$B,2,FALSE)</f>
        <v>01010795</v>
      </c>
      <c r="F1653" s="6" t="str">
        <f t="shared" si="58"/>
        <v>0101079501</v>
      </c>
    </row>
    <row r="1654" spans="1:6" x14ac:dyDescent="0.3">
      <c r="A1654" s="6" t="s">
        <v>2744</v>
      </c>
      <c r="B1654">
        <v>42973581</v>
      </c>
      <c r="C1654">
        <v>2</v>
      </c>
      <c r="D1654" t="str">
        <f t="shared" si="59"/>
        <v>02</v>
      </c>
      <c r="E1654" t="str">
        <f>VLOOKUP(B1654,'HOGARES-ENDLINE'!$A:$B,2,FALSE)</f>
        <v>01010795</v>
      </c>
      <c r="F1654" s="6" t="str">
        <f t="shared" si="58"/>
        <v>0101079502</v>
      </c>
    </row>
    <row r="1655" spans="1:6" x14ac:dyDescent="0.3">
      <c r="A1655" s="6" t="s">
        <v>2752</v>
      </c>
      <c r="B1655">
        <v>42979655</v>
      </c>
      <c r="C1655">
        <v>1</v>
      </c>
      <c r="D1655" t="str">
        <f t="shared" si="59"/>
        <v>01</v>
      </c>
      <c r="E1655" t="str">
        <f>VLOOKUP(B1655,'HOGARES-ENDLINE'!$A:$B,2,FALSE)</f>
        <v>00010797</v>
      </c>
      <c r="F1655" s="6" t="str">
        <f t="shared" si="58"/>
        <v>0001079701</v>
      </c>
    </row>
    <row r="1656" spans="1:6" x14ac:dyDescent="0.3">
      <c r="A1656" s="6" t="s">
        <v>2751</v>
      </c>
      <c r="B1656">
        <v>42979655</v>
      </c>
      <c r="C1656">
        <v>2</v>
      </c>
      <c r="D1656" t="str">
        <f t="shared" si="59"/>
        <v>02</v>
      </c>
      <c r="E1656" t="str">
        <f>VLOOKUP(B1656,'HOGARES-ENDLINE'!$A:$B,2,FALSE)</f>
        <v>00010797</v>
      </c>
      <c r="F1656" s="6" t="str">
        <f t="shared" si="58"/>
        <v>0001079702</v>
      </c>
    </row>
    <row r="1657" spans="1:6" x14ac:dyDescent="0.3">
      <c r="A1657" s="6" t="s">
        <v>2749</v>
      </c>
      <c r="B1657">
        <v>42979655</v>
      </c>
      <c r="C1657">
        <v>4</v>
      </c>
      <c r="D1657" t="str">
        <f t="shared" si="59"/>
        <v>04</v>
      </c>
      <c r="E1657" t="str">
        <f>VLOOKUP(B1657,'HOGARES-ENDLINE'!$A:$B,2,FALSE)</f>
        <v>00010797</v>
      </c>
      <c r="F1657" s="6" t="str">
        <f t="shared" si="58"/>
        <v>0001079704</v>
      </c>
    </row>
    <row r="1658" spans="1:6" x14ac:dyDescent="0.3">
      <c r="A1658" s="6" t="s">
        <v>2750</v>
      </c>
      <c r="B1658">
        <v>42979655</v>
      </c>
      <c r="C1658">
        <v>3</v>
      </c>
      <c r="D1658" t="str">
        <f t="shared" si="59"/>
        <v>03</v>
      </c>
      <c r="E1658" t="str">
        <f>VLOOKUP(B1658,'HOGARES-ENDLINE'!$A:$B,2,FALSE)</f>
        <v>00010797</v>
      </c>
      <c r="F1658" s="6" t="str">
        <f t="shared" si="58"/>
        <v>0001079703</v>
      </c>
    </row>
    <row r="1659" spans="1:6" x14ac:dyDescent="0.3">
      <c r="A1659" s="6" t="s">
        <v>2748</v>
      </c>
      <c r="B1659">
        <v>42979655</v>
      </c>
      <c r="C1659">
        <v>5</v>
      </c>
      <c r="D1659" t="str">
        <f t="shared" si="59"/>
        <v>05</v>
      </c>
      <c r="E1659" t="str">
        <f>VLOOKUP(B1659,'HOGARES-ENDLINE'!$A:$B,2,FALSE)</f>
        <v>00010797</v>
      </c>
      <c r="F1659" s="6" t="str">
        <f t="shared" si="58"/>
        <v>0001079705</v>
      </c>
    </row>
    <row r="1660" spans="1:6" x14ac:dyDescent="0.3">
      <c r="A1660" s="6" t="s">
        <v>2753</v>
      </c>
      <c r="B1660">
        <v>42981495</v>
      </c>
      <c r="C1660">
        <v>2</v>
      </c>
      <c r="D1660" t="str">
        <f t="shared" si="59"/>
        <v>02</v>
      </c>
      <c r="E1660" t="str">
        <f>VLOOKUP(B1660,'HOGARES-ENDLINE'!$A:$B,2,FALSE)</f>
        <v>00010798</v>
      </c>
      <c r="F1660" s="6" t="str">
        <f t="shared" si="58"/>
        <v>0001079802</v>
      </c>
    </row>
    <row r="1661" spans="1:6" x14ac:dyDescent="0.3">
      <c r="A1661" s="6" t="s">
        <v>2754</v>
      </c>
      <c r="B1661">
        <v>42981495</v>
      </c>
      <c r="C1661">
        <v>1</v>
      </c>
      <c r="D1661" t="str">
        <f t="shared" si="59"/>
        <v>01</v>
      </c>
      <c r="E1661" t="str">
        <f>VLOOKUP(B1661,'HOGARES-ENDLINE'!$A:$B,2,FALSE)</f>
        <v>00010798</v>
      </c>
      <c r="F1661" s="6" t="str">
        <f t="shared" si="58"/>
        <v>0001079801</v>
      </c>
    </row>
    <row r="1662" spans="1:6" x14ac:dyDescent="0.3">
      <c r="A1662" s="6" t="s">
        <v>2756</v>
      </c>
      <c r="B1662">
        <v>42987727</v>
      </c>
      <c r="C1662">
        <v>2</v>
      </c>
      <c r="D1662" t="str">
        <f t="shared" si="59"/>
        <v>02</v>
      </c>
      <c r="E1662" t="str">
        <f>VLOOKUP(B1662,'HOGARES-ENDLINE'!$A:$B,2,FALSE)</f>
        <v>00010799</v>
      </c>
      <c r="F1662" s="6" t="str">
        <f t="shared" si="58"/>
        <v>0001079902</v>
      </c>
    </row>
    <row r="1663" spans="1:6" x14ac:dyDescent="0.3">
      <c r="A1663" s="6" t="s">
        <v>2755</v>
      </c>
      <c r="B1663">
        <v>42987727</v>
      </c>
      <c r="C1663">
        <v>1</v>
      </c>
      <c r="D1663" t="str">
        <f t="shared" si="59"/>
        <v>01</v>
      </c>
      <c r="E1663" t="str">
        <f>VLOOKUP(B1663,'HOGARES-ENDLINE'!$A:$B,2,FALSE)</f>
        <v>00010799</v>
      </c>
      <c r="F1663" s="6" t="str">
        <f t="shared" si="58"/>
        <v>0001079901</v>
      </c>
    </row>
    <row r="1664" spans="1:6" x14ac:dyDescent="0.3">
      <c r="A1664" s="6" t="s">
        <v>2759</v>
      </c>
      <c r="B1664">
        <v>42991676</v>
      </c>
      <c r="C1664">
        <v>3</v>
      </c>
      <c r="D1664" t="str">
        <f t="shared" si="59"/>
        <v>03</v>
      </c>
      <c r="E1664" t="str">
        <f>VLOOKUP(B1664,'HOGARES-ENDLINE'!$A:$B,2,FALSE)</f>
        <v>01010800</v>
      </c>
      <c r="F1664" s="6" t="str">
        <f t="shared" si="58"/>
        <v>0101080003</v>
      </c>
    </row>
    <row r="1665" spans="1:6" x14ac:dyDescent="0.3">
      <c r="A1665" s="6" t="s">
        <v>2762</v>
      </c>
      <c r="B1665">
        <v>42991676</v>
      </c>
      <c r="C1665">
        <v>4</v>
      </c>
      <c r="D1665" t="str">
        <f t="shared" si="59"/>
        <v>04</v>
      </c>
      <c r="E1665" t="str">
        <f>VLOOKUP(B1665,'HOGARES-ENDLINE'!$A:$B,2,FALSE)</f>
        <v>01010800</v>
      </c>
      <c r="F1665" s="6" t="str">
        <f t="shared" si="58"/>
        <v>0101080004</v>
      </c>
    </row>
    <row r="1666" spans="1:6" x14ac:dyDescent="0.3">
      <c r="A1666" s="6" t="s">
        <v>2758</v>
      </c>
      <c r="B1666">
        <v>42991676</v>
      </c>
      <c r="C1666">
        <v>6</v>
      </c>
      <c r="D1666" t="str">
        <f t="shared" si="59"/>
        <v>06</v>
      </c>
      <c r="E1666" t="str">
        <f>VLOOKUP(B1666,'HOGARES-ENDLINE'!$A:$B,2,FALSE)</f>
        <v>01010800</v>
      </c>
      <c r="F1666" s="6" t="str">
        <f t="shared" si="58"/>
        <v>0101080006</v>
      </c>
    </row>
    <row r="1667" spans="1:6" x14ac:dyDescent="0.3">
      <c r="A1667" s="6" t="s">
        <v>2761</v>
      </c>
      <c r="B1667">
        <v>42991676</v>
      </c>
      <c r="C1667">
        <v>5</v>
      </c>
      <c r="D1667" t="str">
        <f t="shared" si="59"/>
        <v>05</v>
      </c>
      <c r="E1667" t="str">
        <f>VLOOKUP(B1667,'HOGARES-ENDLINE'!$A:$B,2,FALSE)</f>
        <v>01010800</v>
      </c>
      <c r="F1667" s="6" t="str">
        <f t="shared" ref="F1667:F1730" si="60">_xlfn.CONCAT(E1667,D1667)</f>
        <v>0101080005</v>
      </c>
    </row>
    <row r="1668" spans="1:6" x14ac:dyDescent="0.3">
      <c r="A1668" s="6" t="s">
        <v>2757</v>
      </c>
      <c r="B1668">
        <v>42991676</v>
      </c>
      <c r="C1668">
        <v>1</v>
      </c>
      <c r="D1668" t="str">
        <f t="shared" si="59"/>
        <v>01</v>
      </c>
      <c r="E1668" t="str">
        <f>VLOOKUP(B1668,'HOGARES-ENDLINE'!$A:$B,2,FALSE)</f>
        <v>01010800</v>
      </c>
      <c r="F1668" s="6" t="str">
        <f t="shared" si="60"/>
        <v>0101080001</v>
      </c>
    </row>
    <row r="1669" spans="1:6" x14ac:dyDescent="0.3">
      <c r="A1669" s="6" t="s">
        <v>2764</v>
      </c>
      <c r="B1669">
        <v>42995862</v>
      </c>
      <c r="C1669">
        <v>1</v>
      </c>
      <c r="D1669" t="str">
        <f t="shared" si="59"/>
        <v>01</v>
      </c>
      <c r="E1669" t="str">
        <f>VLOOKUP(B1669,'HOGARES-ENDLINE'!$A:$B,2,FALSE)</f>
        <v>01010801</v>
      </c>
      <c r="F1669" s="6" t="str">
        <f t="shared" si="60"/>
        <v>0101080101</v>
      </c>
    </row>
    <row r="1670" spans="1:6" x14ac:dyDescent="0.3">
      <c r="A1670" s="6" t="s">
        <v>2763</v>
      </c>
      <c r="B1670">
        <v>42995862</v>
      </c>
      <c r="C1670">
        <v>2</v>
      </c>
      <c r="D1670" t="str">
        <f t="shared" si="59"/>
        <v>02</v>
      </c>
      <c r="E1670" t="str">
        <f>VLOOKUP(B1670,'HOGARES-ENDLINE'!$A:$B,2,FALSE)</f>
        <v>01010801</v>
      </c>
      <c r="F1670" s="6" t="str">
        <f t="shared" si="60"/>
        <v>0101080102</v>
      </c>
    </row>
    <row r="1671" spans="1:6" x14ac:dyDescent="0.3">
      <c r="A1671" s="6" t="s">
        <v>2766</v>
      </c>
      <c r="B1671">
        <v>42995862</v>
      </c>
      <c r="C1671">
        <v>4</v>
      </c>
      <c r="D1671" t="str">
        <f t="shared" si="59"/>
        <v>04</v>
      </c>
      <c r="E1671" t="str">
        <f>VLOOKUP(B1671,'HOGARES-ENDLINE'!$A:$B,2,FALSE)</f>
        <v>01010801</v>
      </c>
      <c r="F1671" s="6" t="str">
        <f t="shared" si="60"/>
        <v>0101080104</v>
      </c>
    </row>
    <row r="1672" spans="1:6" x14ac:dyDescent="0.3">
      <c r="A1672" s="6" t="s">
        <v>2767</v>
      </c>
      <c r="B1672">
        <v>43000384</v>
      </c>
      <c r="C1672">
        <v>1</v>
      </c>
      <c r="D1672" t="str">
        <f t="shared" si="59"/>
        <v>01</v>
      </c>
      <c r="E1672" t="str">
        <f>VLOOKUP(B1672,'HOGARES-ENDLINE'!$A:$B,2,FALSE)</f>
        <v>00010802</v>
      </c>
      <c r="F1672" s="6" t="str">
        <f t="shared" si="60"/>
        <v>0001080201</v>
      </c>
    </row>
    <row r="1673" spans="1:6" x14ac:dyDescent="0.3">
      <c r="A1673" s="6" t="s">
        <v>2769</v>
      </c>
      <c r="B1673">
        <v>43011082</v>
      </c>
      <c r="C1673">
        <v>2</v>
      </c>
      <c r="D1673" t="str">
        <f t="shared" si="59"/>
        <v>02</v>
      </c>
      <c r="E1673" t="str">
        <f>VLOOKUP(B1673,'HOGARES-ENDLINE'!$A:$B,2,FALSE)</f>
        <v>00010803</v>
      </c>
      <c r="F1673" s="6" t="str">
        <f t="shared" si="60"/>
        <v>0001080302</v>
      </c>
    </row>
    <row r="1674" spans="1:6" x14ac:dyDescent="0.3">
      <c r="A1674" s="6" t="s">
        <v>2768</v>
      </c>
      <c r="B1674">
        <v>43011082</v>
      </c>
      <c r="C1674">
        <v>1</v>
      </c>
      <c r="D1674" t="str">
        <f t="shared" si="59"/>
        <v>01</v>
      </c>
      <c r="E1674" t="str">
        <f>VLOOKUP(B1674,'HOGARES-ENDLINE'!$A:$B,2,FALSE)</f>
        <v>00010803</v>
      </c>
      <c r="F1674" s="6" t="str">
        <f t="shared" si="60"/>
        <v>0001080301</v>
      </c>
    </row>
    <row r="1675" spans="1:6" x14ac:dyDescent="0.3">
      <c r="A1675" s="6" t="s">
        <v>2770</v>
      </c>
      <c r="B1675">
        <v>43025963</v>
      </c>
      <c r="C1675">
        <v>1</v>
      </c>
      <c r="D1675" t="str">
        <f t="shared" si="59"/>
        <v>01</v>
      </c>
      <c r="E1675" t="str">
        <f>VLOOKUP(B1675,'HOGARES-ENDLINE'!$A:$B,2,FALSE)</f>
        <v>00010804</v>
      </c>
      <c r="F1675" s="6" t="str">
        <f t="shared" si="60"/>
        <v>0001080401</v>
      </c>
    </row>
    <row r="1676" spans="1:6" x14ac:dyDescent="0.3">
      <c r="A1676" s="6" t="s">
        <v>2771</v>
      </c>
      <c r="B1676">
        <v>43025963</v>
      </c>
      <c r="C1676">
        <v>2</v>
      </c>
      <c r="D1676" t="str">
        <f t="shared" si="59"/>
        <v>02</v>
      </c>
      <c r="E1676" t="str">
        <f>VLOOKUP(B1676,'HOGARES-ENDLINE'!$A:$B,2,FALSE)</f>
        <v>00010804</v>
      </c>
      <c r="F1676" s="6" t="str">
        <f t="shared" si="60"/>
        <v>0001080402</v>
      </c>
    </row>
    <row r="1677" spans="1:6" x14ac:dyDescent="0.3">
      <c r="A1677" s="6" t="s">
        <v>2775</v>
      </c>
      <c r="B1677">
        <v>43030246</v>
      </c>
      <c r="C1677">
        <v>3</v>
      </c>
      <c r="D1677" t="str">
        <f t="shared" si="59"/>
        <v>03</v>
      </c>
      <c r="E1677" t="str">
        <f>VLOOKUP(B1677,'HOGARES-ENDLINE'!$A:$B,2,FALSE)</f>
        <v>00010805</v>
      </c>
      <c r="F1677" s="6" t="str">
        <f t="shared" si="60"/>
        <v>0001080503</v>
      </c>
    </row>
    <row r="1678" spans="1:6" x14ac:dyDescent="0.3">
      <c r="A1678" s="6" t="s">
        <v>2772</v>
      </c>
      <c r="B1678">
        <v>43030246</v>
      </c>
      <c r="C1678">
        <v>2</v>
      </c>
      <c r="D1678" t="str">
        <f t="shared" si="59"/>
        <v>02</v>
      </c>
      <c r="E1678" t="str">
        <f>VLOOKUP(B1678,'HOGARES-ENDLINE'!$A:$B,2,FALSE)</f>
        <v>00010805</v>
      </c>
      <c r="F1678" s="6" t="str">
        <f t="shared" si="60"/>
        <v>0001080502</v>
      </c>
    </row>
    <row r="1679" spans="1:6" x14ac:dyDescent="0.3">
      <c r="A1679" s="6" t="s">
        <v>2777</v>
      </c>
      <c r="B1679">
        <v>43033841</v>
      </c>
      <c r="C1679">
        <v>1</v>
      </c>
      <c r="D1679" t="str">
        <f t="shared" si="59"/>
        <v>01</v>
      </c>
      <c r="E1679" t="str">
        <f>VLOOKUP(B1679,'HOGARES-ENDLINE'!$A:$B,2,FALSE)</f>
        <v>00010806</v>
      </c>
      <c r="F1679" s="6" t="str">
        <f t="shared" si="60"/>
        <v>0001080601</v>
      </c>
    </row>
    <row r="1680" spans="1:6" x14ac:dyDescent="0.3">
      <c r="A1680" s="6" t="s">
        <v>2776</v>
      </c>
      <c r="B1680">
        <v>43033841</v>
      </c>
      <c r="C1680">
        <v>3</v>
      </c>
      <c r="D1680" t="str">
        <f t="shared" si="59"/>
        <v>03</v>
      </c>
      <c r="E1680" t="str">
        <f>VLOOKUP(B1680,'HOGARES-ENDLINE'!$A:$B,2,FALSE)</f>
        <v>00010806</v>
      </c>
      <c r="F1680" s="6" t="str">
        <f t="shared" si="60"/>
        <v>0001080603</v>
      </c>
    </row>
    <row r="1681" spans="1:6" x14ac:dyDescent="0.3">
      <c r="A1681" s="6" t="s">
        <v>2778</v>
      </c>
      <c r="B1681">
        <v>43033841</v>
      </c>
      <c r="C1681">
        <v>2</v>
      </c>
      <c r="D1681" t="str">
        <f t="shared" si="59"/>
        <v>02</v>
      </c>
      <c r="E1681" t="str">
        <f>VLOOKUP(B1681,'HOGARES-ENDLINE'!$A:$B,2,FALSE)</f>
        <v>00010806</v>
      </c>
      <c r="F1681" s="6" t="str">
        <f t="shared" si="60"/>
        <v>0001080602</v>
      </c>
    </row>
    <row r="1682" spans="1:6" x14ac:dyDescent="0.3">
      <c r="A1682" s="6" t="s">
        <v>2780</v>
      </c>
      <c r="B1682">
        <v>43034542</v>
      </c>
      <c r="C1682">
        <v>2</v>
      </c>
      <c r="D1682" t="str">
        <f t="shared" si="59"/>
        <v>02</v>
      </c>
      <c r="E1682" t="str">
        <f>VLOOKUP(B1682,'HOGARES-ENDLINE'!$A:$B,2,FALSE)</f>
        <v>01010807</v>
      </c>
      <c r="F1682" s="6" t="str">
        <f t="shared" si="60"/>
        <v>0101080702</v>
      </c>
    </row>
    <row r="1683" spans="1:6" x14ac:dyDescent="0.3">
      <c r="A1683" s="6" t="s">
        <v>2779</v>
      </c>
      <c r="B1683">
        <v>43034542</v>
      </c>
      <c r="C1683">
        <v>1</v>
      </c>
      <c r="D1683" t="str">
        <f t="shared" si="59"/>
        <v>01</v>
      </c>
      <c r="E1683" t="str">
        <f>VLOOKUP(B1683,'HOGARES-ENDLINE'!$A:$B,2,FALSE)</f>
        <v>01010807</v>
      </c>
      <c r="F1683" s="6" t="str">
        <f t="shared" si="60"/>
        <v>0101080701</v>
      </c>
    </row>
    <row r="1684" spans="1:6" x14ac:dyDescent="0.3">
      <c r="A1684" s="6" t="s">
        <v>2782</v>
      </c>
      <c r="B1684">
        <v>43036224</v>
      </c>
      <c r="C1684">
        <v>1</v>
      </c>
      <c r="D1684" t="str">
        <f t="shared" si="59"/>
        <v>01</v>
      </c>
      <c r="E1684" t="str">
        <f>VLOOKUP(B1684,'HOGARES-ENDLINE'!$A:$B,2,FALSE)</f>
        <v>00010808</v>
      </c>
      <c r="F1684" s="6" t="str">
        <f t="shared" si="60"/>
        <v>0001080801</v>
      </c>
    </row>
    <row r="1685" spans="1:6" x14ac:dyDescent="0.3">
      <c r="A1685" s="6" t="s">
        <v>2781</v>
      </c>
      <c r="B1685">
        <v>43036224</v>
      </c>
      <c r="C1685">
        <v>2</v>
      </c>
      <c r="D1685" t="str">
        <f t="shared" si="59"/>
        <v>02</v>
      </c>
      <c r="E1685" t="str">
        <f>VLOOKUP(B1685,'HOGARES-ENDLINE'!$A:$B,2,FALSE)</f>
        <v>00010808</v>
      </c>
      <c r="F1685" s="6" t="str">
        <f t="shared" si="60"/>
        <v>0001080802</v>
      </c>
    </row>
    <row r="1686" spans="1:6" x14ac:dyDescent="0.3">
      <c r="A1686" s="6" t="s">
        <v>2784</v>
      </c>
      <c r="B1686">
        <v>43044407</v>
      </c>
      <c r="C1686">
        <v>2</v>
      </c>
      <c r="D1686" t="str">
        <f t="shared" si="59"/>
        <v>02</v>
      </c>
      <c r="E1686" t="str">
        <f>VLOOKUP(B1686,'HOGARES-ENDLINE'!$A:$B,2,FALSE)</f>
        <v>00010809</v>
      </c>
      <c r="F1686" s="6" t="str">
        <f t="shared" si="60"/>
        <v>0001080902</v>
      </c>
    </row>
    <row r="1687" spans="1:6" x14ac:dyDescent="0.3">
      <c r="A1687" s="6" t="s">
        <v>2783</v>
      </c>
      <c r="B1687">
        <v>43044407</v>
      </c>
      <c r="C1687">
        <v>3</v>
      </c>
      <c r="D1687" t="str">
        <f t="shared" si="59"/>
        <v>03</v>
      </c>
      <c r="E1687" t="str">
        <f>VLOOKUP(B1687,'HOGARES-ENDLINE'!$A:$B,2,FALSE)</f>
        <v>00010809</v>
      </c>
      <c r="F1687" s="6" t="str">
        <f t="shared" si="60"/>
        <v>0001080903</v>
      </c>
    </row>
    <row r="1688" spans="1:6" x14ac:dyDescent="0.3">
      <c r="A1688" s="6" t="s">
        <v>2785</v>
      </c>
      <c r="B1688">
        <v>43044407</v>
      </c>
      <c r="C1688">
        <v>1</v>
      </c>
      <c r="D1688" t="str">
        <f t="shared" si="59"/>
        <v>01</v>
      </c>
      <c r="E1688" t="str">
        <f>VLOOKUP(B1688,'HOGARES-ENDLINE'!$A:$B,2,FALSE)</f>
        <v>00010809</v>
      </c>
      <c r="F1688" s="6" t="str">
        <f t="shared" si="60"/>
        <v>0001080901</v>
      </c>
    </row>
    <row r="1689" spans="1:6" x14ac:dyDescent="0.3">
      <c r="A1689" s="6" t="s">
        <v>2792</v>
      </c>
      <c r="B1689">
        <v>43057779</v>
      </c>
      <c r="C1689">
        <v>1</v>
      </c>
      <c r="D1689" t="str">
        <f t="shared" si="59"/>
        <v>01</v>
      </c>
      <c r="E1689" t="str">
        <f>VLOOKUP(B1689,'HOGARES-ENDLINE'!$A:$B,2,FALSE)</f>
        <v>01010810</v>
      </c>
      <c r="F1689" s="6" t="str">
        <f t="shared" si="60"/>
        <v>0101081001</v>
      </c>
    </row>
    <row r="1690" spans="1:6" x14ac:dyDescent="0.3">
      <c r="A1690" s="6" t="s">
        <v>2789</v>
      </c>
      <c r="B1690">
        <v>43057779</v>
      </c>
      <c r="C1690">
        <v>2</v>
      </c>
      <c r="D1690" t="str">
        <f t="shared" si="59"/>
        <v>02</v>
      </c>
      <c r="E1690" t="str">
        <f>VLOOKUP(B1690,'HOGARES-ENDLINE'!$A:$B,2,FALSE)</f>
        <v>01010810</v>
      </c>
      <c r="F1690" s="6" t="str">
        <f t="shared" si="60"/>
        <v>0101081002</v>
      </c>
    </row>
    <row r="1691" spans="1:6" x14ac:dyDescent="0.3">
      <c r="A1691" s="6" t="s">
        <v>2793</v>
      </c>
      <c r="B1691">
        <v>43062092</v>
      </c>
      <c r="C1691">
        <v>1</v>
      </c>
      <c r="D1691" t="str">
        <f t="shared" si="59"/>
        <v>01</v>
      </c>
      <c r="E1691" t="str">
        <f>VLOOKUP(B1691,'HOGARES-ENDLINE'!$A:$B,2,FALSE)</f>
        <v>01010811</v>
      </c>
      <c r="F1691" s="6" t="str">
        <f t="shared" si="60"/>
        <v>0101081101</v>
      </c>
    </row>
    <row r="1692" spans="1:6" x14ac:dyDescent="0.3">
      <c r="A1692" s="6" t="s">
        <v>2794</v>
      </c>
      <c r="B1692">
        <v>43062092</v>
      </c>
      <c r="C1692">
        <v>2</v>
      </c>
      <c r="D1692" t="str">
        <f t="shared" si="59"/>
        <v>02</v>
      </c>
      <c r="E1692" t="str">
        <f>VLOOKUP(B1692,'HOGARES-ENDLINE'!$A:$B,2,FALSE)</f>
        <v>01010811</v>
      </c>
      <c r="F1692" s="6" t="str">
        <f t="shared" si="60"/>
        <v>0101081102</v>
      </c>
    </row>
    <row r="1693" spans="1:6" x14ac:dyDescent="0.3">
      <c r="A1693" s="6" t="s">
        <v>5189</v>
      </c>
      <c r="B1693">
        <v>43065696</v>
      </c>
      <c r="C1693">
        <v>4</v>
      </c>
      <c r="D1693" t="str">
        <f t="shared" si="59"/>
        <v>04</v>
      </c>
      <c r="E1693" t="str">
        <f>VLOOKUP(B1693,'HOGARES-ENDLINE'!$A:$B,2,FALSE)</f>
        <v>00010812</v>
      </c>
      <c r="F1693" s="6" t="str">
        <f t="shared" si="60"/>
        <v>0001081204</v>
      </c>
    </row>
    <row r="1694" spans="1:6" x14ac:dyDescent="0.3">
      <c r="A1694" s="6" t="s">
        <v>2796</v>
      </c>
      <c r="B1694">
        <v>43065696</v>
      </c>
      <c r="C1694">
        <v>1</v>
      </c>
      <c r="D1694" t="str">
        <f t="shared" si="59"/>
        <v>01</v>
      </c>
      <c r="E1694" t="str">
        <f>VLOOKUP(B1694,'HOGARES-ENDLINE'!$A:$B,2,FALSE)</f>
        <v>00010812</v>
      </c>
      <c r="F1694" s="6" t="str">
        <f t="shared" si="60"/>
        <v>0001081201</v>
      </c>
    </row>
    <row r="1695" spans="1:6" x14ac:dyDescent="0.3">
      <c r="A1695" s="6" t="s">
        <v>5190</v>
      </c>
      <c r="B1695">
        <v>43065696</v>
      </c>
      <c r="C1695">
        <v>3</v>
      </c>
      <c r="D1695" t="str">
        <f t="shared" si="59"/>
        <v>03</v>
      </c>
      <c r="E1695" t="str">
        <f>VLOOKUP(B1695,'HOGARES-ENDLINE'!$A:$B,2,FALSE)</f>
        <v>00010812</v>
      </c>
      <c r="F1695" s="6" t="str">
        <f t="shared" si="60"/>
        <v>0001081203</v>
      </c>
    </row>
    <row r="1696" spans="1:6" x14ac:dyDescent="0.3">
      <c r="A1696" s="6" t="s">
        <v>2795</v>
      </c>
      <c r="B1696">
        <v>43065696</v>
      </c>
      <c r="C1696">
        <v>2</v>
      </c>
      <c r="D1696" t="str">
        <f t="shared" si="59"/>
        <v>02</v>
      </c>
      <c r="E1696" t="str">
        <f>VLOOKUP(B1696,'HOGARES-ENDLINE'!$A:$B,2,FALSE)</f>
        <v>00010812</v>
      </c>
      <c r="F1696" s="6" t="str">
        <f t="shared" si="60"/>
        <v>0001081202</v>
      </c>
    </row>
    <row r="1697" spans="1:6" x14ac:dyDescent="0.3">
      <c r="A1697" s="6" t="s">
        <v>2797</v>
      </c>
      <c r="B1697">
        <v>43066439</v>
      </c>
      <c r="C1697">
        <v>1</v>
      </c>
      <c r="D1697" t="str">
        <f t="shared" ref="D1697:D1760" si="61">_xlfn.CONCAT(0,C1697)</f>
        <v>01</v>
      </c>
      <c r="E1697" t="str">
        <f>VLOOKUP(B1697,'HOGARES-ENDLINE'!$A:$B,2,FALSE)</f>
        <v>00010813</v>
      </c>
      <c r="F1697" s="6" t="str">
        <f t="shared" si="60"/>
        <v>0001081301</v>
      </c>
    </row>
    <row r="1698" spans="1:6" x14ac:dyDescent="0.3">
      <c r="A1698" s="6" t="s">
        <v>2798</v>
      </c>
      <c r="B1698">
        <v>43066481</v>
      </c>
      <c r="C1698">
        <v>1</v>
      </c>
      <c r="D1698" t="str">
        <f t="shared" si="61"/>
        <v>01</v>
      </c>
      <c r="E1698" t="str">
        <f>VLOOKUP(B1698,'HOGARES-ENDLINE'!$A:$B,2,FALSE)</f>
        <v>00010814</v>
      </c>
      <c r="F1698" s="6" t="str">
        <f t="shared" si="60"/>
        <v>0001081401</v>
      </c>
    </row>
    <row r="1699" spans="1:6" x14ac:dyDescent="0.3">
      <c r="A1699" s="6" t="s">
        <v>2801</v>
      </c>
      <c r="B1699">
        <v>43066859</v>
      </c>
      <c r="C1699">
        <v>5</v>
      </c>
      <c r="D1699" t="str">
        <f t="shared" si="61"/>
        <v>05</v>
      </c>
      <c r="E1699" t="str">
        <f>VLOOKUP(B1699,'HOGARES-ENDLINE'!$A:$B,2,FALSE)</f>
        <v>01010815</v>
      </c>
      <c r="F1699" s="6" t="str">
        <f t="shared" si="60"/>
        <v>0101081505</v>
      </c>
    </row>
    <row r="1700" spans="1:6" x14ac:dyDescent="0.3">
      <c r="A1700" s="6" t="s">
        <v>2803</v>
      </c>
      <c r="B1700">
        <v>43066859</v>
      </c>
      <c r="C1700">
        <v>4</v>
      </c>
      <c r="D1700" t="str">
        <f t="shared" si="61"/>
        <v>04</v>
      </c>
      <c r="E1700" t="str">
        <f>VLOOKUP(B1700,'HOGARES-ENDLINE'!$A:$B,2,FALSE)</f>
        <v>01010815</v>
      </c>
      <c r="F1700" s="6" t="str">
        <f t="shared" si="60"/>
        <v>0101081504</v>
      </c>
    </row>
    <row r="1701" spans="1:6" x14ac:dyDescent="0.3">
      <c r="A1701" s="6" t="s">
        <v>2804</v>
      </c>
      <c r="B1701">
        <v>43066859</v>
      </c>
      <c r="C1701">
        <v>1</v>
      </c>
      <c r="D1701" t="str">
        <f t="shared" si="61"/>
        <v>01</v>
      </c>
      <c r="E1701" t="str">
        <f>VLOOKUP(B1701,'HOGARES-ENDLINE'!$A:$B,2,FALSE)</f>
        <v>01010815</v>
      </c>
      <c r="F1701" s="6" t="str">
        <f t="shared" si="60"/>
        <v>0101081501</v>
      </c>
    </row>
    <row r="1702" spans="1:6" x14ac:dyDescent="0.3">
      <c r="A1702" s="6" t="s">
        <v>2802</v>
      </c>
      <c r="B1702">
        <v>43066859</v>
      </c>
      <c r="C1702">
        <v>7</v>
      </c>
      <c r="D1702" t="str">
        <f t="shared" si="61"/>
        <v>07</v>
      </c>
      <c r="E1702" t="str">
        <f>VLOOKUP(B1702,'HOGARES-ENDLINE'!$A:$B,2,FALSE)</f>
        <v>01010815</v>
      </c>
      <c r="F1702" s="6" t="str">
        <f t="shared" si="60"/>
        <v>0101081507</v>
      </c>
    </row>
    <row r="1703" spans="1:6" x14ac:dyDescent="0.3">
      <c r="A1703" s="6" t="s">
        <v>2799</v>
      </c>
      <c r="B1703">
        <v>43066859</v>
      </c>
      <c r="C1703">
        <v>2</v>
      </c>
      <c r="D1703" t="str">
        <f t="shared" si="61"/>
        <v>02</v>
      </c>
      <c r="E1703" t="str">
        <f>VLOOKUP(B1703,'HOGARES-ENDLINE'!$A:$B,2,FALSE)</f>
        <v>01010815</v>
      </c>
      <c r="F1703" s="6" t="str">
        <f t="shared" si="60"/>
        <v>0101081502</v>
      </c>
    </row>
    <row r="1704" spans="1:6" x14ac:dyDescent="0.3">
      <c r="A1704" s="6" t="s">
        <v>2800</v>
      </c>
      <c r="B1704">
        <v>43066859</v>
      </c>
      <c r="C1704">
        <v>3</v>
      </c>
      <c r="D1704" t="str">
        <f t="shared" si="61"/>
        <v>03</v>
      </c>
      <c r="E1704" t="str">
        <f>VLOOKUP(B1704,'HOGARES-ENDLINE'!$A:$B,2,FALSE)</f>
        <v>01010815</v>
      </c>
      <c r="F1704" s="6" t="str">
        <f t="shared" si="60"/>
        <v>0101081503</v>
      </c>
    </row>
    <row r="1705" spans="1:6" x14ac:dyDescent="0.3">
      <c r="A1705" s="6" t="s">
        <v>2805</v>
      </c>
      <c r="B1705">
        <v>43066859</v>
      </c>
      <c r="C1705">
        <v>6</v>
      </c>
      <c r="D1705" t="str">
        <f t="shared" si="61"/>
        <v>06</v>
      </c>
      <c r="E1705" t="str">
        <f>VLOOKUP(B1705,'HOGARES-ENDLINE'!$A:$B,2,FALSE)</f>
        <v>01010815</v>
      </c>
      <c r="F1705" s="6" t="str">
        <f t="shared" si="60"/>
        <v>0101081506</v>
      </c>
    </row>
    <row r="1706" spans="1:6" x14ac:dyDescent="0.3">
      <c r="A1706" s="6" t="s">
        <v>2808</v>
      </c>
      <c r="B1706">
        <v>43070425</v>
      </c>
      <c r="C1706">
        <v>1</v>
      </c>
      <c r="D1706" t="str">
        <f t="shared" si="61"/>
        <v>01</v>
      </c>
      <c r="E1706" t="str">
        <f>VLOOKUP(B1706,'HOGARES-ENDLINE'!$A:$B,2,FALSE)</f>
        <v>00010817</v>
      </c>
      <c r="F1706" s="6" t="str">
        <f t="shared" si="60"/>
        <v>0001081701</v>
      </c>
    </row>
    <row r="1707" spans="1:6" x14ac:dyDescent="0.3">
      <c r="A1707" s="6" t="s">
        <v>2809</v>
      </c>
      <c r="B1707">
        <v>43070884</v>
      </c>
      <c r="C1707">
        <v>1</v>
      </c>
      <c r="D1707" t="str">
        <f t="shared" si="61"/>
        <v>01</v>
      </c>
      <c r="E1707" t="str">
        <f>VLOOKUP(B1707,'HOGARES-ENDLINE'!$A:$B,2,FALSE)</f>
        <v>01010818</v>
      </c>
      <c r="F1707" s="6" t="str">
        <f t="shared" si="60"/>
        <v>0101081801</v>
      </c>
    </row>
    <row r="1708" spans="1:6" x14ac:dyDescent="0.3">
      <c r="A1708" s="6" t="s">
        <v>2812</v>
      </c>
      <c r="B1708">
        <v>43073733</v>
      </c>
      <c r="C1708">
        <v>3</v>
      </c>
      <c r="D1708" t="str">
        <f t="shared" si="61"/>
        <v>03</v>
      </c>
      <c r="E1708" t="str">
        <f>VLOOKUP(B1708,'HOGARES-ENDLINE'!$A:$B,2,FALSE)</f>
        <v>00010819</v>
      </c>
      <c r="F1708" s="6" t="str">
        <f t="shared" si="60"/>
        <v>0001081903</v>
      </c>
    </row>
    <row r="1709" spans="1:6" x14ac:dyDescent="0.3">
      <c r="A1709" s="6" t="s">
        <v>2810</v>
      </c>
      <c r="B1709">
        <v>43073733</v>
      </c>
      <c r="C1709">
        <v>2</v>
      </c>
      <c r="D1709" t="str">
        <f t="shared" si="61"/>
        <v>02</v>
      </c>
      <c r="E1709" t="str">
        <f>VLOOKUP(B1709,'HOGARES-ENDLINE'!$A:$B,2,FALSE)</f>
        <v>00010819</v>
      </c>
      <c r="F1709" s="6" t="str">
        <f t="shared" si="60"/>
        <v>0001081902</v>
      </c>
    </row>
    <row r="1710" spans="1:6" x14ac:dyDescent="0.3">
      <c r="A1710" s="6" t="s">
        <v>2811</v>
      </c>
      <c r="B1710">
        <v>43073733</v>
      </c>
      <c r="C1710">
        <v>1</v>
      </c>
      <c r="D1710" t="str">
        <f t="shared" si="61"/>
        <v>01</v>
      </c>
      <c r="E1710" t="str">
        <f>VLOOKUP(B1710,'HOGARES-ENDLINE'!$A:$B,2,FALSE)</f>
        <v>00010819</v>
      </c>
      <c r="F1710" s="6" t="str">
        <f t="shared" si="60"/>
        <v>0001081901</v>
      </c>
    </row>
    <row r="1711" spans="1:6" x14ac:dyDescent="0.3">
      <c r="A1711" s="6" t="s">
        <v>2814</v>
      </c>
      <c r="B1711">
        <v>43075851</v>
      </c>
      <c r="C1711">
        <v>1</v>
      </c>
      <c r="D1711" t="str">
        <f t="shared" si="61"/>
        <v>01</v>
      </c>
      <c r="E1711" t="str">
        <f>VLOOKUP(B1711,'HOGARES-ENDLINE'!$A:$B,2,FALSE)</f>
        <v>01010820</v>
      </c>
      <c r="F1711" s="6" t="str">
        <f t="shared" si="60"/>
        <v>0101082001</v>
      </c>
    </row>
    <row r="1712" spans="1:6" x14ac:dyDescent="0.3">
      <c r="A1712" s="6" t="s">
        <v>2813</v>
      </c>
      <c r="B1712">
        <v>43075851</v>
      </c>
      <c r="C1712">
        <v>2</v>
      </c>
      <c r="D1712" t="str">
        <f t="shared" si="61"/>
        <v>02</v>
      </c>
      <c r="E1712" t="str">
        <f>VLOOKUP(B1712,'HOGARES-ENDLINE'!$A:$B,2,FALSE)</f>
        <v>01010820</v>
      </c>
      <c r="F1712" s="6" t="str">
        <f t="shared" si="60"/>
        <v>0101082002</v>
      </c>
    </row>
    <row r="1713" spans="1:6" x14ac:dyDescent="0.3">
      <c r="A1713" s="6" t="s">
        <v>2815</v>
      </c>
      <c r="B1713">
        <v>43078979</v>
      </c>
      <c r="C1713">
        <v>1</v>
      </c>
      <c r="D1713" t="str">
        <f t="shared" si="61"/>
        <v>01</v>
      </c>
      <c r="E1713" t="str">
        <f>VLOOKUP(B1713,'HOGARES-ENDLINE'!$A:$B,2,FALSE)</f>
        <v>00010821</v>
      </c>
      <c r="F1713" s="6" t="str">
        <f t="shared" si="60"/>
        <v>0001082101</v>
      </c>
    </row>
    <row r="1714" spans="1:6" x14ac:dyDescent="0.3">
      <c r="A1714" s="6" t="s">
        <v>2816</v>
      </c>
      <c r="B1714">
        <v>43083979</v>
      </c>
      <c r="C1714">
        <v>1</v>
      </c>
      <c r="D1714" t="str">
        <f t="shared" si="61"/>
        <v>01</v>
      </c>
      <c r="E1714" t="str">
        <f>VLOOKUP(B1714,'HOGARES-ENDLINE'!$A:$B,2,FALSE)</f>
        <v>00010822</v>
      </c>
      <c r="F1714" s="6" t="str">
        <f t="shared" si="60"/>
        <v>0001082201</v>
      </c>
    </row>
    <row r="1715" spans="1:6" x14ac:dyDescent="0.3">
      <c r="A1715" s="6" t="s">
        <v>2823</v>
      </c>
      <c r="B1715">
        <v>43085567</v>
      </c>
      <c r="C1715">
        <v>4</v>
      </c>
      <c r="D1715" t="str">
        <f t="shared" si="61"/>
        <v>04</v>
      </c>
      <c r="E1715" t="str">
        <f>VLOOKUP(B1715,'HOGARES-ENDLINE'!$A:$B,2,FALSE)</f>
        <v>00010823</v>
      </c>
      <c r="F1715" s="6" t="str">
        <f t="shared" si="60"/>
        <v>0001082304</v>
      </c>
    </row>
    <row r="1716" spans="1:6" x14ac:dyDescent="0.3">
      <c r="A1716" s="6" t="s">
        <v>2819</v>
      </c>
      <c r="B1716">
        <v>43085567</v>
      </c>
      <c r="C1716">
        <v>5</v>
      </c>
      <c r="D1716" t="str">
        <f t="shared" si="61"/>
        <v>05</v>
      </c>
      <c r="E1716" t="str">
        <f>VLOOKUP(B1716,'HOGARES-ENDLINE'!$A:$B,2,FALSE)</f>
        <v>00010823</v>
      </c>
      <c r="F1716" s="6" t="str">
        <f t="shared" si="60"/>
        <v>0001082305</v>
      </c>
    </row>
    <row r="1717" spans="1:6" x14ac:dyDescent="0.3">
      <c r="A1717" s="6" t="s">
        <v>2818</v>
      </c>
      <c r="B1717">
        <v>43085567</v>
      </c>
      <c r="C1717">
        <v>1</v>
      </c>
      <c r="D1717" t="str">
        <f t="shared" si="61"/>
        <v>01</v>
      </c>
      <c r="E1717" t="str">
        <f>VLOOKUP(B1717,'HOGARES-ENDLINE'!$A:$B,2,FALSE)</f>
        <v>00010823</v>
      </c>
      <c r="F1717" s="6" t="str">
        <f t="shared" si="60"/>
        <v>0001082301</v>
      </c>
    </row>
    <row r="1718" spans="1:6" x14ac:dyDescent="0.3">
      <c r="A1718" s="6" t="s">
        <v>2817</v>
      </c>
      <c r="B1718">
        <v>43085567</v>
      </c>
      <c r="C1718">
        <v>2</v>
      </c>
      <c r="D1718" t="str">
        <f t="shared" si="61"/>
        <v>02</v>
      </c>
      <c r="E1718" t="str">
        <f>VLOOKUP(B1718,'HOGARES-ENDLINE'!$A:$B,2,FALSE)</f>
        <v>00010823</v>
      </c>
      <c r="F1718" s="6" t="str">
        <f t="shared" si="60"/>
        <v>0001082302</v>
      </c>
    </row>
    <row r="1719" spans="1:6" x14ac:dyDescent="0.3">
      <c r="A1719" s="6" t="s">
        <v>2820</v>
      </c>
      <c r="B1719">
        <v>43085567</v>
      </c>
      <c r="C1719">
        <v>6</v>
      </c>
      <c r="D1719" t="str">
        <f t="shared" si="61"/>
        <v>06</v>
      </c>
      <c r="E1719" t="str">
        <f>VLOOKUP(B1719,'HOGARES-ENDLINE'!$A:$B,2,FALSE)</f>
        <v>00010823</v>
      </c>
      <c r="F1719" s="6" t="str">
        <f t="shared" si="60"/>
        <v>0001082306</v>
      </c>
    </row>
    <row r="1720" spans="1:6" x14ac:dyDescent="0.3">
      <c r="A1720" s="6" t="s">
        <v>2821</v>
      </c>
      <c r="B1720">
        <v>43085567</v>
      </c>
      <c r="C1720">
        <v>3</v>
      </c>
      <c r="D1720" t="str">
        <f t="shared" si="61"/>
        <v>03</v>
      </c>
      <c r="E1720" t="str">
        <f>VLOOKUP(B1720,'HOGARES-ENDLINE'!$A:$B,2,FALSE)</f>
        <v>00010823</v>
      </c>
      <c r="F1720" s="6" t="str">
        <f t="shared" si="60"/>
        <v>0001082303</v>
      </c>
    </row>
    <row r="1721" spans="1:6" x14ac:dyDescent="0.3">
      <c r="A1721" s="6" t="s">
        <v>2822</v>
      </c>
      <c r="B1721">
        <v>43085567</v>
      </c>
      <c r="C1721">
        <v>7</v>
      </c>
      <c r="D1721" t="str">
        <f t="shared" si="61"/>
        <v>07</v>
      </c>
      <c r="E1721" t="str">
        <f>VLOOKUP(B1721,'HOGARES-ENDLINE'!$A:$B,2,FALSE)</f>
        <v>00010823</v>
      </c>
      <c r="F1721" s="6" t="str">
        <f t="shared" si="60"/>
        <v>0001082307</v>
      </c>
    </row>
    <row r="1722" spans="1:6" x14ac:dyDescent="0.3">
      <c r="A1722" s="6" t="s">
        <v>2828</v>
      </c>
      <c r="B1722">
        <v>43097896</v>
      </c>
      <c r="C1722">
        <v>1</v>
      </c>
      <c r="D1722" t="str">
        <f t="shared" si="61"/>
        <v>01</v>
      </c>
      <c r="E1722" t="str">
        <f>VLOOKUP(B1722,'HOGARES-ENDLINE'!$A:$B,2,FALSE)</f>
        <v>00010825</v>
      </c>
      <c r="F1722" s="6" t="str">
        <f t="shared" si="60"/>
        <v>0001082501</v>
      </c>
    </row>
    <row r="1723" spans="1:6" x14ac:dyDescent="0.3">
      <c r="A1723" s="6" t="s">
        <v>2832</v>
      </c>
      <c r="B1723">
        <v>43100739</v>
      </c>
      <c r="C1723">
        <v>1</v>
      </c>
      <c r="D1723" t="str">
        <f t="shared" si="61"/>
        <v>01</v>
      </c>
      <c r="E1723" t="str">
        <f>VLOOKUP(B1723,'HOGARES-ENDLINE'!$A:$B,2,FALSE)</f>
        <v>01010827</v>
      </c>
      <c r="F1723" s="6" t="str">
        <f t="shared" si="60"/>
        <v>0101082701</v>
      </c>
    </row>
    <row r="1724" spans="1:6" x14ac:dyDescent="0.3">
      <c r="A1724" s="6" t="s">
        <v>2837</v>
      </c>
      <c r="B1724">
        <v>43101586</v>
      </c>
      <c r="C1724">
        <v>1</v>
      </c>
      <c r="D1724" t="str">
        <f t="shared" si="61"/>
        <v>01</v>
      </c>
      <c r="E1724" t="str">
        <f>VLOOKUP(B1724,'HOGARES-ENDLINE'!$A:$B,2,FALSE)</f>
        <v>01010828</v>
      </c>
      <c r="F1724" s="6" t="str">
        <f t="shared" si="60"/>
        <v>0101082801</v>
      </c>
    </row>
    <row r="1725" spans="1:6" x14ac:dyDescent="0.3">
      <c r="A1725" s="6" t="s">
        <v>2840</v>
      </c>
      <c r="B1725">
        <v>43101586</v>
      </c>
      <c r="C1725">
        <v>3</v>
      </c>
      <c r="D1725" t="str">
        <f t="shared" si="61"/>
        <v>03</v>
      </c>
      <c r="E1725" t="str">
        <f>VLOOKUP(B1725,'HOGARES-ENDLINE'!$A:$B,2,FALSE)</f>
        <v>01010828</v>
      </c>
      <c r="F1725" s="6" t="str">
        <f t="shared" si="60"/>
        <v>0101082803</v>
      </c>
    </row>
    <row r="1726" spans="1:6" x14ac:dyDescent="0.3">
      <c r="A1726" s="6" t="s">
        <v>2839</v>
      </c>
      <c r="B1726">
        <v>43101586</v>
      </c>
      <c r="C1726">
        <v>4</v>
      </c>
      <c r="D1726" t="str">
        <f t="shared" si="61"/>
        <v>04</v>
      </c>
      <c r="E1726" t="str">
        <f>VLOOKUP(B1726,'HOGARES-ENDLINE'!$A:$B,2,FALSE)</f>
        <v>01010828</v>
      </c>
      <c r="F1726" s="6" t="str">
        <f t="shared" si="60"/>
        <v>0101082804</v>
      </c>
    </row>
    <row r="1727" spans="1:6" x14ac:dyDescent="0.3">
      <c r="A1727" s="6" t="s">
        <v>2838</v>
      </c>
      <c r="B1727">
        <v>43101586</v>
      </c>
      <c r="C1727">
        <v>2</v>
      </c>
      <c r="D1727" t="str">
        <f t="shared" si="61"/>
        <v>02</v>
      </c>
      <c r="E1727" t="str">
        <f>VLOOKUP(B1727,'HOGARES-ENDLINE'!$A:$B,2,FALSE)</f>
        <v>01010828</v>
      </c>
      <c r="F1727" s="6" t="str">
        <f t="shared" si="60"/>
        <v>0101082802</v>
      </c>
    </row>
    <row r="1728" spans="1:6" x14ac:dyDescent="0.3">
      <c r="A1728" s="6" t="s">
        <v>2843</v>
      </c>
      <c r="B1728">
        <v>43117917</v>
      </c>
      <c r="C1728">
        <v>3</v>
      </c>
      <c r="D1728" t="str">
        <f t="shared" si="61"/>
        <v>03</v>
      </c>
      <c r="E1728" t="str">
        <f>VLOOKUP(B1728,'HOGARES-ENDLINE'!$A:$B,2,FALSE)</f>
        <v>00010829</v>
      </c>
      <c r="F1728" s="6" t="str">
        <f t="shared" si="60"/>
        <v>0001082903</v>
      </c>
    </row>
    <row r="1729" spans="1:6" x14ac:dyDescent="0.3">
      <c r="A1729" s="6" t="s">
        <v>2842</v>
      </c>
      <c r="B1729">
        <v>43117917</v>
      </c>
      <c r="C1729">
        <v>1</v>
      </c>
      <c r="D1729" t="str">
        <f t="shared" si="61"/>
        <v>01</v>
      </c>
      <c r="E1729" t="str">
        <f>VLOOKUP(B1729,'HOGARES-ENDLINE'!$A:$B,2,FALSE)</f>
        <v>00010829</v>
      </c>
      <c r="F1729" s="6" t="str">
        <f t="shared" si="60"/>
        <v>0001082901</v>
      </c>
    </row>
    <row r="1730" spans="1:6" x14ac:dyDescent="0.3">
      <c r="A1730" s="6" t="s">
        <v>2841</v>
      </c>
      <c r="B1730">
        <v>43117917</v>
      </c>
      <c r="C1730">
        <v>2</v>
      </c>
      <c r="D1730" t="str">
        <f t="shared" si="61"/>
        <v>02</v>
      </c>
      <c r="E1730" t="str">
        <f>VLOOKUP(B1730,'HOGARES-ENDLINE'!$A:$B,2,FALSE)</f>
        <v>00010829</v>
      </c>
      <c r="F1730" s="6" t="str">
        <f t="shared" si="60"/>
        <v>0001082902</v>
      </c>
    </row>
    <row r="1731" spans="1:6" x14ac:dyDescent="0.3">
      <c r="A1731" s="6" t="s">
        <v>2844</v>
      </c>
      <c r="B1731">
        <v>43141643</v>
      </c>
      <c r="C1731">
        <v>1</v>
      </c>
      <c r="D1731" t="str">
        <f t="shared" si="61"/>
        <v>01</v>
      </c>
      <c r="E1731" t="str">
        <f>VLOOKUP(B1731,'HOGARES-ENDLINE'!$A:$B,2,FALSE)</f>
        <v>01010830</v>
      </c>
      <c r="F1731" s="6" t="str">
        <f t="shared" ref="F1731:F1794" si="62">_xlfn.CONCAT(E1731,D1731)</f>
        <v>0101083001</v>
      </c>
    </row>
    <row r="1732" spans="1:6" x14ac:dyDescent="0.3">
      <c r="A1732" s="6" t="s">
        <v>2847</v>
      </c>
      <c r="B1732">
        <v>43150064</v>
      </c>
      <c r="C1732">
        <v>1</v>
      </c>
      <c r="D1732" t="str">
        <f t="shared" si="61"/>
        <v>01</v>
      </c>
      <c r="E1732" t="str">
        <f>VLOOKUP(B1732,'HOGARES-ENDLINE'!$A:$B,2,FALSE)</f>
        <v>01010831</v>
      </c>
      <c r="F1732" s="6" t="str">
        <f t="shared" si="62"/>
        <v>0101083101</v>
      </c>
    </row>
    <row r="1733" spans="1:6" x14ac:dyDescent="0.3">
      <c r="A1733" s="6" t="s">
        <v>2850</v>
      </c>
      <c r="B1733">
        <v>43152836</v>
      </c>
      <c r="C1733">
        <v>2</v>
      </c>
      <c r="D1733" t="str">
        <f t="shared" si="61"/>
        <v>02</v>
      </c>
      <c r="E1733" t="str">
        <f>VLOOKUP(B1733,'HOGARES-ENDLINE'!$A:$B,2,FALSE)</f>
        <v>01010832</v>
      </c>
      <c r="F1733" s="6" t="str">
        <f t="shared" si="62"/>
        <v>0101083202</v>
      </c>
    </row>
    <row r="1734" spans="1:6" x14ac:dyDescent="0.3">
      <c r="A1734" s="6" t="s">
        <v>2851</v>
      </c>
      <c r="B1734">
        <v>43152836</v>
      </c>
      <c r="C1734">
        <v>1</v>
      </c>
      <c r="D1734" t="str">
        <f t="shared" si="61"/>
        <v>01</v>
      </c>
      <c r="E1734" t="str">
        <f>VLOOKUP(B1734,'HOGARES-ENDLINE'!$A:$B,2,FALSE)</f>
        <v>01010832</v>
      </c>
      <c r="F1734" s="6" t="str">
        <f t="shared" si="62"/>
        <v>0101083201</v>
      </c>
    </row>
    <row r="1735" spans="1:6" x14ac:dyDescent="0.3">
      <c r="A1735" s="6" t="s">
        <v>2852</v>
      </c>
      <c r="B1735">
        <v>43159959</v>
      </c>
      <c r="C1735">
        <v>3</v>
      </c>
      <c r="D1735" t="str">
        <f t="shared" si="61"/>
        <v>03</v>
      </c>
      <c r="E1735" t="str">
        <f>VLOOKUP(B1735,'HOGARES-ENDLINE'!$A:$B,2,FALSE)</f>
        <v>00010833</v>
      </c>
      <c r="F1735" s="6" t="str">
        <f t="shared" si="62"/>
        <v>0001083303</v>
      </c>
    </row>
    <row r="1736" spans="1:6" x14ac:dyDescent="0.3">
      <c r="A1736" s="6" t="s">
        <v>5191</v>
      </c>
      <c r="B1736">
        <v>43159959</v>
      </c>
      <c r="C1736">
        <v>4</v>
      </c>
      <c r="D1736" t="str">
        <f t="shared" si="61"/>
        <v>04</v>
      </c>
      <c r="E1736" t="str">
        <f>VLOOKUP(B1736,'HOGARES-ENDLINE'!$A:$B,2,FALSE)</f>
        <v>00010833</v>
      </c>
      <c r="F1736" s="6" t="str">
        <f t="shared" si="62"/>
        <v>0001083304</v>
      </c>
    </row>
    <row r="1737" spans="1:6" x14ac:dyDescent="0.3">
      <c r="A1737" s="6" t="s">
        <v>2853</v>
      </c>
      <c r="B1737">
        <v>43159959</v>
      </c>
      <c r="C1737">
        <v>1</v>
      </c>
      <c r="D1737" t="str">
        <f t="shared" si="61"/>
        <v>01</v>
      </c>
      <c r="E1737" t="str">
        <f>VLOOKUP(B1737,'HOGARES-ENDLINE'!$A:$B,2,FALSE)</f>
        <v>00010833</v>
      </c>
      <c r="F1737" s="6" t="str">
        <f t="shared" si="62"/>
        <v>0001083301</v>
      </c>
    </row>
    <row r="1738" spans="1:6" x14ac:dyDescent="0.3">
      <c r="A1738" s="6" t="s">
        <v>2854</v>
      </c>
      <c r="B1738">
        <v>43159959</v>
      </c>
      <c r="C1738">
        <v>2</v>
      </c>
      <c r="D1738" t="str">
        <f t="shared" si="61"/>
        <v>02</v>
      </c>
      <c r="E1738" t="str">
        <f>VLOOKUP(B1738,'HOGARES-ENDLINE'!$A:$B,2,FALSE)</f>
        <v>00010833</v>
      </c>
      <c r="F1738" s="6" t="str">
        <f t="shared" si="62"/>
        <v>0001083302</v>
      </c>
    </row>
    <row r="1739" spans="1:6" x14ac:dyDescent="0.3">
      <c r="A1739" s="6" t="s">
        <v>2859</v>
      </c>
      <c r="B1739">
        <v>43164479</v>
      </c>
      <c r="C1739">
        <v>5</v>
      </c>
      <c r="D1739" t="str">
        <f t="shared" si="61"/>
        <v>05</v>
      </c>
      <c r="E1739" t="str">
        <f>VLOOKUP(B1739,'HOGARES-ENDLINE'!$A:$B,2,FALSE)</f>
        <v>00010834</v>
      </c>
      <c r="F1739" s="6" t="str">
        <f t="shared" si="62"/>
        <v>0001083405</v>
      </c>
    </row>
    <row r="1740" spans="1:6" x14ac:dyDescent="0.3">
      <c r="A1740" s="6" t="s">
        <v>2856</v>
      </c>
      <c r="B1740">
        <v>43164479</v>
      </c>
      <c r="C1740">
        <v>2</v>
      </c>
      <c r="D1740" t="str">
        <f t="shared" si="61"/>
        <v>02</v>
      </c>
      <c r="E1740" t="str">
        <f>VLOOKUP(B1740,'HOGARES-ENDLINE'!$A:$B,2,FALSE)</f>
        <v>00010834</v>
      </c>
      <c r="F1740" s="6" t="str">
        <f t="shared" si="62"/>
        <v>0001083402</v>
      </c>
    </row>
    <row r="1741" spans="1:6" x14ac:dyDescent="0.3">
      <c r="A1741" s="6" t="s">
        <v>2858</v>
      </c>
      <c r="B1741">
        <v>43164479</v>
      </c>
      <c r="C1741">
        <v>4</v>
      </c>
      <c r="D1741" t="str">
        <f t="shared" si="61"/>
        <v>04</v>
      </c>
      <c r="E1741" t="str">
        <f>VLOOKUP(B1741,'HOGARES-ENDLINE'!$A:$B,2,FALSE)</f>
        <v>00010834</v>
      </c>
      <c r="F1741" s="6" t="str">
        <f t="shared" si="62"/>
        <v>0001083404</v>
      </c>
    </row>
    <row r="1742" spans="1:6" x14ac:dyDescent="0.3">
      <c r="A1742" s="6" t="s">
        <v>2864</v>
      </c>
      <c r="B1742">
        <v>43203228</v>
      </c>
      <c r="C1742">
        <v>2</v>
      </c>
      <c r="D1742" t="str">
        <f t="shared" si="61"/>
        <v>02</v>
      </c>
      <c r="E1742" t="str">
        <f>VLOOKUP(B1742,'HOGARES-ENDLINE'!$A:$B,2,FALSE)</f>
        <v>01010835</v>
      </c>
      <c r="F1742" s="6" t="str">
        <f t="shared" si="62"/>
        <v>0101083502</v>
      </c>
    </row>
    <row r="1743" spans="1:6" x14ac:dyDescent="0.3">
      <c r="A1743" s="6" t="s">
        <v>2865</v>
      </c>
      <c r="B1743">
        <v>43203228</v>
      </c>
      <c r="C1743">
        <v>4</v>
      </c>
      <c r="D1743" t="str">
        <f t="shared" si="61"/>
        <v>04</v>
      </c>
      <c r="E1743" t="str">
        <f>VLOOKUP(B1743,'HOGARES-ENDLINE'!$A:$B,2,FALSE)</f>
        <v>01010835</v>
      </c>
      <c r="F1743" s="6" t="str">
        <f t="shared" si="62"/>
        <v>0101083504</v>
      </c>
    </row>
    <row r="1744" spans="1:6" x14ac:dyDescent="0.3">
      <c r="A1744" s="6" t="s">
        <v>2863</v>
      </c>
      <c r="B1744">
        <v>43203228</v>
      </c>
      <c r="C1744">
        <v>1</v>
      </c>
      <c r="D1744" t="str">
        <f t="shared" si="61"/>
        <v>01</v>
      </c>
      <c r="E1744" t="str">
        <f>VLOOKUP(B1744,'HOGARES-ENDLINE'!$A:$B,2,FALSE)</f>
        <v>01010835</v>
      </c>
      <c r="F1744" s="6" t="str">
        <f t="shared" si="62"/>
        <v>0101083501</v>
      </c>
    </row>
    <row r="1745" spans="1:6" x14ac:dyDescent="0.3">
      <c r="A1745" s="6" t="s">
        <v>2861</v>
      </c>
      <c r="B1745">
        <v>43203228</v>
      </c>
      <c r="C1745">
        <v>3</v>
      </c>
      <c r="D1745" t="str">
        <f t="shared" si="61"/>
        <v>03</v>
      </c>
      <c r="E1745" t="str">
        <f>VLOOKUP(B1745,'HOGARES-ENDLINE'!$A:$B,2,FALSE)</f>
        <v>01010835</v>
      </c>
      <c r="F1745" s="6" t="str">
        <f t="shared" si="62"/>
        <v>0101083503</v>
      </c>
    </row>
    <row r="1746" spans="1:6" x14ac:dyDescent="0.3">
      <c r="A1746" s="6" t="s">
        <v>2860</v>
      </c>
      <c r="B1746">
        <v>43203228</v>
      </c>
      <c r="C1746">
        <v>6</v>
      </c>
      <c r="D1746" t="str">
        <f t="shared" si="61"/>
        <v>06</v>
      </c>
      <c r="E1746" t="str">
        <f>VLOOKUP(B1746,'HOGARES-ENDLINE'!$A:$B,2,FALSE)</f>
        <v>01010835</v>
      </c>
      <c r="F1746" s="6" t="str">
        <f t="shared" si="62"/>
        <v>0101083506</v>
      </c>
    </row>
    <row r="1747" spans="1:6" x14ac:dyDescent="0.3">
      <c r="A1747" s="6" t="s">
        <v>2862</v>
      </c>
      <c r="B1747">
        <v>43203228</v>
      </c>
      <c r="C1747">
        <v>5</v>
      </c>
      <c r="D1747" t="str">
        <f t="shared" si="61"/>
        <v>05</v>
      </c>
      <c r="E1747" t="str">
        <f>VLOOKUP(B1747,'HOGARES-ENDLINE'!$A:$B,2,FALSE)</f>
        <v>01010835</v>
      </c>
      <c r="F1747" s="6" t="str">
        <f t="shared" si="62"/>
        <v>0101083505</v>
      </c>
    </row>
    <row r="1748" spans="1:6" x14ac:dyDescent="0.3">
      <c r="A1748" s="6" t="s">
        <v>2869</v>
      </c>
      <c r="B1748">
        <v>43205365</v>
      </c>
      <c r="C1748">
        <v>2</v>
      </c>
      <c r="D1748" t="str">
        <f t="shared" si="61"/>
        <v>02</v>
      </c>
      <c r="E1748" t="str">
        <f>VLOOKUP(B1748,'HOGARES-ENDLINE'!$A:$B,2,FALSE)</f>
        <v>00010836</v>
      </c>
      <c r="F1748" s="6" t="str">
        <f t="shared" si="62"/>
        <v>0001083602</v>
      </c>
    </row>
    <row r="1749" spans="1:6" x14ac:dyDescent="0.3">
      <c r="A1749" s="6" t="s">
        <v>2867</v>
      </c>
      <c r="B1749">
        <v>43205365</v>
      </c>
      <c r="C1749">
        <v>4</v>
      </c>
      <c r="D1749" t="str">
        <f t="shared" si="61"/>
        <v>04</v>
      </c>
      <c r="E1749" t="str">
        <f>VLOOKUP(B1749,'HOGARES-ENDLINE'!$A:$B,2,FALSE)</f>
        <v>00010836</v>
      </c>
      <c r="F1749" s="6" t="str">
        <f t="shared" si="62"/>
        <v>0001083604</v>
      </c>
    </row>
    <row r="1750" spans="1:6" x14ac:dyDescent="0.3">
      <c r="A1750" s="6" t="s">
        <v>2868</v>
      </c>
      <c r="B1750">
        <v>43205365</v>
      </c>
      <c r="C1750">
        <v>3</v>
      </c>
      <c r="D1750" t="str">
        <f t="shared" si="61"/>
        <v>03</v>
      </c>
      <c r="E1750" t="str">
        <f>VLOOKUP(B1750,'HOGARES-ENDLINE'!$A:$B,2,FALSE)</f>
        <v>00010836</v>
      </c>
      <c r="F1750" s="6" t="str">
        <f t="shared" si="62"/>
        <v>0001083603</v>
      </c>
    </row>
    <row r="1751" spans="1:6" x14ac:dyDescent="0.3">
      <c r="A1751" s="6" t="s">
        <v>2866</v>
      </c>
      <c r="B1751">
        <v>43205365</v>
      </c>
      <c r="C1751">
        <v>1</v>
      </c>
      <c r="D1751" t="str">
        <f t="shared" si="61"/>
        <v>01</v>
      </c>
      <c r="E1751" t="str">
        <f>VLOOKUP(B1751,'HOGARES-ENDLINE'!$A:$B,2,FALSE)</f>
        <v>00010836</v>
      </c>
      <c r="F1751" s="6" t="str">
        <f t="shared" si="62"/>
        <v>0001083601</v>
      </c>
    </row>
    <row r="1752" spans="1:6" x14ac:dyDescent="0.3">
      <c r="A1752" s="6" t="s">
        <v>2872</v>
      </c>
      <c r="B1752">
        <v>43221546</v>
      </c>
      <c r="C1752">
        <v>3</v>
      </c>
      <c r="D1752" t="str">
        <f t="shared" si="61"/>
        <v>03</v>
      </c>
      <c r="E1752" t="str">
        <f>VLOOKUP(B1752,'HOGARES-ENDLINE'!$A:$B,2,FALSE)</f>
        <v>00010837</v>
      </c>
      <c r="F1752" s="6" t="str">
        <f t="shared" si="62"/>
        <v>0001083703</v>
      </c>
    </row>
    <row r="1753" spans="1:6" x14ac:dyDescent="0.3">
      <c r="A1753" s="6" t="s">
        <v>2871</v>
      </c>
      <c r="B1753">
        <v>43221546</v>
      </c>
      <c r="C1753">
        <v>1</v>
      </c>
      <c r="D1753" t="str">
        <f t="shared" si="61"/>
        <v>01</v>
      </c>
      <c r="E1753" t="str">
        <f>VLOOKUP(B1753,'HOGARES-ENDLINE'!$A:$B,2,FALSE)</f>
        <v>00010837</v>
      </c>
      <c r="F1753" s="6" t="str">
        <f t="shared" si="62"/>
        <v>0001083701</v>
      </c>
    </row>
    <row r="1754" spans="1:6" x14ac:dyDescent="0.3">
      <c r="A1754" s="6" t="s">
        <v>2870</v>
      </c>
      <c r="B1754">
        <v>43221546</v>
      </c>
      <c r="C1754">
        <v>2</v>
      </c>
      <c r="D1754" t="str">
        <f t="shared" si="61"/>
        <v>02</v>
      </c>
      <c r="E1754" t="str">
        <f>VLOOKUP(B1754,'HOGARES-ENDLINE'!$A:$B,2,FALSE)</f>
        <v>00010837</v>
      </c>
      <c r="F1754" s="6" t="str">
        <f t="shared" si="62"/>
        <v>0001083702</v>
      </c>
    </row>
    <row r="1755" spans="1:6" x14ac:dyDescent="0.3">
      <c r="A1755" s="6" t="s">
        <v>2875</v>
      </c>
      <c r="B1755">
        <v>43251278</v>
      </c>
      <c r="C1755">
        <v>1</v>
      </c>
      <c r="D1755" t="str">
        <f t="shared" si="61"/>
        <v>01</v>
      </c>
      <c r="E1755" t="str">
        <f>VLOOKUP(B1755,'HOGARES-ENDLINE'!$A:$B,2,FALSE)</f>
        <v>01010838</v>
      </c>
      <c r="F1755" s="6" t="str">
        <f t="shared" si="62"/>
        <v>0101083801</v>
      </c>
    </row>
    <row r="1756" spans="1:6" x14ac:dyDescent="0.3">
      <c r="A1756" s="6" t="s">
        <v>2883</v>
      </c>
      <c r="B1756">
        <v>43259030</v>
      </c>
      <c r="C1756">
        <v>1</v>
      </c>
      <c r="D1756" t="str">
        <f t="shared" si="61"/>
        <v>01</v>
      </c>
      <c r="E1756" t="str">
        <f>VLOOKUP(B1756,'HOGARES-ENDLINE'!$A:$B,2,FALSE)</f>
        <v>01010839</v>
      </c>
      <c r="F1756" s="6" t="str">
        <f t="shared" si="62"/>
        <v>0101083901</v>
      </c>
    </row>
    <row r="1757" spans="1:6" x14ac:dyDescent="0.3">
      <c r="A1757" s="6" t="s">
        <v>2888</v>
      </c>
      <c r="B1757">
        <v>43262338</v>
      </c>
      <c r="C1757">
        <v>3</v>
      </c>
      <c r="D1757" t="str">
        <f t="shared" si="61"/>
        <v>03</v>
      </c>
      <c r="E1757" t="str">
        <f>VLOOKUP(B1757,'HOGARES-ENDLINE'!$A:$B,2,FALSE)</f>
        <v>00010840</v>
      </c>
      <c r="F1757" s="6" t="str">
        <f t="shared" si="62"/>
        <v>0001084003</v>
      </c>
    </row>
    <row r="1758" spans="1:6" x14ac:dyDescent="0.3">
      <c r="A1758" s="6" t="s">
        <v>2886</v>
      </c>
      <c r="B1758">
        <v>43262338</v>
      </c>
      <c r="C1758">
        <v>1</v>
      </c>
      <c r="D1758" t="str">
        <f t="shared" si="61"/>
        <v>01</v>
      </c>
      <c r="E1758" t="str">
        <f>VLOOKUP(B1758,'HOGARES-ENDLINE'!$A:$B,2,FALSE)</f>
        <v>00010840</v>
      </c>
      <c r="F1758" s="6" t="str">
        <f t="shared" si="62"/>
        <v>0001084001</v>
      </c>
    </row>
    <row r="1759" spans="1:6" x14ac:dyDescent="0.3">
      <c r="A1759" s="6" t="s">
        <v>2887</v>
      </c>
      <c r="B1759">
        <v>43262338</v>
      </c>
      <c r="C1759">
        <v>2</v>
      </c>
      <c r="D1759" t="str">
        <f t="shared" si="61"/>
        <v>02</v>
      </c>
      <c r="E1759" t="str">
        <f>VLOOKUP(B1759,'HOGARES-ENDLINE'!$A:$B,2,FALSE)</f>
        <v>00010840</v>
      </c>
      <c r="F1759" s="6" t="str">
        <f t="shared" si="62"/>
        <v>0001084002</v>
      </c>
    </row>
    <row r="1760" spans="1:6" x14ac:dyDescent="0.3">
      <c r="A1760" s="6" t="s">
        <v>2889</v>
      </c>
      <c r="B1760">
        <v>43265078</v>
      </c>
      <c r="C1760">
        <v>2</v>
      </c>
      <c r="D1760" t="str">
        <f t="shared" si="61"/>
        <v>02</v>
      </c>
      <c r="E1760" t="str">
        <f>VLOOKUP(B1760,'HOGARES-ENDLINE'!$A:$B,2,FALSE)</f>
        <v>00010841</v>
      </c>
      <c r="F1760" s="6" t="str">
        <f t="shared" si="62"/>
        <v>0001084102</v>
      </c>
    </row>
    <row r="1761" spans="1:6" x14ac:dyDescent="0.3">
      <c r="A1761" s="6" t="s">
        <v>2890</v>
      </c>
      <c r="B1761">
        <v>43265078</v>
      </c>
      <c r="C1761">
        <v>1</v>
      </c>
      <c r="D1761" t="str">
        <f t="shared" ref="D1761:D1824" si="63">_xlfn.CONCAT(0,C1761)</f>
        <v>01</v>
      </c>
      <c r="E1761" t="str">
        <f>VLOOKUP(B1761,'HOGARES-ENDLINE'!$A:$B,2,FALSE)</f>
        <v>00010841</v>
      </c>
      <c r="F1761" s="6" t="str">
        <f t="shared" si="62"/>
        <v>0001084101</v>
      </c>
    </row>
    <row r="1762" spans="1:6" x14ac:dyDescent="0.3">
      <c r="A1762" s="6" t="s">
        <v>2892</v>
      </c>
      <c r="B1762">
        <v>43268570</v>
      </c>
      <c r="C1762">
        <v>2</v>
      </c>
      <c r="D1762" t="str">
        <f t="shared" si="63"/>
        <v>02</v>
      </c>
      <c r="E1762" t="str">
        <f>VLOOKUP(B1762,'HOGARES-ENDLINE'!$A:$B,2,FALSE)</f>
        <v>01010842</v>
      </c>
      <c r="F1762" s="6" t="str">
        <f t="shared" si="62"/>
        <v>0101084202</v>
      </c>
    </row>
    <row r="1763" spans="1:6" x14ac:dyDescent="0.3">
      <c r="A1763" s="6" t="s">
        <v>2894</v>
      </c>
      <c r="B1763">
        <v>43268570</v>
      </c>
      <c r="C1763">
        <v>4</v>
      </c>
      <c r="D1763" t="str">
        <f t="shared" si="63"/>
        <v>04</v>
      </c>
      <c r="E1763" t="str">
        <f>VLOOKUP(B1763,'HOGARES-ENDLINE'!$A:$B,2,FALSE)</f>
        <v>01010842</v>
      </c>
      <c r="F1763" s="6" t="str">
        <f t="shared" si="62"/>
        <v>0101084204</v>
      </c>
    </row>
    <row r="1764" spans="1:6" x14ac:dyDescent="0.3">
      <c r="A1764" s="6" t="s">
        <v>2891</v>
      </c>
      <c r="B1764">
        <v>43268570</v>
      </c>
      <c r="C1764">
        <v>3</v>
      </c>
      <c r="D1764" t="str">
        <f t="shared" si="63"/>
        <v>03</v>
      </c>
      <c r="E1764" t="str">
        <f>VLOOKUP(B1764,'HOGARES-ENDLINE'!$A:$B,2,FALSE)</f>
        <v>01010842</v>
      </c>
      <c r="F1764" s="6" t="str">
        <f t="shared" si="62"/>
        <v>0101084203</v>
      </c>
    </row>
    <row r="1765" spans="1:6" x14ac:dyDescent="0.3">
      <c r="A1765" s="6" t="s">
        <v>2893</v>
      </c>
      <c r="B1765">
        <v>43268570</v>
      </c>
      <c r="C1765">
        <v>1</v>
      </c>
      <c r="D1765" t="str">
        <f t="shared" si="63"/>
        <v>01</v>
      </c>
      <c r="E1765" t="str">
        <f>VLOOKUP(B1765,'HOGARES-ENDLINE'!$A:$B,2,FALSE)</f>
        <v>01010842</v>
      </c>
      <c r="F1765" s="6" t="str">
        <f t="shared" si="62"/>
        <v>0101084201</v>
      </c>
    </row>
    <row r="1766" spans="1:6" x14ac:dyDescent="0.3">
      <c r="A1766" s="6" t="s">
        <v>2897</v>
      </c>
      <c r="B1766">
        <v>43269156</v>
      </c>
      <c r="C1766">
        <v>1</v>
      </c>
      <c r="D1766" t="str">
        <f t="shared" si="63"/>
        <v>01</v>
      </c>
      <c r="E1766" t="str">
        <f>VLOOKUP(B1766,'HOGARES-ENDLINE'!$A:$B,2,FALSE)</f>
        <v>01010843</v>
      </c>
      <c r="F1766" s="6" t="str">
        <f t="shared" si="62"/>
        <v>0101084301</v>
      </c>
    </row>
    <row r="1767" spans="1:6" x14ac:dyDescent="0.3">
      <c r="A1767" s="6" t="s">
        <v>2903</v>
      </c>
      <c r="B1767">
        <v>43275340</v>
      </c>
      <c r="C1767">
        <v>1</v>
      </c>
      <c r="D1767" t="str">
        <f t="shared" si="63"/>
        <v>01</v>
      </c>
      <c r="E1767" t="str">
        <f>VLOOKUP(B1767,'HOGARES-ENDLINE'!$A:$B,2,FALSE)</f>
        <v>01010844</v>
      </c>
      <c r="F1767" s="6" t="str">
        <f t="shared" si="62"/>
        <v>0101084401</v>
      </c>
    </row>
    <row r="1768" spans="1:6" x14ac:dyDescent="0.3">
      <c r="A1768" s="6" t="s">
        <v>2906</v>
      </c>
      <c r="B1768">
        <v>43279706</v>
      </c>
      <c r="C1768">
        <v>3</v>
      </c>
      <c r="D1768" t="str">
        <f t="shared" si="63"/>
        <v>03</v>
      </c>
      <c r="E1768" t="str">
        <f>VLOOKUP(B1768,'HOGARES-ENDLINE'!$A:$B,2,FALSE)</f>
        <v>01010845</v>
      </c>
      <c r="F1768" s="6" t="str">
        <f t="shared" si="62"/>
        <v>0101084503</v>
      </c>
    </row>
    <row r="1769" spans="1:6" x14ac:dyDescent="0.3">
      <c r="A1769" s="6" t="s">
        <v>2905</v>
      </c>
      <c r="B1769">
        <v>43279706</v>
      </c>
      <c r="C1769">
        <v>1</v>
      </c>
      <c r="D1769" t="str">
        <f t="shared" si="63"/>
        <v>01</v>
      </c>
      <c r="E1769" t="str">
        <f>VLOOKUP(B1769,'HOGARES-ENDLINE'!$A:$B,2,FALSE)</f>
        <v>01010845</v>
      </c>
      <c r="F1769" s="6" t="str">
        <f t="shared" si="62"/>
        <v>0101084501</v>
      </c>
    </row>
    <row r="1770" spans="1:6" x14ac:dyDescent="0.3">
      <c r="A1770" s="6" t="s">
        <v>2908</v>
      </c>
      <c r="B1770">
        <v>43279706</v>
      </c>
      <c r="C1770">
        <v>4</v>
      </c>
      <c r="D1770" t="str">
        <f t="shared" si="63"/>
        <v>04</v>
      </c>
      <c r="E1770" t="str">
        <f>VLOOKUP(B1770,'HOGARES-ENDLINE'!$A:$B,2,FALSE)</f>
        <v>01010845</v>
      </c>
      <c r="F1770" s="6" t="str">
        <f t="shared" si="62"/>
        <v>0101084504</v>
      </c>
    </row>
    <row r="1771" spans="1:6" x14ac:dyDescent="0.3">
      <c r="A1771" s="6" t="s">
        <v>2907</v>
      </c>
      <c r="B1771">
        <v>43279706</v>
      </c>
      <c r="C1771">
        <v>2</v>
      </c>
      <c r="D1771" t="str">
        <f t="shared" si="63"/>
        <v>02</v>
      </c>
      <c r="E1771" t="str">
        <f>VLOOKUP(B1771,'HOGARES-ENDLINE'!$A:$B,2,FALSE)</f>
        <v>01010845</v>
      </c>
      <c r="F1771" s="6" t="str">
        <f t="shared" si="62"/>
        <v>0101084502</v>
      </c>
    </row>
    <row r="1772" spans="1:6" x14ac:dyDescent="0.3">
      <c r="A1772" s="6" t="s">
        <v>2909</v>
      </c>
      <c r="B1772">
        <v>43285019</v>
      </c>
      <c r="C1772">
        <v>1</v>
      </c>
      <c r="D1772" t="str">
        <f t="shared" si="63"/>
        <v>01</v>
      </c>
      <c r="E1772" t="str">
        <f>VLOOKUP(B1772,'HOGARES-ENDLINE'!$A:$B,2,FALSE)</f>
        <v>00020846</v>
      </c>
      <c r="F1772" s="6" t="str">
        <f t="shared" si="62"/>
        <v>0002084601</v>
      </c>
    </row>
    <row r="1773" spans="1:6" x14ac:dyDescent="0.3">
      <c r="A1773" s="6" t="s">
        <v>2911</v>
      </c>
      <c r="B1773">
        <v>43286202</v>
      </c>
      <c r="C1773">
        <v>2</v>
      </c>
      <c r="D1773" t="str">
        <f t="shared" si="63"/>
        <v>02</v>
      </c>
      <c r="E1773" t="str">
        <f>VLOOKUP(B1773,'HOGARES-ENDLINE'!$A:$B,2,FALSE)</f>
        <v>01010847</v>
      </c>
      <c r="F1773" s="6" t="str">
        <f t="shared" si="62"/>
        <v>0101084702</v>
      </c>
    </row>
    <row r="1774" spans="1:6" x14ac:dyDescent="0.3">
      <c r="A1774" s="6" t="s">
        <v>2912</v>
      </c>
      <c r="B1774">
        <v>43286202</v>
      </c>
      <c r="C1774">
        <v>3</v>
      </c>
      <c r="D1774" t="str">
        <f t="shared" si="63"/>
        <v>03</v>
      </c>
      <c r="E1774" t="str">
        <f>VLOOKUP(B1774,'HOGARES-ENDLINE'!$A:$B,2,FALSE)</f>
        <v>01010847</v>
      </c>
      <c r="F1774" s="6" t="str">
        <f t="shared" si="62"/>
        <v>0101084703</v>
      </c>
    </row>
    <row r="1775" spans="1:6" x14ac:dyDescent="0.3">
      <c r="A1775" s="6" t="s">
        <v>2910</v>
      </c>
      <c r="B1775">
        <v>43286202</v>
      </c>
      <c r="C1775">
        <v>1</v>
      </c>
      <c r="D1775" t="str">
        <f t="shared" si="63"/>
        <v>01</v>
      </c>
      <c r="E1775" t="str">
        <f>VLOOKUP(B1775,'HOGARES-ENDLINE'!$A:$B,2,FALSE)</f>
        <v>01010847</v>
      </c>
      <c r="F1775" s="6" t="str">
        <f t="shared" si="62"/>
        <v>0101084701</v>
      </c>
    </row>
    <row r="1776" spans="1:6" x14ac:dyDescent="0.3">
      <c r="A1776" s="6" t="s">
        <v>2915</v>
      </c>
      <c r="B1776">
        <v>43347982</v>
      </c>
      <c r="C1776">
        <v>1</v>
      </c>
      <c r="D1776" t="str">
        <f t="shared" si="63"/>
        <v>01</v>
      </c>
      <c r="E1776" t="str">
        <f>VLOOKUP(B1776,'HOGARES-ENDLINE'!$A:$B,2,FALSE)</f>
        <v>00010848</v>
      </c>
      <c r="F1776" s="6" t="str">
        <f t="shared" si="62"/>
        <v>0001084801</v>
      </c>
    </row>
    <row r="1777" spans="1:6" x14ac:dyDescent="0.3">
      <c r="A1777" s="6" t="s">
        <v>2916</v>
      </c>
      <c r="B1777">
        <v>43347982</v>
      </c>
      <c r="C1777">
        <v>4</v>
      </c>
      <c r="D1777" t="str">
        <f t="shared" si="63"/>
        <v>04</v>
      </c>
      <c r="E1777" t="str">
        <f>VLOOKUP(B1777,'HOGARES-ENDLINE'!$A:$B,2,FALSE)</f>
        <v>00010848</v>
      </c>
      <c r="F1777" s="6" t="str">
        <f t="shared" si="62"/>
        <v>0001084804</v>
      </c>
    </row>
    <row r="1778" spans="1:6" x14ac:dyDescent="0.3">
      <c r="A1778" s="6" t="s">
        <v>2913</v>
      </c>
      <c r="B1778">
        <v>43347982</v>
      </c>
      <c r="C1778">
        <v>3</v>
      </c>
      <c r="D1778" t="str">
        <f t="shared" si="63"/>
        <v>03</v>
      </c>
      <c r="E1778" t="str">
        <f>VLOOKUP(B1778,'HOGARES-ENDLINE'!$A:$B,2,FALSE)</f>
        <v>00010848</v>
      </c>
      <c r="F1778" s="6" t="str">
        <f t="shared" si="62"/>
        <v>0001084803</v>
      </c>
    </row>
    <row r="1779" spans="1:6" x14ac:dyDescent="0.3">
      <c r="A1779" s="6" t="s">
        <v>2914</v>
      </c>
      <c r="B1779">
        <v>43347982</v>
      </c>
      <c r="C1779">
        <v>2</v>
      </c>
      <c r="D1779" t="str">
        <f t="shared" si="63"/>
        <v>02</v>
      </c>
      <c r="E1779" t="str">
        <f>VLOOKUP(B1779,'HOGARES-ENDLINE'!$A:$B,2,FALSE)</f>
        <v>00010848</v>
      </c>
      <c r="F1779" s="6" t="str">
        <f t="shared" si="62"/>
        <v>0001084802</v>
      </c>
    </row>
    <row r="1780" spans="1:6" x14ac:dyDescent="0.3">
      <c r="A1780" s="6" t="s">
        <v>2919</v>
      </c>
      <c r="B1780">
        <v>43380042</v>
      </c>
      <c r="C1780">
        <v>1</v>
      </c>
      <c r="D1780" t="str">
        <f t="shared" si="63"/>
        <v>01</v>
      </c>
      <c r="E1780" t="str">
        <f>VLOOKUP(B1780,'HOGARES-ENDLINE'!$A:$B,2,FALSE)</f>
        <v>01010850</v>
      </c>
      <c r="F1780" s="6" t="str">
        <f t="shared" si="62"/>
        <v>0101085001</v>
      </c>
    </row>
    <row r="1781" spans="1:6" x14ac:dyDescent="0.3">
      <c r="A1781" s="6" t="s">
        <v>2920</v>
      </c>
      <c r="B1781">
        <v>43380718</v>
      </c>
      <c r="C1781">
        <v>1</v>
      </c>
      <c r="D1781" t="str">
        <f t="shared" si="63"/>
        <v>01</v>
      </c>
      <c r="E1781" t="str">
        <f>VLOOKUP(B1781,'HOGARES-ENDLINE'!$A:$B,2,FALSE)</f>
        <v>01010851</v>
      </c>
      <c r="F1781" s="6" t="str">
        <f t="shared" si="62"/>
        <v>0101085101</v>
      </c>
    </row>
    <row r="1782" spans="1:6" x14ac:dyDescent="0.3">
      <c r="A1782" s="6" t="s">
        <v>2924</v>
      </c>
      <c r="B1782">
        <v>43381830</v>
      </c>
      <c r="C1782">
        <v>1</v>
      </c>
      <c r="D1782" t="str">
        <f t="shared" si="63"/>
        <v>01</v>
      </c>
      <c r="E1782" t="str">
        <f>VLOOKUP(B1782,'HOGARES-ENDLINE'!$A:$B,2,FALSE)</f>
        <v>01010853</v>
      </c>
      <c r="F1782" s="6" t="str">
        <f t="shared" si="62"/>
        <v>0101085301</v>
      </c>
    </row>
    <row r="1783" spans="1:6" x14ac:dyDescent="0.3">
      <c r="A1783" s="6" t="s">
        <v>2927</v>
      </c>
      <c r="B1783">
        <v>43382433</v>
      </c>
      <c r="C1783">
        <v>1</v>
      </c>
      <c r="D1783" t="str">
        <f t="shared" si="63"/>
        <v>01</v>
      </c>
      <c r="E1783" t="str">
        <f>VLOOKUP(B1783,'HOGARES-ENDLINE'!$A:$B,2,FALSE)</f>
        <v>01010854</v>
      </c>
      <c r="F1783" s="6" t="str">
        <f t="shared" si="62"/>
        <v>0101085401</v>
      </c>
    </row>
    <row r="1784" spans="1:6" x14ac:dyDescent="0.3">
      <c r="A1784" s="6" t="s">
        <v>2928</v>
      </c>
      <c r="B1784">
        <v>43436157</v>
      </c>
      <c r="C1784">
        <v>1</v>
      </c>
      <c r="D1784" t="str">
        <f t="shared" si="63"/>
        <v>01</v>
      </c>
      <c r="E1784" t="str">
        <f>VLOOKUP(B1784,'HOGARES-ENDLINE'!$A:$B,2,FALSE)</f>
        <v>00010855</v>
      </c>
      <c r="F1784" s="6" t="str">
        <f t="shared" si="62"/>
        <v>0001085501</v>
      </c>
    </row>
    <row r="1785" spans="1:6" x14ac:dyDescent="0.3">
      <c r="A1785" s="6" t="s">
        <v>2930</v>
      </c>
      <c r="B1785">
        <v>43436157</v>
      </c>
      <c r="C1785">
        <v>3</v>
      </c>
      <c r="D1785" t="str">
        <f t="shared" si="63"/>
        <v>03</v>
      </c>
      <c r="E1785" t="str">
        <f>VLOOKUP(B1785,'HOGARES-ENDLINE'!$A:$B,2,FALSE)</f>
        <v>00010855</v>
      </c>
      <c r="F1785" s="6" t="str">
        <f t="shared" si="62"/>
        <v>0001085503</v>
      </c>
    </row>
    <row r="1786" spans="1:6" x14ac:dyDescent="0.3">
      <c r="A1786" s="6" t="s">
        <v>2932</v>
      </c>
      <c r="B1786">
        <v>43441449</v>
      </c>
      <c r="C1786">
        <v>1</v>
      </c>
      <c r="D1786" t="str">
        <f t="shared" si="63"/>
        <v>01</v>
      </c>
      <c r="E1786" t="str">
        <f>VLOOKUP(B1786,'HOGARES-ENDLINE'!$A:$B,2,FALSE)</f>
        <v>01010856</v>
      </c>
      <c r="F1786" s="6" t="str">
        <f t="shared" si="62"/>
        <v>0101085601</v>
      </c>
    </row>
    <row r="1787" spans="1:6" x14ac:dyDescent="0.3">
      <c r="A1787" s="6" t="s">
        <v>2934</v>
      </c>
      <c r="B1787">
        <v>43447606</v>
      </c>
      <c r="C1787">
        <v>1</v>
      </c>
      <c r="D1787" t="str">
        <f t="shared" si="63"/>
        <v>01</v>
      </c>
      <c r="E1787" t="str">
        <f>VLOOKUP(B1787,'HOGARES-ENDLINE'!$A:$B,2,FALSE)</f>
        <v>00010857</v>
      </c>
      <c r="F1787" s="6" t="str">
        <f t="shared" si="62"/>
        <v>0001085701</v>
      </c>
    </row>
    <row r="1788" spans="1:6" x14ac:dyDescent="0.3">
      <c r="A1788" s="6" t="s">
        <v>2935</v>
      </c>
      <c r="B1788">
        <v>43447606</v>
      </c>
      <c r="C1788">
        <v>2</v>
      </c>
      <c r="D1788" t="str">
        <f t="shared" si="63"/>
        <v>02</v>
      </c>
      <c r="E1788" t="str">
        <f>VLOOKUP(B1788,'HOGARES-ENDLINE'!$A:$B,2,FALSE)</f>
        <v>00010857</v>
      </c>
      <c r="F1788" s="6" t="str">
        <f t="shared" si="62"/>
        <v>0001085702</v>
      </c>
    </row>
    <row r="1789" spans="1:6" x14ac:dyDescent="0.3">
      <c r="A1789" s="6" t="s">
        <v>2937</v>
      </c>
      <c r="B1789">
        <v>43455918</v>
      </c>
      <c r="C1789">
        <v>2</v>
      </c>
      <c r="D1789" t="str">
        <f t="shared" si="63"/>
        <v>02</v>
      </c>
      <c r="E1789" t="str">
        <f>VLOOKUP(B1789,'HOGARES-ENDLINE'!$A:$B,2,FALSE)</f>
        <v>00010858</v>
      </c>
      <c r="F1789" s="6" t="str">
        <f t="shared" si="62"/>
        <v>0001085802</v>
      </c>
    </row>
    <row r="1790" spans="1:6" x14ac:dyDescent="0.3">
      <c r="A1790" s="6" t="s">
        <v>2938</v>
      </c>
      <c r="B1790">
        <v>43455918</v>
      </c>
      <c r="C1790">
        <v>4</v>
      </c>
      <c r="D1790" t="str">
        <f t="shared" si="63"/>
        <v>04</v>
      </c>
      <c r="E1790" t="str">
        <f>VLOOKUP(B1790,'HOGARES-ENDLINE'!$A:$B,2,FALSE)</f>
        <v>00010858</v>
      </c>
      <c r="F1790" s="6" t="str">
        <f t="shared" si="62"/>
        <v>0001085804</v>
      </c>
    </row>
    <row r="1791" spans="1:6" x14ac:dyDescent="0.3">
      <c r="A1791" s="6" t="s">
        <v>2939</v>
      </c>
      <c r="B1791">
        <v>43455918</v>
      </c>
      <c r="C1791">
        <v>1</v>
      </c>
      <c r="D1791" t="str">
        <f t="shared" si="63"/>
        <v>01</v>
      </c>
      <c r="E1791" t="str">
        <f>VLOOKUP(B1791,'HOGARES-ENDLINE'!$A:$B,2,FALSE)</f>
        <v>00010858</v>
      </c>
      <c r="F1791" s="6" t="str">
        <f t="shared" si="62"/>
        <v>0001085801</v>
      </c>
    </row>
    <row r="1792" spans="1:6" x14ac:dyDescent="0.3">
      <c r="A1792" s="6" t="s">
        <v>5192</v>
      </c>
      <c r="B1792">
        <v>43485410</v>
      </c>
      <c r="C1792">
        <v>4</v>
      </c>
      <c r="D1792" t="str">
        <f t="shared" si="63"/>
        <v>04</v>
      </c>
      <c r="E1792" t="str">
        <f>VLOOKUP(B1792,'HOGARES-ENDLINE'!$A:$B,2,FALSE)</f>
        <v>01010859</v>
      </c>
      <c r="F1792" s="6" t="str">
        <f t="shared" si="62"/>
        <v>0101085904</v>
      </c>
    </row>
    <row r="1793" spans="1:6" x14ac:dyDescent="0.3">
      <c r="A1793" s="6" t="s">
        <v>2942</v>
      </c>
      <c r="B1793">
        <v>43485410</v>
      </c>
      <c r="C1793">
        <v>1</v>
      </c>
      <c r="D1793" t="str">
        <f t="shared" si="63"/>
        <v>01</v>
      </c>
      <c r="E1793" t="str">
        <f>VLOOKUP(B1793,'HOGARES-ENDLINE'!$A:$B,2,FALSE)</f>
        <v>01010859</v>
      </c>
      <c r="F1793" s="6" t="str">
        <f t="shared" si="62"/>
        <v>0101085901</v>
      </c>
    </row>
    <row r="1794" spans="1:6" x14ac:dyDescent="0.3">
      <c r="A1794" s="6" t="s">
        <v>2940</v>
      </c>
      <c r="B1794">
        <v>43485410</v>
      </c>
      <c r="C1794">
        <v>2</v>
      </c>
      <c r="D1794" t="str">
        <f t="shared" si="63"/>
        <v>02</v>
      </c>
      <c r="E1794" t="str">
        <f>VLOOKUP(B1794,'HOGARES-ENDLINE'!$A:$B,2,FALSE)</f>
        <v>01010859</v>
      </c>
      <c r="F1794" s="6" t="str">
        <f t="shared" si="62"/>
        <v>0101085902</v>
      </c>
    </row>
    <row r="1795" spans="1:6" x14ac:dyDescent="0.3">
      <c r="A1795" s="6" t="s">
        <v>2941</v>
      </c>
      <c r="B1795">
        <v>43485410</v>
      </c>
      <c r="C1795">
        <v>3</v>
      </c>
      <c r="D1795" t="str">
        <f t="shared" si="63"/>
        <v>03</v>
      </c>
      <c r="E1795" t="str">
        <f>VLOOKUP(B1795,'HOGARES-ENDLINE'!$A:$B,2,FALSE)</f>
        <v>01010859</v>
      </c>
      <c r="F1795" s="6" t="str">
        <f t="shared" ref="F1795:F1858" si="64">_xlfn.CONCAT(E1795,D1795)</f>
        <v>0101085903</v>
      </c>
    </row>
    <row r="1796" spans="1:6" x14ac:dyDescent="0.3">
      <c r="A1796" s="6" t="s">
        <v>2943</v>
      </c>
      <c r="B1796">
        <v>43489779</v>
      </c>
      <c r="C1796">
        <v>1</v>
      </c>
      <c r="D1796" t="str">
        <f t="shared" si="63"/>
        <v>01</v>
      </c>
      <c r="E1796" t="str">
        <f>VLOOKUP(B1796,'HOGARES-ENDLINE'!$A:$B,2,FALSE)</f>
        <v>01010860</v>
      </c>
      <c r="F1796" s="6" t="str">
        <f t="shared" si="64"/>
        <v>0101086001</v>
      </c>
    </row>
    <row r="1797" spans="1:6" x14ac:dyDescent="0.3">
      <c r="A1797" s="6" t="s">
        <v>2951</v>
      </c>
      <c r="B1797">
        <v>43510710</v>
      </c>
      <c r="C1797">
        <v>1</v>
      </c>
      <c r="D1797" t="str">
        <f t="shared" si="63"/>
        <v>01</v>
      </c>
      <c r="E1797" t="str">
        <f>VLOOKUP(B1797,'HOGARES-ENDLINE'!$A:$B,2,FALSE)</f>
        <v>00010862</v>
      </c>
      <c r="F1797" s="6" t="str">
        <f t="shared" si="64"/>
        <v>0001086201</v>
      </c>
    </row>
    <row r="1798" spans="1:6" x14ac:dyDescent="0.3">
      <c r="A1798" s="6" t="s">
        <v>2949</v>
      </c>
      <c r="B1798">
        <v>43510710</v>
      </c>
      <c r="C1798">
        <v>3</v>
      </c>
      <c r="D1798" t="str">
        <f t="shared" si="63"/>
        <v>03</v>
      </c>
      <c r="E1798" t="str">
        <f>VLOOKUP(B1798,'HOGARES-ENDLINE'!$A:$B,2,FALSE)</f>
        <v>00010862</v>
      </c>
      <c r="F1798" s="6" t="str">
        <f t="shared" si="64"/>
        <v>0001086203</v>
      </c>
    </row>
    <row r="1799" spans="1:6" x14ac:dyDescent="0.3">
      <c r="A1799" s="6" t="s">
        <v>2950</v>
      </c>
      <c r="B1799">
        <v>43510710</v>
      </c>
      <c r="C1799">
        <v>2</v>
      </c>
      <c r="D1799" t="str">
        <f t="shared" si="63"/>
        <v>02</v>
      </c>
      <c r="E1799" t="str">
        <f>VLOOKUP(B1799,'HOGARES-ENDLINE'!$A:$B,2,FALSE)</f>
        <v>00010862</v>
      </c>
      <c r="F1799" s="6" t="str">
        <f t="shared" si="64"/>
        <v>0001086202</v>
      </c>
    </row>
    <row r="1800" spans="1:6" x14ac:dyDescent="0.3">
      <c r="A1800" s="6" t="s">
        <v>2954</v>
      </c>
      <c r="B1800">
        <v>43516112</v>
      </c>
      <c r="C1800">
        <v>4</v>
      </c>
      <c r="D1800" t="str">
        <f t="shared" si="63"/>
        <v>04</v>
      </c>
      <c r="E1800" t="str">
        <f>VLOOKUP(B1800,'HOGARES-ENDLINE'!$A:$B,2,FALSE)</f>
        <v>00010863</v>
      </c>
      <c r="F1800" s="6" t="str">
        <f t="shared" si="64"/>
        <v>0001086304</v>
      </c>
    </row>
    <row r="1801" spans="1:6" x14ac:dyDescent="0.3">
      <c r="A1801" s="6" t="s">
        <v>2952</v>
      </c>
      <c r="B1801">
        <v>43516112</v>
      </c>
      <c r="C1801">
        <v>2</v>
      </c>
      <c r="D1801" t="str">
        <f t="shared" si="63"/>
        <v>02</v>
      </c>
      <c r="E1801" t="str">
        <f>VLOOKUP(B1801,'HOGARES-ENDLINE'!$A:$B,2,FALSE)</f>
        <v>00010863</v>
      </c>
      <c r="F1801" s="6" t="str">
        <f t="shared" si="64"/>
        <v>0001086302</v>
      </c>
    </row>
    <row r="1802" spans="1:6" x14ac:dyDescent="0.3">
      <c r="A1802" s="6" t="s">
        <v>2955</v>
      </c>
      <c r="B1802">
        <v>43516112</v>
      </c>
      <c r="C1802">
        <v>1</v>
      </c>
      <c r="D1802" t="str">
        <f t="shared" si="63"/>
        <v>01</v>
      </c>
      <c r="E1802" t="str">
        <f>VLOOKUP(B1802,'HOGARES-ENDLINE'!$A:$B,2,FALSE)</f>
        <v>00010863</v>
      </c>
      <c r="F1802" s="6" t="str">
        <f t="shared" si="64"/>
        <v>0001086301</v>
      </c>
    </row>
    <row r="1803" spans="1:6" x14ac:dyDescent="0.3">
      <c r="A1803" s="6" t="s">
        <v>2956</v>
      </c>
      <c r="B1803">
        <v>43516112</v>
      </c>
      <c r="C1803">
        <v>3</v>
      </c>
      <c r="D1803" t="str">
        <f t="shared" si="63"/>
        <v>03</v>
      </c>
      <c r="E1803" t="str">
        <f>VLOOKUP(B1803,'HOGARES-ENDLINE'!$A:$B,2,FALSE)</f>
        <v>00010863</v>
      </c>
      <c r="F1803" s="6" t="str">
        <f t="shared" si="64"/>
        <v>0001086303</v>
      </c>
    </row>
    <row r="1804" spans="1:6" x14ac:dyDescent="0.3">
      <c r="A1804" s="6" t="s">
        <v>2953</v>
      </c>
      <c r="B1804">
        <v>43516112</v>
      </c>
      <c r="C1804">
        <v>5</v>
      </c>
      <c r="D1804" t="str">
        <f t="shared" si="63"/>
        <v>05</v>
      </c>
      <c r="E1804" t="str">
        <f>VLOOKUP(B1804,'HOGARES-ENDLINE'!$A:$B,2,FALSE)</f>
        <v>00010863</v>
      </c>
      <c r="F1804" s="6" t="str">
        <f t="shared" si="64"/>
        <v>0001086305</v>
      </c>
    </row>
    <row r="1805" spans="1:6" x14ac:dyDescent="0.3">
      <c r="A1805" s="6" t="s">
        <v>2958</v>
      </c>
      <c r="B1805">
        <v>43524391</v>
      </c>
      <c r="C1805">
        <v>2</v>
      </c>
      <c r="D1805" t="str">
        <f t="shared" si="63"/>
        <v>02</v>
      </c>
      <c r="E1805" t="str">
        <f>VLOOKUP(B1805,'HOGARES-ENDLINE'!$A:$B,2,FALSE)</f>
        <v>00010864</v>
      </c>
      <c r="F1805" s="6" t="str">
        <f t="shared" si="64"/>
        <v>0001086402</v>
      </c>
    </row>
    <row r="1806" spans="1:6" x14ac:dyDescent="0.3">
      <c r="A1806" s="6" t="s">
        <v>2957</v>
      </c>
      <c r="B1806">
        <v>43524391</v>
      </c>
      <c r="C1806">
        <v>1</v>
      </c>
      <c r="D1806" t="str">
        <f t="shared" si="63"/>
        <v>01</v>
      </c>
      <c r="E1806" t="str">
        <f>VLOOKUP(B1806,'HOGARES-ENDLINE'!$A:$B,2,FALSE)</f>
        <v>00010864</v>
      </c>
      <c r="F1806" s="6" t="str">
        <f t="shared" si="64"/>
        <v>0001086401</v>
      </c>
    </row>
    <row r="1807" spans="1:6" x14ac:dyDescent="0.3">
      <c r="A1807" s="6" t="s">
        <v>2961</v>
      </c>
      <c r="B1807">
        <v>43533488</v>
      </c>
      <c r="C1807">
        <v>4</v>
      </c>
      <c r="D1807" t="str">
        <f t="shared" si="63"/>
        <v>04</v>
      </c>
      <c r="E1807" t="str">
        <f>VLOOKUP(B1807,'HOGARES-ENDLINE'!$A:$B,2,FALSE)</f>
        <v>01010865</v>
      </c>
      <c r="F1807" s="6" t="str">
        <f t="shared" si="64"/>
        <v>0101086504</v>
      </c>
    </row>
    <row r="1808" spans="1:6" x14ac:dyDescent="0.3">
      <c r="A1808" s="6" t="s">
        <v>2959</v>
      </c>
      <c r="B1808">
        <v>43533488</v>
      </c>
      <c r="C1808">
        <v>6</v>
      </c>
      <c r="D1808" t="str">
        <f t="shared" si="63"/>
        <v>06</v>
      </c>
      <c r="E1808" t="str">
        <f>VLOOKUP(B1808,'HOGARES-ENDLINE'!$A:$B,2,FALSE)</f>
        <v>01010865</v>
      </c>
      <c r="F1808" s="6" t="str">
        <f t="shared" si="64"/>
        <v>0101086506</v>
      </c>
    </row>
    <row r="1809" spans="1:6" x14ac:dyDescent="0.3">
      <c r="A1809" s="6" t="s">
        <v>2963</v>
      </c>
      <c r="B1809">
        <v>43533488</v>
      </c>
      <c r="C1809">
        <v>5</v>
      </c>
      <c r="D1809" t="str">
        <f t="shared" si="63"/>
        <v>05</v>
      </c>
      <c r="E1809" t="str">
        <f>VLOOKUP(B1809,'HOGARES-ENDLINE'!$A:$B,2,FALSE)</f>
        <v>01010865</v>
      </c>
      <c r="F1809" s="6" t="str">
        <f t="shared" si="64"/>
        <v>0101086505</v>
      </c>
    </row>
    <row r="1810" spans="1:6" x14ac:dyDescent="0.3">
      <c r="A1810" s="6" t="s">
        <v>2964</v>
      </c>
      <c r="B1810">
        <v>43533488</v>
      </c>
      <c r="C1810">
        <v>2</v>
      </c>
      <c r="D1810" t="str">
        <f t="shared" si="63"/>
        <v>02</v>
      </c>
      <c r="E1810" t="str">
        <f>VLOOKUP(B1810,'HOGARES-ENDLINE'!$A:$B,2,FALSE)</f>
        <v>01010865</v>
      </c>
      <c r="F1810" s="6" t="str">
        <f t="shared" si="64"/>
        <v>0101086502</v>
      </c>
    </row>
    <row r="1811" spans="1:6" x14ac:dyDescent="0.3">
      <c r="A1811" s="6" t="s">
        <v>2960</v>
      </c>
      <c r="B1811">
        <v>43533488</v>
      </c>
      <c r="C1811">
        <v>3</v>
      </c>
      <c r="D1811" t="str">
        <f t="shared" si="63"/>
        <v>03</v>
      </c>
      <c r="E1811" t="str">
        <f>VLOOKUP(B1811,'HOGARES-ENDLINE'!$A:$B,2,FALSE)</f>
        <v>01010865</v>
      </c>
      <c r="F1811" s="6" t="str">
        <f t="shared" si="64"/>
        <v>0101086503</v>
      </c>
    </row>
    <row r="1812" spans="1:6" x14ac:dyDescent="0.3">
      <c r="A1812" s="6" t="s">
        <v>2962</v>
      </c>
      <c r="B1812">
        <v>43533488</v>
      </c>
      <c r="C1812">
        <v>1</v>
      </c>
      <c r="D1812" t="str">
        <f t="shared" si="63"/>
        <v>01</v>
      </c>
      <c r="E1812" t="str">
        <f>VLOOKUP(B1812,'HOGARES-ENDLINE'!$A:$B,2,FALSE)</f>
        <v>01010865</v>
      </c>
      <c r="F1812" s="6" t="str">
        <f t="shared" si="64"/>
        <v>0101086501</v>
      </c>
    </row>
    <row r="1813" spans="1:6" x14ac:dyDescent="0.3">
      <c r="A1813" s="6" t="s">
        <v>2965</v>
      </c>
      <c r="B1813">
        <v>43533978</v>
      </c>
      <c r="C1813">
        <v>1</v>
      </c>
      <c r="D1813" t="str">
        <f t="shared" si="63"/>
        <v>01</v>
      </c>
      <c r="E1813" t="str">
        <f>VLOOKUP(B1813,'HOGARES-ENDLINE'!$A:$B,2,FALSE)</f>
        <v>00010866</v>
      </c>
      <c r="F1813" s="6" t="str">
        <f t="shared" si="64"/>
        <v>0001086601</v>
      </c>
    </row>
    <row r="1814" spans="1:6" x14ac:dyDescent="0.3">
      <c r="A1814" s="6" t="s">
        <v>5193</v>
      </c>
      <c r="B1814">
        <v>43533978</v>
      </c>
      <c r="C1814">
        <v>2</v>
      </c>
      <c r="D1814" t="str">
        <f t="shared" si="63"/>
        <v>02</v>
      </c>
      <c r="E1814" t="str">
        <f>VLOOKUP(B1814,'HOGARES-ENDLINE'!$A:$B,2,FALSE)</f>
        <v>00010866</v>
      </c>
      <c r="F1814" s="6" t="str">
        <f t="shared" si="64"/>
        <v>0001086602</v>
      </c>
    </row>
    <row r="1815" spans="1:6" x14ac:dyDescent="0.3">
      <c r="A1815" s="6" t="s">
        <v>2966</v>
      </c>
      <c r="B1815">
        <v>43534027</v>
      </c>
      <c r="C1815">
        <v>1</v>
      </c>
      <c r="D1815" t="str">
        <f t="shared" si="63"/>
        <v>01</v>
      </c>
      <c r="E1815" t="str">
        <f>VLOOKUP(B1815,'HOGARES-ENDLINE'!$A:$B,2,FALSE)</f>
        <v>00010867</v>
      </c>
      <c r="F1815" s="6" t="str">
        <f t="shared" si="64"/>
        <v>0001086701</v>
      </c>
    </row>
    <row r="1816" spans="1:6" x14ac:dyDescent="0.3">
      <c r="A1816" s="6" t="s">
        <v>2971</v>
      </c>
      <c r="B1816">
        <v>43535348</v>
      </c>
      <c r="C1816">
        <v>1</v>
      </c>
      <c r="D1816" t="str">
        <f t="shared" si="63"/>
        <v>01</v>
      </c>
      <c r="E1816" t="str">
        <f>VLOOKUP(B1816,'HOGARES-ENDLINE'!$A:$B,2,FALSE)</f>
        <v>01010869</v>
      </c>
      <c r="F1816" s="6" t="str">
        <f t="shared" si="64"/>
        <v>0101086901</v>
      </c>
    </row>
    <row r="1817" spans="1:6" x14ac:dyDescent="0.3">
      <c r="A1817" s="6" t="s">
        <v>2972</v>
      </c>
      <c r="B1817">
        <v>43535348</v>
      </c>
      <c r="C1817">
        <v>2</v>
      </c>
      <c r="D1817" t="str">
        <f t="shared" si="63"/>
        <v>02</v>
      </c>
      <c r="E1817" t="str">
        <f>VLOOKUP(B1817,'HOGARES-ENDLINE'!$A:$B,2,FALSE)</f>
        <v>01010869</v>
      </c>
      <c r="F1817" s="6" t="str">
        <f t="shared" si="64"/>
        <v>0101086902</v>
      </c>
    </row>
    <row r="1818" spans="1:6" x14ac:dyDescent="0.3">
      <c r="A1818" s="6" t="s">
        <v>2975</v>
      </c>
      <c r="B1818">
        <v>43536319</v>
      </c>
      <c r="C1818">
        <v>3</v>
      </c>
      <c r="D1818" t="str">
        <f t="shared" si="63"/>
        <v>03</v>
      </c>
      <c r="E1818" t="str">
        <f>VLOOKUP(B1818,'HOGARES-ENDLINE'!$A:$B,2,FALSE)</f>
        <v>00010870</v>
      </c>
      <c r="F1818" s="6" t="str">
        <f t="shared" si="64"/>
        <v>0001087003</v>
      </c>
    </row>
    <row r="1819" spans="1:6" x14ac:dyDescent="0.3">
      <c r="A1819" s="6" t="s">
        <v>2973</v>
      </c>
      <c r="B1819">
        <v>43536319</v>
      </c>
      <c r="C1819">
        <v>2</v>
      </c>
      <c r="D1819" t="str">
        <f t="shared" si="63"/>
        <v>02</v>
      </c>
      <c r="E1819" t="str">
        <f>VLOOKUP(B1819,'HOGARES-ENDLINE'!$A:$B,2,FALSE)</f>
        <v>00010870</v>
      </c>
      <c r="F1819" s="6" t="str">
        <f t="shared" si="64"/>
        <v>0001087002</v>
      </c>
    </row>
    <row r="1820" spans="1:6" x14ac:dyDescent="0.3">
      <c r="A1820" s="6" t="s">
        <v>2974</v>
      </c>
      <c r="B1820">
        <v>43536319</v>
      </c>
      <c r="C1820">
        <v>1</v>
      </c>
      <c r="D1820" t="str">
        <f t="shared" si="63"/>
        <v>01</v>
      </c>
      <c r="E1820" t="str">
        <f>VLOOKUP(B1820,'HOGARES-ENDLINE'!$A:$B,2,FALSE)</f>
        <v>00010870</v>
      </c>
      <c r="F1820" s="6" t="str">
        <f t="shared" si="64"/>
        <v>0001087001</v>
      </c>
    </row>
    <row r="1821" spans="1:6" x14ac:dyDescent="0.3">
      <c r="A1821" s="6" t="s">
        <v>2976</v>
      </c>
      <c r="B1821">
        <v>43536648</v>
      </c>
      <c r="C1821">
        <v>2</v>
      </c>
      <c r="D1821" t="str">
        <f t="shared" si="63"/>
        <v>02</v>
      </c>
      <c r="E1821" t="str">
        <f>VLOOKUP(B1821,'HOGARES-ENDLINE'!$A:$B,2,FALSE)</f>
        <v>00010871</v>
      </c>
      <c r="F1821" s="6" t="str">
        <f t="shared" si="64"/>
        <v>0001087102</v>
      </c>
    </row>
    <row r="1822" spans="1:6" x14ac:dyDescent="0.3">
      <c r="A1822" s="6" t="s">
        <v>2978</v>
      </c>
      <c r="B1822">
        <v>43536648</v>
      </c>
      <c r="C1822">
        <v>3</v>
      </c>
      <c r="D1822" t="str">
        <f t="shared" si="63"/>
        <v>03</v>
      </c>
      <c r="E1822" t="str">
        <f>VLOOKUP(B1822,'HOGARES-ENDLINE'!$A:$B,2,FALSE)</f>
        <v>00010871</v>
      </c>
      <c r="F1822" s="6" t="str">
        <f t="shared" si="64"/>
        <v>0001087103</v>
      </c>
    </row>
    <row r="1823" spans="1:6" x14ac:dyDescent="0.3">
      <c r="A1823" s="6" t="s">
        <v>2977</v>
      </c>
      <c r="B1823">
        <v>43536648</v>
      </c>
      <c r="C1823">
        <v>1</v>
      </c>
      <c r="D1823" t="str">
        <f t="shared" si="63"/>
        <v>01</v>
      </c>
      <c r="E1823" t="str">
        <f>VLOOKUP(B1823,'HOGARES-ENDLINE'!$A:$B,2,FALSE)</f>
        <v>00010871</v>
      </c>
      <c r="F1823" s="6" t="str">
        <f t="shared" si="64"/>
        <v>0001087101</v>
      </c>
    </row>
    <row r="1824" spans="1:6" x14ac:dyDescent="0.3">
      <c r="A1824" s="6" t="s">
        <v>2980</v>
      </c>
      <c r="B1824">
        <v>43542284</v>
      </c>
      <c r="C1824">
        <v>1</v>
      </c>
      <c r="D1824" t="str">
        <f t="shared" si="63"/>
        <v>01</v>
      </c>
      <c r="E1824" t="str">
        <f>VLOOKUP(B1824,'HOGARES-ENDLINE'!$A:$B,2,FALSE)</f>
        <v>01010872</v>
      </c>
      <c r="F1824" s="6" t="str">
        <f t="shared" si="64"/>
        <v>0101087201</v>
      </c>
    </row>
    <row r="1825" spans="1:6" x14ac:dyDescent="0.3">
      <c r="A1825" s="6" t="s">
        <v>2984</v>
      </c>
      <c r="B1825">
        <v>43558865</v>
      </c>
      <c r="C1825">
        <v>1</v>
      </c>
      <c r="D1825" t="str">
        <f t="shared" ref="D1825:D1849" si="65">_xlfn.CONCAT(0,C1825)</f>
        <v>01</v>
      </c>
      <c r="E1825" t="str">
        <f>VLOOKUP(B1825,'HOGARES-ENDLINE'!$A:$B,2,FALSE)</f>
        <v>00010873</v>
      </c>
      <c r="F1825" s="6" t="str">
        <f t="shared" si="64"/>
        <v>0001087301</v>
      </c>
    </row>
    <row r="1826" spans="1:6" x14ac:dyDescent="0.3">
      <c r="A1826" s="6" t="s">
        <v>2985</v>
      </c>
      <c r="B1826">
        <v>43558865</v>
      </c>
      <c r="C1826">
        <v>2</v>
      </c>
      <c r="D1826" t="str">
        <f t="shared" si="65"/>
        <v>02</v>
      </c>
      <c r="E1826" t="str">
        <f>VLOOKUP(B1826,'HOGARES-ENDLINE'!$A:$B,2,FALSE)</f>
        <v>00010873</v>
      </c>
      <c r="F1826" s="6" t="str">
        <f t="shared" si="64"/>
        <v>0001087302</v>
      </c>
    </row>
    <row r="1827" spans="1:6" x14ac:dyDescent="0.3">
      <c r="A1827" s="6" t="s">
        <v>2987</v>
      </c>
      <c r="B1827">
        <v>43558878</v>
      </c>
      <c r="C1827">
        <v>5</v>
      </c>
      <c r="D1827" t="str">
        <f t="shared" si="65"/>
        <v>05</v>
      </c>
      <c r="E1827" t="str">
        <f>VLOOKUP(B1827,'HOGARES-ENDLINE'!$A:$B,2,FALSE)</f>
        <v>00010874</v>
      </c>
      <c r="F1827" s="6" t="str">
        <f t="shared" si="64"/>
        <v>0001087405</v>
      </c>
    </row>
    <row r="1828" spans="1:6" x14ac:dyDescent="0.3">
      <c r="A1828" s="6" t="s">
        <v>2992</v>
      </c>
      <c r="B1828">
        <v>43558878</v>
      </c>
      <c r="C1828">
        <v>1</v>
      </c>
      <c r="D1828" t="str">
        <f t="shared" si="65"/>
        <v>01</v>
      </c>
      <c r="E1828" t="str">
        <f>VLOOKUP(B1828,'HOGARES-ENDLINE'!$A:$B,2,FALSE)</f>
        <v>00010874</v>
      </c>
      <c r="F1828" s="6" t="str">
        <f t="shared" si="64"/>
        <v>0001087401</v>
      </c>
    </row>
    <row r="1829" spans="1:6" x14ac:dyDescent="0.3">
      <c r="A1829" s="6" t="s">
        <v>2988</v>
      </c>
      <c r="B1829">
        <v>43558878</v>
      </c>
      <c r="C1829">
        <v>2</v>
      </c>
      <c r="D1829" t="str">
        <f t="shared" si="65"/>
        <v>02</v>
      </c>
      <c r="E1829" t="str">
        <f>VLOOKUP(B1829,'HOGARES-ENDLINE'!$A:$B,2,FALSE)</f>
        <v>00010874</v>
      </c>
      <c r="F1829" s="6" t="str">
        <f t="shared" si="64"/>
        <v>0001087402</v>
      </c>
    </row>
    <row r="1830" spans="1:6" x14ac:dyDescent="0.3">
      <c r="A1830" s="6" t="s">
        <v>2986</v>
      </c>
      <c r="B1830">
        <v>43558878</v>
      </c>
      <c r="C1830">
        <v>3</v>
      </c>
      <c r="D1830" t="str">
        <f t="shared" si="65"/>
        <v>03</v>
      </c>
      <c r="E1830" t="str">
        <f>VLOOKUP(B1830,'HOGARES-ENDLINE'!$A:$B,2,FALSE)</f>
        <v>00010874</v>
      </c>
      <c r="F1830" s="6" t="str">
        <f t="shared" si="64"/>
        <v>0001087403</v>
      </c>
    </row>
    <row r="1831" spans="1:6" x14ac:dyDescent="0.3">
      <c r="A1831" s="6" t="s">
        <v>2989</v>
      </c>
      <c r="B1831">
        <v>43558878</v>
      </c>
      <c r="C1831">
        <v>6</v>
      </c>
      <c r="D1831" t="str">
        <f t="shared" si="65"/>
        <v>06</v>
      </c>
      <c r="E1831" t="str">
        <f>VLOOKUP(B1831,'HOGARES-ENDLINE'!$A:$B,2,FALSE)</f>
        <v>00010874</v>
      </c>
      <c r="F1831" s="6" t="str">
        <f t="shared" si="64"/>
        <v>0001087406</v>
      </c>
    </row>
    <row r="1832" spans="1:6" x14ac:dyDescent="0.3">
      <c r="A1832" s="6" t="s">
        <v>2991</v>
      </c>
      <c r="B1832">
        <v>43558878</v>
      </c>
      <c r="C1832">
        <v>7</v>
      </c>
      <c r="D1832" t="str">
        <f t="shared" si="65"/>
        <v>07</v>
      </c>
      <c r="E1832" t="str">
        <f>VLOOKUP(B1832,'HOGARES-ENDLINE'!$A:$B,2,FALSE)</f>
        <v>00010874</v>
      </c>
      <c r="F1832" s="6" t="str">
        <f t="shared" si="64"/>
        <v>0001087407</v>
      </c>
    </row>
    <row r="1833" spans="1:6" x14ac:dyDescent="0.3">
      <c r="A1833" s="6" t="s">
        <v>2990</v>
      </c>
      <c r="B1833">
        <v>43558878</v>
      </c>
      <c r="C1833">
        <v>4</v>
      </c>
      <c r="D1833" t="str">
        <f t="shared" si="65"/>
        <v>04</v>
      </c>
      <c r="E1833" t="str">
        <f>VLOOKUP(B1833,'HOGARES-ENDLINE'!$A:$B,2,FALSE)</f>
        <v>00010874</v>
      </c>
      <c r="F1833" s="6" t="str">
        <f t="shared" si="64"/>
        <v>0001087404</v>
      </c>
    </row>
    <row r="1834" spans="1:6" x14ac:dyDescent="0.3">
      <c r="A1834" s="6" t="s">
        <v>2995</v>
      </c>
      <c r="B1834">
        <v>43563684</v>
      </c>
      <c r="C1834">
        <v>2</v>
      </c>
      <c r="D1834" t="str">
        <f t="shared" si="65"/>
        <v>02</v>
      </c>
      <c r="E1834" t="str">
        <f>VLOOKUP(B1834,'HOGARES-ENDLINE'!$A:$B,2,FALSE)</f>
        <v>00010875</v>
      </c>
      <c r="F1834" s="6" t="str">
        <f t="shared" si="64"/>
        <v>0001087502</v>
      </c>
    </row>
    <row r="1835" spans="1:6" x14ac:dyDescent="0.3">
      <c r="A1835" s="6" t="s">
        <v>2994</v>
      </c>
      <c r="B1835">
        <v>43563684</v>
      </c>
      <c r="C1835">
        <v>1</v>
      </c>
      <c r="D1835" t="str">
        <f t="shared" si="65"/>
        <v>01</v>
      </c>
      <c r="E1835" t="str">
        <f>VLOOKUP(B1835,'HOGARES-ENDLINE'!$A:$B,2,FALSE)</f>
        <v>00010875</v>
      </c>
      <c r="F1835" s="6" t="str">
        <f t="shared" si="64"/>
        <v>0001087501</v>
      </c>
    </row>
    <row r="1836" spans="1:6" x14ac:dyDescent="0.3">
      <c r="A1836" s="6" t="s">
        <v>2996</v>
      </c>
      <c r="B1836">
        <v>43565062</v>
      </c>
      <c r="C1836">
        <v>3</v>
      </c>
      <c r="D1836" t="str">
        <f t="shared" si="65"/>
        <v>03</v>
      </c>
      <c r="E1836" t="str">
        <f>VLOOKUP(B1836,'HOGARES-ENDLINE'!$A:$B,2,FALSE)</f>
        <v>00010876</v>
      </c>
      <c r="F1836" s="6" t="str">
        <f t="shared" si="64"/>
        <v>0001087603</v>
      </c>
    </row>
    <row r="1837" spans="1:6" x14ac:dyDescent="0.3">
      <c r="A1837" s="6" t="s">
        <v>2999</v>
      </c>
      <c r="B1837">
        <v>43565062</v>
      </c>
      <c r="C1837">
        <v>2</v>
      </c>
      <c r="D1837" t="str">
        <f t="shared" si="65"/>
        <v>02</v>
      </c>
      <c r="E1837" t="str">
        <f>VLOOKUP(B1837,'HOGARES-ENDLINE'!$A:$B,2,FALSE)</f>
        <v>00010876</v>
      </c>
      <c r="F1837" s="6" t="str">
        <f t="shared" si="64"/>
        <v>0001087602</v>
      </c>
    </row>
    <row r="1838" spans="1:6" x14ac:dyDescent="0.3">
      <c r="A1838" s="6" t="s">
        <v>2998</v>
      </c>
      <c r="B1838">
        <v>43565062</v>
      </c>
      <c r="C1838">
        <v>1</v>
      </c>
      <c r="D1838" t="str">
        <f t="shared" si="65"/>
        <v>01</v>
      </c>
      <c r="E1838" t="str">
        <f>VLOOKUP(B1838,'HOGARES-ENDLINE'!$A:$B,2,FALSE)</f>
        <v>00010876</v>
      </c>
      <c r="F1838" s="6" t="str">
        <f t="shared" si="64"/>
        <v>0001087601</v>
      </c>
    </row>
    <row r="1839" spans="1:6" x14ac:dyDescent="0.3">
      <c r="A1839" s="6" t="s">
        <v>2997</v>
      </c>
      <c r="B1839">
        <v>43565062</v>
      </c>
      <c r="C1839">
        <v>4</v>
      </c>
      <c r="D1839" t="str">
        <f t="shared" si="65"/>
        <v>04</v>
      </c>
      <c r="E1839" t="str">
        <f>VLOOKUP(B1839,'HOGARES-ENDLINE'!$A:$B,2,FALSE)</f>
        <v>00010876</v>
      </c>
      <c r="F1839" s="6" t="str">
        <f t="shared" si="64"/>
        <v>0001087604</v>
      </c>
    </row>
    <row r="1840" spans="1:6" x14ac:dyDescent="0.3">
      <c r="A1840" s="6" t="s">
        <v>3000</v>
      </c>
      <c r="B1840">
        <v>43565594</v>
      </c>
      <c r="C1840">
        <v>1</v>
      </c>
      <c r="D1840" t="str">
        <f t="shared" si="65"/>
        <v>01</v>
      </c>
      <c r="E1840" t="str">
        <f>VLOOKUP(B1840,'HOGARES-ENDLINE'!$A:$B,2,FALSE)</f>
        <v>00010877</v>
      </c>
      <c r="F1840" s="6" t="str">
        <f t="shared" si="64"/>
        <v>0001087701</v>
      </c>
    </row>
    <row r="1841" spans="1:6" x14ac:dyDescent="0.3">
      <c r="A1841" s="6" t="s">
        <v>5194</v>
      </c>
      <c r="B1841">
        <v>43566435</v>
      </c>
      <c r="C1841">
        <v>5</v>
      </c>
      <c r="D1841" t="str">
        <f t="shared" si="65"/>
        <v>05</v>
      </c>
      <c r="E1841" t="str">
        <f>VLOOKUP(B1841,'HOGARES-ENDLINE'!$A:$B,2,FALSE)</f>
        <v>01010878</v>
      </c>
      <c r="F1841" s="6" t="str">
        <f t="shared" si="64"/>
        <v>0101087805</v>
      </c>
    </row>
    <row r="1842" spans="1:6" x14ac:dyDescent="0.3">
      <c r="A1842" s="6" t="s">
        <v>3001</v>
      </c>
      <c r="B1842">
        <v>43566435</v>
      </c>
      <c r="C1842">
        <v>4</v>
      </c>
      <c r="D1842" t="str">
        <f t="shared" si="65"/>
        <v>04</v>
      </c>
      <c r="E1842" t="str">
        <f>VLOOKUP(B1842,'HOGARES-ENDLINE'!$A:$B,2,FALSE)</f>
        <v>01010878</v>
      </c>
      <c r="F1842" s="6" t="str">
        <f t="shared" si="64"/>
        <v>0101087804</v>
      </c>
    </row>
    <row r="1843" spans="1:6" x14ac:dyDescent="0.3">
      <c r="A1843" s="6" t="s">
        <v>3004</v>
      </c>
      <c r="B1843">
        <v>43566435</v>
      </c>
      <c r="C1843">
        <v>2</v>
      </c>
      <c r="D1843" t="str">
        <f t="shared" si="65"/>
        <v>02</v>
      </c>
      <c r="E1843" t="str">
        <f>VLOOKUP(B1843,'HOGARES-ENDLINE'!$A:$B,2,FALSE)</f>
        <v>01010878</v>
      </c>
      <c r="F1843" s="6" t="str">
        <f t="shared" si="64"/>
        <v>0101087802</v>
      </c>
    </row>
    <row r="1844" spans="1:6" x14ac:dyDescent="0.3">
      <c r="A1844" s="6" t="s">
        <v>3002</v>
      </c>
      <c r="B1844">
        <v>43566435</v>
      </c>
      <c r="C1844">
        <v>1</v>
      </c>
      <c r="D1844" t="str">
        <f t="shared" si="65"/>
        <v>01</v>
      </c>
      <c r="E1844" t="str">
        <f>VLOOKUP(B1844,'HOGARES-ENDLINE'!$A:$B,2,FALSE)</f>
        <v>01010878</v>
      </c>
      <c r="F1844" s="6" t="str">
        <f t="shared" si="64"/>
        <v>0101087801</v>
      </c>
    </row>
    <row r="1845" spans="1:6" x14ac:dyDescent="0.3">
      <c r="A1845" s="6" t="s">
        <v>3003</v>
      </c>
      <c r="B1845">
        <v>43566435</v>
      </c>
      <c r="C1845">
        <v>3</v>
      </c>
      <c r="D1845" t="str">
        <f t="shared" si="65"/>
        <v>03</v>
      </c>
      <c r="E1845" t="str">
        <f>VLOOKUP(B1845,'HOGARES-ENDLINE'!$A:$B,2,FALSE)</f>
        <v>01010878</v>
      </c>
      <c r="F1845" s="6" t="str">
        <f t="shared" si="64"/>
        <v>0101087803</v>
      </c>
    </row>
    <row r="1846" spans="1:6" x14ac:dyDescent="0.3">
      <c r="A1846" s="6" t="s">
        <v>3007</v>
      </c>
      <c r="B1846">
        <v>43567075</v>
      </c>
      <c r="C1846">
        <v>1</v>
      </c>
      <c r="D1846" t="str">
        <f t="shared" si="65"/>
        <v>01</v>
      </c>
      <c r="E1846" t="str">
        <f>VLOOKUP(B1846,'HOGARES-ENDLINE'!$A:$B,2,FALSE)</f>
        <v>01010879</v>
      </c>
      <c r="F1846" s="6" t="str">
        <f t="shared" si="64"/>
        <v>0101087901</v>
      </c>
    </row>
    <row r="1847" spans="1:6" x14ac:dyDescent="0.3">
      <c r="A1847" s="6" t="s">
        <v>3015</v>
      </c>
      <c r="B1847">
        <v>43570005</v>
      </c>
      <c r="C1847">
        <v>8</v>
      </c>
      <c r="D1847" t="str">
        <f t="shared" si="65"/>
        <v>08</v>
      </c>
      <c r="E1847" t="str">
        <f>VLOOKUP(B1847,'HOGARES-ENDLINE'!$A:$B,2,FALSE)</f>
        <v>01010880</v>
      </c>
      <c r="F1847" s="6" t="str">
        <f t="shared" si="64"/>
        <v>0101088008</v>
      </c>
    </row>
    <row r="1848" spans="1:6" x14ac:dyDescent="0.3">
      <c r="A1848" s="6" t="s">
        <v>3011</v>
      </c>
      <c r="B1848">
        <v>43570005</v>
      </c>
      <c r="C1848">
        <v>2</v>
      </c>
      <c r="D1848" t="str">
        <f t="shared" si="65"/>
        <v>02</v>
      </c>
      <c r="E1848" t="str">
        <f>VLOOKUP(B1848,'HOGARES-ENDLINE'!$A:$B,2,FALSE)</f>
        <v>01010880</v>
      </c>
      <c r="F1848" s="6" t="str">
        <f t="shared" si="64"/>
        <v>0101088002</v>
      </c>
    </row>
    <row r="1849" spans="1:6" x14ac:dyDescent="0.3">
      <c r="A1849" s="6" t="s">
        <v>3020</v>
      </c>
      <c r="B1849">
        <v>43570005</v>
      </c>
      <c r="C1849">
        <v>7</v>
      </c>
      <c r="D1849" t="str">
        <f t="shared" si="65"/>
        <v>07</v>
      </c>
      <c r="E1849" t="str">
        <f>VLOOKUP(B1849,'HOGARES-ENDLINE'!$A:$B,2,FALSE)</f>
        <v>01010880</v>
      </c>
      <c r="F1849" s="6" t="str">
        <f t="shared" si="64"/>
        <v>0101088007</v>
      </c>
    </row>
    <row r="1850" spans="1:6" x14ac:dyDescent="0.3">
      <c r="A1850" s="6" t="s">
        <v>3014</v>
      </c>
      <c r="B1850">
        <v>43570005</v>
      </c>
      <c r="C1850">
        <v>11</v>
      </c>
      <c r="D1850">
        <f t="shared" ref="D1850:D1851" si="66">C1850</f>
        <v>11</v>
      </c>
      <c r="E1850" t="str">
        <f>VLOOKUP(B1850,'HOGARES-ENDLINE'!$A:$B,2,FALSE)</f>
        <v>01010880</v>
      </c>
      <c r="F1850" s="6" t="str">
        <f t="shared" si="64"/>
        <v>0101088011</v>
      </c>
    </row>
    <row r="1851" spans="1:6" x14ac:dyDescent="0.3">
      <c r="A1851" s="6" t="s">
        <v>3012</v>
      </c>
      <c r="B1851">
        <v>43570005</v>
      </c>
      <c r="C1851">
        <v>10</v>
      </c>
      <c r="D1851">
        <f t="shared" si="66"/>
        <v>10</v>
      </c>
      <c r="E1851" t="str">
        <f>VLOOKUP(B1851,'HOGARES-ENDLINE'!$A:$B,2,FALSE)</f>
        <v>01010880</v>
      </c>
      <c r="F1851" s="6" t="str">
        <f t="shared" si="64"/>
        <v>0101088010</v>
      </c>
    </row>
    <row r="1852" spans="1:6" x14ac:dyDescent="0.3">
      <c r="A1852" s="6" t="s">
        <v>3010</v>
      </c>
      <c r="B1852">
        <v>43570005</v>
      </c>
      <c r="C1852">
        <v>5</v>
      </c>
      <c r="D1852" t="str">
        <f t="shared" ref="D1852:D1915" si="67">_xlfn.CONCAT(0,C1852)</f>
        <v>05</v>
      </c>
      <c r="E1852" t="str">
        <f>VLOOKUP(B1852,'HOGARES-ENDLINE'!$A:$B,2,FALSE)</f>
        <v>01010880</v>
      </c>
      <c r="F1852" s="6" t="str">
        <f t="shared" si="64"/>
        <v>0101088005</v>
      </c>
    </row>
    <row r="1853" spans="1:6" x14ac:dyDescent="0.3">
      <c r="A1853" s="6" t="s">
        <v>3017</v>
      </c>
      <c r="B1853">
        <v>43570005</v>
      </c>
      <c r="C1853">
        <v>4</v>
      </c>
      <c r="D1853" t="str">
        <f t="shared" si="67"/>
        <v>04</v>
      </c>
      <c r="E1853" t="str">
        <f>VLOOKUP(B1853,'HOGARES-ENDLINE'!$A:$B,2,FALSE)</f>
        <v>01010880</v>
      </c>
      <c r="F1853" s="6" t="str">
        <f t="shared" si="64"/>
        <v>0101088004</v>
      </c>
    </row>
    <row r="1854" spans="1:6" x14ac:dyDescent="0.3">
      <c r="A1854" s="6" t="s">
        <v>3018</v>
      </c>
      <c r="B1854">
        <v>43570005</v>
      </c>
      <c r="C1854">
        <v>9</v>
      </c>
      <c r="D1854" t="str">
        <f t="shared" si="67"/>
        <v>09</v>
      </c>
      <c r="E1854" t="str">
        <f>VLOOKUP(B1854,'HOGARES-ENDLINE'!$A:$B,2,FALSE)</f>
        <v>01010880</v>
      </c>
      <c r="F1854" s="6" t="str">
        <f t="shared" si="64"/>
        <v>0101088009</v>
      </c>
    </row>
    <row r="1855" spans="1:6" x14ac:dyDescent="0.3">
      <c r="A1855" s="6" t="s">
        <v>3016</v>
      </c>
      <c r="B1855">
        <v>43570005</v>
      </c>
      <c r="C1855">
        <v>1</v>
      </c>
      <c r="D1855" t="str">
        <f t="shared" si="67"/>
        <v>01</v>
      </c>
      <c r="E1855" t="str">
        <f>VLOOKUP(B1855,'HOGARES-ENDLINE'!$A:$B,2,FALSE)</f>
        <v>01010880</v>
      </c>
      <c r="F1855" s="6" t="str">
        <f t="shared" si="64"/>
        <v>0101088001</v>
      </c>
    </row>
    <row r="1856" spans="1:6" x14ac:dyDescent="0.3">
      <c r="A1856" s="6" t="s">
        <v>3019</v>
      </c>
      <c r="B1856">
        <v>43570005</v>
      </c>
      <c r="C1856">
        <v>6</v>
      </c>
      <c r="D1856" t="str">
        <f t="shared" si="67"/>
        <v>06</v>
      </c>
      <c r="E1856" t="str">
        <f>VLOOKUP(B1856,'HOGARES-ENDLINE'!$A:$B,2,FALSE)</f>
        <v>01010880</v>
      </c>
      <c r="F1856" s="6" t="str">
        <f t="shared" si="64"/>
        <v>0101088006</v>
      </c>
    </row>
    <row r="1857" spans="1:6" x14ac:dyDescent="0.3">
      <c r="A1857" s="6" t="s">
        <v>3013</v>
      </c>
      <c r="B1857">
        <v>43570005</v>
      </c>
      <c r="C1857">
        <v>3</v>
      </c>
      <c r="D1857" t="str">
        <f t="shared" si="67"/>
        <v>03</v>
      </c>
      <c r="E1857" t="str">
        <f>VLOOKUP(B1857,'HOGARES-ENDLINE'!$A:$B,2,FALSE)</f>
        <v>01010880</v>
      </c>
      <c r="F1857" s="6" t="str">
        <f t="shared" si="64"/>
        <v>0101088003</v>
      </c>
    </row>
    <row r="1858" spans="1:6" x14ac:dyDescent="0.3">
      <c r="A1858" s="6" t="s">
        <v>3022</v>
      </c>
      <c r="B1858">
        <v>43582831</v>
      </c>
      <c r="C1858">
        <v>2</v>
      </c>
      <c r="D1858" t="str">
        <f t="shared" si="67"/>
        <v>02</v>
      </c>
      <c r="E1858" t="str">
        <f>VLOOKUP(B1858,'HOGARES-ENDLINE'!$A:$B,2,FALSE)</f>
        <v>01010881</v>
      </c>
      <c r="F1858" s="6" t="str">
        <f t="shared" si="64"/>
        <v>0101088102</v>
      </c>
    </row>
    <row r="1859" spans="1:6" x14ac:dyDescent="0.3">
      <c r="A1859" s="6" t="s">
        <v>3024</v>
      </c>
      <c r="B1859">
        <v>43582831</v>
      </c>
      <c r="C1859">
        <v>4</v>
      </c>
      <c r="D1859" t="str">
        <f t="shared" si="67"/>
        <v>04</v>
      </c>
      <c r="E1859" t="str">
        <f>VLOOKUP(B1859,'HOGARES-ENDLINE'!$A:$B,2,FALSE)</f>
        <v>01010881</v>
      </c>
      <c r="F1859" s="6" t="str">
        <f t="shared" ref="F1859:F1922" si="68">_xlfn.CONCAT(E1859,D1859)</f>
        <v>0101088104</v>
      </c>
    </row>
    <row r="1860" spans="1:6" x14ac:dyDescent="0.3">
      <c r="A1860" s="6" t="s">
        <v>3025</v>
      </c>
      <c r="B1860">
        <v>43582831</v>
      </c>
      <c r="C1860">
        <v>3</v>
      </c>
      <c r="D1860" t="str">
        <f t="shared" si="67"/>
        <v>03</v>
      </c>
      <c r="E1860" t="str">
        <f>VLOOKUP(B1860,'HOGARES-ENDLINE'!$A:$B,2,FALSE)</f>
        <v>01010881</v>
      </c>
      <c r="F1860" s="6" t="str">
        <f t="shared" si="68"/>
        <v>0101088103</v>
      </c>
    </row>
    <row r="1861" spans="1:6" x14ac:dyDescent="0.3">
      <c r="A1861" s="6" t="s">
        <v>3023</v>
      </c>
      <c r="B1861">
        <v>43582831</v>
      </c>
      <c r="C1861">
        <v>1</v>
      </c>
      <c r="D1861" t="str">
        <f t="shared" si="67"/>
        <v>01</v>
      </c>
      <c r="E1861" t="str">
        <f>VLOOKUP(B1861,'HOGARES-ENDLINE'!$A:$B,2,FALSE)</f>
        <v>01010881</v>
      </c>
      <c r="F1861" s="6" t="str">
        <f t="shared" si="68"/>
        <v>0101088101</v>
      </c>
    </row>
    <row r="1862" spans="1:6" x14ac:dyDescent="0.3">
      <c r="A1862" s="6" t="s">
        <v>3021</v>
      </c>
      <c r="B1862">
        <v>43582831</v>
      </c>
      <c r="C1862">
        <v>5</v>
      </c>
      <c r="D1862" t="str">
        <f t="shared" si="67"/>
        <v>05</v>
      </c>
      <c r="E1862" t="str">
        <f>VLOOKUP(B1862,'HOGARES-ENDLINE'!$A:$B,2,FALSE)</f>
        <v>01010881</v>
      </c>
      <c r="F1862" s="6" t="str">
        <f t="shared" si="68"/>
        <v>0101088105</v>
      </c>
    </row>
    <row r="1863" spans="1:6" x14ac:dyDescent="0.3">
      <c r="A1863" s="6" t="s">
        <v>3032</v>
      </c>
      <c r="B1863">
        <v>43590647</v>
      </c>
      <c r="C1863">
        <v>2</v>
      </c>
      <c r="D1863" t="str">
        <f t="shared" si="67"/>
        <v>02</v>
      </c>
      <c r="E1863" t="str">
        <f>VLOOKUP(B1863,'HOGARES-ENDLINE'!$A:$B,2,FALSE)</f>
        <v>00010883</v>
      </c>
      <c r="F1863" s="6" t="str">
        <f t="shared" si="68"/>
        <v>0001088302</v>
      </c>
    </row>
    <row r="1864" spans="1:6" x14ac:dyDescent="0.3">
      <c r="A1864" s="6" t="s">
        <v>3035</v>
      </c>
      <c r="B1864">
        <v>43590647</v>
      </c>
      <c r="C1864">
        <v>4</v>
      </c>
      <c r="D1864" t="str">
        <f t="shared" si="67"/>
        <v>04</v>
      </c>
      <c r="E1864" t="str">
        <f>VLOOKUP(B1864,'HOGARES-ENDLINE'!$A:$B,2,FALSE)</f>
        <v>00010883</v>
      </c>
      <c r="F1864" s="6" t="str">
        <f t="shared" si="68"/>
        <v>0001088304</v>
      </c>
    </row>
    <row r="1865" spans="1:6" x14ac:dyDescent="0.3">
      <c r="A1865" s="6" t="s">
        <v>3033</v>
      </c>
      <c r="B1865">
        <v>43590647</v>
      </c>
      <c r="C1865">
        <v>3</v>
      </c>
      <c r="D1865" t="str">
        <f t="shared" si="67"/>
        <v>03</v>
      </c>
      <c r="E1865" t="str">
        <f>VLOOKUP(B1865,'HOGARES-ENDLINE'!$A:$B,2,FALSE)</f>
        <v>00010883</v>
      </c>
      <c r="F1865" s="6" t="str">
        <f t="shared" si="68"/>
        <v>0001088303</v>
      </c>
    </row>
    <row r="1866" spans="1:6" x14ac:dyDescent="0.3">
      <c r="A1866" s="6" t="s">
        <v>3034</v>
      </c>
      <c r="B1866">
        <v>43590647</v>
      </c>
      <c r="C1866">
        <v>1</v>
      </c>
      <c r="D1866" t="str">
        <f t="shared" si="67"/>
        <v>01</v>
      </c>
      <c r="E1866" t="str">
        <f>VLOOKUP(B1866,'HOGARES-ENDLINE'!$A:$B,2,FALSE)</f>
        <v>00010883</v>
      </c>
      <c r="F1866" s="6" t="str">
        <f t="shared" si="68"/>
        <v>0001088301</v>
      </c>
    </row>
    <row r="1867" spans="1:6" x14ac:dyDescent="0.3">
      <c r="A1867" s="6" t="s">
        <v>3036</v>
      </c>
      <c r="B1867">
        <v>43594778</v>
      </c>
      <c r="C1867">
        <v>2</v>
      </c>
      <c r="D1867" t="str">
        <f t="shared" si="67"/>
        <v>02</v>
      </c>
      <c r="E1867" t="str">
        <f>VLOOKUP(B1867,'HOGARES-ENDLINE'!$A:$B,2,FALSE)</f>
        <v>01010884</v>
      </c>
      <c r="F1867" s="6" t="str">
        <f t="shared" si="68"/>
        <v>0101088402</v>
      </c>
    </row>
    <row r="1868" spans="1:6" x14ac:dyDescent="0.3">
      <c r="A1868" s="6" t="s">
        <v>3037</v>
      </c>
      <c r="B1868">
        <v>43594778</v>
      </c>
      <c r="C1868">
        <v>1</v>
      </c>
      <c r="D1868" t="str">
        <f t="shared" si="67"/>
        <v>01</v>
      </c>
      <c r="E1868" t="str">
        <f>VLOOKUP(B1868,'HOGARES-ENDLINE'!$A:$B,2,FALSE)</f>
        <v>01010884</v>
      </c>
      <c r="F1868" s="6" t="str">
        <f t="shared" si="68"/>
        <v>0101088401</v>
      </c>
    </row>
    <row r="1869" spans="1:6" x14ac:dyDescent="0.3">
      <c r="A1869" s="6" t="s">
        <v>3041</v>
      </c>
      <c r="B1869">
        <v>43595028</v>
      </c>
      <c r="C1869">
        <v>4</v>
      </c>
      <c r="D1869" t="str">
        <f t="shared" si="67"/>
        <v>04</v>
      </c>
      <c r="E1869" t="str">
        <f>VLOOKUP(B1869,'HOGARES-ENDLINE'!$A:$B,2,FALSE)</f>
        <v>00010885</v>
      </c>
      <c r="F1869" s="6" t="str">
        <f t="shared" si="68"/>
        <v>0001088504</v>
      </c>
    </row>
    <row r="1870" spans="1:6" x14ac:dyDescent="0.3">
      <c r="A1870" s="6" t="s">
        <v>3038</v>
      </c>
      <c r="B1870">
        <v>43595028</v>
      </c>
      <c r="C1870">
        <v>3</v>
      </c>
      <c r="D1870" t="str">
        <f t="shared" si="67"/>
        <v>03</v>
      </c>
      <c r="E1870" t="str">
        <f>VLOOKUP(B1870,'HOGARES-ENDLINE'!$A:$B,2,FALSE)</f>
        <v>00010885</v>
      </c>
      <c r="F1870" s="6" t="str">
        <f t="shared" si="68"/>
        <v>0001088503</v>
      </c>
    </row>
    <row r="1871" spans="1:6" x14ac:dyDescent="0.3">
      <c r="A1871" s="6" t="s">
        <v>3040</v>
      </c>
      <c r="B1871">
        <v>43595028</v>
      </c>
      <c r="C1871">
        <v>2</v>
      </c>
      <c r="D1871" t="str">
        <f t="shared" si="67"/>
        <v>02</v>
      </c>
      <c r="E1871" t="str">
        <f>VLOOKUP(B1871,'HOGARES-ENDLINE'!$A:$B,2,FALSE)</f>
        <v>00010885</v>
      </c>
      <c r="F1871" s="6" t="str">
        <f t="shared" si="68"/>
        <v>0001088502</v>
      </c>
    </row>
    <row r="1872" spans="1:6" x14ac:dyDescent="0.3">
      <c r="A1872" s="6" t="s">
        <v>3039</v>
      </c>
      <c r="B1872">
        <v>43595028</v>
      </c>
      <c r="C1872">
        <v>1</v>
      </c>
      <c r="D1872" t="str">
        <f t="shared" si="67"/>
        <v>01</v>
      </c>
      <c r="E1872" t="str">
        <f>VLOOKUP(B1872,'HOGARES-ENDLINE'!$A:$B,2,FALSE)</f>
        <v>00010885</v>
      </c>
      <c r="F1872" s="6" t="str">
        <f t="shared" si="68"/>
        <v>0001088501</v>
      </c>
    </row>
    <row r="1873" spans="1:6" x14ac:dyDescent="0.3">
      <c r="A1873" s="6" t="s">
        <v>3042</v>
      </c>
      <c r="B1873">
        <v>43597042</v>
      </c>
      <c r="C1873">
        <v>1</v>
      </c>
      <c r="D1873" t="str">
        <f t="shared" si="67"/>
        <v>01</v>
      </c>
      <c r="E1873" t="str">
        <f>VLOOKUP(B1873,'HOGARES-ENDLINE'!$A:$B,2,FALSE)</f>
        <v>01010886</v>
      </c>
      <c r="F1873" s="6" t="str">
        <f t="shared" si="68"/>
        <v>0101088601</v>
      </c>
    </row>
    <row r="1874" spans="1:6" x14ac:dyDescent="0.3">
      <c r="A1874" s="6" t="s">
        <v>3047</v>
      </c>
      <c r="B1874">
        <v>43598403</v>
      </c>
      <c r="C1874">
        <v>2</v>
      </c>
      <c r="D1874" t="str">
        <f t="shared" si="67"/>
        <v>02</v>
      </c>
      <c r="E1874" t="str">
        <f>VLOOKUP(B1874,'HOGARES-ENDLINE'!$A:$B,2,FALSE)</f>
        <v>00010887</v>
      </c>
      <c r="F1874" s="6" t="str">
        <f t="shared" si="68"/>
        <v>0001088702</v>
      </c>
    </row>
    <row r="1875" spans="1:6" x14ac:dyDescent="0.3">
      <c r="A1875" s="6" t="s">
        <v>3048</v>
      </c>
      <c r="B1875">
        <v>43598403</v>
      </c>
      <c r="C1875">
        <v>3</v>
      </c>
      <c r="D1875" t="str">
        <f t="shared" si="67"/>
        <v>03</v>
      </c>
      <c r="E1875" t="str">
        <f>VLOOKUP(B1875,'HOGARES-ENDLINE'!$A:$B,2,FALSE)</f>
        <v>00010887</v>
      </c>
      <c r="F1875" s="6" t="str">
        <f t="shared" si="68"/>
        <v>0001088703</v>
      </c>
    </row>
    <row r="1876" spans="1:6" x14ac:dyDescent="0.3">
      <c r="A1876" s="6" t="s">
        <v>3049</v>
      </c>
      <c r="B1876">
        <v>43598403</v>
      </c>
      <c r="C1876">
        <v>1</v>
      </c>
      <c r="D1876" t="str">
        <f t="shared" si="67"/>
        <v>01</v>
      </c>
      <c r="E1876" t="str">
        <f>VLOOKUP(B1876,'HOGARES-ENDLINE'!$A:$B,2,FALSE)</f>
        <v>00010887</v>
      </c>
      <c r="F1876" s="6" t="str">
        <f t="shared" si="68"/>
        <v>0001088701</v>
      </c>
    </row>
    <row r="1877" spans="1:6" x14ac:dyDescent="0.3">
      <c r="A1877" s="6" t="s">
        <v>3053</v>
      </c>
      <c r="B1877">
        <v>43600211</v>
      </c>
      <c r="C1877">
        <v>1</v>
      </c>
      <c r="D1877" t="str">
        <f t="shared" si="67"/>
        <v>01</v>
      </c>
      <c r="E1877" t="str">
        <f>VLOOKUP(B1877,'HOGARES-ENDLINE'!$A:$B,2,FALSE)</f>
        <v>01010888</v>
      </c>
      <c r="F1877" s="6" t="str">
        <f t="shared" si="68"/>
        <v>0101088801</v>
      </c>
    </row>
    <row r="1878" spans="1:6" x14ac:dyDescent="0.3">
      <c r="A1878" s="6" t="s">
        <v>3057</v>
      </c>
      <c r="B1878">
        <v>43600567</v>
      </c>
      <c r="C1878">
        <v>1</v>
      </c>
      <c r="D1878" t="str">
        <f t="shared" si="67"/>
        <v>01</v>
      </c>
      <c r="E1878" t="str">
        <f>VLOOKUP(B1878,'HOGARES-ENDLINE'!$A:$B,2,FALSE)</f>
        <v>01010889</v>
      </c>
      <c r="F1878" s="6" t="str">
        <f t="shared" si="68"/>
        <v>0101088901</v>
      </c>
    </row>
    <row r="1879" spans="1:6" x14ac:dyDescent="0.3">
      <c r="A1879" s="6" t="s">
        <v>3058</v>
      </c>
      <c r="B1879">
        <v>43605902</v>
      </c>
      <c r="C1879">
        <v>1</v>
      </c>
      <c r="D1879" t="str">
        <f t="shared" si="67"/>
        <v>01</v>
      </c>
      <c r="E1879" t="str">
        <f>VLOOKUP(B1879,'HOGARES-ENDLINE'!$A:$B,2,FALSE)</f>
        <v>01010890</v>
      </c>
      <c r="F1879" s="6" t="str">
        <f t="shared" si="68"/>
        <v>0101089001</v>
      </c>
    </row>
    <row r="1880" spans="1:6" x14ac:dyDescent="0.3">
      <c r="A1880" s="6" t="s">
        <v>3061</v>
      </c>
      <c r="B1880">
        <v>43607068</v>
      </c>
      <c r="C1880">
        <v>1</v>
      </c>
      <c r="D1880" t="str">
        <f t="shared" si="67"/>
        <v>01</v>
      </c>
      <c r="E1880" t="str">
        <f>VLOOKUP(B1880,'HOGARES-ENDLINE'!$A:$B,2,FALSE)</f>
        <v>01010891</v>
      </c>
      <c r="F1880" s="6" t="str">
        <f t="shared" si="68"/>
        <v>0101089101</v>
      </c>
    </row>
    <row r="1881" spans="1:6" x14ac:dyDescent="0.3">
      <c r="A1881" s="6" t="s">
        <v>3063</v>
      </c>
      <c r="B1881">
        <v>43610680</v>
      </c>
      <c r="C1881">
        <v>3</v>
      </c>
      <c r="D1881" t="str">
        <f t="shared" si="67"/>
        <v>03</v>
      </c>
      <c r="E1881" t="str">
        <f>VLOOKUP(B1881,'HOGARES-ENDLINE'!$A:$B,2,FALSE)</f>
        <v>00010892</v>
      </c>
      <c r="F1881" s="6" t="str">
        <f t="shared" si="68"/>
        <v>0001089203</v>
      </c>
    </row>
    <row r="1882" spans="1:6" x14ac:dyDescent="0.3">
      <c r="A1882" s="6" t="s">
        <v>3062</v>
      </c>
      <c r="B1882">
        <v>43610680</v>
      </c>
      <c r="C1882">
        <v>1</v>
      </c>
      <c r="D1882" t="str">
        <f t="shared" si="67"/>
        <v>01</v>
      </c>
      <c r="E1882" t="str">
        <f>VLOOKUP(B1882,'HOGARES-ENDLINE'!$A:$B,2,FALSE)</f>
        <v>00010892</v>
      </c>
      <c r="F1882" s="6" t="str">
        <f t="shared" si="68"/>
        <v>0001089201</v>
      </c>
    </row>
    <row r="1883" spans="1:6" x14ac:dyDescent="0.3">
      <c r="A1883" s="6" t="s">
        <v>3064</v>
      </c>
      <c r="B1883">
        <v>43610680</v>
      </c>
      <c r="C1883">
        <v>2</v>
      </c>
      <c r="D1883" t="str">
        <f t="shared" si="67"/>
        <v>02</v>
      </c>
      <c r="E1883" t="str">
        <f>VLOOKUP(B1883,'HOGARES-ENDLINE'!$A:$B,2,FALSE)</f>
        <v>00010892</v>
      </c>
      <c r="F1883" s="6" t="str">
        <f t="shared" si="68"/>
        <v>0001089202</v>
      </c>
    </row>
    <row r="1884" spans="1:6" x14ac:dyDescent="0.3">
      <c r="A1884" s="6" t="s">
        <v>3065</v>
      </c>
      <c r="B1884">
        <v>43611767</v>
      </c>
      <c r="C1884">
        <v>1</v>
      </c>
      <c r="D1884" t="str">
        <f t="shared" si="67"/>
        <v>01</v>
      </c>
      <c r="E1884" t="str">
        <f>VLOOKUP(B1884,'HOGARES-ENDLINE'!$A:$B,2,FALSE)</f>
        <v>01010893</v>
      </c>
      <c r="F1884" s="6" t="str">
        <f t="shared" si="68"/>
        <v>0101089301</v>
      </c>
    </row>
    <row r="1885" spans="1:6" x14ac:dyDescent="0.3">
      <c r="A1885" s="6" t="s">
        <v>3070</v>
      </c>
      <c r="B1885">
        <v>43613777</v>
      </c>
      <c r="C1885">
        <v>6</v>
      </c>
      <c r="D1885" t="str">
        <f t="shared" si="67"/>
        <v>06</v>
      </c>
      <c r="E1885" t="str">
        <f>VLOOKUP(B1885,'HOGARES-ENDLINE'!$A:$B,2,FALSE)</f>
        <v>01010894</v>
      </c>
      <c r="F1885" s="6" t="str">
        <f t="shared" si="68"/>
        <v>0101089406</v>
      </c>
    </row>
    <row r="1886" spans="1:6" x14ac:dyDescent="0.3">
      <c r="A1886" s="6" t="s">
        <v>3068</v>
      </c>
      <c r="B1886">
        <v>43613777</v>
      </c>
      <c r="C1886">
        <v>2</v>
      </c>
      <c r="D1886" t="str">
        <f t="shared" si="67"/>
        <v>02</v>
      </c>
      <c r="E1886" t="str">
        <f>VLOOKUP(B1886,'HOGARES-ENDLINE'!$A:$B,2,FALSE)</f>
        <v>01010894</v>
      </c>
      <c r="F1886" s="6" t="str">
        <f t="shared" si="68"/>
        <v>0101089402</v>
      </c>
    </row>
    <row r="1887" spans="1:6" x14ac:dyDescent="0.3">
      <c r="A1887" s="6" t="s">
        <v>3069</v>
      </c>
      <c r="B1887">
        <v>43613777</v>
      </c>
      <c r="C1887">
        <v>1</v>
      </c>
      <c r="D1887" t="str">
        <f t="shared" si="67"/>
        <v>01</v>
      </c>
      <c r="E1887" t="str">
        <f>VLOOKUP(B1887,'HOGARES-ENDLINE'!$A:$B,2,FALSE)</f>
        <v>01010894</v>
      </c>
      <c r="F1887" s="6" t="str">
        <f t="shared" si="68"/>
        <v>0101089401</v>
      </c>
    </row>
    <row r="1888" spans="1:6" x14ac:dyDescent="0.3">
      <c r="A1888" s="6" t="s">
        <v>3073</v>
      </c>
      <c r="B1888">
        <v>43613777</v>
      </c>
      <c r="C1888">
        <v>5</v>
      </c>
      <c r="D1888" t="str">
        <f t="shared" si="67"/>
        <v>05</v>
      </c>
      <c r="E1888" t="str">
        <f>VLOOKUP(B1888,'HOGARES-ENDLINE'!$A:$B,2,FALSE)</f>
        <v>01010894</v>
      </c>
      <c r="F1888" s="6" t="str">
        <f t="shared" si="68"/>
        <v>0101089405</v>
      </c>
    </row>
    <row r="1889" spans="1:6" x14ac:dyDescent="0.3">
      <c r="A1889" s="6" t="s">
        <v>3071</v>
      </c>
      <c r="B1889">
        <v>43613777</v>
      </c>
      <c r="C1889">
        <v>3</v>
      </c>
      <c r="D1889" t="str">
        <f t="shared" si="67"/>
        <v>03</v>
      </c>
      <c r="E1889" t="str">
        <f>VLOOKUP(B1889,'HOGARES-ENDLINE'!$A:$B,2,FALSE)</f>
        <v>01010894</v>
      </c>
      <c r="F1889" s="6" t="str">
        <f t="shared" si="68"/>
        <v>0101089403</v>
      </c>
    </row>
    <row r="1890" spans="1:6" x14ac:dyDescent="0.3">
      <c r="A1890" s="6" t="s">
        <v>3072</v>
      </c>
      <c r="B1890">
        <v>43613777</v>
      </c>
      <c r="C1890">
        <v>4</v>
      </c>
      <c r="D1890" t="str">
        <f t="shared" si="67"/>
        <v>04</v>
      </c>
      <c r="E1890" t="str">
        <f>VLOOKUP(B1890,'HOGARES-ENDLINE'!$A:$B,2,FALSE)</f>
        <v>01010894</v>
      </c>
      <c r="F1890" s="6" t="str">
        <f t="shared" si="68"/>
        <v>0101089404</v>
      </c>
    </row>
    <row r="1891" spans="1:6" x14ac:dyDescent="0.3">
      <c r="A1891" s="6" t="s">
        <v>3077</v>
      </c>
      <c r="B1891">
        <v>43615569</v>
      </c>
      <c r="C1891">
        <v>1</v>
      </c>
      <c r="D1891" t="str">
        <f t="shared" si="67"/>
        <v>01</v>
      </c>
      <c r="E1891" t="str">
        <f>VLOOKUP(B1891,'HOGARES-ENDLINE'!$A:$B,2,FALSE)</f>
        <v>01010895</v>
      </c>
      <c r="F1891" s="6" t="str">
        <f t="shared" si="68"/>
        <v>0101089501</v>
      </c>
    </row>
    <row r="1892" spans="1:6" x14ac:dyDescent="0.3">
      <c r="A1892" s="6" t="s">
        <v>3079</v>
      </c>
      <c r="B1892">
        <v>43632097</v>
      </c>
      <c r="C1892">
        <v>1</v>
      </c>
      <c r="D1892" t="str">
        <f t="shared" si="67"/>
        <v>01</v>
      </c>
      <c r="E1892" t="str">
        <f>VLOOKUP(B1892,'HOGARES-ENDLINE'!$A:$B,2,FALSE)</f>
        <v>00010896</v>
      </c>
      <c r="F1892" s="6" t="str">
        <f t="shared" si="68"/>
        <v>0001089601</v>
      </c>
    </row>
    <row r="1893" spans="1:6" x14ac:dyDescent="0.3">
      <c r="A1893" s="6" t="s">
        <v>5195</v>
      </c>
      <c r="B1893">
        <v>43632097</v>
      </c>
      <c r="C1893">
        <v>3</v>
      </c>
      <c r="D1893" t="str">
        <f t="shared" si="67"/>
        <v>03</v>
      </c>
      <c r="E1893" t="str">
        <f>VLOOKUP(B1893,'HOGARES-ENDLINE'!$A:$B,2,FALSE)</f>
        <v>00010896</v>
      </c>
      <c r="F1893" s="6" t="str">
        <f t="shared" si="68"/>
        <v>0001089603</v>
      </c>
    </row>
    <row r="1894" spans="1:6" x14ac:dyDescent="0.3">
      <c r="A1894" s="6" t="s">
        <v>3078</v>
      </c>
      <c r="B1894">
        <v>43632097</v>
      </c>
      <c r="C1894">
        <v>2</v>
      </c>
      <c r="D1894" t="str">
        <f t="shared" si="67"/>
        <v>02</v>
      </c>
      <c r="E1894" t="str">
        <f>VLOOKUP(B1894,'HOGARES-ENDLINE'!$A:$B,2,FALSE)</f>
        <v>00010896</v>
      </c>
      <c r="F1894" s="6" t="str">
        <f t="shared" si="68"/>
        <v>0001089602</v>
      </c>
    </row>
    <row r="1895" spans="1:6" x14ac:dyDescent="0.3">
      <c r="A1895" s="6" t="s">
        <v>3083</v>
      </c>
      <c r="B1895">
        <v>43635359</v>
      </c>
      <c r="C1895">
        <v>6</v>
      </c>
      <c r="D1895" t="str">
        <f t="shared" si="67"/>
        <v>06</v>
      </c>
      <c r="E1895" t="str">
        <f>VLOOKUP(B1895,'HOGARES-ENDLINE'!$A:$B,2,FALSE)</f>
        <v>00010898</v>
      </c>
      <c r="F1895" s="6" t="str">
        <f t="shared" si="68"/>
        <v>0001089806</v>
      </c>
    </row>
    <row r="1896" spans="1:6" x14ac:dyDescent="0.3">
      <c r="A1896" s="6" t="s">
        <v>3086</v>
      </c>
      <c r="B1896">
        <v>43635359</v>
      </c>
      <c r="C1896">
        <v>3</v>
      </c>
      <c r="D1896" t="str">
        <f t="shared" si="67"/>
        <v>03</v>
      </c>
      <c r="E1896" t="str">
        <f>VLOOKUP(B1896,'HOGARES-ENDLINE'!$A:$B,2,FALSE)</f>
        <v>00010898</v>
      </c>
      <c r="F1896" s="6" t="str">
        <f t="shared" si="68"/>
        <v>0001089803</v>
      </c>
    </row>
    <row r="1897" spans="1:6" x14ac:dyDescent="0.3">
      <c r="A1897" s="6" t="s">
        <v>3088</v>
      </c>
      <c r="B1897">
        <v>43635359</v>
      </c>
      <c r="C1897">
        <v>1</v>
      </c>
      <c r="D1897" t="str">
        <f t="shared" si="67"/>
        <v>01</v>
      </c>
      <c r="E1897" t="str">
        <f>VLOOKUP(B1897,'HOGARES-ENDLINE'!$A:$B,2,FALSE)</f>
        <v>00010898</v>
      </c>
      <c r="F1897" s="6" t="str">
        <f t="shared" si="68"/>
        <v>0001089801</v>
      </c>
    </row>
    <row r="1898" spans="1:6" x14ac:dyDescent="0.3">
      <c r="A1898" s="6" t="s">
        <v>3084</v>
      </c>
      <c r="B1898">
        <v>43635359</v>
      </c>
      <c r="C1898">
        <v>2</v>
      </c>
      <c r="D1898" t="str">
        <f t="shared" si="67"/>
        <v>02</v>
      </c>
      <c r="E1898" t="str">
        <f>VLOOKUP(B1898,'HOGARES-ENDLINE'!$A:$B,2,FALSE)</f>
        <v>00010898</v>
      </c>
      <c r="F1898" s="6" t="str">
        <f t="shared" si="68"/>
        <v>0001089802</v>
      </c>
    </row>
    <row r="1899" spans="1:6" x14ac:dyDescent="0.3">
      <c r="A1899" s="6" t="s">
        <v>3087</v>
      </c>
      <c r="B1899">
        <v>43635359</v>
      </c>
      <c r="C1899">
        <v>5</v>
      </c>
      <c r="D1899" t="str">
        <f t="shared" si="67"/>
        <v>05</v>
      </c>
      <c r="E1899" t="str">
        <f>VLOOKUP(B1899,'HOGARES-ENDLINE'!$A:$B,2,FALSE)</f>
        <v>00010898</v>
      </c>
      <c r="F1899" s="6" t="str">
        <f t="shared" si="68"/>
        <v>0001089805</v>
      </c>
    </row>
    <row r="1900" spans="1:6" x14ac:dyDescent="0.3">
      <c r="A1900" s="6" t="s">
        <v>3082</v>
      </c>
      <c r="B1900">
        <v>43635359</v>
      </c>
      <c r="C1900">
        <v>4</v>
      </c>
      <c r="D1900" t="str">
        <f t="shared" si="67"/>
        <v>04</v>
      </c>
      <c r="E1900" t="str">
        <f>VLOOKUP(B1900,'HOGARES-ENDLINE'!$A:$B,2,FALSE)</f>
        <v>00010898</v>
      </c>
      <c r="F1900" s="6" t="str">
        <f t="shared" si="68"/>
        <v>0001089804</v>
      </c>
    </row>
    <row r="1901" spans="1:6" x14ac:dyDescent="0.3">
      <c r="A1901" s="6" t="s">
        <v>3085</v>
      </c>
      <c r="B1901">
        <v>43635359</v>
      </c>
      <c r="C1901">
        <v>7</v>
      </c>
      <c r="D1901" t="str">
        <f t="shared" si="67"/>
        <v>07</v>
      </c>
      <c r="E1901" t="str">
        <f>VLOOKUP(B1901,'HOGARES-ENDLINE'!$A:$B,2,FALSE)</f>
        <v>00010898</v>
      </c>
      <c r="F1901" s="6" t="str">
        <f t="shared" si="68"/>
        <v>0001089807</v>
      </c>
    </row>
    <row r="1902" spans="1:6" x14ac:dyDescent="0.3">
      <c r="A1902" s="6" t="s">
        <v>3090</v>
      </c>
      <c r="B1902">
        <v>43639779</v>
      </c>
      <c r="C1902">
        <v>1</v>
      </c>
      <c r="D1902" t="str">
        <f t="shared" si="67"/>
        <v>01</v>
      </c>
      <c r="E1902" t="str">
        <f>VLOOKUP(B1902,'HOGARES-ENDLINE'!$A:$B,2,FALSE)</f>
        <v>01010899</v>
      </c>
      <c r="F1902" s="6" t="str">
        <f t="shared" si="68"/>
        <v>0101089901</v>
      </c>
    </row>
    <row r="1903" spans="1:6" x14ac:dyDescent="0.3">
      <c r="A1903" s="6" t="s">
        <v>3092</v>
      </c>
      <c r="B1903">
        <v>43640603</v>
      </c>
      <c r="C1903">
        <v>6</v>
      </c>
      <c r="D1903" t="str">
        <f t="shared" si="67"/>
        <v>06</v>
      </c>
      <c r="E1903" t="str">
        <f>VLOOKUP(B1903,'HOGARES-ENDLINE'!$A:$B,2,FALSE)</f>
        <v>01010900</v>
      </c>
      <c r="F1903" s="6" t="str">
        <f t="shared" si="68"/>
        <v>0101090006</v>
      </c>
    </row>
    <row r="1904" spans="1:6" x14ac:dyDescent="0.3">
      <c r="A1904" s="6" t="s">
        <v>3093</v>
      </c>
      <c r="B1904">
        <v>43640603</v>
      </c>
      <c r="C1904">
        <v>3</v>
      </c>
      <c r="D1904" t="str">
        <f t="shared" si="67"/>
        <v>03</v>
      </c>
      <c r="E1904" t="str">
        <f>VLOOKUP(B1904,'HOGARES-ENDLINE'!$A:$B,2,FALSE)</f>
        <v>01010900</v>
      </c>
      <c r="F1904" s="6" t="str">
        <f t="shared" si="68"/>
        <v>0101090003</v>
      </c>
    </row>
    <row r="1905" spans="1:6" x14ac:dyDescent="0.3">
      <c r="A1905" s="6" t="s">
        <v>3096</v>
      </c>
      <c r="B1905">
        <v>43640603</v>
      </c>
      <c r="C1905">
        <v>2</v>
      </c>
      <c r="D1905" t="str">
        <f t="shared" si="67"/>
        <v>02</v>
      </c>
      <c r="E1905" t="str">
        <f>VLOOKUP(B1905,'HOGARES-ENDLINE'!$A:$B,2,FALSE)</f>
        <v>01010900</v>
      </c>
      <c r="F1905" s="6" t="str">
        <f t="shared" si="68"/>
        <v>0101090002</v>
      </c>
    </row>
    <row r="1906" spans="1:6" x14ac:dyDescent="0.3">
      <c r="A1906" s="6" t="s">
        <v>3095</v>
      </c>
      <c r="B1906">
        <v>43640603</v>
      </c>
      <c r="C1906">
        <v>5</v>
      </c>
      <c r="D1906" t="str">
        <f t="shared" si="67"/>
        <v>05</v>
      </c>
      <c r="E1906" t="str">
        <f>VLOOKUP(B1906,'HOGARES-ENDLINE'!$A:$B,2,FALSE)</f>
        <v>01010900</v>
      </c>
      <c r="F1906" s="6" t="str">
        <f t="shared" si="68"/>
        <v>0101090005</v>
      </c>
    </row>
    <row r="1907" spans="1:6" x14ac:dyDescent="0.3">
      <c r="A1907" s="6" t="s">
        <v>3094</v>
      </c>
      <c r="B1907">
        <v>43640603</v>
      </c>
      <c r="C1907">
        <v>1</v>
      </c>
      <c r="D1907" t="str">
        <f t="shared" si="67"/>
        <v>01</v>
      </c>
      <c r="E1907" t="str">
        <f>VLOOKUP(B1907,'HOGARES-ENDLINE'!$A:$B,2,FALSE)</f>
        <v>01010900</v>
      </c>
      <c r="F1907" s="6" t="str">
        <f t="shared" si="68"/>
        <v>0101090001</v>
      </c>
    </row>
    <row r="1908" spans="1:6" x14ac:dyDescent="0.3">
      <c r="A1908" s="6" t="s">
        <v>5196</v>
      </c>
      <c r="B1908">
        <v>43643362</v>
      </c>
      <c r="C1908">
        <v>5</v>
      </c>
      <c r="D1908" t="str">
        <f t="shared" si="67"/>
        <v>05</v>
      </c>
      <c r="E1908" t="str">
        <f>VLOOKUP(B1908,'HOGARES-ENDLINE'!$A:$B,2,FALSE)</f>
        <v>00010901</v>
      </c>
      <c r="F1908" s="6" t="str">
        <f t="shared" si="68"/>
        <v>0001090105</v>
      </c>
    </row>
    <row r="1909" spans="1:6" x14ac:dyDescent="0.3">
      <c r="A1909" s="6" t="s">
        <v>3099</v>
      </c>
      <c r="B1909">
        <v>43643362</v>
      </c>
      <c r="C1909">
        <v>4</v>
      </c>
      <c r="D1909" t="str">
        <f t="shared" si="67"/>
        <v>04</v>
      </c>
      <c r="E1909" t="str">
        <f>VLOOKUP(B1909,'HOGARES-ENDLINE'!$A:$B,2,FALSE)</f>
        <v>00010901</v>
      </c>
      <c r="F1909" s="6" t="str">
        <f t="shared" si="68"/>
        <v>0001090104</v>
      </c>
    </row>
    <row r="1910" spans="1:6" x14ac:dyDescent="0.3">
      <c r="A1910" s="6" t="s">
        <v>3097</v>
      </c>
      <c r="B1910">
        <v>43643362</v>
      </c>
      <c r="C1910">
        <v>1</v>
      </c>
      <c r="D1910" t="str">
        <f t="shared" si="67"/>
        <v>01</v>
      </c>
      <c r="E1910" t="str">
        <f>VLOOKUP(B1910,'HOGARES-ENDLINE'!$A:$B,2,FALSE)</f>
        <v>00010901</v>
      </c>
      <c r="F1910" s="6" t="str">
        <f t="shared" si="68"/>
        <v>0001090101</v>
      </c>
    </row>
    <row r="1911" spans="1:6" x14ac:dyDescent="0.3">
      <c r="A1911" s="6" t="s">
        <v>3100</v>
      </c>
      <c r="B1911">
        <v>43643362</v>
      </c>
      <c r="C1911">
        <v>2</v>
      </c>
      <c r="D1911" t="str">
        <f t="shared" si="67"/>
        <v>02</v>
      </c>
      <c r="E1911" t="str">
        <f>VLOOKUP(B1911,'HOGARES-ENDLINE'!$A:$B,2,FALSE)</f>
        <v>00010901</v>
      </c>
      <c r="F1911" s="6" t="str">
        <f t="shared" si="68"/>
        <v>0001090102</v>
      </c>
    </row>
    <row r="1912" spans="1:6" x14ac:dyDescent="0.3">
      <c r="A1912" s="6" t="s">
        <v>3098</v>
      </c>
      <c r="B1912">
        <v>43643362</v>
      </c>
      <c r="C1912">
        <v>3</v>
      </c>
      <c r="D1912" t="str">
        <f t="shared" si="67"/>
        <v>03</v>
      </c>
      <c r="E1912" t="str">
        <f>VLOOKUP(B1912,'HOGARES-ENDLINE'!$A:$B,2,FALSE)</f>
        <v>00010901</v>
      </c>
      <c r="F1912" s="6" t="str">
        <f t="shared" si="68"/>
        <v>0001090103</v>
      </c>
    </row>
    <row r="1913" spans="1:6" x14ac:dyDescent="0.3">
      <c r="A1913" s="6" t="s">
        <v>3101</v>
      </c>
      <c r="B1913">
        <v>43661822</v>
      </c>
      <c r="C1913">
        <v>2</v>
      </c>
      <c r="D1913" t="str">
        <f t="shared" si="67"/>
        <v>02</v>
      </c>
      <c r="E1913" t="str">
        <f>VLOOKUP(B1913,'HOGARES-ENDLINE'!$A:$B,2,FALSE)</f>
        <v>00010902</v>
      </c>
      <c r="F1913" s="6" t="str">
        <f t="shared" si="68"/>
        <v>0001090202</v>
      </c>
    </row>
    <row r="1914" spans="1:6" x14ac:dyDescent="0.3">
      <c r="A1914" s="6" t="s">
        <v>3102</v>
      </c>
      <c r="B1914">
        <v>43661822</v>
      </c>
      <c r="C1914">
        <v>1</v>
      </c>
      <c r="D1914" t="str">
        <f t="shared" si="67"/>
        <v>01</v>
      </c>
      <c r="E1914" t="str">
        <f>VLOOKUP(B1914,'HOGARES-ENDLINE'!$A:$B,2,FALSE)</f>
        <v>00010902</v>
      </c>
      <c r="F1914" s="6" t="str">
        <f t="shared" si="68"/>
        <v>0001090201</v>
      </c>
    </row>
    <row r="1915" spans="1:6" x14ac:dyDescent="0.3">
      <c r="A1915" s="6" t="s">
        <v>3104</v>
      </c>
      <c r="B1915">
        <v>43662572</v>
      </c>
      <c r="C1915">
        <v>2</v>
      </c>
      <c r="D1915" t="str">
        <f t="shared" si="67"/>
        <v>02</v>
      </c>
      <c r="E1915" t="str">
        <f>VLOOKUP(B1915,'HOGARES-ENDLINE'!$A:$B,2,FALSE)</f>
        <v>00010903</v>
      </c>
      <c r="F1915" s="6" t="str">
        <f t="shared" si="68"/>
        <v>0001090302</v>
      </c>
    </row>
    <row r="1916" spans="1:6" x14ac:dyDescent="0.3">
      <c r="A1916" s="6" t="s">
        <v>3103</v>
      </c>
      <c r="B1916">
        <v>43662572</v>
      </c>
      <c r="C1916">
        <v>1</v>
      </c>
      <c r="D1916" t="str">
        <f t="shared" ref="D1916:D1979" si="69">_xlfn.CONCAT(0,C1916)</f>
        <v>01</v>
      </c>
      <c r="E1916" t="str">
        <f>VLOOKUP(B1916,'HOGARES-ENDLINE'!$A:$B,2,FALSE)</f>
        <v>00010903</v>
      </c>
      <c r="F1916" s="6" t="str">
        <f t="shared" si="68"/>
        <v>0001090301</v>
      </c>
    </row>
    <row r="1917" spans="1:6" x14ac:dyDescent="0.3">
      <c r="A1917" s="6" t="s">
        <v>3105</v>
      </c>
      <c r="B1917">
        <v>43672851</v>
      </c>
      <c r="C1917">
        <v>1</v>
      </c>
      <c r="D1917" t="str">
        <f t="shared" si="69"/>
        <v>01</v>
      </c>
      <c r="E1917" t="str">
        <f>VLOOKUP(B1917,'HOGARES-ENDLINE'!$A:$B,2,FALSE)</f>
        <v>00010904</v>
      </c>
      <c r="F1917" s="6" t="str">
        <f t="shared" si="68"/>
        <v>0001090401</v>
      </c>
    </row>
    <row r="1918" spans="1:6" x14ac:dyDescent="0.3">
      <c r="A1918" s="6" t="s">
        <v>3106</v>
      </c>
      <c r="B1918">
        <v>43681503</v>
      </c>
      <c r="C1918">
        <v>2</v>
      </c>
      <c r="D1918" t="str">
        <f t="shared" si="69"/>
        <v>02</v>
      </c>
      <c r="E1918" t="str">
        <f>VLOOKUP(B1918,'HOGARES-ENDLINE'!$A:$B,2,FALSE)</f>
        <v>01010905</v>
      </c>
      <c r="F1918" s="6" t="str">
        <f t="shared" si="68"/>
        <v>0101090502</v>
      </c>
    </row>
    <row r="1919" spans="1:6" x14ac:dyDescent="0.3">
      <c r="A1919" s="6" t="s">
        <v>3107</v>
      </c>
      <c r="B1919">
        <v>43681503</v>
      </c>
      <c r="C1919">
        <v>1</v>
      </c>
      <c r="D1919" t="str">
        <f t="shared" si="69"/>
        <v>01</v>
      </c>
      <c r="E1919" t="str">
        <f>VLOOKUP(B1919,'HOGARES-ENDLINE'!$A:$B,2,FALSE)</f>
        <v>01010905</v>
      </c>
      <c r="F1919" s="6" t="str">
        <f t="shared" si="68"/>
        <v>0101090501</v>
      </c>
    </row>
    <row r="1920" spans="1:6" x14ac:dyDescent="0.3">
      <c r="A1920" s="6" t="s">
        <v>3111</v>
      </c>
      <c r="B1920">
        <v>43700046</v>
      </c>
      <c r="C1920">
        <v>3</v>
      </c>
      <c r="D1920" t="str">
        <f t="shared" si="69"/>
        <v>03</v>
      </c>
      <c r="E1920" t="str">
        <f>VLOOKUP(B1920,'HOGARES-ENDLINE'!$A:$B,2,FALSE)</f>
        <v>00010906</v>
      </c>
      <c r="F1920" s="6" t="str">
        <f t="shared" si="68"/>
        <v>0001090603</v>
      </c>
    </row>
    <row r="1921" spans="1:6" x14ac:dyDescent="0.3">
      <c r="A1921" s="6" t="s">
        <v>3110</v>
      </c>
      <c r="B1921">
        <v>43700046</v>
      </c>
      <c r="C1921">
        <v>1</v>
      </c>
      <c r="D1921" t="str">
        <f t="shared" si="69"/>
        <v>01</v>
      </c>
      <c r="E1921" t="str">
        <f>VLOOKUP(B1921,'HOGARES-ENDLINE'!$A:$B,2,FALSE)</f>
        <v>00010906</v>
      </c>
      <c r="F1921" s="6" t="str">
        <f t="shared" si="68"/>
        <v>0001090601</v>
      </c>
    </row>
    <row r="1922" spans="1:6" x14ac:dyDescent="0.3">
      <c r="A1922" s="6" t="s">
        <v>3113</v>
      </c>
      <c r="B1922">
        <v>43700046</v>
      </c>
      <c r="C1922">
        <v>4</v>
      </c>
      <c r="D1922" t="str">
        <f t="shared" si="69"/>
        <v>04</v>
      </c>
      <c r="E1922" t="str">
        <f>VLOOKUP(B1922,'HOGARES-ENDLINE'!$A:$B,2,FALSE)</f>
        <v>00010906</v>
      </c>
      <c r="F1922" s="6" t="str">
        <f t="shared" si="68"/>
        <v>0001090604</v>
      </c>
    </row>
    <row r="1923" spans="1:6" x14ac:dyDescent="0.3">
      <c r="A1923" s="6" t="s">
        <v>3109</v>
      </c>
      <c r="B1923">
        <v>43700046</v>
      </c>
      <c r="C1923">
        <v>2</v>
      </c>
      <c r="D1923" t="str">
        <f t="shared" si="69"/>
        <v>02</v>
      </c>
      <c r="E1923" t="str">
        <f>VLOOKUP(B1923,'HOGARES-ENDLINE'!$A:$B,2,FALSE)</f>
        <v>00010906</v>
      </c>
      <c r="F1923" s="6" t="str">
        <f t="shared" ref="F1923:F1986" si="70">_xlfn.CONCAT(E1923,D1923)</f>
        <v>0001090602</v>
      </c>
    </row>
    <row r="1924" spans="1:6" x14ac:dyDescent="0.3">
      <c r="A1924" s="6" t="s">
        <v>3112</v>
      </c>
      <c r="B1924">
        <v>43700046</v>
      </c>
      <c r="C1924">
        <v>5</v>
      </c>
      <c r="D1924" t="str">
        <f t="shared" si="69"/>
        <v>05</v>
      </c>
      <c r="E1924" t="str">
        <f>VLOOKUP(B1924,'HOGARES-ENDLINE'!$A:$B,2,FALSE)</f>
        <v>00010906</v>
      </c>
      <c r="F1924" s="6" t="str">
        <f t="shared" si="70"/>
        <v>0001090605</v>
      </c>
    </row>
    <row r="1925" spans="1:6" x14ac:dyDescent="0.3">
      <c r="A1925" s="6" t="s">
        <v>3116</v>
      </c>
      <c r="B1925">
        <v>43733194</v>
      </c>
      <c r="C1925">
        <v>2</v>
      </c>
      <c r="D1925" t="str">
        <f t="shared" si="69"/>
        <v>02</v>
      </c>
      <c r="E1925" t="str">
        <f>VLOOKUP(B1925,'HOGARES-ENDLINE'!$A:$B,2,FALSE)</f>
        <v>00010907</v>
      </c>
      <c r="F1925" s="6" t="str">
        <f t="shared" si="70"/>
        <v>0001090702</v>
      </c>
    </row>
    <row r="1926" spans="1:6" x14ac:dyDescent="0.3">
      <c r="A1926" s="6" t="s">
        <v>3114</v>
      </c>
      <c r="B1926">
        <v>43733194</v>
      </c>
      <c r="C1926">
        <v>1</v>
      </c>
      <c r="D1926" t="str">
        <f t="shared" si="69"/>
        <v>01</v>
      </c>
      <c r="E1926" t="str">
        <f>VLOOKUP(B1926,'HOGARES-ENDLINE'!$A:$B,2,FALSE)</f>
        <v>00010907</v>
      </c>
      <c r="F1926" s="6" t="str">
        <f t="shared" si="70"/>
        <v>0001090701</v>
      </c>
    </row>
    <row r="1927" spans="1:6" x14ac:dyDescent="0.3">
      <c r="A1927" s="6" t="s">
        <v>3115</v>
      </c>
      <c r="B1927">
        <v>43733194</v>
      </c>
      <c r="C1927">
        <v>4</v>
      </c>
      <c r="D1927" t="str">
        <f t="shared" si="69"/>
        <v>04</v>
      </c>
      <c r="E1927" t="str">
        <f>VLOOKUP(B1927,'HOGARES-ENDLINE'!$A:$B,2,FALSE)</f>
        <v>00010907</v>
      </c>
      <c r="F1927" s="6" t="str">
        <f t="shared" si="70"/>
        <v>0001090704</v>
      </c>
    </row>
    <row r="1928" spans="1:6" x14ac:dyDescent="0.3">
      <c r="A1928" s="6" t="s">
        <v>3117</v>
      </c>
      <c r="B1928">
        <v>43733194</v>
      </c>
      <c r="C1928">
        <v>3</v>
      </c>
      <c r="D1928" t="str">
        <f t="shared" si="69"/>
        <v>03</v>
      </c>
      <c r="E1928" t="str">
        <f>VLOOKUP(B1928,'HOGARES-ENDLINE'!$A:$B,2,FALSE)</f>
        <v>00010907</v>
      </c>
      <c r="F1928" s="6" t="str">
        <f t="shared" si="70"/>
        <v>0001090703</v>
      </c>
    </row>
    <row r="1929" spans="1:6" x14ac:dyDescent="0.3">
      <c r="A1929" s="6" t="s">
        <v>3118</v>
      </c>
      <c r="B1929">
        <v>43750015</v>
      </c>
      <c r="C1929">
        <v>1</v>
      </c>
      <c r="D1929" t="str">
        <f t="shared" si="69"/>
        <v>01</v>
      </c>
      <c r="E1929" t="str">
        <f>VLOOKUP(B1929,'HOGARES-ENDLINE'!$A:$B,2,FALSE)</f>
        <v>01010908</v>
      </c>
      <c r="F1929" s="6" t="str">
        <f t="shared" si="70"/>
        <v>0101090801</v>
      </c>
    </row>
    <row r="1930" spans="1:6" x14ac:dyDescent="0.3">
      <c r="A1930" s="6" t="s">
        <v>3119</v>
      </c>
      <c r="B1930">
        <v>43750015</v>
      </c>
      <c r="C1930">
        <v>3</v>
      </c>
      <c r="D1930" t="str">
        <f t="shared" si="69"/>
        <v>03</v>
      </c>
      <c r="E1930" t="str">
        <f>VLOOKUP(B1930,'HOGARES-ENDLINE'!$A:$B,2,FALSE)</f>
        <v>01010908</v>
      </c>
      <c r="F1930" s="6" t="str">
        <f t="shared" si="70"/>
        <v>0101090803</v>
      </c>
    </row>
    <row r="1931" spans="1:6" x14ac:dyDescent="0.3">
      <c r="A1931" s="6" t="s">
        <v>3120</v>
      </c>
      <c r="B1931">
        <v>43750015</v>
      </c>
      <c r="C1931">
        <v>2</v>
      </c>
      <c r="D1931" t="str">
        <f t="shared" si="69"/>
        <v>02</v>
      </c>
      <c r="E1931" t="str">
        <f>VLOOKUP(B1931,'HOGARES-ENDLINE'!$A:$B,2,FALSE)</f>
        <v>01010908</v>
      </c>
      <c r="F1931" s="6" t="str">
        <f t="shared" si="70"/>
        <v>0101090802</v>
      </c>
    </row>
    <row r="1932" spans="1:6" x14ac:dyDescent="0.3">
      <c r="A1932" s="6" t="s">
        <v>3124</v>
      </c>
      <c r="B1932">
        <v>43752818</v>
      </c>
      <c r="C1932">
        <v>1</v>
      </c>
      <c r="D1932" t="str">
        <f t="shared" si="69"/>
        <v>01</v>
      </c>
      <c r="E1932" t="str">
        <f>VLOOKUP(B1932,'HOGARES-ENDLINE'!$A:$B,2,FALSE)</f>
        <v>01010909</v>
      </c>
      <c r="F1932" s="6" t="str">
        <f t="shared" si="70"/>
        <v>0101090901</v>
      </c>
    </row>
    <row r="1933" spans="1:6" x14ac:dyDescent="0.3">
      <c r="A1933" s="6" t="s">
        <v>3127</v>
      </c>
      <c r="B1933">
        <v>43754194</v>
      </c>
      <c r="C1933">
        <v>2</v>
      </c>
      <c r="D1933" t="str">
        <f t="shared" si="69"/>
        <v>02</v>
      </c>
      <c r="E1933" t="str">
        <f>VLOOKUP(B1933,'HOGARES-ENDLINE'!$A:$B,2,FALSE)</f>
        <v>00010910</v>
      </c>
      <c r="F1933" s="6" t="str">
        <f t="shared" si="70"/>
        <v>0001091002</v>
      </c>
    </row>
    <row r="1934" spans="1:6" x14ac:dyDescent="0.3">
      <c r="A1934" s="6" t="s">
        <v>3125</v>
      </c>
      <c r="B1934">
        <v>43754194</v>
      </c>
      <c r="C1934">
        <v>4</v>
      </c>
      <c r="D1934" t="str">
        <f t="shared" si="69"/>
        <v>04</v>
      </c>
      <c r="E1934" t="str">
        <f>VLOOKUP(B1934,'HOGARES-ENDLINE'!$A:$B,2,FALSE)</f>
        <v>00010910</v>
      </c>
      <c r="F1934" s="6" t="str">
        <f t="shared" si="70"/>
        <v>0001091004</v>
      </c>
    </row>
    <row r="1935" spans="1:6" x14ac:dyDescent="0.3">
      <c r="A1935" s="6" t="s">
        <v>3128</v>
      </c>
      <c r="B1935">
        <v>43754194</v>
      </c>
      <c r="C1935">
        <v>3</v>
      </c>
      <c r="D1935" t="str">
        <f t="shared" si="69"/>
        <v>03</v>
      </c>
      <c r="E1935" t="str">
        <f>VLOOKUP(B1935,'HOGARES-ENDLINE'!$A:$B,2,FALSE)</f>
        <v>00010910</v>
      </c>
      <c r="F1935" s="6" t="str">
        <f t="shared" si="70"/>
        <v>0001091003</v>
      </c>
    </row>
    <row r="1936" spans="1:6" x14ac:dyDescent="0.3">
      <c r="A1936" s="6" t="s">
        <v>3126</v>
      </c>
      <c r="B1936">
        <v>43754194</v>
      </c>
      <c r="C1936">
        <v>1</v>
      </c>
      <c r="D1936" t="str">
        <f t="shared" si="69"/>
        <v>01</v>
      </c>
      <c r="E1936" t="str">
        <f>VLOOKUP(B1936,'HOGARES-ENDLINE'!$A:$B,2,FALSE)</f>
        <v>00010910</v>
      </c>
      <c r="F1936" s="6" t="str">
        <f t="shared" si="70"/>
        <v>0001091001</v>
      </c>
    </row>
    <row r="1937" spans="1:6" x14ac:dyDescent="0.3">
      <c r="A1937" s="6" t="s">
        <v>3131</v>
      </c>
      <c r="B1937">
        <v>43755833</v>
      </c>
      <c r="C1937">
        <v>1</v>
      </c>
      <c r="D1937" t="str">
        <f t="shared" si="69"/>
        <v>01</v>
      </c>
      <c r="E1937" t="str">
        <f>VLOOKUP(B1937,'HOGARES-ENDLINE'!$A:$B,2,FALSE)</f>
        <v>01010911</v>
      </c>
      <c r="F1937" s="6" t="str">
        <f t="shared" si="70"/>
        <v>0101091101</v>
      </c>
    </row>
    <row r="1938" spans="1:6" x14ac:dyDescent="0.3">
      <c r="A1938" s="6" t="s">
        <v>3135</v>
      </c>
      <c r="B1938">
        <v>43810860</v>
      </c>
      <c r="C1938">
        <v>2</v>
      </c>
      <c r="D1938" t="str">
        <f t="shared" si="69"/>
        <v>02</v>
      </c>
      <c r="E1938" t="str">
        <f>VLOOKUP(B1938,'HOGARES-ENDLINE'!$A:$B,2,FALSE)</f>
        <v>00010912</v>
      </c>
      <c r="F1938" s="6" t="str">
        <f t="shared" si="70"/>
        <v>0001091202</v>
      </c>
    </row>
    <row r="1939" spans="1:6" x14ac:dyDescent="0.3">
      <c r="A1939" s="6" t="s">
        <v>3134</v>
      </c>
      <c r="B1939">
        <v>43810860</v>
      </c>
      <c r="C1939">
        <v>4</v>
      </c>
      <c r="D1939" t="str">
        <f t="shared" si="69"/>
        <v>04</v>
      </c>
      <c r="E1939" t="str">
        <f>VLOOKUP(B1939,'HOGARES-ENDLINE'!$A:$B,2,FALSE)</f>
        <v>00010912</v>
      </c>
      <c r="F1939" s="6" t="str">
        <f t="shared" si="70"/>
        <v>0001091204</v>
      </c>
    </row>
    <row r="1940" spans="1:6" x14ac:dyDescent="0.3">
      <c r="A1940" s="6" t="s">
        <v>3133</v>
      </c>
      <c r="B1940">
        <v>43810860</v>
      </c>
      <c r="C1940">
        <v>3</v>
      </c>
      <c r="D1940" t="str">
        <f t="shared" si="69"/>
        <v>03</v>
      </c>
      <c r="E1940" t="str">
        <f>VLOOKUP(B1940,'HOGARES-ENDLINE'!$A:$B,2,FALSE)</f>
        <v>00010912</v>
      </c>
      <c r="F1940" s="6" t="str">
        <f t="shared" si="70"/>
        <v>0001091203</v>
      </c>
    </row>
    <row r="1941" spans="1:6" x14ac:dyDescent="0.3">
      <c r="A1941" s="6" t="s">
        <v>3132</v>
      </c>
      <c r="B1941">
        <v>43810860</v>
      </c>
      <c r="C1941">
        <v>1</v>
      </c>
      <c r="D1941" t="str">
        <f t="shared" si="69"/>
        <v>01</v>
      </c>
      <c r="E1941" t="str">
        <f>VLOOKUP(B1941,'HOGARES-ENDLINE'!$A:$B,2,FALSE)</f>
        <v>00010912</v>
      </c>
      <c r="F1941" s="6" t="str">
        <f t="shared" si="70"/>
        <v>0001091201</v>
      </c>
    </row>
    <row r="1942" spans="1:6" x14ac:dyDescent="0.3">
      <c r="A1942" s="6" t="s">
        <v>5197</v>
      </c>
      <c r="B1942">
        <v>43826103</v>
      </c>
      <c r="C1942">
        <v>4</v>
      </c>
      <c r="D1942" t="str">
        <f t="shared" si="69"/>
        <v>04</v>
      </c>
      <c r="E1942" t="str">
        <f>VLOOKUP(B1942,'HOGARES-ENDLINE'!$A:$B,2,FALSE)</f>
        <v>00010913</v>
      </c>
      <c r="F1942" s="6" t="str">
        <f t="shared" si="70"/>
        <v>0001091304</v>
      </c>
    </row>
    <row r="1943" spans="1:6" x14ac:dyDescent="0.3">
      <c r="A1943" s="6" t="s">
        <v>3137</v>
      </c>
      <c r="B1943">
        <v>43826103</v>
      </c>
      <c r="C1943">
        <v>3</v>
      </c>
      <c r="D1943" t="str">
        <f t="shared" si="69"/>
        <v>03</v>
      </c>
      <c r="E1943" t="str">
        <f>VLOOKUP(B1943,'HOGARES-ENDLINE'!$A:$B,2,FALSE)</f>
        <v>00010913</v>
      </c>
      <c r="F1943" s="6" t="str">
        <f t="shared" si="70"/>
        <v>0001091303</v>
      </c>
    </row>
    <row r="1944" spans="1:6" x14ac:dyDescent="0.3">
      <c r="A1944" s="6" t="s">
        <v>3138</v>
      </c>
      <c r="B1944">
        <v>43826103</v>
      </c>
      <c r="C1944">
        <v>2</v>
      </c>
      <c r="D1944" t="str">
        <f t="shared" si="69"/>
        <v>02</v>
      </c>
      <c r="E1944" t="str">
        <f>VLOOKUP(B1944,'HOGARES-ENDLINE'!$A:$B,2,FALSE)</f>
        <v>00010913</v>
      </c>
      <c r="F1944" s="6" t="str">
        <f t="shared" si="70"/>
        <v>0001091302</v>
      </c>
    </row>
    <row r="1945" spans="1:6" x14ac:dyDescent="0.3">
      <c r="A1945" s="6" t="s">
        <v>3136</v>
      </c>
      <c r="B1945">
        <v>43826103</v>
      </c>
      <c r="C1945">
        <v>1</v>
      </c>
      <c r="D1945" t="str">
        <f t="shared" si="69"/>
        <v>01</v>
      </c>
      <c r="E1945" t="str">
        <f>VLOOKUP(B1945,'HOGARES-ENDLINE'!$A:$B,2,FALSE)</f>
        <v>00010913</v>
      </c>
      <c r="F1945" s="6" t="str">
        <f t="shared" si="70"/>
        <v>0001091301</v>
      </c>
    </row>
    <row r="1946" spans="1:6" x14ac:dyDescent="0.3">
      <c r="A1946" s="6" t="s">
        <v>3139</v>
      </c>
      <c r="B1946">
        <v>43836211</v>
      </c>
      <c r="C1946">
        <v>2</v>
      </c>
      <c r="D1946" t="str">
        <f t="shared" si="69"/>
        <v>02</v>
      </c>
      <c r="E1946" t="str">
        <f>VLOOKUP(B1946,'HOGARES-ENDLINE'!$A:$B,2,FALSE)</f>
        <v>00010914</v>
      </c>
      <c r="F1946" s="6" t="str">
        <f t="shared" si="70"/>
        <v>0001091402</v>
      </c>
    </row>
    <row r="1947" spans="1:6" x14ac:dyDescent="0.3">
      <c r="A1947" s="6" t="s">
        <v>3140</v>
      </c>
      <c r="B1947">
        <v>43836211</v>
      </c>
      <c r="C1947">
        <v>1</v>
      </c>
      <c r="D1947" t="str">
        <f t="shared" si="69"/>
        <v>01</v>
      </c>
      <c r="E1947" t="str">
        <f>VLOOKUP(B1947,'HOGARES-ENDLINE'!$A:$B,2,FALSE)</f>
        <v>00010914</v>
      </c>
      <c r="F1947" s="6" t="str">
        <f t="shared" si="70"/>
        <v>0001091401</v>
      </c>
    </row>
    <row r="1948" spans="1:6" x14ac:dyDescent="0.3">
      <c r="A1948" s="6" t="s">
        <v>3141</v>
      </c>
      <c r="B1948">
        <v>43905793</v>
      </c>
      <c r="C1948">
        <v>1</v>
      </c>
      <c r="D1948" t="str">
        <f t="shared" si="69"/>
        <v>01</v>
      </c>
      <c r="E1948" t="str">
        <f>VLOOKUP(B1948,'HOGARES-ENDLINE'!$A:$B,2,FALSE)</f>
        <v>01010915</v>
      </c>
      <c r="F1948" s="6" t="str">
        <f t="shared" si="70"/>
        <v>0101091501</v>
      </c>
    </row>
    <row r="1949" spans="1:6" x14ac:dyDescent="0.3">
      <c r="A1949" s="6" t="s">
        <v>3147</v>
      </c>
      <c r="B1949">
        <v>43907166</v>
      </c>
      <c r="C1949">
        <v>1</v>
      </c>
      <c r="D1949" t="str">
        <f t="shared" si="69"/>
        <v>01</v>
      </c>
      <c r="E1949" t="str">
        <f>VLOOKUP(B1949,'HOGARES-ENDLINE'!$A:$B,2,FALSE)</f>
        <v>00010916</v>
      </c>
      <c r="F1949" s="6" t="str">
        <f t="shared" si="70"/>
        <v>0001091601</v>
      </c>
    </row>
    <row r="1950" spans="1:6" x14ac:dyDescent="0.3">
      <c r="A1950" s="6" t="s">
        <v>3150</v>
      </c>
      <c r="B1950">
        <v>43907166</v>
      </c>
      <c r="C1950">
        <v>4</v>
      </c>
      <c r="D1950" t="str">
        <f t="shared" si="69"/>
        <v>04</v>
      </c>
      <c r="E1950" t="str">
        <f>VLOOKUP(B1950,'HOGARES-ENDLINE'!$A:$B,2,FALSE)</f>
        <v>00010916</v>
      </c>
      <c r="F1950" s="6" t="str">
        <f t="shared" si="70"/>
        <v>0001091604</v>
      </c>
    </row>
    <row r="1951" spans="1:6" x14ac:dyDescent="0.3">
      <c r="A1951" s="6" t="s">
        <v>3149</v>
      </c>
      <c r="B1951">
        <v>43907166</v>
      </c>
      <c r="C1951">
        <v>3</v>
      </c>
      <c r="D1951" t="str">
        <f t="shared" si="69"/>
        <v>03</v>
      </c>
      <c r="E1951" t="str">
        <f>VLOOKUP(B1951,'HOGARES-ENDLINE'!$A:$B,2,FALSE)</f>
        <v>00010916</v>
      </c>
      <c r="F1951" s="6" t="str">
        <f t="shared" si="70"/>
        <v>0001091603</v>
      </c>
    </row>
    <row r="1952" spans="1:6" x14ac:dyDescent="0.3">
      <c r="A1952" s="6" t="s">
        <v>3148</v>
      </c>
      <c r="B1952">
        <v>43907166</v>
      </c>
      <c r="C1952">
        <v>2</v>
      </c>
      <c r="D1952" t="str">
        <f t="shared" si="69"/>
        <v>02</v>
      </c>
      <c r="E1952" t="str">
        <f>VLOOKUP(B1952,'HOGARES-ENDLINE'!$A:$B,2,FALSE)</f>
        <v>00010916</v>
      </c>
      <c r="F1952" s="6" t="str">
        <f t="shared" si="70"/>
        <v>0001091602</v>
      </c>
    </row>
    <row r="1953" spans="1:6" x14ac:dyDescent="0.3">
      <c r="A1953" s="6" t="s">
        <v>3151</v>
      </c>
      <c r="B1953">
        <v>43907166</v>
      </c>
      <c r="C1953">
        <v>5</v>
      </c>
      <c r="D1953" t="str">
        <f t="shared" si="69"/>
        <v>05</v>
      </c>
      <c r="E1953" t="str">
        <f>VLOOKUP(B1953,'HOGARES-ENDLINE'!$A:$B,2,FALSE)</f>
        <v>00010916</v>
      </c>
      <c r="F1953" s="6" t="str">
        <f t="shared" si="70"/>
        <v>0001091605</v>
      </c>
    </row>
    <row r="1954" spans="1:6" x14ac:dyDescent="0.3">
      <c r="A1954" s="6" t="s">
        <v>3160</v>
      </c>
      <c r="B1954">
        <v>43913057</v>
      </c>
      <c r="C1954">
        <v>3</v>
      </c>
      <c r="D1954" t="str">
        <f t="shared" si="69"/>
        <v>03</v>
      </c>
      <c r="E1954" t="str">
        <f>VLOOKUP(B1954,'HOGARES-ENDLINE'!$A:$B,2,FALSE)</f>
        <v>00010918</v>
      </c>
      <c r="F1954" s="6" t="str">
        <f t="shared" si="70"/>
        <v>0001091803</v>
      </c>
    </row>
    <row r="1955" spans="1:6" x14ac:dyDescent="0.3">
      <c r="A1955" s="6" t="s">
        <v>3157</v>
      </c>
      <c r="B1955">
        <v>43913057</v>
      </c>
      <c r="C1955">
        <v>2</v>
      </c>
      <c r="D1955" t="str">
        <f t="shared" si="69"/>
        <v>02</v>
      </c>
      <c r="E1955" t="str">
        <f>VLOOKUP(B1955,'HOGARES-ENDLINE'!$A:$B,2,FALSE)</f>
        <v>00010918</v>
      </c>
      <c r="F1955" s="6" t="str">
        <f t="shared" si="70"/>
        <v>0001091802</v>
      </c>
    </row>
    <row r="1956" spans="1:6" x14ac:dyDescent="0.3">
      <c r="A1956" s="6" t="s">
        <v>3156</v>
      </c>
      <c r="B1956">
        <v>43913057</v>
      </c>
      <c r="C1956">
        <v>1</v>
      </c>
      <c r="D1956" t="str">
        <f t="shared" si="69"/>
        <v>01</v>
      </c>
      <c r="E1956" t="str">
        <f>VLOOKUP(B1956,'HOGARES-ENDLINE'!$A:$B,2,FALSE)</f>
        <v>00010918</v>
      </c>
      <c r="F1956" s="6" t="str">
        <f t="shared" si="70"/>
        <v>0001091801</v>
      </c>
    </row>
    <row r="1957" spans="1:6" x14ac:dyDescent="0.3">
      <c r="A1957" s="6" t="s">
        <v>3159</v>
      </c>
      <c r="B1957">
        <v>43913057</v>
      </c>
      <c r="C1957">
        <v>5</v>
      </c>
      <c r="D1957" t="str">
        <f t="shared" si="69"/>
        <v>05</v>
      </c>
      <c r="E1957" t="str">
        <f>VLOOKUP(B1957,'HOGARES-ENDLINE'!$A:$B,2,FALSE)</f>
        <v>00010918</v>
      </c>
      <c r="F1957" s="6" t="str">
        <f t="shared" si="70"/>
        <v>0001091805</v>
      </c>
    </row>
    <row r="1958" spans="1:6" x14ac:dyDescent="0.3">
      <c r="A1958" s="6" t="s">
        <v>3158</v>
      </c>
      <c r="B1958">
        <v>43913057</v>
      </c>
      <c r="C1958">
        <v>4</v>
      </c>
      <c r="D1958" t="str">
        <f t="shared" si="69"/>
        <v>04</v>
      </c>
      <c r="E1958" t="str">
        <f>VLOOKUP(B1958,'HOGARES-ENDLINE'!$A:$B,2,FALSE)</f>
        <v>00010918</v>
      </c>
      <c r="F1958" s="6" t="str">
        <f t="shared" si="70"/>
        <v>0001091804</v>
      </c>
    </row>
    <row r="1959" spans="1:6" x14ac:dyDescent="0.3">
      <c r="A1959" s="6" t="s">
        <v>3162</v>
      </c>
      <c r="B1959">
        <v>43915081</v>
      </c>
      <c r="C1959">
        <v>5</v>
      </c>
      <c r="D1959" t="str">
        <f t="shared" si="69"/>
        <v>05</v>
      </c>
      <c r="E1959" t="str">
        <f>VLOOKUP(B1959,'HOGARES-ENDLINE'!$A:$B,2,FALSE)</f>
        <v>00010919</v>
      </c>
      <c r="F1959" s="6" t="str">
        <f t="shared" si="70"/>
        <v>0001091905</v>
      </c>
    </row>
    <row r="1960" spans="1:6" x14ac:dyDescent="0.3">
      <c r="A1960" s="6" t="s">
        <v>3164</v>
      </c>
      <c r="B1960">
        <v>43915081</v>
      </c>
      <c r="C1960">
        <v>2</v>
      </c>
      <c r="D1960" t="str">
        <f t="shared" si="69"/>
        <v>02</v>
      </c>
      <c r="E1960" t="str">
        <f>VLOOKUP(B1960,'HOGARES-ENDLINE'!$A:$B,2,FALSE)</f>
        <v>00010919</v>
      </c>
      <c r="F1960" s="6" t="str">
        <f t="shared" si="70"/>
        <v>0001091902</v>
      </c>
    </row>
    <row r="1961" spans="1:6" x14ac:dyDescent="0.3">
      <c r="A1961" s="6" t="s">
        <v>3165</v>
      </c>
      <c r="B1961">
        <v>43915081</v>
      </c>
      <c r="C1961">
        <v>4</v>
      </c>
      <c r="D1961" t="str">
        <f t="shared" si="69"/>
        <v>04</v>
      </c>
      <c r="E1961" t="str">
        <f>VLOOKUP(B1961,'HOGARES-ENDLINE'!$A:$B,2,FALSE)</f>
        <v>00010919</v>
      </c>
      <c r="F1961" s="6" t="str">
        <f t="shared" si="70"/>
        <v>0001091904</v>
      </c>
    </row>
    <row r="1962" spans="1:6" x14ac:dyDescent="0.3">
      <c r="A1962" s="6" t="s">
        <v>3161</v>
      </c>
      <c r="B1962">
        <v>43915081</v>
      </c>
      <c r="C1962">
        <v>3</v>
      </c>
      <c r="D1962" t="str">
        <f t="shared" si="69"/>
        <v>03</v>
      </c>
      <c r="E1962" t="str">
        <f>VLOOKUP(B1962,'HOGARES-ENDLINE'!$A:$B,2,FALSE)</f>
        <v>00010919</v>
      </c>
      <c r="F1962" s="6" t="str">
        <f t="shared" si="70"/>
        <v>0001091903</v>
      </c>
    </row>
    <row r="1963" spans="1:6" x14ac:dyDescent="0.3">
      <c r="A1963" s="6" t="s">
        <v>3166</v>
      </c>
      <c r="B1963">
        <v>43922866</v>
      </c>
      <c r="C1963">
        <v>2</v>
      </c>
      <c r="D1963" t="str">
        <f t="shared" si="69"/>
        <v>02</v>
      </c>
      <c r="E1963" t="str">
        <f>VLOOKUP(B1963,'HOGARES-ENDLINE'!$A:$B,2,FALSE)</f>
        <v>00010920</v>
      </c>
      <c r="F1963" s="6" t="str">
        <f t="shared" si="70"/>
        <v>0001092002</v>
      </c>
    </row>
    <row r="1964" spans="1:6" x14ac:dyDescent="0.3">
      <c r="A1964" s="6" t="s">
        <v>3167</v>
      </c>
      <c r="B1964">
        <v>43922866</v>
      </c>
      <c r="C1964">
        <v>4</v>
      </c>
      <c r="D1964" t="str">
        <f t="shared" si="69"/>
        <v>04</v>
      </c>
      <c r="E1964" t="str">
        <f>VLOOKUP(B1964,'HOGARES-ENDLINE'!$A:$B,2,FALSE)</f>
        <v>00010920</v>
      </c>
      <c r="F1964" s="6" t="str">
        <f t="shared" si="70"/>
        <v>0001092004</v>
      </c>
    </row>
    <row r="1965" spans="1:6" x14ac:dyDescent="0.3">
      <c r="A1965" s="6" t="s">
        <v>3169</v>
      </c>
      <c r="B1965">
        <v>43922866</v>
      </c>
      <c r="C1965">
        <v>1</v>
      </c>
      <c r="D1965" t="str">
        <f t="shared" si="69"/>
        <v>01</v>
      </c>
      <c r="E1965" t="str">
        <f>VLOOKUP(B1965,'HOGARES-ENDLINE'!$A:$B,2,FALSE)</f>
        <v>00010920</v>
      </c>
      <c r="F1965" s="6" t="str">
        <f t="shared" si="70"/>
        <v>0001092001</v>
      </c>
    </row>
    <row r="1966" spans="1:6" x14ac:dyDescent="0.3">
      <c r="A1966" s="6" t="s">
        <v>3168</v>
      </c>
      <c r="B1966">
        <v>43922866</v>
      </c>
      <c r="C1966">
        <v>3</v>
      </c>
      <c r="D1966" t="str">
        <f t="shared" si="69"/>
        <v>03</v>
      </c>
      <c r="E1966" t="str">
        <f>VLOOKUP(B1966,'HOGARES-ENDLINE'!$A:$B,2,FALSE)</f>
        <v>00010920</v>
      </c>
      <c r="F1966" s="6" t="str">
        <f t="shared" si="70"/>
        <v>0001092003</v>
      </c>
    </row>
    <row r="1967" spans="1:6" x14ac:dyDescent="0.3">
      <c r="A1967" s="6" t="s">
        <v>3173</v>
      </c>
      <c r="B1967">
        <v>43924916</v>
      </c>
      <c r="C1967">
        <v>3</v>
      </c>
      <c r="D1967" t="str">
        <f t="shared" si="69"/>
        <v>03</v>
      </c>
      <c r="E1967" t="str">
        <f>VLOOKUP(B1967,'HOGARES-ENDLINE'!$A:$B,2,FALSE)</f>
        <v>00010921</v>
      </c>
      <c r="F1967" s="6" t="str">
        <f t="shared" si="70"/>
        <v>0001092103</v>
      </c>
    </row>
    <row r="1968" spans="1:6" x14ac:dyDescent="0.3">
      <c r="A1968" s="6" t="s">
        <v>3172</v>
      </c>
      <c r="B1968">
        <v>43924916</v>
      </c>
      <c r="C1968">
        <v>4</v>
      </c>
      <c r="D1968" t="str">
        <f t="shared" si="69"/>
        <v>04</v>
      </c>
      <c r="E1968" t="str">
        <f>VLOOKUP(B1968,'HOGARES-ENDLINE'!$A:$B,2,FALSE)</f>
        <v>00010921</v>
      </c>
      <c r="F1968" s="6" t="str">
        <f t="shared" si="70"/>
        <v>0001092104</v>
      </c>
    </row>
    <row r="1969" spans="1:6" x14ac:dyDescent="0.3">
      <c r="A1969" s="6" t="s">
        <v>3170</v>
      </c>
      <c r="B1969">
        <v>43924916</v>
      </c>
      <c r="C1969">
        <v>1</v>
      </c>
      <c r="D1969" t="str">
        <f t="shared" si="69"/>
        <v>01</v>
      </c>
      <c r="E1969" t="str">
        <f>VLOOKUP(B1969,'HOGARES-ENDLINE'!$A:$B,2,FALSE)</f>
        <v>00010921</v>
      </c>
      <c r="F1969" s="6" t="str">
        <f t="shared" si="70"/>
        <v>0001092101</v>
      </c>
    </row>
    <row r="1970" spans="1:6" x14ac:dyDescent="0.3">
      <c r="A1970" s="6" t="s">
        <v>3179</v>
      </c>
      <c r="B1970">
        <v>43973029</v>
      </c>
      <c r="C1970">
        <v>4</v>
      </c>
      <c r="D1970" t="str">
        <f t="shared" si="69"/>
        <v>04</v>
      </c>
      <c r="E1970" t="str">
        <f>VLOOKUP(B1970,'HOGARES-ENDLINE'!$A:$B,2,FALSE)</f>
        <v>01010922</v>
      </c>
      <c r="F1970" s="6" t="str">
        <f t="shared" si="70"/>
        <v>0101092204</v>
      </c>
    </row>
    <row r="1971" spans="1:6" x14ac:dyDescent="0.3">
      <c r="A1971" s="6" t="s">
        <v>3175</v>
      </c>
      <c r="B1971">
        <v>43973029</v>
      </c>
      <c r="C1971">
        <v>7</v>
      </c>
      <c r="D1971" t="str">
        <f t="shared" si="69"/>
        <v>07</v>
      </c>
      <c r="E1971" t="str">
        <f>VLOOKUP(B1971,'HOGARES-ENDLINE'!$A:$B,2,FALSE)</f>
        <v>01010922</v>
      </c>
      <c r="F1971" s="6" t="str">
        <f t="shared" si="70"/>
        <v>0101092207</v>
      </c>
    </row>
    <row r="1972" spans="1:6" x14ac:dyDescent="0.3">
      <c r="A1972" s="6" t="s">
        <v>3176</v>
      </c>
      <c r="B1972">
        <v>43973029</v>
      </c>
      <c r="C1972">
        <v>6</v>
      </c>
      <c r="D1972" t="str">
        <f t="shared" si="69"/>
        <v>06</v>
      </c>
      <c r="E1972" t="str">
        <f>VLOOKUP(B1972,'HOGARES-ENDLINE'!$A:$B,2,FALSE)</f>
        <v>01010922</v>
      </c>
      <c r="F1972" s="6" t="str">
        <f t="shared" si="70"/>
        <v>0101092206</v>
      </c>
    </row>
    <row r="1973" spans="1:6" x14ac:dyDescent="0.3">
      <c r="A1973" s="6" t="s">
        <v>3177</v>
      </c>
      <c r="B1973">
        <v>43973029</v>
      </c>
      <c r="C1973">
        <v>5</v>
      </c>
      <c r="D1973" t="str">
        <f t="shared" si="69"/>
        <v>05</v>
      </c>
      <c r="E1973" t="str">
        <f>VLOOKUP(B1973,'HOGARES-ENDLINE'!$A:$B,2,FALSE)</f>
        <v>01010922</v>
      </c>
      <c r="F1973" s="6" t="str">
        <f t="shared" si="70"/>
        <v>0101092205</v>
      </c>
    </row>
    <row r="1974" spans="1:6" x14ac:dyDescent="0.3">
      <c r="A1974" s="6" t="s">
        <v>3180</v>
      </c>
      <c r="B1974">
        <v>43973029</v>
      </c>
      <c r="C1974">
        <v>2</v>
      </c>
      <c r="D1974" t="str">
        <f t="shared" si="69"/>
        <v>02</v>
      </c>
      <c r="E1974" t="str">
        <f>VLOOKUP(B1974,'HOGARES-ENDLINE'!$A:$B,2,FALSE)</f>
        <v>01010922</v>
      </c>
      <c r="F1974" s="6" t="str">
        <f t="shared" si="70"/>
        <v>0101092202</v>
      </c>
    </row>
    <row r="1975" spans="1:6" x14ac:dyDescent="0.3">
      <c r="A1975" s="6" t="s">
        <v>3178</v>
      </c>
      <c r="B1975">
        <v>43973029</v>
      </c>
      <c r="C1975">
        <v>1</v>
      </c>
      <c r="D1975" t="str">
        <f t="shared" si="69"/>
        <v>01</v>
      </c>
      <c r="E1975" t="str">
        <f>VLOOKUP(B1975,'HOGARES-ENDLINE'!$A:$B,2,FALSE)</f>
        <v>01010922</v>
      </c>
      <c r="F1975" s="6" t="str">
        <f t="shared" si="70"/>
        <v>0101092201</v>
      </c>
    </row>
    <row r="1976" spans="1:6" x14ac:dyDescent="0.3">
      <c r="A1976" s="6" t="s">
        <v>3174</v>
      </c>
      <c r="B1976">
        <v>43973029</v>
      </c>
      <c r="C1976">
        <v>3</v>
      </c>
      <c r="D1976" t="str">
        <f t="shared" si="69"/>
        <v>03</v>
      </c>
      <c r="E1976" t="str">
        <f>VLOOKUP(B1976,'HOGARES-ENDLINE'!$A:$B,2,FALSE)</f>
        <v>01010922</v>
      </c>
      <c r="F1976" s="6" t="str">
        <f t="shared" si="70"/>
        <v>0101092203</v>
      </c>
    </row>
    <row r="1977" spans="1:6" x14ac:dyDescent="0.3">
      <c r="A1977" s="6" t="s">
        <v>3181</v>
      </c>
      <c r="B1977">
        <v>43991863</v>
      </c>
      <c r="C1977">
        <v>4</v>
      </c>
      <c r="D1977" t="str">
        <f t="shared" si="69"/>
        <v>04</v>
      </c>
      <c r="E1977" t="str">
        <f>VLOOKUP(B1977,'HOGARES-ENDLINE'!$A:$B,2,FALSE)</f>
        <v>00010923</v>
      </c>
      <c r="F1977" s="6" t="str">
        <f t="shared" si="70"/>
        <v>0001092304</v>
      </c>
    </row>
    <row r="1978" spans="1:6" x14ac:dyDescent="0.3">
      <c r="A1978" s="6" t="s">
        <v>3185</v>
      </c>
      <c r="B1978">
        <v>43991863</v>
      </c>
      <c r="C1978">
        <v>1</v>
      </c>
      <c r="D1978" t="str">
        <f t="shared" si="69"/>
        <v>01</v>
      </c>
      <c r="E1978" t="str">
        <f>VLOOKUP(B1978,'HOGARES-ENDLINE'!$A:$B,2,FALSE)</f>
        <v>00010923</v>
      </c>
      <c r="F1978" s="6" t="str">
        <f t="shared" si="70"/>
        <v>0001092301</v>
      </c>
    </row>
    <row r="1979" spans="1:6" x14ac:dyDescent="0.3">
      <c r="A1979" s="6" t="s">
        <v>3182</v>
      </c>
      <c r="B1979">
        <v>43991863</v>
      </c>
      <c r="C1979">
        <v>2</v>
      </c>
      <c r="D1979" t="str">
        <f t="shared" si="69"/>
        <v>02</v>
      </c>
      <c r="E1979" t="str">
        <f>VLOOKUP(B1979,'HOGARES-ENDLINE'!$A:$B,2,FALSE)</f>
        <v>00010923</v>
      </c>
      <c r="F1979" s="6" t="str">
        <f t="shared" si="70"/>
        <v>0001092302</v>
      </c>
    </row>
    <row r="1980" spans="1:6" x14ac:dyDescent="0.3">
      <c r="A1980" s="6" t="s">
        <v>3191</v>
      </c>
      <c r="B1980">
        <v>43997530</v>
      </c>
      <c r="C1980">
        <v>4</v>
      </c>
      <c r="D1980" t="str">
        <f t="shared" ref="D1980:D2043" si="71">_xlfn.CONCAT(0,C1980)</f>
        <v>04</v>
      </c>
      <c r="E1980" t="str">
        <f>VLOOKUP(B1980,'HOGARES-ENDLINE'!$A:$B,2,FALSE)</f>
        <v>00010924</v>
      </c>
      <c r="F1980" s="6" t="str">
        <f t="shared" si="70"/>
        <v>0001092404</v>
      </c>
    </row>
    <row r="1981" spans="1:6" x14ac:dyDescent="0.3">
      <c r="A1981" s="6" t="s">
        <v>3189</v>
      </c>
      <c r="B1981">
        <v>43997530</v>
      </c>
      <c r="C1981">
        <v>6</v>
      </c>
      <c r="D1981" t="str">
        <f t="shared" si="71"/>
        <v>06</v>
      </c>
      <c r="E1981" t="str">
        <f>VLOOKUP(B1981,'HOGARES-ENDLINE'!$A:$B,2,FALSE)</f>
        <v>00010924</v>
      </c>
      <c r="F1981" s="6" t="str">
        <f t="shared" si="70"/>
        <v>0001092406</v>
      </c>
    </row>
    <row r="1982" spans="1:6" x14ac:dyDescent="0.3">
      <c r="A1982" s="6" t="s">
        <v>3190</v>
      </c>
      <c r="B1982">
        <v>43997530</v>
      </c>
      <c r="C1982">
        <v>7</v>
      </c>
      <c r="D1982" t="str">
        <f t="shared" si="71"/>
        <v>07</v>
      </c>
      <c r="E1982" t="str">
        <f>VLOOKUP(B1982,'HOGARES-ENDLINE'!$A:$B,2,FALSE)</f>
        <v>00010924</v>
      </c>
      <c r="F1982" s="6" t="str">
        <f t="shared" si="70"/>
        <v>0001092407</v>
      </c>
    </row>
    <row r="1983" spans="1:6" x14ac:dyDescent="0.3">
      <c r="A1983" s="6" t="s">
        <v>3192</v>
      </c>
      <c r="B1983">
        <v>43997530</v>
      </c>
      <c r="C1983">
        <v>5</v>
      </c>
      <c r="D1983" t="str">
        <f t="shared" si="71"/>
        <v>05</v>
      </c>
      <c r="E1983" t="str">
        <f>VLOOKUP(B1983,'HOGARES-ENDLINE'!$A:$B,2,FALSE)</f>
        <v>00010924</v>
      </c>
      <c r="F1983" s="6" t="str">
        <f t="shared" si="70"/>
        <v>0001092405</v>
      </c>
    </row>
    <row r="1984" spans="1:6" x14ac:dyDescent="0.3">
      <c r="A1984" s="6" t="s">
        <v>3186</v>
      </c>
      <c r="B1984">
        <v>43997530</v>
      </c>
      <c r="C1984">
        <v>3</v>
      </c>
      <c r="D1984" t="str">
        <f t="shared" si="71"/>
        <v>03</v>
      </c>
      <c r="E1984" t="str">
        <f>VLOOKUP(B1984,'HOGARES-ENDLINE'!$A:$B,2,FALSE)</f>
        <v>00010924</v>
      </c>
      <c r="F1984" s="6" t="str">
        <f t="shared" si="70"/>
        <v>0001092403</v>
      </c>
    </row>
    <row r="1985" spans="1:6" x14ac:dyDescent="0.3">
      <c r="A1985" s="6" t="s">
        <v>3194</v>
      </c>
      <c r="B1985">
        <v>44002874</v>
      </c>
      <c r="C1985">
        <v>1</v>
      </c>
      <c r="D1985" t="str">
        <f t="shared" si="71"/>
        <v>01</v>
      </c>
      <c r="E1985" t="str">
        <f>VLOOKUP(B1985,'HOGARES-ENDLINE'!$A:$B,2,FALSE)</f>
        <v>00010925</v>
      </c>
      <c r="F1985" s="6" t="str">
        <f t="shared" si="70"/>
        <v>0001092501</v>
      </c>
    </row>
    <row r="1986" spans="1:6" x14ac:dyDescent="0.3">
      <c r="A1986" s="6" t="s">
        <v>3195</v>
      </c>
      <c r="B1986">
        <v>44002874</v>
      </c>
      <c r="C1986">
        <v>2</v>
      </c>
      <c r="D1986" t="str">
        <f t="shared" si="71"/>
        <v>02</v>
      </c>
      <c r="E1986" t="str">
        <f>VLOOKUP(B1986,'HOGARES-ENDLINE'!$A:$B,2,FALSE)</f>
        <v>00010925</v>
      </c>
      <c r="F1986" s="6" t="str">
        <f t="shared" si="70"/>
        <v>0001092502</v>
      </c>
    </row>
    <row r="1987" spans="1:6" x14ac:dyDescent="0.3">
      <c r="A1987" s="6" t="s">
        <v>3193</v>
      </c>
      <c r="B1987">
        <v>44002874</v>
      </c>
      <c r="C1987">
        <v>3</v>
      </c>
      <c r="D1987" t="str">
        <f t="shared" si="71"/>
        <v>03</v>
      </c>
      <c r="E1987" t="str">
        <f>VLOOKUP(B1987,'HOGARES-ENDLINE'!$A:$B,2,FALSE)</f>
        <v>00010925</v>
      </c>
      <c r="F1987" s="6" t="str">
        <f t="shared" ref="F1987:F2050" si="72">_xlfn.CONCAT(E1987,D1987)</f>
        <v>0001092503</v>
      </c>
    </row>
    <row r="1988" spans="1:6" x14ac:dyDescent="0.3">
      <c r="A1988" s="6" t="s">
        <v>3199</v>
      </c>
      <c r="B1988">
        <v>44003061</v>
      </c>
      <c r="C1988">
        <v>1</v>
      </c>
      <c r="D1988" t="str">
        <f t="shared" si="71"/>
        <v>01</v>
      </c>
      <c r="E1988" t="str">
        <f>VLOOKUP(B1988,'HOGARES-ENDLINE'!$A:$B,2,FALSE)</f>
        <v>01010926</v>
      </c>
      <c r="F1988" s="6" t="str">
        <f t="shared" si="72"/>
        <v>0101092601</v>
      </c>
    </row>
    <row r="1989" spans="1:6" x14ac:dyDescent="0.3">
      <c r="A1989" s="6" t="s">
        <v>3200</v>
      </c>
      <c r="B1989">
        <v>44008242</v>
      </c>
      <c r="C1989">
        <v>4</v>
      </c>
      <c r="D1989" t="str">
        <f t="shared" si="71"/>
        <v>04</v>
      </c>
      <c r="E1989" t="str">
        <f>VLOOKUP(B1989,'HOGARES-ENDLINE'!$A:$B,2,FALSE)</f>
        <v>00010927</v>
      </c>
      <c r="F1989" s="6" t="str">
        <f t="shared" si="72"/>
        <v>0001092704</v>
      </c>
    </row>
    <row r="1990" spans="1:6" x14ac:dyDescent="0.3">
      <c r="A1990" s="6" t="s">
        <v>3203</v>
      </c>
      <c r="B1990">
        <v>44008242</v>
      </c>
      <c r="C1990">
        <v>3</v>
      </c>
      <c r="D1990" t="str">
        <f t="shared" si="71"/>
        <v>03</v>
      </c>
      <c r="E1990" t="str">
        <f>VLOOKUP(B1990,'HOGARES-ENDLINE'!$A:$B,2,FALSE)</f>
        <v>00010927</v>
      </c>
      <c r="F1990" s="6" t="str">
        <f t="shared" si="72"/>
        <v>0001092703</v>
      </c>
    </row>
    <row r="1991" spans="1:6" x14ac:dyDescent="0.3">
      <c r="A1991" s="6" t="s">
        <v>3202</v>
      </c>
      <c r="B1991">
        <v>44008242</v>
      </c>
      <c r="C1991">
        <v>1</v>
      </c>
      <c r="D1991" t="str">
        <f t="shared" si="71"/>
        <v>01</v>
      </c>
      <c r="E1991" t="str">
        <f>VLOOKUP(B1991,'HOGARES-ENDLINE'!$A:$B,2,FALSE)</f>
        <v>00010927</v>
      </c>
      <c r="F1991" s="6" t="str">
        <f t="shared" si="72"/>
        <v>0001092701</v>
      </c>
    </row>
    <row r="1992" spans="1:6" x14ac:dyDescent="0.3">
      <c r="A1992" s="6" t="s">
        <v>3204</v>
      </c>
      <c r="B1992">
        <v>44150186</v>
      </c>
      <c r="C1992">
        <v>1</v>
      </c>
      <c r="D1992" t="str">
        <f t="shared" si="71"/>
        <v>01</v>
      </c>
      <c r="E1992" t="str">
        <f>VLOOKUP(B1992,'HOGARES-ENDLINE'!$A:$B,2,FALSE)</f>
        <v>00030928</v>
      </c>
      <c r="F1992" s="6" t="str">
        <f t="shared" si="72"/>
        <v>0003092801</v>
      </c>
    </row>
    <row r="1993" spans="1:6" x14ac:dyDescent="0.3">
      <c r="A1993" s="6" t="s">
        <v>3207</v>
      </c>
      <c r="B1993">
        <v>44158176</v>
      </c>
      <c r="C1993">
        <v>4</v>
      </c>
      <c r="D1993" t="str">
        <f t="shared" si="71"/>
        <v>04</v>
      </c>
      <c r="E1993" t="str">
        <f>VLOOKUP(B1993,'HOGARES-ENDLINE'!$A:$B,2,FALSE)</f>
        <v>00030929</v>
      </c>
      <c r="F1993" s="6" t="str">
        <f t="shared" si="72"/>
        <v>0003092904</v>
      </c>
    </row>
    <row r="1994" spans="1:6" x14ac:dyDescent="0.3">
      <c r="A1994" s="6" t="s">
        <v>3206</v>
      </c>
      <c r="B1994">
        <v>44158176</v>
      </c>
      <c r="C1994">
        <v>5</v>
      </c>
      <c r="D1994" t="str">
        <f t="shared" si="71"/>
        <v>05</v>
      </c>
      <c r="E1994" t="str">
        <f>VLOOKUP(B1994,'HOGARES-ENDLINE'!$A:$B,2,FALSE)</f>
        <v>00030929</v>
      </c>
      <c r="F1994" s="6" t="str">
        <f t="shared" si="72"/>
        <v>0003092905</v>
      </c>
    </row>
    <row r="1995" spans="1:6" x14ac:dyDescent="0.3">
      <c r="A1995" s="6" t="s">
        <v>3205</v>
      </c>
      <c r="B1995">
        <v>44158176</v>
      </c>
      <c r="C1995">
        <v>2</v>
      </c>
      <c r="D1995" t="str">
        <f t="shared" si="71"/>
        <v>02</v>
      </c>
      <c r="E1995" t="str">
        <f>VLOOKUP(B1995,'HOGARES-ENDLINE'!$A:$B,2,FALSE)</f>
        <v>00030929</v>
      </c>
      <c r="F1995" s="6" t="str">
        <f t="shared" si="72"/>
        <v>0003092902</v>
      </c>
    </row>
    <row r="1996" spans="1:6" x14ac:dyDescent="0.3">
      <c r="A1996" s="6" t="s">
        <v>3209</v>
      </c>
      <c r="B1996">
        <v>44158176</v>
      </c>
      <c r="C1996">
        <v>3</v>
      </c>
      <c r="D1996" t="str">
        <f t="shared" si="71"/>
        <v>03</v>
      </c>
      <c r="E1996" t="str">
        <f>VLOOKUP(B1996,'HOGARES-ENDLINE'!$A:$B,2,FALSE)</f>
        <v>00030929</v>
      </c>
      <c r="F1996" s="6" t="str">
        <f t="shared" si="72"/>
        <v>0003092903</v>
      </c>
    </row>
    <row r="1997" spans="1:6" x14ac:dyDescent="0.3">
      <c r="A1997" s="6" t="s">
        <v>3208</v>
      </c>
      <c r="B1997">
        <v>44158176</v>
      </c>
      <c r="C1997">
        <v>1</v>
      </c>
      <c r="D1997" t="str">
        <f t="shared" si="71"/>
        <v>01</v>
      </c>
      <c r="E1997" t="str">
        <f>VLOOKUP(B1997,'HOGARES-ENDLINE'!$A:$B,2,FALSE)</f>
        <v>00030929</v>
      </c>
      <c r="F1997" s="6" t="str">
        <f t="shared" si="72"/>
        <v>0003092901</v>
      </c>
    </row>
    <row r="1998" spans="1:6" x14ac:dyDescent="0.3">
      <c r="A1998" s="6" t="s">
        <v>3210</v>
      </c>
      <c r="B1998">
        <v>45465247</v>
      </c>
      <c r="C1998">
        <v>2</v>
      </c>
      <c r="D1998" t="str">
        <f t="shared" si="71"/>
        <v>02</v>
      </c>
      <c r="E1998" t="str">
        <f>VLOOKUP(B1998,'HOGARES-ENDLINE'!$A:$B,2,FALSE)</f>
        <v>00030930</v>
      </c>
      <c r="F1998" s="6" t="str">
        <f t="shared" si="72"/>
        <v>0003093002</v>
      </c>
    </row>
    <row r="1999" spans="1:6" x14ac:dyDescent="0.3">
      <c r="A1999" s="6" t="s">
        <v>3211</v>
      </c>
      <c r="B1999">
        <v>45465247</v>
      </c>
      <c r="C1999">
        <v>3</v>
      </c>
      <c r="D1999" t="str">
        <f t="shared" si="71"/>
        <v>03</v>
      </c>
      <c r="E1999" t="str">
        <f>VLOOKUP(B1999,'HOGARES-ENDLINE'!$A:$B,2,FALSE)</f>
        <v>00030930</v>
      </c>
      <c r="F1999" s="6" t="str">
        <f t="shared" si="72"/>
        <v>0003093003</v>
      </c>
    </row>
    <row r="2000" spans="1:6" x14ac:dyDescent="0.3">
      <c r="A2000" s="6" t="s">
        <v>3212</v>
      </c>
      <c r="B2000">
        <v>45465247</v>
      </c>
      <c r="C2000">
        <v>1</v>
      </c>
      <c r="D2000" t="str">
        <f t="shared" si="71"/>
        <v>01</v>
      </c>
      <c r="E2000" t="str">
        <f>VLOOKUP(B2000,'HOGARES-ENDLINE'!$A:$B,2,FALSE)</f>
        <v>00030930</v>
      </c>
      <c r="F2000" s="6" t="str">
        <f t="shared" si="72"/>
        <v>0003093001</v>
      </c>
    </row>
    <row r="2001" spans="1:6" x14ac:dyDescent="0.3">
      <c r="A2001" s="6" t="s">
        <v>3215</v>
      </c>
      <c r="B2001">
        <v>45509337</v>
      </c>
      <c r="C2001">
        <v>2</v>
      </c>
      <c r="D2001" t="str">
        <f t="shared" si="71"/>
        <v>02</v>
      </c>
      <c r="E2001" t="str">
        <f>VLOOKUP(B2001,'HOGARES-ENDLINE'!$A:$B,2,FALSE)</f>
        <v>00010931</v>
      </c>
      <c r="F2001" s="6" t="str">
        <f t="shared" si="72"/>
        <v>0001093102</v>
      </c>
    </row>
    <row r="2002" spans="1:6" x14ac:dyDescent="0.3">
      <c r="A2002" s="6" t="s">
        <v>3213</v>
      </c>
      <c r="B2002">
        <v>45509337</v>
      </c>
      <c r="C2002">
        <v>5</v>
      </c>
      <c r="D2002" t="str">
        <f t="shared" si="71"/>
        <v>05</v>
      </c>
      <c r="E2002" t="str">
        <f>VLOOKUP(B2002,'HOGARES-ENDLINE'!$A:$B,2,FALSE)</f>
        <v>00010931</v>
      </c>
      <c r="F2002" s="6" t="str">
        <f t="shared" si="72"/>
        <v>0001093105</v>
      </c>
    </row>
    <row r="2003" spans="1:6" x14ac:dyDescent="0.3">
      <c r="A2003" s="6" t="s">
        <v>3217</v>
      </c>
      <c r="B2003">
        <v>45509337</v>
      </c>
      <c r="C2003">
        <v>3</v>
      </c>
      <c r="D2003" t="str">
        <f t="shared" si="71"/>
        <v>03</v>
      </c>
      <c r="E2003" t="str">
        <f>VLOOKUP(B2003,'HOGARES-ENDLINE'!$A:$B,2,FALSE)</f>
        <v>00010931</v>
      </c>
      <c r="F2003" s="6" t="str">
        <f t="shared" si="72"/>
        <v>0001093103</v>
      </c>
    </row>
    <row r="2004" spans="1:6" x14ac:dyDescent="0.3">
      <c r="A2004" s="6" t="s">
        <v>3216</v>
      </c>
      <c r="B2004">
        <v>45509337</v>
      </c>
      <c r="C2004">
        <v>1</v>
      </c>
      <c r="D2004" t="str">
        <f t="shared" si="71"/>
        <v>01</v>
      </c>
      <c r="E2004" t="str">
        <f>VLOOKUP(B2004,'HOGARES-ENDLINE'!$A:$B,2,FALSE)</f>
        <v>00010931</v>
      </c>
      <c r="F2004" s="6" t="str">
        <f t="shared" si="72"/>
        <v>0001093101</v>
      </c>
    </row>
    <row r="2005" spans="1:6" x14ac:dyDescent="0.3">
      <c r="A2005" s="6" t="s">
        <v>3214</v>
      </c>
      <c r="B2005">
        <v>45509337</v>
      </c>
      <c r="C2005">
        <v>6</v>
      </c>
      <c r="D2005" t="str">
        <f t="shared" si="71"/>
        <v>06</v>
      </c>
      <c r="E2005" t="str">
        <f>VLOOKUP(B2005,'HOGARES-ENDLINE'!$A:$B,2,FALSE)</f>
        <v>00010931</v>
      </c>
      <c r="F2005" s="6" t="str">
        <f t="shared" si="72"/>
        <v>0001093106</v>
      </c>
    </row>
    <row r="2006" spans="1:6" x14ac:dyDescent="0.3">
      <c r="A2006" s="6" t="s">
        <v>3221</v>
      </c>
      <c r="B2006">
        <v>45578869</v>
      </c>
      <c r="C2006">
        <v>2</v>
      </c>
      <c r="D2006" t="str">
        <f t="shared" si="71"/>
        <v>02</v>
      </c>
      <c r="E2006" t="str">
        <f>VLOOKUP(B2006,'HOGARES-ENDLINE'!$A:$B,2,FALSE)</f>
        <v>01030932</v>
      </c>
      <c r="F2006" s="6" t="str">
        <f t="shared" si="72"/>
        <v>0103093202</v>
      </c>
    </row>
    <row r="2007" spans="1:6" x14ac:dyDescent="0.3">
      <c r="A2007" s="6" t="s">
        <v>3223</v>
      </c>
      <c r="B2007">
        <v>45584758</v>
      </c>
      <c r="C2007">
        <v>1</v>
      </c>
      <c r="D2007" t="str">
        <f t="shared" si="71"/>
        <v>01</v>
      </c>
      <c r="E2007" t="str">
        <f>VLOOKUP(B2007,'HOGARES-ENDLINE'!$A:$B,2,FALSE)</f>
        <v>01030933</v>
      </c>
      <c r="F2007" s="6" t="str">
        <f t="shared" si="72"/>
        <v>0103093301</v>
      </c>
    </row>
    <row r="2008" spans="1:6" x14ac:dyDescent="0.3">
      <c r="A2008" s="6" t="s">
        <v>3234</v>
      </c>
      <c r="B2008">
        <v>48571448</v>
      </c>
      <c r="C2008">
        <v>2</v>
      </c>
      <c r="D2008" t="str">
        <f t="shared" si="71"/>
        <v>02</v>
      </c>
      <c r="E2008" t="str">
        <f>VLOOKUP(B2008,'HOGARES-ENDLINE'!$A:$B,2,FALSE)</f>
        <v>00020938</v>
      </c>
      <c r="F2008" s="6" t="str">
        <f t="shared" si="72"/>
        <v>0002093802</v>
      </c>
    </row>
    <row r="2009" spans="1:6" x14ac:dyDescent="0.3">
      <c r="A2009" s="6" t="s">
        <v>3235</v>
      </c>
      <c r="B2009">
        <v>48571448</v>
      </c>
      <c r="C2009">
        <v>1</v>
      </c>
      <c r="D2009" t="str">
        <f t="shared" si="71"/>
        <v>01</v>
      </c>
      <c r="E2009" t="str">
        <f>VLOOKUP(B2009,'HOGARES-ENDLINE'!$A:$B,2,FALSE)</f>
        <v>00020938</v>
      </c>
      <c r="F2009" s="6" t="str">
        <f t="shared" si="72"/>
        <v>0002093801</v>
      </c>
    </row>
    <row r="2010" spans="1:6" x14ac:dyDescent="0.3">
      <c r="A2010" s="6" t="s">
        <v>3236</v>
      </c>
      <c r="B2010">
        <v>48612619</v>
      </c>
      <c r="C2010">
        <v>1</v>
      </c>
      <c r="D2010" t="str">
        <f t="shared" si="71"/>
        <v>01</v>
      </c>
      <c r="E2010" t="str">
        <f>VLOOKUP(B2010,'HOGARES-ENDLINE'!$A:$B,2,FALSE)</f>
        <v>01020939</v>
      </c>
      <c r="F2010" s="6" t="str">
        <f t="shared" si="72"/>
        <v>0102093901</v>
      </c>
    </row>
    <row r="2011" spans="1:6" x14ac:dyDescent="0.3">
      <c r="A2011" s="6" t="s">
        <v>3237</v>
      </c>
      <c r="B2011">
        <v>48614162</v>
      </c>
      <c r="C2011">
        <v>1</v>
      </c>
      <c r="D2011" t="str">
        <f t="shared" si="71"/>
        <v>01</v>
      </c>
      <c r="E2011" t="str">
        <f>VLOOKUP(B2011,'HOGARES-ENDLINE'!$A:$B,2,FALSE)</f>
        <v>01020940</v>
      </c>
      <c r="F2011" s="6" t="str">
        <f t="shared" si="72"/>
        <v>0102094001</v>
      </c>
    </row>
    <row r="2012" spans="1:6" x14ac:dyDescent="0.3">
      <c r="A2012" s="6" t="s">
        <v>3246</v>
      </c>
      <c r="B2012">
        <v>49670234</v>
      </c>
      <c r="C2012">
        <v>1</v>
      </c>
      <c r="D2012" t="str">
        <f t="shared" si="71"/>
        <v>01</v>
      </c>
      <c r="E2012" t="str">
        <f>VLOOKUP(B2012,'HOGARES-ENDLINE'!$A:$B,2,FALSE)</f>
        <v>01010941</v>
      </c>
      <c r="F2012" s="6" t="str">
        <f t="shared" si="72"/>
        <v>0101094101</v>
      </c>
    </row>
    <row r="2013" spans="1:6" x14ac:dyDescent="0.3">
      <c r="A2013" s="6" t="s">
        <v>3249</v>
      </c>
      <c r="B2013">
        <v>49691954</v>
      </c>
      <c r="C2013">
        <v>1</v>
      </c>
      <c r="D2013" t="str">
        <f t="shared" si="71"/>
        <v>01</v>
      </c>
      <c r="E2013" t="str">
        <f>VLOOKUP(B2013,'HOGARES-ENDLINE'!$A:$B,2,FALSE)</f>
        <v>01010942</v>
      </c>
      <c r="F2013" s="6" t="str">
        <f t="shared" si="72"/>
        <v>0101094201</v>
      </c>
    </row>
    <row r="2014" spans="1:6" x14ac:dyDescent="0.3">
      <c r="A2014" s="6" t="s">
        <v>3253</v>
      </c>
      <c r="B2014">
        <v>50947411</v>
      </c>
      <c r="C2014">
        <v>3</v>
      </c>
      <c r="D2014" t="str">
        <f t="shared" si="71"/>
        <v>03</v>
      </c>
      <c r="E2014" t="str">
        <f>VLOOKUP(B2014,'HOGARES-ENDLINE'!$A:$B,2,FALSE)</f>
        <v>01010944</v>
      </c>
      <c r="F2014" s="6" t="str">
        <f t="shared" si="72"/>
        <v>0101094403</v>
      </c>
    </row>
    <row r="2015" spans="1:6" x14ac:dyDescent="0.3">
      <c r="A2015" s="6" t="s">
        <v>3251</v>
      </c>
      <c r="B2015">
        <v>50947411</v>
      </c>
      <c r="C2015">
        <v>2</v>
      </c>
      <c r="D2015" t="str">
        <f t="shared" si="71"/>
        <v>02</v>
      </c>
      <c r="E2015" t="str">
        <f>VLOOKUP(B2015,'HOGARES-ENDLINE'!$A:$B,2,FALSE)</f>
        <v>01010944</v>
      </c>
      <c r="F2015" s="6" t="str">
        <f t="shared" si="72"/>
        <v>0101094402</v>
      </c>
    </row>
    <row r="2016" spans="1:6" x14ac:dyDescent="0.3">
      <c r="A2016" s="6" t="s">
        <v>3252</v>
      </c>
      <c r="B2016">
        <v>50947411</v>
      </c>
      <c r="C2016">
        <v>1</v>
      </c>
      <c r="D2016" t="str">
        <f t="shared" si="71"/>
        <v>01</v>
      </c>
      <c r="E2016" t="str">
        <f>VLOOKUP(B2016,'HOGARES-ENDLINE'!$A:$B,2,FALSE)</f>
        <v>01010944</v>
      </c>
      <c r="F2016" s="6" t="str">
        <f t="shared" si="72"/>
        <v>0101094401</v>
      </c>
    </row>
    <row r="2017" spans="1:6" x14ac:dyDescent="0.3">
      <c r="A2017" s="6" t="s">
        <v>3258</v>
      </c>
      <c r="B2017">
        <v>52136819</v>
      </c>
      <c r="C2017">
        <v>3</v>
      </c>
      <c r="D2017" t="str">
        <f t="shared" si="71"/>
        <v>03</v>
      </c>
      <c r="E2017" t="str">
        <f>VLOOKUP(B2017,'HOGARES-ENDLINE'!$A:$B,2,FALSE)</f>
        <v>01030946</v>
      </c>
      <c r="F2017" s="6" t="str">
        <f t="shared" si="72"/>
        <v>0103094603</v>
      </c>
    </row>
    <row r="2018" spans="1:6" x14ac:dyDescent="0.3">
      <c r="A2018" s="6" t="s">
        <v>3259</v>
      </c>
      <c r="B2018">
        <v>52136819</v>
      </c>
      <c r="C2018">
        <v>1</v>
      </c>
      <c r="D2018" t="str">
        <f t="shared" si="71"/>
        <v>01</v>
      </c>
      <c r="E2018" t="str">
        <f>VLOOKUP(B2018,'HOGARES-ENDLINE'!$A:$B,2,FALSE)</f>
        <v>01030946</v>
      </c>
      <c r="F2018" s="6" t="str">
        <f t="shared" si="72"/>
        <v>0103094601</v>
      </c>
    </row>
    <row r="2019" spans="1:6" x14ac:dyDescent="0.3">
      <c r="A2019" s="6" t="s">
        <v>3257</v>
      </c>
      <c r="B2019">
        <v>52136819</v>
      </c>
      <c r="C2019">
        <v>2</v>
      </c>
      <c r="D2019" t="str">
        <f t="shared" si="71"/>
        <v>02</v>
      </c>
      <c r="E2019" t="str">
        <f>VLOOKUP(B2019,'HOGARES-ENDLINE'!$A:$B,2,FALSE)</f>
        <v>01030946</v>
      </c>
      <c r="F2019" s="6" t="str">
        <f t="shared" si="72"/>
        <v>0103094602</v>
      </c>
    </row>
    <row r="2020" spans="1:6" x14ac:dyDescent="0.3">
      <c r="A2020" s="6" t="s">
        <v>3265</v>
      </c>
      <c r="B2020">
        <v>55221885</v>
      </c>
      <c r="C2020">
        <v>3</v>
      </c>
      <c r="D2020" t="str">
        <f t="shared" si="71"/>
        <v>03</v>
      </c>
      <c r="E2020" t="str">
        <f>VLOOKUP(B2020,'HOGARES-ENDLINE'!$A:$B,2,FALSE)</f>
        <v>00030948</v>
      </c>
      <c r="F2020" s="6" t="str">
        <f t="shared" si="72"/>
        <v>0003094803</v>
      </c>
    </row>
    <row r="2021" spans="1:6" x14ac:dyDescent="0.3">
      <c r="A2021" s="6" t="s">
        <v>3269</v>
      </c>
      <c r="B2021">
        <v>55221885</v>
      </c>
      <c r="C2021">
        <v>4</v>
      </c>
      <c r="D2021" t="str">
        <f t="shared" si="71"/>
        <v>04</v>
      </c>
      <c r="E2021" t="str">
        <f>VLOOKUP(B2021,'HOGARES-ENDLINE'!$A:$B,2,FALSE)</f>
        <v>00030948</v>
      </c>
      <c r="F2021" s="6" t="str">
        <f t="shared" si="72"/>
        <v>0003094804</v>
      </c>
    </row>
    <row r="2022" spans="1:6" x14ac:dyDescent="0.3">
      <c r="A2022" s="6" t="s">
        <v>3268</v>
      </c>
      <c r="B2022">
        <v>55221885</v>
      </c>
      <c r="C2022">
        <v>5</v>
      </c>
      <c r="D2022" t="str">
        <f t="shared" si="71"/>
        <v>05</v>
      </c>
      <c r="E2022" t="str">
        <f>VLOOKUP(B2022,'HOGARES-ENDLINE'!$A:$B,2,FALSE)</f>
        <v>00030948</v>
      </c>
      <c r="F2022" s="6" t="str">
        <f t="shared" si="72"/>
        <v>0003094805</v>
      </c>
    </row>
    <row r="2023" spans="1:6" x14ac:dyDescent="0.3">
      <c r="A2023" s="6" t="s">
        <v>3267</v>
      </c>
      <c r="B2023">
        <v>55221885</v>
      </c>
      <c r="C2023">
        <v>6</v>
      </c>
      <c r="D2023" t="str">
        <f t="shared" si="71"/>
        <v>06</v>
      </c>
      <c r="E2023" t="str">
        <f>VLOOKUP(B2023,'HOGARES-ENDLINE'!$A:$B,2,FALSE)</f>
        <v>00030948</v>
      </c>
      <c r="F2023" s="6" t="str">
        <f t="shared" si="72"/>
        <v>0003094806</v>
      </c>
    </row>
    <row r="2024" spans="1:6" x14ac:dyDescent="0.3">
      <c r="A2024" s="6" t="s">
        <v>3263</v>
      </c>
      <c r="B2024">
        <v>55221885</v>
      </c>
      <c r="C2024">
        <v>1</v>
      </c>
      <c r="D2024" t="str">
        <f t="shared" si="71"/>
        <v>01</v>
      </c>
      <c r="E2024" t="str">
        <f>VLOOKUP(B2024,'HOGARES-ENDLINE'!$A:$B,2,FALSE)</f>
        <v>00030948</v>
      </c>
      <c r="F2024" s="6" t="str">
        <f t="shared" si="72"/>
        <v>0003094801</v>
      </c>
    </row>
    <row r="2025" spans="1:6" x14ac:dyDescent="0.3">
      <c r="A2025" s="6" t="s">
        <v>3274</v>
      </c>
      <c r="B2025">
        <v>55226186</v>
      </c>
      <c r="C2025">
        <v>4</v>
      </c>
      <c r="D2025" t="str">
        <f t="shared" si="71"/>
        <v>04</v>
      </c>
      <c r="E2025" t="str">
        <f>VLOOKUP(B2025,'HOGARES-ENDLINE'!$A:$B,2,FALSE)</f>
        <v>00030949</v>
      </c>
      <c r="F2025" s="6" t="str">
        <f t="shared" si="72"/>
        <v>0003094904</v>
      </c>
    </row>
    <row r="2026" spans="1:6" x14ac:dyDescent="0.3">
      <c r="A2026" s="6" t="s">
        <v>3275</v>
      </c>
      <c r="B2026">
        <v>55226186</v>
      </c>
      <c r="C2026">
        <v>2</v>
      </c>
      <c r="D2026" t="str">
        <f t="shared" si="71"/>
        <v>02</v>
      </c>
      <c r="E2026" t="str">
        <f>VLOOKUP(B2026,'HOGARES-ENDLINE'!$A:$B,2,FALSE)</f>
        <v>00030949</v>
      </c>
      <c r="F2026" s="6" t="str">
        <f t="shared" si="72"/>
        <v>0003094902</v>
      </c>
    </row>
    <row r="2027" spans="1:6" x14ac:dyDescent="0.3">
      <c r="A2027" s="6" t="s">
        <v>3280</v>
      </c>
      <c r="B2027">
        <v>55228378</v>
      </c>
      <c r="C2027">
        <v>1</v>
      </c>
      <c r="D2027" t="str">
        <f t="shared" si="71"/>
        <v>01</v>
      </c>
      <c r="E2027" t="str">
        <f>VLOOKUP(B2027,'HOGARES-ENDLINE'!$A:$B,2,FALSE)</f>
        <v>00030950</v>
      </c>
      <c r="F2027" s="6" t="str">
        <f t="shared" si="72"/>
        <v>0003095001</v>
      </c>
    </row>
    <row r="2028" spans="1:6" x14ac:dyDescent="0.3">
      <c r="A2028" s="6" t="s">
        <v>3279</v>
      </c>
      <c r="B2028">
        <v>55228378</v>
      </c>
      <c r="C2028">
        <v>3</v>
      </c>
      <c r="D2028" t="str">
        <f t="shared" si="71"/>
        <v>03</v>
      </c>
      <c r="E2028" t="str">
        <f>VLOOKUP(B2028,'HOGARES-ENDLINE'!$A:$B,2,FALSE)</f>
        <v>00030950</v>
      </c>
      <c r="F2028" s="6" t="str">
        <f t="shared" si="72"/>
        <v>0003095003</v>
      </c>
    </row>
    <row r="2029" spans="1:6" x14ac:dyDescent="0.3">
      <c r="A2029" s="6" t="s">
        <v>3278</v>
      </c>
      <c r="B2029">
        <v>55228378</v>
      </c>
      <c r="C2029">
        <v>2</v>
      </c>
      <c r="D2029" t="str">
        <f t="shared" si="71"/>
        <v>02</v>
      </c>
      <c r="E2029" t="str">
        <f>VLOOKUP(B2029,'HOGARES-ENDLINE'!$A:$B,2,FALSE)</f>
        <v>00030950</v>
      </c>
      <c r="F2029" s="6" t="str">
        <f t="shared" si="72"/>
        <v>0003095002</v>
      </c>
    </row>
    <row r="2030" spans="1:6" x14ac:dyDescent="0.3">
      <c r="A2030" s="6" t="s">
        <v>3282</v>
      </c>
      <c r="B2030">
        <v>55231073</v>
      </c>
      <c r="C2030">
        <v>2</v>
      </c>
      <c r="D2030" t="str">
        <f t="shared" si="71"/>
        <v>02</v>
      </c>
      <c r="E2030" t="str">
        <f>VLOOKUP(B2030,'HOGARES-ENDLINE'!$A:$B,2,FALSE)</f>
        <v>01030951</v>
      </c>
      <c r="F2030" s="6" t="str">
        <f t="shared" si="72"/>
        <v>0103095102</v>
      </c>
    </row>
    <row r="2031" spans="1:6" x14ac:dyDescent="0.3">
      <c r="A2031" s="6" t="s">
        <v>3281</v>
      </c>
      <c r="B2031">
        <v>55231073</v>
      </c>
      <c r="C2031">
        <v>3</v>
      </c>
      <c r="D2031" t="str">
        <f t="shared" si="71"/>
        <v>03</v>
      </c>
      <c r="E2031" t="str">
        <f>VLOOKUP(B2031,'HOGARES-ENDLINE'!$A:$B,2,FALSE)</f>
        <v>01030951</v>
      </c>
      <c r="F2031" s="6" t="str">
        <f t="shared" si="72"/>
        <v>0103095103</v>
      </c>
    </row>
    <row r="2032" spans="1:6" x14ac:dyDescent="0.3">
      <c r="A2032" s="6" t="s">
        <v>3284</v>
      </c>
      <c r="B2032">
        <v>55231073</v>
      </c>
      <c r="C2032">
        <v>4</v>
      </c>
      <c r="D2032" t="str">
        <f t="shared" si="71"/>
        <v>04</v>
      </c>
      <c r="E2032" t="str">
        <f>VLOOKUP(B2032,'HOGARES-ENDLINE'!$A:$B,2,FALSE)</f>
        <v>01030951</v>
      </c>
      <c r="F2032" s="6" t="str">
        <f t="shared" si="72"/>
        <v>0103095104</v>
      </c>
    </row>
    <row r="2033" spans="1:6" x14ac:dyDescent="0.3">
      <c r="A2033" s="6" t="s">
        <v>3283</v>
      </c>
      <c r="B2033">
        <v>55231073</v>
      </c>
      <c r="C2033">
        <v>1</v>
      </c>
      <c r="D2033" t="str">
        <f t="shared" si="71"/>
        <v>01</v>
      </c>
      <c r="E2033" t="str">
        <f>VLOOKUP(B2033,'HOGARES-ENDLINE'!$A:$B,2,FALSE)</f>
        <v>01030951</v>
      </c>
      <c r="F2033" s="6" t="str">
        <f t="shared" si="72"/>
        <v>0103095101</v>
      </c>
    </row>
    <row r="2034" spans="1:6" x14ac:dyDescent="0.3">
      <c r="A2034" s="6" t="s">
        <v>3288</v>
      </c>
      <c r="B2034">
        <v>55232194</v>
      </c>
      <c r="C2034">
        <v>4</v>
      </c>
      <c r="D2034" t="str">
        <f t="shared" si="71"/>
        <v>04</v>
      </c>
      <c r="E2034" t="str">
        <f>VLOOKUP(B2034,'HOGARES-ENDLINE'!$A:$B,2,FALSE)</f>
        <v>00030952</v>
      </c>
      <c r="F2034" s="6" t="str">
        <f t="shared" si="72"/>
        <v>0003095204</v>
      </c>
    </row>
    <row r="2035" spans="1:6" x14ac:dyDescent="0.3">
      <c r="A2035" s="6" t="s">
        <v>3285</v>
      </c>
      <c r="B2035">
        <v>55232194</v>
      </c>
      <c r="C2035">
        <v>3</v>
      </c>
      <c r="D2035" t="str">
        <f t="shared" si="71"/>
        <v>03</v>
      </c>
      <c r="E2035" t="str">
        <f>VLOOKUP(B2035,'HOGARES-ENDLINE'!$A:$B,2,FALSE)</f>
        <v>00030952</v>
      </c>
      <c r="F2035" s="6" t="str">
        <f t="shared" si="72"/>
        <v>0003095203</v>
      </c>
    </row>
    <row r="2036" spans="1:6" x14ac:dyDescent="0.3">
      <c r="A2036" s="6" t="s">
        <v>3287</v>
      </c>
      <c r="B2036">
        <v>55232194</v>
      </c>
      <c r="C2036">
        <v>2</v>
      </c>
      <c r="D2036" t="str">
        <f t="shared" si="71"/>
        <v>02</v>
      </c>
      <c r="E2036" t="str">
        <f>VLOOKUP(B2036,'HOGARES-ENDLINE'!$A:$B,2,FALSE)</f>
        <v>00030952</v>
      </c>
      <c r="F2036" s="6" t="str">
        <f t="shared" si="72"/>
        <v>0003095202</v>
      </c>
    </row>
    <row r="2037" spans="1:6" x14ac:dyDescent="0.3">
      <c r="A2037" s="6" t="s">
        <v>3289</v>
      </c>
      <c r="B2037">
        <v>55232194</v>
      </c>
      <c r="C2037">
        <v>1</v>
      </c>
      <c r="D2037" t="str">
        <f t="shared" si="71"/>
        <v>01</v>
      </c>
      <c r="E2037" t="str">
        <f>VLOOKUP(B2037,'HOGARES-ENDLINE'!$A:$B,2,FALSE)</f>
        <v>00030952</v>
      </c>
      <c r="F2037" s="6" t="str">
        <f t="shared" si="72"/>
        <v>0003095201</v>
      </c>
    </row>
    <row r="2038" spans="1:6" x14ac:dyDescent="0.3">
      <c r="A2038" s="6" t="s">
        <v>3286</v>
      </c>
      <c r="B2038">
        <v>55232194</v>
      </c>
      <c r="C2038">
        <v>5</v>
      </c>
      <c r="D2038" t="str">
        <f t="shared" si="71"/>
        <v>05</v>
      </c>
      <c r="E2038" t="str">
        <f>VLOOKUP(B2038,'HOGARES-ENDLINE'!$A:$B,2,FALSE)</f>
        <v>00030952</v>
      </c>
      <c r="F2038" s="6" t="str">
        <f t="shared" si="72"/>
        <v>0003095205</v>
      </c>
    </row>
    <row r="2039" spans="1:6" x14ac:dyDescent="0.3">
      <c r="A2039" s="6" t="s">
        <v>3291</v>
      </c>
      <c r="B2039">
        <v>55232316</v>
      </c>
      <c r="C2039">
        <v>4</v>
      </c>
      <c r="D2039" t="str">
        <f t="shared" si="71"/>
        <v>04</v>
      </c>
      <c r="E2039" t="str">
        <f>VLOOKUP(B2039,'HOGARES-ENDLINE'!$A:$B,2,FALSE)</f>
        <v>01030953</v>
      </c>
      <c r="F2039" s="6" t="str">
        <f t="shared" si="72"/>
        <v>0103095304</v>
      </c>
    </row>
    <row r="2040" spans="1:6" x14ac:dyDescent="0.3">
      <c r="A2040" s="6" t="s">
        <v>3292</v>
      </c>
      <c r="B2040">
        <v>55232316</v>
      </c>
      <c r="C2040">
        <v>1</v>
      </c>
      <c r="D2040" t="str">
        <f t="shared" si="71"/>
        <v>01</v>
      </c>
      <c r="E2040" t="str">
        <f>VLOOKUP(B2040,'HOGARES-ENDLINE'!$A:$B,2,FALSE)</f>
        <v>01030953</v>
      </c>
      <c r="F2040" s="6" t="str">
        <f t="shared" si="72"/>
        <v>0103095301</v>
      </c>
    </row>
    <row r="2041" spans="1:6" x14ac:dyDescent="0.3">
      <c r="A2041" s="6" t="s">
        <v>3294</v>
      </c>
      <c r="B2041">
        <v>55232316</v>
      </c>
      <c r="C2041">
        <v>2</v>
      </c>
      <c r="D2041" t="str">
        <f t="shared" si="71"/>
        <v>02</v>
      </c>
      <c r="E2041" t="str">
        <f>VLOOKUP(B2041,'HOGARES-ENDLINE'!$A:$B,2,FALSE)</f>
        <v>01030953</v>
      </c>
      <c r="F2041" s="6" t="str">
        <f t="shared" si="72"/>
        <v>0103095302</v>
      </c>
    </row>
    <row r="2042" spans="1:6" x14ac:dyDescent="0.3">
      <c r="A2042" s="6" t="s">
        <v>3293</v>
      </c>
      <c r="B2042">
        <v>55232316</v>
      </c>
      <c r="C2042">
        <v>3</v>
      </c>
      <c r="D2042" t="str">
        <f t="shared" si="71"/>
        <v>03</v>
      </c>
      <c r="E2042" t="str">
        <f>VLOOKUP(B2042,'HOGARES-ENDLINE'!$A:$B,2,FALSE)</f>
        <v>01030953</v>
      </c>
      <c r="F2042" s="6" t="str">
        <f t="shared" si="72"/>
        <v>0103095303</v>
      </c>
    </row>
    <row r="2043" spans="1:6" x14ac:dyDescent="0.3">
      <c r="A2043" s="6" t="s">
        <v>3290</v>
      </c>
      <c r="B2043">
        <v>55232316</v>
      </c>
      <c r="C2043">
        <v>5</v>
      </c>
      <c r="D2043" t="str">
        <f t="shared" si="71"/>
        <v>05</v>
      </c>
      <c r="E2043" t="str">
        <f>VLOOKUP(B2043,'HOGARES-ENDLINE'!$A:$B,2,FALSE)</f>
        <v>01030953</v>
      </c>
      <c r="F2043" s="6" t="str">
        <f t="shared" si="72"/>
        <v>0103095305</v>
      </c>
    </row>
    <row r="2044" spans="1:6" x14ac:dyDescent="0.3">
      <c r="A2044" s="6" t="s">
        <v>3298</v>
      </c>
      <c r="B2044">
        <v>55240557</v>
      </c>
      <c r="C2044">
        <v>3</v>
      </c>
      <c r="D2044" t="str">
        <f t="shared" ref="D2044:D2107" si="73">_xlfn.CONCAT(0,C2044)</f>
        <v>03</v>
      </c>
      <c r="E2044" t="str">
        <f>VLOOKUP(B2044,'HOGARES-ENDLINE'!$A:$B,2,FALSE)</f>
        <v>00030954</v>
      </c>
      <c r="F2044" s="6" t="str">
        <f t="shared" si="72"/>
        <v>0003095403</v>
      </c>
    </row>
    <row r="2045" spans="1:6" x14ac:dyDescent="0.3">
      <c r="A2045" s="6" t="s">
        <v>3295</v>
      </c>
      <c r="B2045">
        <v>55240557</v>
      </c>
      <c r="C2045">
        <v>1</v>
      </c>
      <c r="D2045" t="str">
        <f t="shared" si="73"/>
        <v>01</v>
      </c>
      <c r="E2045" t="str">
        <f>VLOOKUP(B2045,'HOGARES-ENDLINE'!$A:$B,2,FALSE)</f>
        <v>00030954</v>
      </c>
      <c r="F2045" s="6" t="str">
        <f t="shared" si="72"/>
        <v>0003095401</v>
      </c>
    </row>
    <row r="2046" spans="1:6" x14ac:dyDescent="0.3">
      <c r="A2046" s="6" t="s">
        <v>3297</v>
      </c>
      <c r="B2046">
        <v>55240557</v>
      </c>
      <c r="C2046">
        <v>4</v>
      </c>
      <c r="D2046" t="str">
        <f t="shared" si="73"/>
        <v>04</v>
      </c>
      <c r="E2046" t="str">
        <f>VLOOKUP(B2046,'HOGARES-ENDLINE'!$A:$B,2,FALSE)</f>
        <v>00030954</v>
      </c>
      <c r="F2046" s="6" t="str">
        <f t="shared" si="72"/>
        <v>0003095404</v>
      </c>
    </row>
    <row r="2047" spans="1:6" x14ac:dyDescent="0.3">
      <c r="A2047" s="6" t="s">
        <v>3296</v>
      </c>
      <c r="B2047">
        <v>55240557</v>
      </c>
      <c r="C2047">
        <v>2</v>
      </c>
      <c r="D2047" t="str">
        <f t="shared" si="73"/>
        <v>02</v>
      </c>
      <c r="E2047" t="str">
        <f>VLOOKUP(B2047,'HOGARES-ENDLINE'!$A:$B,2,FALSE)</f>
        <v>00030954</v>
      </c>
      <c r="F2047" s="6" t="str">
        <f t="shared" si="72"/>
        <v>0003095402</v>
      </c>
    </row>
    <row r="2048" spans="1:6" x14ac:dyDescent="0.3">
      <c r="A2048" s="6" t="s">
        <v>3302</v>
      </c>
      <c r="B2048">
        <v>55300439</v>
      </c>
      <c r="C2048">
        <v>2</v>
      </c>
      <c r="D2048" t="str">
        <f t="shared" si="73"/>
        <v>02</v>
      </c>
      <c r="E2048" t="str">
        <f>VLOOKUP(B2048,'HOGARES-ENDLINE'!$A:$B,2,FALSE)</f>
        <v>00030955</v>
      </c>
      <c r="F2048" s="6" t="str">
        <f t="shared" si="72"/>
        <v>0003095502</v>
      </c>
    </row>
    <row r="2049" spans="1:6" x14ac:dyDescent="0.3">
      <c r="A2049" s="6" t="s">
        <v>3300</v>
      </c>
      <c r="B2049">
        <v>55300439</v>
      </c>
      <c r="C2049">
        <v>1</v>
      </c>
      <c r="D2049" t="str">
        <f t="shared" si="73"/>
        <v>01</v>
      </c>
      <c r="E2049" t="str">
        <f>VLOOKUP(B2049,'HOGARES-ENDLINE'!$A:$B,2,FALSE)</f>
        <v>00030955</v>
      </c>
      <c r="F2049" s="6" t="str">
        <f t="shared" si="72"/>
        <v>0003095501</v>
      </c>
    </row>
    <row r="2050" spans="1:6" x14ac:dyDescent="0.3">
      <c r="A2050" s="6" t="s">
        <v>3301</v>
      </c>
      <c r="B2050">
        <v>55300439</v>
      </c>
      <c r="C2050">
        <v>3</v>
      </c>
      <c r="D2050" t="str">
        <f t="shared" si="73"/>
        <v>03</v>
      </c>
      <c r="E2050" t="str">
        <f>VLOOKUP(B2050,'HOGARES-ENDLINE'!$A:$B,2,FALSE)</f>
        <v>00030955</v>
      </c>
      <c r="F2050" s="6" t="str">
        <f t="shared" si="72"/>
        <v>0003095503</v>
      </c>
    </row>
    <row r="2051" spans="1:6" x14ac:dyDescent="0.3">
      <c r="A2051" s="6" t="s">
        <v>3305</v>
      </c>
      <c r="B2051">
        <v>57304740</v>
      </c>
      <c r="C2051">
        <v>1</v>
      </c>
      <c r="D2051" t="str">
        <f t="shared" si="73"/>
        <v>01</v>
      </c>
      <c r="E2051" t="str">
        <f>VLOOKUP(B2051,'HOGARES-ENDLINE'!$A:$B,2,FALSE)</f>
        <v>01030956</v>
      </c>
      <c r="F2051" s="6" t="str">
        <f t="shared" ref="F2051:F2114" si="74">_xlfn.CONCAT(E2051,D2051)</f>
        <v>0103095601</v>
      </c>
    </row>
    <row r="2052" spans="1:6" x14ac:dyDescent="0.3">
      <c r="A2052" s="6" t="s">
        <v>3306</v>
      </c>
      <c r="B2052">
        <v>57304740</v>
      </c>
      <c r="C2052">
        <v>4</v>
      </c>
      <c r="D2052" t="str">
        <f t="shared" si="73"/>
        <v>04</v>
      </c>
      <c r="E2052" t="str">
        <f>VLOOKUP(B2052,'HOGARES-ENDLINE'!$A:$B,2,FALSE)</f>
        <v>01030956</v>
      </c>
      <c r="F2052" s="6" t="str">
        <f t="shared" si="74"/>
        <v>0103095604</v>
      </c>
    </row>
    <row r="2053" spans="1:6" x14ac:dyDescent="0.3">
      <c r="A2053" s="6" t="s">
        <v>3303</v>
      </c>
      <c r="B2053">
        <v>57304740</v>
      </c>
      <c r="C2053">
        <v>2</v>
      </c>
      <c r="D2053" t="str">
        <f t="shared" si="73"/>
        <v>02</v>
      </c>
      <c r="E2053" t="str">
        <f>VLOOKUP(B2053,'HOGARES-ENDLINE'!$A:$B,2,FALSE)</f>
        <v>01030956</v>
      </c>
      <c r="F2053" s="6" t="str">
        <f t="shared" si="74"/>
        <v>0103095602</v>
      </c>
    </row>
    <row r="2054" spans="1:6" x14ac:dyDescent="0.3">
      <c r="A2054" s="6" t="s">
        <v>3315</v>
      </c>
      <c r="B2054">
        <v>64479725</v>
      </c>
      <c r="C2054">
        <v>5</v>
      </c>
      <c r="D2054" t="str">
        <f t="shared" si="73"/>
        <v>05</v>
      </c>
      <c r="E2054" t="str">
        <f>VLOOKUP(B2054,'HOGARES-ENDLINE'!$A:$B,2,FALSE)</f>
        <v>00030958</v>
      </c>
      <c r="F2054" s="6" t="str">
        <f t="shared" si="74"/>
        <v>0003095805</v>
      </c>
    </row>
    <row r="2055" spans="1:6" x14ac:dyDescent="0.3">
      <c r="A2055" s="6" t="s">
        <v>3313</v>
      </c>
      <c r="B2055">
        <v>64479725</v>
      </c>
      <c r="C2055">
        <v>1</v>
      </c>
      <c r="D2055" t="str">
        <f t="shared" si="73"/>
        <v>01</v>
      </c>
      <c r="E2055" t="str">
        <f>VLOOKUP(B2055,'HOGARES-ENDLINE'!$A:$B,2,FALSE)</f>
        <v>00030958</v>
      </c>
      <c r="F2055" s="6" t="str">
        <f t="shared" si="74"/>
        <v>0003095801</v>
      </c>
    </row>
    <row r="2056" spans="1:6" x14ac:dyDescent="0.3">
      <c r="A2056" s="6" t="s">
        <v>3316</v>
      </c>
      <c r="B2056">
        <v>64479725</v>
      </c>
      <c r="C2056">
        <v>2</v>
      </c>
      <c r="D2056" t="str">
        <f t="shared" si="73"/>
        <v>02</v>
      </c>
      <c r="E2056" t="str">
        <f>VLOOKUP(B2056,'HOGARES-ENDLINE'!$A:$B,2,FALSE)</f>
        <v>00030958</v>
      </c>
      <c r="F2056" s="6" t="str">
        <f t="shared" si="74"/>
        <v>0003095802</v>
      </c>
    </row>
    <row r="2057" spans="1:6" x14ac:dyDescent="0.3">
      <c r="A2057" s="6" t="s">
        <v>3314</v>
      </c>
      <c r="B2057">
        <v>64479725</v>
      </c>
      <c r="C2057">
        <v>4</v>
      </c>
      <c r="D2057" t="str">
        <f t="shared" si="73"/>
        <v>04</v>
      </c>
      <c r="E2057" t="str">
        <f>VLOOKUP(B2057,'HOGARES-ENDLINE'!$A:$B,2,FALSE)</f>
        <v>00030958</v>
      </c>
      <c r="F2057" s="6" t="str">
        <f t="shared" si="74"/>
        <v>0003095804</v>
      </c>
    </row>
    <row r="2058" spans="1:6" x14ac:dyDescent="0.3">
      <c r="A2058" s="6" t="s">
        <v>3317</v>
      </c>
      <c r="B2058">
        <v>64479725</v>
      </c>
      <c r="C2058">
        <v>3</v>
      </c>
      <c r="D2058" t="str">
        <f t="shared" si="73"/>
        <v>03</v>
      </c>
      <c r="E2058" t="str">
        <f>VLOOKUP(B2058,'HOGARES-ENDLINE'!$A:$B,2,FALSE)</f>
        <v>00030958</v>
      </c>
      <c r="F2058" s="6" t="str">
        <f t="shared" si="74"/>
        <v>0003095803</v>
      </c>
    </row>
    <row r="2059" spans="1:6" x14ac:dyDescent="0.3">
      <c r="A2059" s="6" t="s">
        <v>3321</v>
      </c>
      <c r="B2059">
        <v>64558825</v>
      </c>
      <c r="C2059">
        <v>1</v>
      </c>
      <c r="D2059" t="str">
        <f t="shared" si="73"/>
        <v>01</v>
      </c>
      <c r="E2059" t="str">
        <f>VLOOKUP(B2059,'HOGARES-ENDLINE'!$A:$B,2,FALSE)</f>
        <v>01030959</v>
      </c>
      <c r="F2059" s="6" t="str">
        <f t="shared" si="74"/>
        <v>0103095901</v>
      </c>
    </row>
    <row r="2060" spans="1:6" x14ac:dyDescent="0.3">
      <c r="A2060" s="6" t="s">
        <v>3318</v>
      </c>
      <c r="B2060">
        <v>64558825</v>
      </c>
      <c r="C2060">
        <v>2</v>
      </c>
      <c r="D2060" t="str">
        <f t="shared" si="73"/>
        <v>02</v>
      </c>
      <c r="E2060" t="str">
        <f>VLOOKUP(B2060,'HOGARES-ENDLINE'!$A:$B,2,FALSE)</f>
        <v>01030959</v>
      </c>
      <c r="F2060" s="6" t="str">
        <f t="shared" si="74"/>
        <v>0103095902</v>
      </c>
    </row>
    <row r="2061" spans="1:6" x14ac:dyDescent="0.3">
      <c r="A2061" s="6" t="s">
        <v>3320</v>
      </c>
      <c r="B2061">
        <v>64558825</v>
      </c>
      <c r="C2061">
        <v>3</v>
      </c>
      <c r="D2061" t="str">
        <f t="shared" si="73"/>
        <v>03</v>
      </c>
      <c r="E2061" t="str">
        <f>VLOOKUP(B2061,'HOGARES-ENDLINE'!$A:$B,2,FALSE)</f>
        <v>01030959</v>
      </c>
      <c r="F2061" s="6" t="str">
        <f t="shared" si="74"/>
        <v>0103095903</v>
      </c>
    </row>
    <row r="2062" spans="1:6" x14ac:dyDescent="0.3">
      <c r="A2062" s="6" t="s">
        <v>3323</v>
      </c>
      <c r="B2062">
        <v>64865431</v>
      </c>
      <c r="C2062">
        <v>2</v>
      </c>
      <c r="D2062" t="str">
        <f t="shared" si="73"/>
        <v>02</v>
      </c>
      <c r="E2062" t="str">
        <f>VLOOKUP(B2062,'HOGARES-ENDLINE'!$A:$B,2,FALSE)</f>
        <v>00030960</v>
      </c>
      <c r="F2062" s="6" t="str">
        <f t="shared" si="74"/>
        <v>0003096002</v>
      </c>
    </row>
    <row r="2063" spans="1:6" x14ac:dyDescent="0.3">
      <c r="A2063" s="6" t="s">
        <v>3327</v>
      </c>
      <c r="B2063">
        <v>64865431</v>
      </c>
      <c r="C2063">
        <v>4</v>
      </c>
      <c r="D2063" t="str">
        <f t="shared" si="73"/>
        <v>04</v>
      </c>
      <c r="E2063" t="str">
        <f>VLOOKUP(B2063,'HOGARES-ENDLINE'!$A:$B,2,FALSE)</f>
        <v>00030960</v>
      </c>
      <c r="F2063" s="6" t="str">
        <f t="shared" si="74"/>
        <v>0003096004</v>
      </c>
    </row>
    <row r="2064" spans="1:6" x14ac:dyDescent="0.3">
      <c r="A2064" s="6" t="s">
        <v>3324</v>
      </c>
      <c r="B2064">
        <v>64865431</v>
      </c>
      <c r="C2064">
        <v>6</v>
      </c>
      <c r="D2064" t="str">
        <f t="shared" si="73"/>
        <v>06</v>
      </c>
      <c r="E2064" t="str">
        <f>VLOOKUP(B2064,'HOGARES-ENDLINE'!$A:$B,2,FALSE)</f>
        <v>00030960</v>
      </c>
      <c r="F2064" s="6" t="str">
        <f t="shared" si="74"/>
        <v>0003096006</v>
      </c>
    </row>
    <row r="2065" spans="1:6" x14ac:dyDescent="0.3">
      <c r="A2065" s="6" t="s">
        <v>3322</v>
      </c>
      <c r="B2065">
        <v>64865431</v>
      </c>
      <c r="C2065">
        <v>1</v>
      </c>
      <c r="D2065" t="str">
        <f t="shared" si="73"/>
        <v>01</v>
      </c>
      <c r="E2065" t="str">
        <f>VLOOKUP(B2065,'HOGARES-ENDLINE'!$A:$B,2,FALSE)</f>
        <v>00030960</v>
      </c>
      <c r="F2065" s="6" t="str">
        <f t="shared" si="74"/>
        <v>0003096001</v>
      </c>
    </row>
    <row r="2066" spans="1:6" x14ac:dyDescent="0.3">
      <c r="A2066" s="6" t="s">
        <v>3325</v>
      </c>
      <c r="B2066">
        <v>64865431</v>
      </c>
      <c r="C2066">
        <v>3</v>
      </c>
      <c r="D2066" t="str">
        <f t="shared" si="73"/>
        <v>03</v>
      </c>
      <c r="E2066" t="str">
        <f>VLOOKUP(B2066,'HOGARES-ENDLINE'!$A:$B,2,FALSE)</f>
        <v>00030960</v>
      </c>
      <c r="F2066" s="6" t="str">
        <f t="shared" si="74"/>
        <v>0003096003</v>
      </c>
    </row>
    <row r="2067" spans="1:6" x14ac:dyDescent="0.3">
      <c r="A2067" s="6" t="s">
        <v>3326</v>
      </c>
      <c r="B2067">
        <v>64865431</v>
      </c>
      <c r="C2067">
        <v>5</v>
      </c>
      <c r="D2067" t="str">
        <f t="shared" si="73"/>
        <v>05</v>
      </c>
      <c r="E2067" t="str">
        <f>VLOOKUP(B2067,'HOGARES-ENDLINE'!$A:$B,2,FALSE)</f>
        <v>00030960</v>
      </c>
      <c r="F2067" s="6" t="str">
        <f t="shared" si="74"/>
        <v>0003096005</v>
      </c>
    </row>
    <row r="2068" spans="1:6" x14ac:dyDescent="0.3">
      <c r="A2068" s="6" t="s">
        <v>3328</v>
      </c>
      <c r="B2068">
        <v>65747539</v>
      </c>
      <c r="C2068">
        <v>2</v>
      </c>
      <c r="D2068" t="str">
        <f t="shared" si="73"/>
        <v>02</v>
      </c>
      <c r="E2068" t="str">
        <f>VLOOKUP(B2068,'HOGARES-ENDLINE'!$A:$B,2,FALSE)</f>
        <v>00030961</v>
      </c>
      <c r="F2068" s="6" t="str">
        <f t="shared" si="74"/>
        <v>0003096102</v>
      </c>
    </row>
    <row r="2069" spans="1:6" x14ac:dyDescent="0.3">
      <c r="A2069" s="6" t="s">
        <v>3329</v>
      </c>
      <c r="B2069">
        <v>65747539</v>
      </c>
      <c r="C2069">
        <v>1</v>
      </c>
      <c r="D2069" t="str">
        <f t="shared" si="73"/>
        <v>01</v>
      </c>
      <c r="E2069" t="str">
        <f>VLOOKUP(B2069,'HOGARES-ENDLINE'!$A:$B,2,FALSE)</f>
        <v>00030961</v>
      </c>
      <c r="F2069" s="6" t="str">
        <f t="shared" si="74"/>
        <v>0003096101</v>
      </c>
    </row>
    <row r="2070" spans="1:6" x14ac:dyDescent="0.3">
      <c r="A2070" s="6" t="s">
        <v>3330</v>
      </c>
      <c r="B2070">
        <v>65815427</v>
      </c>
      <c r="C2070">
        <v>1</v>
      </c>
      <c r="D2070" t="str">
        <f t="shared" si="73"/>
        <v>01</v>
      </c>
      <c r="E2070" t="str">
        <f>VLOOKUP(B2070,'HOGARES-ENDLINE'!$A:$B,2,FALSE)</f>
        <v>01020962</v>
      </c>
      <c r="F2070" s="6" t="str">
        <f t="shared" si="74"/>
        <v>0102096201</v>
      </c>
    </row>
    <row r="2071" spans="1:6" x14ac:dyDescent="0.3">
      <c r="A2071" s="6" t="s">
        <v>3332</v>
      </c>
      <c r="B2071">
        <v>66814958</v>
      </c>
      <c r="C2071">
        <v>3</v>
      </c>
      <c r="D2071" t="str">
        <f t="shared" si="73"/>
        <v>03</v>
      </c>
      <c r="E2071" t="str">
        <f>VLOOKUP(B2071,'HOGARES-ENDLINE'!$A:$B,2,FALSE)</f>
        <v>00020963</v>
      </c>
      <c r="F2071" s="6" t="str">
        <f t="shared" si="74"/>
        <v>0002096303</v>
      </c>
    </row>
    <row r="2072" spans="1:6" x14ac:dyDescent="0.3">
      <c r="A2072" s="6" t="s">
        <v>3333</v>
      </c>
      <c r="B2072">
        <v>66814958</v>
      </c>
      <c r="C2072">
        <v>2</v>
      </c>
      <c r="D2072" t="str">
        <f t="shared" si="73"/>
        <v>02</v>
      </c>
      <c r="E2072" t="str">
        <f>VLOOKUP(B2072,'HOGARES-ENDLINE'!$A:$B,2,FALSE)</f>
        <v>00020963</v>
      </c>
      <c r="F2072" s="6" t="str">
        <f t="shared" si="74"/>
        <v>0002096302</v>
      </c>
    </row>
    <row r="2073" spans="1:6" x14ac:dyDescent="0.3">
      <c r="A2073" s="6" t="s">
        <v>3334</v>
      </c>
      <c r="B2073">
        <v>66814958</v>
      </c>
      <c r="C2073">
        <v>1</v>
      </c>
      <c r="D2073" t="str">
        <f t="shared" si="73"/>
        <v>01</v>
      </c>
      <c r="E2073" t="str">
        <f>VLOOKUP(B2073,'HOGARES-ENDLINE'!$A:$B,2,FALSE)</f>
        <v>00020963</v>
      </c>
      <c r="F2073" s="6" t="str">
        <f t="shared" si="74"/>
        <v>0002096301</v>
      </c>
    </row>
    <row r="2074" spans="1:6" x14ac:dyDescent="0.3">
      <c r="A2074" s="6" t="s">
        <v>3337</v>
      </c>
      <c r="B2074">
        <v>66815424</v>
      </c>
      <c r="C2074">
        <v>1</v>
      </c>
      <c r="D2074" t="str">
        <f t="shared" si="73"/>
        <v>01</v>
      </c>
      <c r="E2074" t="str">
        <f>VLOOKUP(B2074,'HOGARES-ENDLINE'!$A:$B,2,FALSE)</f>
        <v>00020964</v>
      </c>
      <c r="F2074" s="6" t="str">
        <f t="shared" si="74"/>
        <v>0002096401</v>
      </c>
    </row>
    <row r="2075" spans="1:6" x14ac:dyDescent="0.3">
      <c r="A2075" s="6" t="s">
        <v>3338</v>
      </c>
      <c r="B2075">
        <v>66815424</v>
      </c>
      <c r="C2075">
        <v>3</v>
      </c>
      <c r="D2075" t="str">
        <f t="shared" si="73"/>
        <v>03</v>
      </c>
      <c r="E2075" t="str">
        <f>VLOOKUP(B2075,'HOGARES-ENDLINE'!$A:$B,2,FALSE)</f>
        <v>00020964</v>
      </c>
      <c r="F2075" s="6" t="str">
        <f t="shared" si="74"/>
        <v>0002096403</v>
      </c>
    </row>
    <row r="2076" spans="1:6" x14ac:dyDescent="0.3">
      <c r="A2076" s="6" t="s">
        <v>3335</v>
      </c>
      <c r="B2076">
        <v>66815424</v>
      </c>
      <c r="C2076">
        <v>4</v>
      </c>
      <c r="D2076" t="str">
        <f t="shared" si="73"/>
        <v>04</v>
      </c>
      <c r="E2076" t="str">
        <f>VLOOKUP(B2076,'HOGARES-ENDLINE'!$A:$B,2,FALSE)</f>
        <v>00020964</v>
      </c>
      <c r="F2076" s="6" t="str">
        <f t="shared" si="74"/>
        <v>0002096404</v>
      </c>
    </row>
    <row r="2077" spans="1:6" x14ac:dyDescent="0.3">
      <c r="A2077" s="6" t="s">
        <v>3336</v>
      </c>
      <c r="B2077">
        <v>66815424</v>
      </c>
      <c r="C2077">
        <v>2</v>
      </c>
      <c r="D2077" t="str">
        <f t="shared" si="73"/>
        <v>02</v>
      </c>
      <c r="E2077" t="str">
        <f>VLOOKUP(B2077,'HOGARES-ENDLINE'!$A:$B,2,FALSE)</f>
        <v>00020964</v>
      </c>
      <c r="F2077" s="6" t="str">
        <f t="shared" si="74"/>
        <v>0002096402</v>
      </c>
    </row>
    <row r="2078" spans="1:6" x14ac:dyDescent="0.3">
      <c r="A2078" s="6" t="s">
        <v>3339</v>
      </c>
      <c r="B2078">
        <v>66819007</v>
      </c>
      <c r="C2078">
        <v>1</v>
      </c>
      <c r="D2078" t="str">
        <f t="shared" si="73"/>
        <v>01</v>
      </c>
      <c r="E2078" t="str">
        <f>VLOOKUP(B2078,'HOGARES-ENDLINE'!$A:$B,2,FALSE)</f>
        <v>01020965</v>
      </c>
      <c r="F2078" s="6" t="str">
        <f t="shared" si="74"/>
        <v>0102096501</v>
      </c>
    </row>
    <row r="2079" spans="1:6" x14ac:dyDescent="0.3">
      <c r="A2079" s="6" t="s">
        <v>3342</v>
      </c>
      <c r="B2079">
        <v>66826171</v>
      </c>
      <c r="C2079">
        <v>1</v>
      </c>
      <c r="D2079" t="str">
        <f t="shared" si="73"/>
        <v>01</v>
      </c>
      <c r="E2079" t="str">
        <f>VLOOKUP(B2079,'HOGARES-ENDLINE'!$A:$B,2,FALSE)</f>
        <v>01020966</v>
      </c>
      <c r="F2079" s="6" t="str">
        <f t="shared" si="74"/>
        <v>0102096601</v>
      </c>
    </row>
    <row r="2080" spans="1:6" x14ac:dyDescent="0.3">
      <c r="A2080" s="6" t="s">
        <v>3344</v>
      </c>
      <c r="B2080">
        <v>66829892</v>
      </c>
      <c r="C2080">
        <v>1</v>
      </c>
      <c r="D2080" t="str">
        <f t="shared" si="73"/>
        <v>01</v>
      </c>
      <c r="E2080" t="str">
        <f>VLOOKUP(B2080,'HOGARES-ENDLINE'!$A:$B,2,FALSE)</f>
        <v>00020967</v>
      </c>
      <c r="F2080" s="6" t="str">
        <f t="shared" si="74"/>
        <v>0002096701</v>
      </c>
    </row>
    <row r="2081" spans="1:6" x14ac:dyDescent="0.3">
      <c r="A2081" s="6" t="s">
        <v>3350</v>
      </c>
      <c r="B2081">
        <v>66831349</v>
      </c>
      <c r="C2081">
        <v>3</v>
      </c>
      <c r="D2081" t="str">
        <f t="shared" si="73"/>
        <v>03</v>
      </c>
      <c r="E2081" t="str">
        <f>VLOOKUP(B2081,'HOGARES-ENDLINE'!$A:$B,2,FALSE)</f>
        <v>00020968</v>
      </c>
      <c r="F2081" s="6" t="str">
        <f t="shared" si="74"/>
        <v>0002096803</v>
      </c>
    </row>
    <row r="2082" spans="1:6" x14ac:dyDescent="0.3">
      <c r="A2082" s="6" t="s">
        <v>3348</v>
      </c>
      <c r="B2082">
        <v>66831349</v>
      </c>
      <c r="C2082">
        <v>4</v>
      </c>
      <c r="D2082" t="str">
        <f t="shared" si="73"/>
        <v>04</v>
      </c>
      <c r="E2082" t="str">
        <f>VLOOKUP(B2082,'HOGARES-ENDLINE'!$A:$B,2,FALSE)</f>
        <v>00020968</v>
      </c>
      <c r="F2082" s="6" t="str">
        <f t="shared" si="74"/>
        <v>0002096804</v>
      </c>
    </row>
    <row r="2083" spans="1:6" x14ac:dyDescent="0.3">
      <c r="A2083" s="6" t="s">
        <v>3346</v>
      </c>
      <c r="B2083">
        <v>66831349</v>
      </c>
      <c r="C2083">
        <v>2</v>
      </c>
      <c r="D2083" t="str">
        <f t="shared" si="73"/>
        <v>02</v>
      </c>
      <c r="E2083" t="str">
        <f>VLOOKUP(B2083,'HOGARES-ENDLINE'!$A:$B,2,FALSE)</f>
        <v>00020968</v>
      </c>
      <c r="F2083" s="6" t="str">
        <f t="shared" si="74"/>
        <v>0002096802</v>
      </c>
    </row>
    <row r="2084" spans="1:6" x14ac:dyDescent="0.3">
      <c r="A2084" s="6" t="s">
        <v>3349</v>
      </c>
      <c r="B2084">
        <v>66831349</v>
      </c>
      <c r="C2084">
        <v>1</v>
      </c>
      <c r="D2084" t="str">
        <f t="shared" si="73"/>
        <v>01</v>
      </c>
      <c r="E2084" t="str">
        <f>VLOOKUP(B2084,'HOGARES-ENDLINE'!$A:$B,2,FALSE)</f>
        <v>00020968</v>
      </c>
      <c r="F2084" s="6" t="str">
        <f t="shared" si="74"/>
        <v>0002096801</v>
      </c>
    </row>
    <row r="2085" spans="1:6" x14ac:dyDescent="0.3">
      <c r="A2085" s="6" t="s">
        <v>3347</v>
      </c>
      <c r="B2085">
        <v>66831349</v>
      </c>
      <c r="C2085">
        <v>5</v>
      </c>
      <c r="D2085" t="str">
        <f t="shared" si="73"/>
        <v>05</v>
      </c>
      <c r="E2085" t="str">
        <f>VLOOKUP(B2085,'HOGARES-ENDLINE'!$A:$B,2,FALSE)</f>
        <v>00020968</v>
      </c>
      <c r="F2085" s="6" t="str">
        <f t="shared" si="74"/>
        <v>0002096805</v>
      </c>
    </row>
    <row r="2086" spans="1:6" x14ac:dyDescent="0.3">
      <c r="A2086" s="6" t="s">
        <v>3352</v>
      </c>
      <c r="B2086">
        <v>66834663</v>
      </c>
      <c r="C2086">
        <v>1</v>
      </c>
      <c r="D2086" t="str">
        <f t="shared" si="73"/>
        <v>01</v>
      </c>
      <c r="E2086" t="str">
        <f>VLOOKUP(B2086,'HOGARES-ENDLINE'!$A:$B,2,FALSE)</f>
        <v>00020969</v>
      </c>
      <c r="F2086" s="6" t="str">
        <f t="shared" si="74"/>
        <v>0002096901</v>
      </c>
    </row>
    <row r="2087" spans="1:6" x14ac:dyDescent="0.3">
      <c r="A2087" s="6" t="s">
        <v>3351</v>
      </c>
      <c r="B2087">
        <v>66834663</v>
      </c>
      <c r="C2087">
        <v>6</v>
      </c>
      <c r="D2087" t="str">
        <f t="shared" si="73"/>
        <v>06</v>
      </c>
      <c r="E2087" t="str">
        <f>VLOOKUP(B2087,'HOGARES-ENDLINE'!$A:$B,2,FALSE)</f>
        <v>00020969</v>
      </c>
      <c r="F2087" s="6" t="str">
        <f t="shared" si="74"/>
        <v>0002096906</v>
      </c>
    </row>
    <row r="2088" spans="1:6" x14ac:dyDescent="0.3">
      <c r="A2088" s="6" t="s">
        <v>3354</v>
      </c>
      <c r="B2088">
        <v>66834663</v>
      </c>
      <c r="C2088">
        <v>2</v>
      </c>
      <c r="D2088" t="str">
        <f t="shared" si="73"/>
        <v>02</v>
      </c>
      <c r="E2088" t="str">
        <f>VLOOKUP(B2088,'HOGARES-ENDLINE'!$A:$B,2,FALSE)</f>
        <v>00020969</v>
      </c>
      <c r="F2088" s="6" t="str">
        <f t="shared" si="74"/>
        <v>0002096902</v>
      </c>
    </row>
    <row r="2089" spans="1:6" x14ac:dyDescent="0.3">
      <c r="A2089" s="6" t="s">
        <v>3353</v>
      </c>
      <c r="B2089">
        <v>66834663</v>
      </c>
      <c r="C2089">
        <v>5</v>
      </c>
      <c r="D2089" t="str">
        <f t="shared" si="73"/>
        <v>05</v>
      </c>
      <c r="E2089" t="str">
        <f>VLOOKUP(B2089,'HOGARES-ENDLINE'!$A:$B,2,FALSE)</f>
        <v>00020969</v>
      </c>
      <c r="F2089" s="6" t="str">
        <f t="shared" si="74"/>
        <v>0002096905</v>
      </c>
    </row>
    <row r="2090" spans="1:6" x14ac:dyDescent="0.3">
      <c r="A2090" s="6" t="s">
        <v>3356</v>
      </c>
      <c r="B2090">
        <v>66834663</v>
      </c>
      <c r="C2090">
        <v>3</v>
      </c>
      <c r="D2090" t="str">
        <f t="shared" si="73"/>
        <v>03</v>
      </c>
      <c r="E2090" t="str">
        <f>VLOOKUP(B2090,'HOGARES-ENDLINE'!$A:$B,2,FALSE)</f>
        <v>00020969</v>
      </c>
      <c r="F2090" s="6" t="str">
        <f t="shared" si="74"/>
        <v>0002096903</v>
      </c>
    </row>
    <row r="2091" spans="1:6" x14ac:dyDescent="0.3">
      <c r="A2091" s="6" t="s">
        <v>3357</v>
      </c>
      <c r="B2091">
        <v>66850119</v>
      </c>
      <c r="C2091">
        <v>1</v>
      </c>
      <c r="D2091" t="str">
        <f t="shared" si="73"/>
        <v>01</v>
      </c>
      <c r="E2091" t="str">
        <f>VLOOKUP(B2091,'HOGARES-ENDLINE'!$A:$B,2,FALSE)</f>
        <v>01020970</v>
      </c>
      <c r="F2091" s="6" t="str">
        <f t="shared" si="74"/>
        <v>0102097001</v>
      </c>
    </row>
    <row r="2092" spans="1:6" x14ac:dyDescent="0.3">
      <c r="A2092" s="6" t="s">
        <v>3359</v>
      </c>
      <c r="B2092">
        <v>66851995</v>
      </c>
      <c r="C2092">
        <v>1</v>
      </c>
      <c r="D2092" t="str">
        <f t="shared" si="73"/>
        <v>01</v>
      </c>
      <c r="E2092" t="str">
        <f>VLOOKUP(B2092,'HOGARES-ENDLINE'!$A:$B,2,FALSE)</f>
        <v>00020971</v>
      </c>
      <c r="F2092" s="6" t="str">
        <f t="shared" si="74"/>
        <v>0002097101</v>
      </c>
    </row>
    <row r="2093" spans="1:6" x14ac:dyDescent="0.3">
      <c r="A2093" s="6" t="s">
        <v>3358</v>
      </c>
      <c r="B2093">
        <v>66851995</v>
      </c>
      <c r="C2093">
        <v>2</v>
      </c>
      <c r="D2093" t="str">
        <f t="shared" si="73"/>
        <v>02</v>
      </c>
      <c r="E2093" t="str">
        <f>VLOOKUP(B2093,'HOGARES-ENDLINE'!$A:$B,2,FALSE)</f>
        <v>00020971</v>
      </c>
      <c r="F2093" s="6" t="str">
        <f t="shared" si="74"/>
        <v>0002097102</v>
      </c>
    </row>
    <row r="2094" spans="1:6" x14ac:dyDescent="0.3">
      <c r="A2094" s="6" t="s">
        <v>3360</v>
      </c>
      <c r="B2094">
        <v>66852181</v>
      </c>
      <c r="C2094">
        <v>1</v>
      </c>
      <c r="D2094" t="str">
        <f t="shared" si="73"/>
        <v>01</v>
      </c>
      <c r="E2094" t="str">
        <f>VLOOKUP(B2094,'HOGARES-ENDLINE'!$A:$B,2,FALSE)</f>
        <v>00020972</v>
      </c>
      <c r="F2094" s="6" t="str">
        <f t="shared" si="74"/>
        <v>0002097201</v>
      </c>
    </row>
    <row r="2095" spans="1:6" x14ac:dyDescent="0.3">
      <c r="A2095" s="6" t="s">
        <v>3361</v>
      </c>
      <c r="B2095">
        <v>66865510</v>
      </c>
      <c r="C2095">
        <v>1</v>
      </c>
      <c r="D2095" t="str">
        <f t="shared" si="73"/>
        <v>01</v>
      </c>
      <c r="E2095" t="str">
        <f>VLOOKUP(B2095,'HOGARES-ENDLINE'!$A:$B,2,FALSE)</f>
        <v>01020973</v>
      </c>
      <c r="F2095" s="6" t="str">
        <f t="shared" si="74"/>
        <v>0102097301</v>
      </c>
    </row>
    <row r="2096" spans="1:6" x14ac:dyDescent="0.3">
      <c r="A2096" s="6" t="s">
        <v>3363</v>
      </c>
      <c r="B2096">
        <v>66865510</v>
      </c>
      <c r="C2096">
        <v>3</v>
      </c>
      <c r="D2096" t="str">
        <f t="shared" si="73"/>
        <v>03</v>
      </c>
      <c r="E2096" t="str">
        <f>VLOOKUP(B2096,'HOGARES-ENDLINE'!$A:$B,2,FALSE)</f>
        <v>01020973</v>
      </c>
      <c r="F2096" s="6" t="str">
        <f t="shared" si="74"/>
        <v>0102097303</v>
      </c>
    </row>
    <row r="2097" spans="1:6" x14ac:dyDescent="0.3">
      <c r="A2097" s="6" t="s">
        <v>3364</v>
      </c>
      <c r="B2097">
        <v>66865510</v>
      </c>
      <c r="C2097">
        <v>4</v>
      </c>
      <c r="D2097" t="str">
        <f t="shared" si="73"/>
        <v>04</v>
      </c>
      <c r="E2097" t="str">
        <f>VLOOKUP(B2097,'HOGARES-ENDLINE'!$A:$B,2,FALSE)</f>
        <v>01020973</v>
      </c>
      <c r="F2097" s="6" t="str">
        <f t="shared" si="74"/>
        <v>0102097304</v>
      </c>
    </row>
    <row r="2098" spans="1:6" x14ac:dyDescent="0.3">
      <c r="A2098" s="6" t="s">
        <v>3362</v>
      </c>
      <c r="B2098">
        <v>66865510</v>
      </c>
      <c r="C2098">
        <v>2</v>
      </c>
      <c r="D2098" t="str">
        <f t="shared" si="73"/>
        <v>02</v>
      </c>
      <c r="E2098" t="str">
        <f>VLOOKUP(B2098,'HOGARES-ENDLINE'!$A:$B,2,FALSE)</f>
        <v>01020973</v>
      </c>
      <c r="F2098" s="6" t="str">
        <f t="shared" si="74"/>
        <v>0102097302</v>
      </c>
    </row>
    <row r="2099" spans="1:6" x14ac:dyDescent="0.3">
      <c r="A2099" s="6" t="s">
        <v>3366</v>
      </c>
      <c r="B2099">
        <v>66865714</v>
      </c>
      <c r="C2099">
        <v>1</v>
      </c>
      <c r="D2099" t="str">
        <f t="shared" si="73"/>
        <v>01</v>
      </c>
      <c r="E2099" t="str">
        <f>VLOOKUP(B2099,'HOGARES-ENDLINE'!$A:$B,2,FALSE)</f>
        <v>01020974</v>
      </c>
      <c r="F2099" s="6" t="str">
        <f t="shared" si="74"/>
        <v>0102097401</v>
      </c>
    </row>
    <row r="2100" spans="1:6" x14ac:dyDescent="0.3">
      <c r="A2100" s="6" t="s">
        <v>3368</v>
      </c>
      <c r="B2100">
        <v>66866128</v>
      </c>
      <c r="C2100">
        <v>1</v>
      </c>
      <c r="D2100" t="str">
        <f t="shared" si="73"/>
        <v>01</v>
      </c>
      <c r="E2100" t="str">
        <f>VLOOKUP(B2100,'HOGARES-ENDLINE'!$A:$B,2,FALSE)</f>
        <v>00020975</v>
      </c>
      <c r="F2100" s="6" t="str">
        <f t="shared" si="74"/>
        <v>0002097501</v>
      </c>
    </row>
    <row r="2101" spans="1:6" x14ac:dyDescent="0.3">
      <c r="A2101" s="6" t="s">
        <v>3369</v>
      </c>
      <c r="B2101">
        <v>66866128</v>
      </c>
      <c r="C2101">
        <v>2</v>
      </c>
      <c r="D2101" t="str">
        <f t="shared" si="73"/>
        <v>02</v>
      </c>
      <c r="E2101" t="str">
        <f>VLOOKUP(B2101,'HOGARES-ENDLINE'!$A:$B,2,FALSE)</f>
        <v>00020975</v>
      </c>
      <c r="F2101" s="6" t="str">
        <f t="shared" si="74"/>
        <v>0002097502</v>
      </c>
    </row>
    <row r="2102" spans="1:6" x14ac:dyDescent="0.3">
      <c r="A2102" s="6" t="s">
        <v>3370</v>
      </c>
      <c r="B2102">
        <v>66900125</v>
      </c>
      <c r="C2102">
        <v>1</v>
      </c>
      <c r="D2102" t="str">
        <f t="shared" si="73"/>
        <v>01</v>
      </c>
      <c r="E2102" t="str">
        <f>VLOOKUP(B2102,'HOGARES-ENDLINE'!$A:$B,2,FALSE)</f>
        <v>01020976</v>
      </c>
      <c r="F2102" s="6" t="str">
        <f t="shared" si="74"/>
        <v>0102097601</v>
      </c>
    </row>
    <row r="2103" spans="1:6" x14ac:dyDescent="0.3">
      <c r="A2103" s="6" t="s">
        <v>3374</v>
      </c>
      <c r="B2103">
        <v>66903981</v>
      </c>
      <c r="C2103">
        <v>1</v>
      </c>
      <c r="D2103" t="str">
        <f t="shared" si="73"/>
        <v>01</v>
      </c>
      <c r="E2103" t="str">
        <f>VLOOKUP(B2103,'HOGARES-ENDLINE'!$A:$B,2,FALSE)</f>
        <v>00020977</v>
      </c>
      <c r="F2103" s="6" t="str">
        <f t="shared" si="74"/>
        <v>0002097701</v>
      </c>
    </row>
    <row r="2104" spans="1:6" x14ac:dyDescent="0.3">
      <c r="A2104" s="6" t="s">
        <v>3375</v>
      </c>
      <c r="B2104">
        <v>66903981</v>
      </c>
      <c r="C2104">
        <v>2</v>
      </c>
      <c r="D2104" t="str">
        <f t="shared" si="73"/>
        <v>02</v>
      </c>
      <c r="E2104" t="str">
        <f>VLOOKUP(B2104,'HOGARES-ENDLINE'!$A:$B,2,FALSE)</f>
        <v>00020977</v>
      </c>
      <c r="F2104" s="6" t="str">
        <f t="shared" si="74"/>
        <v>0002097702</v>
      </c>
    </row>
    <row r="2105" spans="1:6" x14ac:dyDescent="0.3">
      <c r="A2105" s="6" t="s">
        <v>3377</v>
      </c>
      <c r="B2105">
        <v>66908388</v>
      </c>
      <c r="C2105">
        <v>2</v>
      </c>
      <c r="D2105" t="str">
        <f t="shared" si="73"/>
        <v>02</v>
      </c>
      <c r="E2105" t="str">
        <f>VLOOKUP(B2105,'HOGARES-ENDLINE'!$A:$B,2,FALSE)</f>
        <v>01020978</v>
      </c>
      <c r="F2105" s="6" t="str">
        <f t="shared" si="74"/>
        <v>0102097802</v>
      </c>
    </row>
    <row r="2106" spans="1:6" x14ac:dyDescent="0.3">
      <c r="A2106" s="6" t="s">
        <v>3378</v>
      </c>
      <c r="B2106">
        <v>66908388</v>
      </c>
      <c r="C2106">
        <v>1</v>
      </c>
      <c r="D2106" t="str">
        <f t="shared" si="73"/>
        <v>01</v>
      </c>
      <c r="E2106" t="str">
        <f>VLOOKUP(B2106,'HOGARES-ENDLINE'!$A:$B,2,FALSE)</f>
        <v>01020978</v>
      </c>
      <c r="F2106" s="6" t="str">
        <f t="shared" si="74"/>
        <v>0102097801</v>
      </c>
    </row>
    <row r="2107" spans="1:6" x14ac:dyDescent="0.3">
      <c r="A2107" s="6" t="s">
        <v>3376</v>
      </c>
      <c r="B2107">
        <v>66908388</v>
      </c>
      <c r="C2107">
        <v>3</v>
      </c>
      <c r="D2107" t="str">
        <f t="shared" si="73"/>
        <v>03</v>
      </c>
      <c r="E2107" t="str">
        <f>VLOOKUP(B2107,'HOGARES-ENDLINE'!$A:$B,2,FALSE)</f>
        <v>01020978</v>
      </c>
      <c r="F2107" s="6" t="str">
        <f t="shared" si="74"/>
        <v>0102097803</v>
      </c>
    </row>
    <row r="2108" spans="1:6" x14ac:dyDescent="0.3">
      <c r="A2108" s="6" t="s">
        <v>3381</v>
      </c>
      <c r="B2108">
        <v>66914158</v>
      </c>
      <c r="C2108">
        <v>1</v>
      </c>
      <c r="D2108" t="str">
        <f t="shared" ref="D2108:D2171" si="75">_xlfn.CONCAT(0,C2108)</f>
        <v>01</v>
      </c>
      <c r="E2108" t="str">
        <f>VLOOKUP(B2108,'HOGARES-ENDLINE'!$A:$B,2,FALSE)</f>
        <v>01020980</v>
      </c>
      <c r="F2108" s="6" t="str">
        <f t="shared" si="74"/>
        <v>0102098001</v>
      </c>
    </row>
    <row r="2109" spans="1:6" x14ac:dyDescent="0.3">
      <c r="A2109" s="6" t="s">
        <v>3382</v>
      </c>
      <c r="B2109">
        <v>66914158</v>
      </c>
      <c r="C2109">
        <v>2</v>
      </c>
      <c r="D2109" t="str">
        <f t="shared" si="75"/>
        <v>02</v>
      </c>
      <c r="E2109" t="str">
        <f>VLOOKUP(B2109,'HOGARES-ENDLINE'!$A:$B,2,FALSE)</f>
        <v>01020980</v>
      </c>
      <c r="F2109" s="6" t="str">
        <f t="shared" si="74"/>
        <v>0102098002</v>
      </c>
    </row>
    <row r="2110" spans="1:6" x14ac:dyDescent="0.3">
      <c r="A2110" s="6" t="s">
        <v>3384</v>
      </c>
      <c r="B2110">
        <v>66914781</v>
      </c>
      <c r="C2110">
        <v>1</v>
      </c>
      <c r="D2110" t="str">
        <f t="shared" si="75"/>
        <v>01</v>
      </c>
      <c r="E2110" t="str">
        <f>VLOOKUP(B2110,'HOGARES-ENDLINE'!$A:$B,2,FALSE)</f>
        <v>01020981</v>
      </c>
      <c r="F2110" s="6" t="str">
        <f t="shared" si="74"/>
        <v>0102098101</v>
      </c>
    </row>
    <row r="2111" spans="1:6" x14ac:dyDescent="0.3">
      <c r="A2111" s="6" t="s">
        <v>3385</v>
      </c>
      <c r="B2111">
        <v>66914781</v>
      </c>
      <c r="C2111">
        <v>2</v>
      </c>
      <c r="D2111" t="str">
        <f t="shared" si="75"/>
        <v>02</v>
      </c>
      <c r="E2111" t="str">
        <f>VLOOKUP(B2111,'HOGARES-ENDLINE'!$A:$B,2,FALSE)</f>
        <v>01020981</v>
      </c>
      <c r="F2111" s="6" t="str">
        <f t="shared" si="74"/>
        <v>0102098102</v>
      </c>
    </row>
    <row r="2112" spans="1:6" x14ac:dyDescent="0.3">
      <c r="A2112" s="6" t="s">
        <v>3383</v>
      </c>
      <c r="B2112">
        <v>66914781</v>
      </c>
      <c r="C2112">
        <v>3</v>
      </c>
      <c r="D2112" t="str">
        <f t="shared" si="75"/>
        <v>03</v>
      </c>
      <c r="E2112" t="str">
        <f>VLOOKUP(B2112,'HOGARES-ENDLINE'!$A:$B,2,FALSE)</f>
        <v>01020981</v>
      </c>
      <c r="F2112" s="6" t="str">
        <f t="shared" si="74"/>
        <v>0102098103</v>
      </c>
    </row>
    <row r="2113" spans="1:6" x14ac:dyDescent="0.3">
      <c r="A2113" s="6" t="s">
        <v>3386</v>
      </c>
      <c r="B2113">
        <v>66922979</v>
      </c>
      <c r="C2113">
        <v>1</v>
      </c>
      <c r="D2113" t="str">
        <f t="shared" si="75"/>
        <v>01</v>
      </c>
      <c r="E2113" t="str">
        <f>VLOOKUP(B2113,'HOGARES-ENDLINE'!$A:$B,2,FALSE)</f>
        <v>01020982</v>
      </c>
      <c r="F2113" s="6" t="str">
        <f t="shared" si="74"/>
        <v>0102098201</v>
      </c>
    </row>
    <row r="2114" spans="1:6" x14ac:dyDescent="0.3">
      <c r="A2114" s="6" t="s">
        <v>3389</v>
      </c>
      <c r="B2114">
        <v>66924354</v>
      </c>
      <c r="C2114">
        <v>3</v>
      </c>
      <c r="D2114" t="str">
        <f t="shared" si="75"/>
        <v>03</v>
      </c>
      <c r="E2114" t="str">
        <f>VLOOKUP(B2114,'HOGARES-ENDLINE'!$A:$B,2,FALSE)</f>
        <v>00020983</v>
      </c>
      <c r="F2114" s="6" t="str">
        <f t="shared" si="74"/>
        <v>0002098303</v>
      </c>
    </row>
    <row r="2115" spans="1:6" x14ac:dyDescent="0.3">
      <c r="A2115" s="6" t="s">
        <v>3387</v>
      </c>
      <c r="B2115">
        <v>66924354</v>
      </c>
      <c r="C2115">
        <v>1</v>
      </c>
      <c r="D2115" t="str">
        <f t="shared" si="75"/>
        <v>01</v>
      </c>
      <c r="E2115" t="str">
        <f>VLOOKUP(B2115,'HOGARES-ENDLINE'!$A:$B,2,FALSE)</f>
        <v>00020983</v>
      </c>
      <c r="F2115" s="6" t="str">
        <f t="shared" ref="F2115:F2178" si="76">_xlfn.CONCAT(E2115,D2115)</f>
        <v>0002098301</v>
      </c>
    </row>
    <row r="2116" spans="1:6" x14ac:dyDescent="0.3">
      <c r="A2116" s="6" t="s">
        <v>3393</v>
      </c>
      <c r="B2116">
        <v>66946161</v>
      </c>
      <c r="C2116">
        <v>4</v>
      </c>
      <c r="D2116" t="str">
        <f t="shared" si="75"/>
        <v>04</v>
      </c>
      <c r="E2116" t="str">
        <f>VLOOKUP(B2116,'HOGARES-ENDLINE'!$A:$B,2,FALSE)</f>
        <v>00020984</v>
      </c>
      <c r="F2116" s="6" t="str">
        <f t="shared" si="76"/>
        <v>0002098404</v>
      </c>
    </row>
    <row r="2117" spans="1:6" x14ac:dyDescent="0.3">
      <c r="A2117" s="6" t="s">
        <v>3390</v>
      </c>
      <c r="B2117">
        <v>66946161</v>
      </c>
      <c r="C2117">
        <v>3</v>
      </c>
      <c r="D2117" t="str">
        <f t="shared" si="75"/>
        <v>03</v>
      </c>
      <c r="E2117" t="str">
        <f>VLOOKUP(B2117,'HOGARES-ENDLINE'!$A:$B,2,FALSE)</f>
        <v>00020984</v>
      </c>
      <c r="F2117" s="6" t="str">
        <f t="shared" si="76"/>
        <v>0002098403</v>
      </c>
    </row>
    <row r="2118" spans="1:6" x14ac:dyDescent="0.3">
      <c r="A2118" s="6" t="s">
        <v>3392</v>
      </c>
      <c r="B2118">
        <v>66946161</v>
      </c>
      <c r="C2118">
        <v>1</v>
      </c>
      <c r="D2118" t="str">
        <f t="shared" si="75"/>
        <v>01</v>
      </c>
      <c r="E2118" t="str">
        <f>VLOOKUP(B2118,'HOGARES-ENDLINE'!$A:$B,2,FALSE)</f>
        <v>00020984</v>
      </c>
      <c r="F2118" s="6" t="str">
        <f t="shared" si="76"/>
        <v>0002098401</v>
      </c>
    </row>
    <row r="2119" spans="1:6" x14ac:dyDescent="0.3">
      <c r="A2119" s="6" t="s">
        <v>3399</v>
      </c>
      <c r="B2119">
        <v>66949232</v>
      </c>
      <c r="C2119">
        <v>1</v>
      </c>
      <c r="D2119" t="str">
        <f t="shared" si="75"/>
        <v>01</v>
      </c>
      <c r="E2119" t="str">
        <f>VLOOKUP(B2119,'HOGARES-ENDLINE'!$A:$B,2,FALSE)</f>
        <v>00020985</v>
      </c>
      <c r="F2119" s="6" t="str">
        <f t="shared" si="76"/>
        <v>0002098501</v>
      </c>
    </row>
    <row r="2120" spans="1:6" x14ac:dyDescent="0.3">
      <c r="A2120" s="6" t="s">
        <v>3397</v>
      </c>
      <c r="B2120">
        <v>66949232</v>
      </c>
      <c r="C2120">
        <v>6</v>
      </c>
      <c r="D2120" t="str">
        <f t="shared" si="75"/>
        <v>06</v>
      </c>
      <c r="E2120" t="str">
        <f>VLOOKUP(B2120,'HOGARES-ENDLINE'!$A:$B,2,FALSE)</f>
        <v>00020985</v>
      </c>
      <c r="F2120" s="6" t="str">
        <f t="shared" si="76"/>
        <v>0002098506</v>
      </c>
    </row>
    <row r="2121" spans="1:6" x14ac:dyDescent="0.3">
      <c r="A2121" s="6" t="s">
        <v>3403</v>
      </c>
      <c r="B2121">
        <v>66953260</v>
      </c>
      <c r="C2121">
        <v>1</v>
      </c>
      <c r="D2121" t="str">
        <f t="shared" si="75"/>
        <v>01</v>
      </c>
      <c r="E2121" t="str">
        <f>VLOOKUP(B2121,'HOGARES-ENDLINE'!$A:$B,2,FALSE)</f>
        <v>00020986</v>
      </c>
      <c r="F2121" s="6" t="str">
        <f t="shared" si="76"/>
        <v>0002098601</v>
      </c>
    </row>
    <row r="2122" spans="1:6" x14ac:dyDescent="0.3">
      <c r="A2122" s="6" t="s">
        <v>3401</v>
      </c>
      <c r="B2122">
        <v>66953260</v>
      </c>
      <c r="C2122">
        <v>3</v>
      </c>
      <c r="D2122" t="str">
        <f t="shared" si="75"/>
        <v>03</v>
      </c>
      <c r="E2122" t="str">
        <f>VLOOKUP(B2122,'HOGARES-ENDLINE'!$A:$B,2,FALSE)</f>
        <v>00020986</v>
      </c>
      <c r="F2122" s="6" t="str">
        <f t="shared" si="76"/>
        <v>0002098603</v>
      </c>
    </row>
    <row r="2123" spans="1:6" x14ac:dyDescent="0.3">
      <c r="A2123" s="6" t="s">
        <v>3402</v>
      </c>
      <c r="B2123">
        <v>66953260</v>
      </c>
      <c r="C2123">
        <v>2</v>
      </c>
      <c r="D2123" t="str">
        <f t="shared" si="75"/>
        <v>02</v>
      </c>
      <c r="E2123" t="str">
        <f>VLOOKUP(B2123,'HOGARES-ENDLINE'!$A:$B,2,FALSE)</f>
        <v>00020986</v>
      </c>
      <c r="F2123" s="6" t="str">
        <f t="shared" si="76"/>
        <v>0002098602</v>
      </c>
    </row>
    <row r="2124" spans="1:6" x14ac:dyDescent="0.3">
      <c r="A2124" s="6" t="s">
        <v>3400</v>
      </c>
      <c r="B2124">
        <v>66953260</v>
      </c>
      <c r="C2124">
        <v>4</v>
      </c>
      <c r="D2124" t="str">
        <f t="shared" si="75"/>
        <v>04</v>
      </c>
      <c r="E2124" t="str">
        <f>VLOOKUP(B2124,'HOGARES-ENDLINE'!$A:$B,2,FALSE)</f>
        <v>00020986</v>
      </c>
      <c r="F2124" s="6" t="str">
        <f t="shared" si="76"/>
        <v>0002098604</v>
      </c>
    </row>
    <row r="2125" spans="1:6" x14ac:dyDescent="0.3">
      <c r="A2125" s="6" t="s">
        <v>3406</v>
      </c>
      <c r="B2125">
        <v>66956904</v>
      </c>
      <c r="C2125">
        <v>2</v>
      </c>
      <c r="D2125" t="str">
        <f t="shared" si="75"/>
        <v>02</v>
      </c>
      <c r="E2125" t="str">
        <f>VLOOKUP(B2125,'HOGARES-ENDLINE'!$A:$B,2,FALSE)</f>
        <v>00020987</v>
      </c>
      <c r="F2125" s="6" t="str">
        <f t="shared" si="76"/>
        <v>0002098702</v>
      </c>
    </row>
    <row r="2126" spans="1:6" x14ac:dyDescent="0.3">
      <c r="A2126" s="6" t="s">
        <v>3404</v>
      </c>
      <c r="B2126">
        <v>66956904</v>
      </c>
      <c r="C2126">
        <v>1</v>
      </c>
      <c r="D2126" t="str">
        <f t="shared" si="75"/>
        <v>01</v>
      </c>
      <c r="E2126" t="str">
        <f>VLOOKUP(B2126,'HOGARES-ENDLINE'!$A:$B,2,FALSE)</f>
        <v>00020987</v>
      </c>
      <c r="F2126" s="6" t="str">
        <f t="shared" si="76"/>
        <v>0002098701</v>
      </c>
    </row>
    <row r="2127" spans="1:6" x14ac:dyDescent="0.3">
      <c r="A2127" s="6" t="s">
        <v>3405</v>
      </c>
      <c r="B2127">
        <v>66956904</v>
      </c>
      <c r="C2127">
        <v>3</v>
      </c>
      <c r="D2127" t="str">
        <f t="shared" si="75"/>
        <v>03</v>
      </c>
      <c r="E2127" t="str">
        <f>VLOOKUP(B2127,'HOGARES-ENDLINE'!$A:$B,2,FALSE)</f>
        <v>00020987</v>
      </c>
      <c r="F2127" s="6" t="str">
        <f t="shared" si="76"/>
        <v>0002098703</v>
      </c>
    </row>
    <row r="2128" spans="1:6" x14ac:dyDescent="0.3">
      <c r="A2128" s="6" t="s">
        <v>3408</v>
      </c>
      <c r="B2128">
        <v>66972092</v>
      </c>
      <c r="C2128">
        <v>2</v>
      </c>
      <c r="D2128" t="str">
        <f t="shared" si="75"/>
        <v>02</v>
      </c>
      <c r="E2128" t="str">
        <f>VLOOKUP(B2128,'HOGARES-ENDLINE'!$A:$B,2,FALSE)</f>
        <v>00020988</v>
      </c>
      <c r="F2128" s="6" t="str">
        <f t="shared" si="76"/>
        <v>0002098802</v>
      </c>
    </row>
    <row r="2129" spans="1:6" x14ac:dyDescent="0.3">
      <c r="A2129" s="6" t="s">
        <v>3410</v>
      </c>
      <c r="B2129">
        <v>66973335</v>
      </c>
      <c r="C2129">
        <v>3</v>
      </c>
      <c r="D2129" t="str">
        <f t="shared" si="75"/>
        <v>03</v>
      </c>
      <c r="E2129" t="str">
        <f>VLOOKUP(B2129,'HOGARES-ENDLINE'!$A:$B,2,FALSE)</f>
        <v>00020989</v>
      </c>
      <c r="F2129" s="6" t="str">
        <f t="shared" si="76"/>
        <v>0002098903</v>
      </c>
    </row>
    <row r="2130" spans="1:6" x14ac:dyDescent="0.3">
      <c r="A2130" s="6" t="s">
        <v>3411</v>
      </c>
      <c r="B2130">
        <v>66973335</v>
      </c>
      <c r="C2130">
        <v>2</v>
      </c>
      <c r="D2130" t="str">
        <f t="shared" si="75"/>
        <v>02</v>
      </c>
      <c r="E2130" t="str">
        <f>VLOOKUP(B2130,'HOGARES-ENDLINE'!$A:$B,2,FALSE)</f>
        <v>00020989</v>
      </c>
      <c r="F2130" s="6" t="str">
        <f t="shared" si="76"/>
        <v>0002098902</v>
      </c>
    </row>
    <row r="2131" spans="1:6" x14ac:dyDescent="0.3">
      <c r="A2131" s="6" t="s">
        <v>3409</v>
      </c>
      <c r="B2131">
        <v>66973335</v>
      </c>
      <c r="C2131">
        <v>1</v>
      </c>
      <c r="D2131" t="str">
        <f t="shared" si="75"/>
        <v>01</v>
      </c>
      <c r="E2131" t="str">
        <f>VLOOKUP(B2131,'HOGARES-ENDLINE'!$A:$B,2,FALSE)</f>
        <v>00020989</v>
      </c>
      <c r="F2131" s="6" t="str">
        <f t="shared" si="76"/>
        <v>0002098901</v>
      </c>
    </row>
    <row r="2132" spans="1:6" x14ac:dyDescent="0.3">
      <c r="A2132" s="6" t="s">
        <v>3414</v>
      </c>
      <c r="B2132">
        <v>66979672</v>
      </c>
      <c r="C2132">
        <v>3</v>
      </c>
      <c r="D2132" t="str">
        <f t="shared" si="75"/>
        <v>03</v>
      </c>
      <c r="E2132" t="str">
        <f>VLOOKUP(B2132,'HOGARES-ENDLINE'!$A:$B,2,FALSE)</f>
        <v>00020990</v>
      </c>
      <c r="F2132" s="6" t="str">
        <f t="shared" si="76"/>
        <v>0002099003</v>
      </c>
    </row>
    <row r="2133" spans="1:6" x14ac:dyDescent="0.3">
      <c r="A2133" s="6" t="s">
        <v>3413</v>
      </c>
      <c r="B2133">
        <v>66979672</v>
      </c>
      <c r="C2133">
        <v>2</v>
      </c>
      <c r="D2133" t="str">
        <f t="shared" si="75"/>
        <v>02</v>
      </c>
      <c r="E2133" t="str">
        <f>VLOOKUP(B2133,'HOGARES-ENDLINE'!$A:$B,2,FALSE)</f>
        <v>00020990</v>
      </c>
      <c r="F2133" s="6" t="str">
        <f t="shared" si="76"/>
        <v>0002099002</v>
      </c>
    </row>
    <row r="2134" spans="1:6" x14ac:dyDescent="0.3">
      <c r="A2134" s="6" t="s">
        <v>3412</v>
      </c>
      <c r="B2134">
        <v>66979672</v>
      </c>
      <c r="C2134">
        <v>1</v>
      </c>
      <c r="D2134" t="str">
        <f t="shared" si="75"/>
        <v>01</v>
      </c>
      <c r="E2134" t="str">
        <f>VLOOKUP(B2134,'HOGARES-ENDLINE'!$A:$B,2,FALSE)</f>
        <v>00020990</v>
      </c>
      <c r="F2134" s="6" t="str">
        <f t="shared" si="76"/>
        <v>0002099001</v>
      </c>
    </row>
    <row r="2135" spans="1:6" x14ac:dyDescent="0.3">
      <c r="A2135" s="6" t="s">
        <v>3418</v>
      </c>
      <c r="B2135">
        <v>66981241</v>
      </c>
      <c r="C2135">
        <v>3</v>
      </c>
      <c r="D2135" t="str">
        <f t="shared" si="75"/>
        <v>03</v>
      </c>
      <c r="E2135" t="str">
        <f>VLOOKUP(B2135,'HOGARES-ENDLINE'!$A:$B,2,FALSE)</f>
        <v>00020991</v>
      </c>
      <c r="F2135" s="6" t="str">
        <f t="shared" si="76"/>
        <v>0002099103</v>
      </c>
    </row>
    <row r="2136" spans="1:6" x14ac:dyDescent="0.3">
      <c r="A2136" s="6" t="s">
        <v>3417</v>
      </c>
      <c r="B2136">
        <v>66981241</v>
      </c>
      <c r="C2136">
        <v>2</v>
      </c>
      <c r="D2136" t="str">
        <f t="shared" si="75"/>
        <v>02</v>
      </c>
      <c r="E2136" t="str">
        <f>VLOOKUP(B2136,'HOGARES-ENDLINE'!$A:$B,2,FALSE)</f>
        <v>00020991</v>
      </c>
      <c r="F2136" s="6" t="str">
        <f t="shared" si="76"/>
        <v>0002099102</v>
      </c>
    </row>
    <row r="2137" spans="1:6" x14ac:dyDescent="0.3">
      <c r="A2137" s="6" t="s">
        <v>3416</v>
      </c>
      <c r="B2137">
        <v>66981241</v>
      </c>
      <c r="C2137">
        <v>1</v>
      </c>
      <c r="D2137" t="str">
        <f t="shared" si="75"/>
        <v>01</v>
      </c>
      <c r="E2137" t="str">
        <f>VLOOKUP(B2137,'HOGARES-ENDLINE'!$A:$B,2,FALSE)</f>
        <v>00020991</v>
      </c>
      <c r="F2137" s="6" t="str">
        <f t="shared" si="76"/>
        <v>0002099101</v>
      </c>
    </row>
    <row r="2138" spans="1:6" x14ac:dyDescent="0.3">
      <c r="A2138" s="6" t="s">
        <v>3420</v>
      </c>
      <c r="B2138">
        <v>66981593</v>
      </c>
      <c r="C2138">
        <v>1</v>
      </c>
      <c r="D2138" t="str">
        <f t="shared" si="75"/>
        <v>01</v>
      </c>
      <c r="E2138" t="str">
        <f>VLOOKUP(B2138,'HOGARES-ENDLINE'!$A:$B,2,FALSE)</f>
        <v>00020992</v>
      </c>
      <c r="F2138" s="6" t="str">
        <f t="shared" si="76"/>
        <v>0002099201</v>
      </c>
    </row>
    <row r="2139" spans="1:6" x14ac:dyDescent="0.3">
      <c r="A2139" s="6" t="s">
        <v>3424</v>
      </c>
      <c r="B2139">
        <v>66981593</v>
      </c>
      <c r="C2139">
        <v>5</v>
      </c>
      <c r="D2139" t="str">
        <f t="shared" si="75"/>
        <v>05</v>
      </c>
      <c r="E2139" t="str">
        <f>VLOOKUP(B2139,'HOGARES-ENDLINE'!$A:$B,2,FALSE)</f>
        <v>00020992</v>
      </c>
      <c r="F2139" s="6" t="str">
        <f t="shared" si="76"/>
        <v>0002099205</v>
      </c>
    </row>
    <row r="2140" spans="1:6" x14ac:dyDescent="0.3">
      <c r="A2140" s="6" t="s">
        <v>3423</v>
      </c>
      <c r="B2140">
        <v>66981593</v>
      </c>
      <c r="C2140">
        <v>4</v>
      </c>
      <c r="D2140" t="str">
        <f t="shared" si="75"/>
        <v>04</v>
      </c>
      <c r="E2140" t="str">
        <f>VLOOKUP(B2140,'HOGARES-ENDLINE'!$A:$B,2,FALSE)</f>
        <v>00020992</v>
      </c>
      <c r="F2140" s="6" t="str">
        <f t="shared" si="76"/>
        <v>0002099204</v>
      </c>
    </row>
    <row r="2141" spans="1:6" x14ac:dyDescent="0.3">
      <c r="A2141" s="6" t="s">
        <v>3421</v>
      </c>
      <c r="B2141">
        <v>66981593</v>
      </c>
      <c r="C2141">
        <v>2</v>
      </c>
      <c r="D2141" t="str">
        <f t="shared" si="75"/>
        <v>02</v>
      </c>
      <c r="E2141" t="str">
        <f>VLOOKUP(B2141,'HOGARES-ENDLINE'!$A:$B,2,FALSE)</f>
        <v>00020992</v>
      </c>
      <c r="F2141" s="6" t="str">
        <f t="shared" si="76"/>
        <v>0002099202</v>
      </c>
    </row>
    <row r="2142" spans="1:6" x14ac:dyDescent="0.3">
      <c r="A2142" s="6" t="s">
        <v>3422</v>
      </c>
      <c r="B2142">
        <v>66981593</v>
      </c>
      <c r="C2142">
        <v>3</v>
      </c>
      <c r="D2142" t="str">
        <f t="shared" si="75"/>
        <v>03</v>
      </c>
      <c r="E2142" t="str">
        <f>VLOOKUP(B2142,'HOGARES-ENDLINE'!$A:$B,2,FALSE)</f>
        <v>00020992</v>
      </c>
      <c r="F2142" s="6" t="str">
        <f t="shared" si="76"/>
        <v>0002099203</v>
      </c>
    </row>
    <row r="2143" spans="1:6" x14ac:dyDescent="0.3">
      <c r="A2143" s="6" t="s">
        <v>3425</v>
      </c>
      <c r="B2143">
        <v>66983263</v>
      </c>
      <c r="C2143">
        <v>1</v>
      </c>
      <c r="D2143" t="str">
        <f t="shared" si="75"/>
        <v>01</v>
      </c>
      <c r="E2143" t="str">
        <f>VLOOKUP(B2143,'HOGARES-ENDLINE'!$A:$B,2,FALSE)</f>
        <v>01020993</v>
      </c>
      <c r="F2143" s="6" t="str">
        <f t="shared" si="76"/>
        <v>0102099301</v>
      </c>
    </row>
    <row r="2144" spans="1:6" x14ac:dyDescent="0.3">
      <c r="A2144" s="6" t="s">
        <v>3432</v>
      </c>
      <c r="B2144">
        <v>66989106</v>
      </c>
      <c r="C2144">
        <v>3</v>
      </c>
      <c r="D2144" t="str">
        <f t="shared" si="75"/>
        <v>03</v>
      </c>
      <c r="E2144" t="str">
        <f>VLOOKUP(B2144,'HOGARES-ENDLINE'!$A:$B,2,FALSE)</f>
        <v>00020994</v>
      </c>
      <c r="F2144" s="6" t="str">
        <f t="shared" si="76"/>
        <v>0002099403</v>
      </c>
    </row>
    <row r="2145" spans="1:6" x14ac:dyDescent="0.3">
      <c r="A2145" s="6" t="s">
        <v>3430</v>
      </c>
      <c r="B2145">
        <v>66989106</v>
      </c>
      <c r="C2145">
        <v>1</v>
      </c>
      <c r="D2145" t="str">
        <f t="shared" si="75"/>
        <v>01</v>
      </c>
      <c r="E2145" t="str">
        <f>VLOOKUP(B2145,'HOGARES-ENDLINE'!$A:$B,2,FALSE)</f>
        <v>00020994</v>
      </c>
      <c r="F2145" s="6" t="str">
        <f t="shared" si="76"/>
        <v>0002099401</v>
      </c>
    </row>
    <row r="2146" spans="1:6" x14ac:dyDescent="0.3">
      <c r="A2146" s="6" t="s">
        <v>3431</v>
      </c>
      <c r="B2146">
        <v>66989106</v>
      </c>
      <c r="C2146">
        <v>2</v>
      </c>
      <c r="D2146" t="str">
        <f t="shared" si="75"/>
        <v>02</v>
      </c>
      <c r="E2146" t="str">
        <f>VLOOKUP(B2146,'HOGARES-ENDLINE'!$A:$B,2,FALSE)</f>
        <v>00020994</v>
      </c>
      <c r="F2146" s="6" t="str">
        <f t="shared" si="76"/>
        <v>0002099402</v>
      </c>
    </row>
    <row r="2147" spans="1:6" x14ac:dyDescent="0.3">
      <c r="A2147" s="6" t="s">
        <v>3435</v>
      </c>
      <c r="B2147">
        <v>66993102</v>
      </c>
      <c r="C2147">
        <v>1</v>
      </c>
      <c r="D2147" t="str">
        <f t="shared" si="75"/>
        <v>01</v>
      </c>
      <c r="E2147" t="str">
        <f>VLOOKUP(B2147,'HOGARES-ENDLINE'!$A:$B,2,FALSE)</f>
        <v>00020995</v>
      </c>
      <c r="F2147" s="6" t="str">
        <f t="shared" si="76"/>
        <v>0002099501</v>
      </c>
    </row>
    <row r="2148" spans="1:6" x14ac:dyDescent="0.3">
      <c r="A2148" s="6" t="s">
        <v>3433</v>
      </c>
      <c r="B2148">
        <v>66993102</v>
      </c>
      <c r="C2148">
        <v>2</v>
      </c>
      <c r="D2148" t="str">
        <f t="shared" si="75"/>
        <v>02</v>
      </c>
      <c r="E2148" t="str">
        <f>VLOOKUP(B2148,'HOGARES-ENDLINE'!$A:$B,2,FALSE)</f>
        <v>00020995</v>
      </c>
      <c r="F2148" s="6" t="str">
        <f t="shared" si="76"/>
        <v>0002099502</v>
      </c>
    </row>
    <row r="2149" spans="1:6" x14ac:dyDescent="0.3">
      <c r="A2149" s="6" t="s">
        <v>3436</v>
      </c>
      <c r="B2149">
        <v>66993102</v>
      </c>
      <c r="C2149">
        <v>4</v>
      </c>
      <c r="D2149" t="str">
        <f t="shared" si="75"/>
        <v>04</v>
      </c>
      <c r="E2149" t="str">
        <f>VLOOKUP(B2149,'HOGARES-ENDLINE'!$A:$B,2,FALSE)</f>
        <v>00020995</v>
      </c>
      <c r="F2149" s="6" t="str">
        <f t="shared" si="76"/>
        <v>0002099504</v>
      </c>
    </row>
    <row r="2150" spans="1:6" x14ac:dyDescent="0.3">
      <c r="A2150" s="6" t="s">
        <v>3434</v>
      </c>
      <c r="B2150">
        <v>66993102</v>
      </c>
      <c r="C2150">
        <v>3</v>
      </c>
      <c r="D2150" t="str">
        <f t="shared" si="75"/>
        <v>03</v>
      </c>
      <c r="E2150" t="str">
        <f>VLOOKUP(B2150,'HOGARES-ENDLINE'!$A:$B,2,FALSE)</f>
        <v>00020995</v>
      </c>
      <c r="F2150" s="6" t="str">
        <f t="shared" si="76"/>
        <v>0002099503</v>
      </c>
    </row>
    <row r="2151" spans="1:6" x14ac:dyDescent="0.3">
      <c r="A2151" s="6" t="s">
        <v>3438</v>
      </c>
      <c r="B2151">
        <v>66993543</v>
      </c>
      <c r="C2151">
        <v>1</v>
      </c>
      <c r="D2151" t="str">
        <f t="shared" si="75"/>
        <v>01</v>
      </c>
      <c r="E2151" t="str">
        <f>VLOOKUP(B2151,'HOGARES-ENDLINE'!$A:$B,2,FALSE)</f>
        <v>01020996</v>
      </c>
      <c r="F2151" s="6" t="str">
        <f t="shared" si="76"/>
        <v>0102099601</v>
      </c>
    </row>
    <row r="2152" spans="1:6" x14ac:dyDescent="0.3">
      <c r="A2152" s="6" t="s">
        <v>3437</v>
      </c>
      <c r="B2152">
        <v>66993543</v>
      </c>
      <c r="C2152">
        <v>2</v>
      </c>
      <c r="D2152" t="str">
        <f t="shared" si="75"/>
        <v>02</v>
      </c>
      <c r="E2152" t="str">
        <f>VLOOKUP(B2152,'HOGARES-ENDLINE'!$A:$B,2,FALSE)</f>
        <v>01020996</v>
      </c>
      <c r="F2152" s="6" t="str">
        <f t="shared" si="76"/>
        <v>0102099602</v>
      </c>
    </row>
    <row r="2153" spans="1:6" x14ac:dyDescent="0.3">
      <c r="A2153" s="6" t="s">
        <v>3440</v>
      </c>
      <c r="B2153">
        <v>66993543</v>
      </c>
      <c r="C2153">
        <v>3</v>
      </c>
      <c r="D2153" t="str">
        <f t="shared" si="75"/>
        <v>03</v>
      </c>
      <c r="E2153" t="str">
        <f>VLOOKUP(B2153,'HOGARES-ENDLINE'!$A:$B,2,FALSE)</f>
        <v>01020996</v>
      </c>
      <c r="F2153" s="6" t="str">
        <f t="shared" si="76"/>
        <v>0102099603</v>
      </c>
    </row>
    <row r="2154" spans="1:6" x14ac:dyDescent="0.3">
      <c r="A2154" s="6" t="s">
        <v>3441</v>
      </c>
      <c r="B2154">
        <v>66996132</v>
      </c>
      <c r="C2154">
        <v>1</v>
      </c>
      <c r="D2154" t="str">
        <f t="shared" si="75"/>
        <v>01</v>
      </c>
      <c r="E2154" t="str">
        <f>VLOOKUP(B2154,'HOGARES-ENDLINE'!$A:$B,2,FALSE)</f>
        <v>01020997</v>
      </c>
      <c r="F2154" s="6" t="str">
        <f t="shared" si="76"/>
        <v>0102099701</v>
      </c>
    </row>
    <row r="2155" spans="1:6" x14ac:dyDescent="0.3">
      <c r="A2155" s="6" t="s">
        <v>3444</v>
      </c>
      <c r="B2155">
        <v>67007953</v>
      </c>
      <c r="C2155">
        <v>1</v>
      </c>
      <c r="D2155" t="str">
        <f t="shared" si="75"/>
        <v>01</v>
      </c>
      <c r="E2155" t="str">
        <f>VLOOKUP(B2155,'HOGARES-ENDLINE'!$A:$B,2,FALSE)</f>
        <v>00020998</v>
      </c>
      <c r="F2155" s="6" t="str">
        <f t="shared" si="76"/>
        <v>0002099801</v>
      </c>
    </row>
    <row r="2156" spans="1:6" x14ac:dyDescent="0.3">
      <c r="A2156" s="6" t="s">
        <v>3442</v>
      </c>
      <c r="B2156">
        <v>67007953</v>
      </c>
      <c r="C2156">
        <v>2</v>
      </c>
      <c r="D2156" t="str">
        <f t="shared" si="75"/>
        <v>02</v>
      </c>
      <c r="E2156" t="str">
        <f>VLOOKUP(B2156,'HOGARES-ENDLINE'!$A:$B,2,FALSE)</f>
        <v>00020998</v>
      </c>
      <c r="F2156" s="6" t="str">
        <f t="shared" si="76"/>
        <v>0002099802</v>
      </c>
    </row>
    <row r="2157" spans="1:6" x14ac:dyDescent="0.3">
      <c r="A2157" s="6" t="s">
        <v>3443</v>
      </c>
      <c r="B2157">
        <v>67007953</v>
      </c>
      <c r="C2157">
        <v>3</v>
      </c>
      <c r="D2157" t="str">
        <f t="shared" si="75"/>
        <v>03</v>
      </c>
      <c r="E2157" t="str">
        <f>VLOOKUP(B2157,'HOGARES-ENDLINE'!$A:$B,2,FALSE)</f>
        <v>00020998</v>
      </c>
      <c r="F2157" s="6" t="str">
        <f t="shared" si="76"/>
        <v>0002099803</v>
      </c>
    </row>
    <row r="2158" spans="1:6" x14ac:dyDescent="0.3">
      <c r="A2158" s="6" t="s">
        <v>3445</v>
      </c>
      <c r="B2158">
        <v>67009210</v>
      </c>
      <c r="C2158">
        <v>4</v>
      </c>
      <c r="D2158" t="str">
        <f t="shared" si="75"/>
        <v>04</v>
      </c>
      <c r="E2158" t="str">
        <f>VLOOKUP(B2158,'HOGARES-ENDLINE'!$A:$B,2,FALSE)</f>
        <v>00020999</v>
      </c>
      <c r="F2158" s="6" t="str">
        <f t="shared" si="76"/>
        <v>0002099904</v>
      </c>
    </row>
    <row r="2159" spans="1:6" x14ac:dyDescent="0.3">
      <c r="A2159" s="6" t="s">
        <v>3448</v>
      </c>
      <c r="B2159">
        <v>67009210</v>
      </c>
      <c r="C2159">
        <v>5</v>
      </c>
      <c r="D2159" t="str">
        <f t="shared" si="75"/>
        <v>05</v>
      </c>
      <c r="E2159" t="str">
        <f>VLOOKUP(B2159,'HOGARES-ENDLINE'!$A:$B,2,FALSE)</f>
        <v>00020999</v>
      </c>
      <c r="F2159" s="6" t="str">
        <f t="shared" si="76"/>
        <v>0002099905</v>
      </c>
    </row>
    <row r="2160" spans="1:6" x14ac:dyDescent="0.3">
      <c r="A2160" s="6" t="s">
        <v>3449</v>
      </c>
      <c r="B2160">
        <v>67009210</v>
      </c>
      <c r="C2160">
        <v>3</v>
      </c>
      <c r="D2160" t="str">
        <f t="shared" si="75"/>
        <v>03</v>
      </c>
      <c r="E2160" t="str">
        <f>VLOOKUP(B2160,'HOGARES-ENDLINE'!$A:$B,2,FALSE)</f>
        <v>00020999</v>
      </c>
      <c r="F2160" s="6" t="str">
        <f t="shared" si="76"/>
        <v>0002099903</v>
      </c>
    </row>
    <row r="2161" spans="1:6" x14ac:dyDescent="0.3">
      <c r="A2161" s="6" t="s">
        <v>3446</v>
      </c>
      <c r="B2161">
        <v>67009210</v>
      </c>
      <c r="C2161">
        <v>2</v>
      </c>
      <c r="D2161" t="str">
        <f t="shared" si="75"/>
        <v>02</v>
      </c>
      <c r="E2161" t="str">
        <f>VLOOKUP(B2161,'HOGARES-ENDLINE'!$A:$B,2,FALSE)</f>
        <v>00020999</v>
      </c>
      <c r="F2161" s="6" t="str">
        <f t="shared" si="76"/>
        <v>0002099902</v>
      </c>
    </row>
    <row r="2162" spans="1:6" x14ac:dyDescent="0.3">
      <c r="A2162" s="6" t="s">
        <v>3447</v>
      </c>
      <c r="B2162">
        <v>67009210</v>
      </c>
      <c r="C2162">
        <v>1</v>
      </c>
      <c r="D2162" t="str">
        <f t="shared" si="75"/>
        <v>01</v>
      </c>
      <c r="E2162" t="str">
        <f>VLOOKUP(B2162,'HOGARES-ENDLINE'!$A:$B,2,FALSE)</f>
        <v>00020999</v>
      </c>
      <c r="F2162" s="6" t="str">
        <f t="shared" si="76"/>
        <v>0002099901</v>
      </c>
    </row>
    <row r="2163" spans="1:6" x14ac:dyDescent="0.3">
      <c r="A2163" s="6" t="s">
        <v>3454</v>
      </c>
      <c r="B2163">
        <v>67014248</v>
      </c>
      <c r="C2163">
        <v>4</v>
      </c>
      <c r="D2163" t="str">
        <f t="shared" si="75"/>
        <v>04</v>
      </c>
      <c r="E2163" t="str">
        <f>VLOOKUP(B2163,'HOGARES-ENDLINE'!$A:$B,2,FALSE)</f>
        <v>00021000</v>
      </c>
      <c r="F2163" s="6" t="str">
        <f t="shared" si="76"/>
        <v>0002100004</v>
      </c>
    </row>
    <row r="2164" spans="1:6" x14ac:dyDescent="0.3">
      <c r="A2164" s="6" t="s">
        <v>3450</v>
      </c>
      <c r="B2164">
        <v>67014248</v>
      </c>
      <c r="C2164">
        <v>1</v>
      </c>
      <c r="D2164" t="str">
        <f t="shared" si="75"/>
        <v>01</v>
      </c>
      <c r="E2164" t="str">
        <f>VLOOKUP(B2164,'HOGARES-ENDLINE'!$A:$B,2,FALSE)</f>
        <v>00021000</v>
      </c>
      <c r="F2164" s="6" t="str">
        <f t="shared" si="76"/>
        <v>0002100001</v>
      </c>
    </row>
    <row r="2165" spans="1:6" x14ac:dyDescent="0.3">
      <c r="A2165" s="6" t="s">
        <v>3452</v>
      </c>
      <c r="B2165">
        <v>67014248</v>
      </c>
      <c r="C2165">
        <v>3</v>
      </c>
      <c r="D2165" t="str">
        <f t="shared" si="75"/>
        <v>03</v>
      </c>
      <c r="E2165" t="str">
        <f>VLOOKUP(B2165,'HOGARES-ENDLINE'!$A:$B,2,FALSE)</f>
        <v>00021000</v>
      </c>
      <c r="F2165" s="6" t="str">
        <f t="shared" si="76"/>
        <v>0002100003</v>
      </c>
    </row>
    <row r="2166" spans="1:6" x14ac:dyDescent="0.3">
      <c r="A2166" s="6" t="s">
        <v>3457</v>
      </c>
      <c r="B2166">
        <v>67014284</v>
      </c>
      <c r="C2166">
        <v>1</v>
      </c>
      <c r="D2166" t="str">
        <f t="shared" si="75"/>
        <v>01</v>
      </c>
      <c r="E2166" t="str">
        <f>VLOOKUP(B2166,'HOGARES-ENDLINE'!$A:$B,2,FALSE)</f>
        <v>01021001</v>
      </c>
      <c r="F2166" s="6" t="str">
        <f t="shared" si="76"/>
        <v>0102100101</v>
      </c>
    </row>
    <row r="2167" spans="1:6" x14ac:dyDescent="0.3">
      <c r="A2167" s="6" t="s">
        <v>3461</v>
      </c>
      <c r="B2167">
        <v>67016691</v>
      </c>
      <c r="C2167">
        <v>1</v>
      </c>
      <c r="D2167" t="str">
        <f t="shared" si="75"/>
        <v>01</v>
      </c>
      <c r="E2167" t="str">
        <f>VLOOKUP(B2167,'HOGARES-ENDLINE'!$A:$B,2,FALSE)</f>
        <v>00021002</v>
      </c>
      <c r="F2167" s="6" t="str">
        <f t="shared" si="76"/>
        <v>0002100201</v>
      </c>
    </row>
    <row r="2168" spans="1:6" x14ac:dyDescent="0.3">
      <c r="A2168" s="6" t="s">
        <v>3462</v>
      </c>
      <c r="B2168">
        <v>67016691</v>
      </c>
      <c r="C2168">
        <v>2</v>
      </c>
      <c r="D2168" t="str">
        <f t="shared" si="75"/>
        <v>02</v>
      </c>
      <c r="E2168" t="str">
        <f>VLOOKUP(B2168,'HOGARES-ENDLINE'!$A:$B,2,FALSE)</f>
        <v>00021002</v>
      </c>
      <c r="F2168" s="6" t="str">
        <f t="shared" si="76"/>
        <v>0002100202</v>
      </c>
    </row>
    <row r="2169" spans="1:6" x14ac:dyDescent="0.3">
      <c r="A2169" s="6" t="s">
        <v>3465</v>
      </c>
      <c r="B2169">
        <v>67019790</v>
      </c>
      <c r="C2169">
        <v>1</v>
      </c>
      <c r="D2169" t="str">
        <f t="shared" si="75"/>
        <v>01</v>
      </c>
      <c r="E2169" t="str">
        <f>VLOOKUP(B2169,'HOGARES-ENDLINE'!$A:$B,2,FALSE)</f>
        <v>00021003</v>
      </c>
      <c r="F2169" s="6" t="str">
        <f t="shared" si="76"/>
        <v>0002100301</v>
      </c>
    </row>
    <row r="2170" spans="1:6" x14ac:dyDescent="0.3">
      <c r="A2170" s="6" t="s">
        <v>3464</v>
      </c>
      <c r="B2170">
        <v>67019790</v>
      </c>
      <c r="C2170">
        <v>3</v>
      </c>
      <c r="D2170" t="str">
        <f t="shared" si="75"/>
        <v>03</v>
      </c>
      <c r="E2170" t="str">
        <f>VLOOKUP(B2170,'HOGARES-ENDLINE'!$A:$B,2,FALSE)</f>
        <v>00021003</v>
      </c>
      <c r="F2170" s="6" t="str">
        <f t="shared" si="76"/>
        <v>0002100303</v>
      </c>
    </row>
    <row r="2171" spans="1:6" x14ac:dyDescent="0.3">
      <c r="A2171" s="6" t="s">
        <v>3463</v>
      </c>
      <c r="B2171">
        <v>67019790</v>
      </c>
      <c r="C2171">
        <v>2</v>
      </c>
      <c r="D2171" t="str">
        <f t="shared" si="75"/>
        <v>02</v>
      </c>
      <c r="E2171" t="str">
        <f>VLOOKUP(B2171,'HOGARES-ENDLINE'!$A:$B,2,FALSE)</f>
        <v>00021003</v>
      </c>
      <c r="F2171" s="6" t="str">
        <f t="shared" si="76"/>
        <v>0002100302</v>
      </c>
    </row>
    <row r="2172" spans="1:6" x14ac:dyDescent="0.3">
      <c r="A2172" s="6" t="s">
        <v>3466</v>
      </c>
      <c r="B2172">
        <v>67019790</v>
      </c>
      <c r="C2172">
        <v>4</v>
      </c>
      <c r="D2172" t="str">
        <f t="shared" ref="D2172:D2235" si="77">_xlfn.CONCAT(0,C2172)</f>
        <v>04</v>
      </c>
      <c r="E2172" t="str">
        <f>VLOOKUP(B2172,'HOGARES-ENDLINE'!$A:$B,2,FALSE)</f>
        <v>00021003</v>
      </c>
      <c r="F2172" s="6" t="str">
        <f t="shared" si="76"/>
        <v>0002100304</v>
      </c>
    </row>
    <row r="2173" spans="1:6" x14ac:dyDescent="0.3">
      <c r="A2173" s="6" t="s">
        <v>3468</v>
      </c>
      <c r="B2173">
        <v>67021030</v>
      </c>
      <c r="C2173">
        <v>4</v>
      </c>
      <c r="D2173" t="str">
        <f t="shared" si="77"/>
        <v>04</v>
      </c>
      <c r="E2173" t="str">
        <f>VLOOKUP(B2173,'HOGARES-ENDLINE'!$A:$B,2,FALSE)</f>
        <v>01021004</v>
      </c>
      <c r="F2173" s="6" t="str">
        <f t="shared" si="76"/>
        <v>0102100404</v>
      </c>
    </row>
    <row r="2174" spans="1:6" x14ac:dyDescent="0.3">
      <c r="A2174" s="6" t="s">
        <v>3471</v>
      </c>
      <c r="B2174">
        <v>67021030</v>
      </c>
      <c r="C2174">
        <v>3</v>
      </c>
      <c r="D2174" t="str">
        <f t="shared" si="77"/>
        <v>03</v>
      </c>
      <c r="E2174" t="str">
        <f>VLOOKUP(B2174,'HOGARES-ENDLINE'!$A:$B,2,FALSE)</f>
        <v>01021004</v>
      </c>
      <c r="F2174" s="6" t="str">
        <f t="shared" si="76"/>
        <v>0102100403</v>
      </c>
    </row>
    <row r="2175" spans="1:6" x14ac:dyDescent="0.3">
      <c r="A2175" s="6" t="s">
        <v>3470</v>
      </c>
      <c r="B2175">
        <v>67021030</v>
      </c>
      <c r="C2175">
        <v>5</v>
      </c>
      <c r="D2175" t="str">
        <f t="shared" si="77"/>
        <v>05</v>
      </c>
      <c r="E2175" t="str">
        <f>VLOOKUP(B2175,'HOGARES-ENDLINE'!$A:$B,2,FALSE)</f>
        <v>01021004</v>
      </c>
      <c r="F2175" s="6" t="str">
        <f t="shared" si="76"/>
        <v>0102100405</v>
      </c>
    </row>
    <row r="2176" spans="1:6" x14ac:dyDescent="0.3">
      <c r="A2176" s="6" t="s">
        <v>3467</v>
      </c>
      <c r="B2176">
        <v>67021030</v>
      </c>
      <c r="C2176">
        <v>2</v>
      </c>
      <c r="D2176" t="str">
        <f t="shared" si="77"/>
        <v>02</v>
      </c>
      <c r="E2176" t="str">
        <f>VLOOKUP(B2176,'HOGARES-ENDLINE'!$A:$B,2,FALSE)</f>
        <v>01021004</v>
      </c>
      <c r="F2176" s="6" t="str">
        <f t="shared" si="76"/>
        <v>0102100402</v>
      </c>
    </row>
    <row r="2177" spans="1:6" x14ac:dyDescent="0.3">
      <c r="A2177" s="6" t="s">
        <v>3469</v>
      </c>
      <c r="B2177">
        <v>67021030</v>
      </c>
      <c r="C2177">
        <v>1</v>
      </c>
      <c r="D2177" t="str">
        <f t="shared" si="77"/>
        <v>01</v>
      </c>
      <c r="E2177" t="str">
        <f>VLOOKUP(B2177,'HOGARES-ENDLINE'!$A:$B,2,FALSE)</f>
        <v>01021004</v>
      </c>
      <c r="F2177" s="6" t="str">
        <f t="shared" si="76"/>
        <v>0102100401</v>
      </c>
    </row>
    <row r="2178" spans="1:6" x14ac:dyDescent="0.3">
      <c r="A2178" s="6" t="s">
        <v>3479</v>
      </c>
      <c r="B2178">
        <v>67028018</v>
      </c>
      <c r="C2178">
        <v>1</v>
      </c>
      <c r="D2178" t="str">
        <f t="shared" si="77"/>
        <v>01</v>
      </c>
      <c r="E2178" t="str">
        <f>VLOOKUP(B2178,'HOGARES-ENDLINE'!$A:$B,2,FALSE)</f>
        <v>00021006</v>
      </c>
      <c r="F2178" s="6" t="str">
        <f t="shared" si="76"/>
        <v>0002100601</v>
      </c>
    </row>
    <row r="2179" spans="1:6" x14ac:dyDescent="0.3">
      <c r="A2179" s="6" t="s">
        <v>3476</v>
      </c>
      <c r="B2179">
        <v>67028018</v>
      </c>
      <c r="C2179">
        <v>4</v>
      </c>
      <c r="D2179" t="str">
        <f t="shared" si="77"/>
        <v>04</v>
      </c>
      <c r="E2179" t="str">
        <f>VLOOKUP(B2179,'HOGARES-ENDLINE'!$A:$B,2,FALSE)</f>
        <v>00021006</v>
      </c>
      <c r="F2179" s="6" t="str">
        <f t="shared" ref="F2179:F2242" si="78">_xlfn.CONCAT(E2179,D2179)</f>
        <v>0002100604</v>
      </c>
    </row>
    <row r="2180" spans="1:6" x14ac:dyDescent="0.3">
      <c r="A2180" s="6" t="s">
        <v>3478</v>
      </c>
      <c r="B2180">
        <v>67028018</v>
      </c>
      <c r="C2180">
        <v>2</v>
      </c>
      <c r="D2180" t="str">
        <f t="shared" si="77"/>
        <v>02</v>
      </c>
      <c r="E2180" t="str">
        <f>VLOOKUP(B2180,'HOGARES-ENDLINE'!$A:$B,2,FALSE)</f>
        <v>00021006</v>
      </c>
      <c r="F2180" s="6" t="str">
        <f t="shared" si="78"/>
        <v>0002100602</v>
      </c>
    </row>
    <row r="2181" spans="1:6" x14ac:dyDescent="0.3">
      <c r="A2181" s="6" t="s">
        <v>3477</v>
      </c>
      <c r="B2181">
        <v>67028018</v>
      </c>
      <c r="C2181">
        <v>3</v>
      </c>
      <c r="D2181" t="str">
        <f t="shared" si="77"/>
        <v>03</v>
      </c>
      <c r="E2181" t="str">
        <f>VLOOKUP(B2181,'HOGARES-ENDLINE'!$A:$B,2,FALSE)</f>
        <v>00021006</v>
      </c>
      <c r="F2181" s="6" t="str">
        <f t="shared" si="78"/>
        <v>0002100603</v>
      </c>
    </row>
    <row r="2182" spans="1:6" x14ac:dyDescent="0.3">
      <c r="A2182" s="6" t="s">
        <v>3487</v>
      </c>
      <c r="B2182">
        <v>70049056</v>
      </c>
      <c r="C2182">
        <v>2</v>
      </c>
      <c r="D2182" t="str">
        <f t="shared" si="77"/>
        <v>02</v>
      </c>
      <c r="E2182" t="str">
        <f>VLOOKUP(B2182,'HOGARES-ENDLINE'!$A:$B,2,FALSE)</f>
        <v>00011008</v>
      </c>
      <c r="F2182" s="6" t="str">
        <f t="shared" si="78"/>
        <v>0001100802</v>
      </c>
    </row>
    <row r="2183" spans="1:6" x14ac:dyDescent="0.3">
      <c r="A2183" s="6" t="s">
        <v>3485</v>
      </c>
      <c r="B2183">
        <v>70049056</v>
      </c>
      <c r="C2183">
        <v>3</v>
      </c>
      <c r="D2183" t="str">
        <f t="shared" si="77"/>
        <v>03</v>
      </c>
      <c r="E2183" t="str">
        <f>VLOOKUP(B2183,'HOGARES-ENDLINE'!$A:$B,2,FALSE)</f>
        <v>00011008</v>
      </c>
      <c r="F2183" s="6" t="str">
        <f t="shared" si="78"/>
        <v>0001100803</v>
      </c>
    </row>
    <row r="2184" spans="1:6" x14ac:dyDescent="0.3">
      <c r="A2184" s="6" t="s">
        <v>3489</v>
      </c>
      <c r="B2184">
        <v>70049056</v>
      </c>
      <c r="C2184">
        <v>6</v>
      </c>
      <c r="D2184" t="str">
        <f t="shared" si="77"/>
        <v>06</v>
      </c>
      <c r="E2184" t="str">
        <f>VLOOKUP(B2184,'HOGARES-ENDLINE'!$A:$B,2,FALSE)</f>
        <v>00011008</v>
      </c>
      <c r="F2184" s="6" t="str">
        <f t="shared" si="78"/>
        <v>0001100806</v>
      </c>
    </row>
    <row r="2185" spans="1:6" x14ac:dyDescent="0.3">
      <c r="A2185" s="6" t="s">
        <v>3488</v>
      </c>
      <c r="B2185">
        <v>70049056</v>
      </c>
      <c r="C2185">
        <v>8</v>
      </c>
      <c r="D2185" t="str">
        <f t="shared" si="77"/>
        <v>08</v>
      </c>
      <c r="E2185" t="str">
        <f>VLOOKUP(B2185,'HOGARES-ENDLINE'!$A:$B,2,FALSE)</f>
        <v>00011008</v>
      </c>
      <c r="F2185" s="6" t="str">
        <f t="shared" si="78"/>
        <v>0001100808</v>
      </c>
    </row>
    <row r="2186" spans="1:6" x14ac:dyDescent="0.3">
      <c r="A2186" s="6" t="s">
        <v>3482</v>
      </c>
      <c r="B2186">
        <v>70049056</v>
      </c>
      <c r="C2186">
        <v>4</v>
      </c>
      <c r="D2186" t="str">
        <f t="shared" si="77"/>
        <v>04</v>
      </c>
      <c r="E2186" t="str">
        <f>VLOOKUP(B2186,'HOGARES-ENDLINE'!$A:$B,2,FALSE)</f>
        <v>00011008</v>
      </c>
      <c r="F2186" s="6" t="str">
        <f t="shared" si="78"/>
        <v>0001100804</v>
      </c>
    </row>
    <row r="2187" spans="1:6" x14ac:dyDescent="0.3">
      <c r="A2187" s="6" t="s">
        <v>3486</v>
      </c>
      <c r="B2187">
        <v>70049056</v>
      </c>
      <c r="C2187">
        <v>1</v>
      </c>
      <c r="D2187" t="str">
        <f t="shared" si="77"/>
        <v>01</v>
      </c>
      <c r="E2187" t="str">
        <f>VLOOKUP(B2187,'HOGARES-ENDLINE'!$A:$B,2,FALSE)</f>
        <v>00011008</v>
      </c>
      <c r="F2187" s="6" t="str">
        <f t="shared" si="78"/>
        <v>0001100801</v>
      </c>
    </row>
    <row r="2188" spans="1:6" x14ac:dyDescent="0.3">
      <c r="A2188" s="6" t="s">
        <v>3484</v>
      </c>
      <c r="B2188">
        <v>70049056</v>
      </c>
      <c r="C2188">
        <v>7</v>
      </c>
      <c r="D2188" t="str">
        <f t="shared" si="77"/>
        <v>07</v>
      </c>
      <c r="E2188" t="str">
        <f>VLOOKUP(B2188,'HOGARES-ENDLINE'!$A:$B,2,FALSE)</f>
        <v>00011008</v>
      </c>
      <c r="F2188" s="6" t="str">
        <f t="shared" si="78"/>
        <v>0001100807</v>
      </c>
    </row>
    <row r="2189" spans="1:6" x14ac:dyDescent="0.3">
      <c r="A2189" s="6" t="s">
        <v>3483</v>
      </c>
      <c r="B2189">
        <v>70049056</v>
      </c>
      <c r="C2189">
        <v>5</v>
      </c>
      <c r="D2189" t="str">
        <f t="shared" si="77"/>
        <v>05</v>
      </c>
      <c r="E2189" t="str">
        <f>VLOOKUP(B2189,'HOGARES-ENDLINE'!$A:$B,2,FALSE)</f>
        <v>00011008</v>
      </c>
      <c r="F2189" s="6" t="str">
        <f t="shared" si="78"/>
        <v>0001100805</v>
      </c>
    </row>
    <row r="2190" spans="1:6" x14ac:dyDescent="0.3">
      <c r="A2190" s="6" t="s">
        <v>3490</v>
      </c>
      <c r="B2190">
        <v>70073044</v>
      </c>
      <c r="C2190">
        <v>1</v>
      </c>
      <c r="D2190" t="str">
        <f t="shared" si="77"/>
        <v>01</v>
      </c>
      <c r="E2190" t="str">
        <f>VLOOKUP(B2190,'HOGARES-ENDLINE'!$A:$B,2,FALSE)</f>
        <v>00011009</v>
      </c>
      <c r="F2190" s="6" t="str">
        <f t="shared" si="78"/>
        <v>0001100901</v>
      </c>
    </row>
    <row r="2191" spans="1:6" x14ac:dyDescent="0.3">
      <c r="A2191" s="6" t="s">
        <v>3491</v>
      </c>
      <c r="B2191">
        <v>70108470</v>
      </c>
      <c r="C2191">
        <v>1</v>
      </c>
      <c r="D2191" t="str">
        <f t="shared" si="77"/>
        <v>01</v>
      </c>
      <c r="E2191" t="str">
        <f>VLOOKUP(B2191,'HOGARES-ENDLINE'!$A:$B,2,FALSE)</f>
        <v>00011010</v>
      </c>
      <c r="F2191" s="6" t="str">
        <f t="shared" si="78"/>
        <v>0001101001</v>
      </c>
    </row>
    <row r="2192" spans="1:6" x14ac:dyDescent="0.3">
      <c r="A2192" s="6" t="s">
        <v>3492</v>
      </c>
      <c r="B2192">
        <v>70108470</v>
      </c>
      <c r="C2192">
        <v>2</v>
      </c>
      <c r="D2192" t="str">
        <f t="shared" si="77"/>
        <v>02</v>
      </c>
      <c r="E2192" t="str">
        <f>VLOOKUP(B2192,'HOGARES-ENDLINE'!$A:$B,2,FALSE)</f>
        <v>00011010</v>
      </c>
      <c r="F2192" s="6" t="str">
        <f t="shared" si="78"/>
        <v>0001101002</v>
      </c>
    </row>
    <row r="2193" spans="1:6" x14ac:dyDescent="0.3">
      <c r="A2193" s="6" t="s">
        <v>3493</v>
      </c>
      <c r="B2193">
        <v>70127199</v>
      </c>
      <c r="C2193">
        <v>1</v>
      </c>
      <c r="D2193" t="str">
        <f t="shared" si="77"/>
        <v>01</v>
      </c>
      <c r="E2193" t="str">
        <f>VLOOKUP(B2193,'HOGARES-ENDLINE'!$A:$B,2,FALSE)</f>
        <v>00011011</v>
      </c>
      <c r="F2193" s="6" t="str">
        <f t="shared" si="78"/>
        <v>0001101101</v>
      </c>
    </row>
    <row r="2194" spans="1:6" x14ac:dyDescent="0.3">
      <c r="A2194" s="6" t="s">
        <v>3494</v>
      </c>
      <c r="B2194">
        <v>70432281</v>
      </c>
      <c r="C2194">
        <v>3</v>
      </c>
      <c r="D2194" t="str">
        <f t="shared" si="77"/>
        <v>03</v>
      </c>
      <c r="E2194" t="str">
        <f>VLOOKUP(B2194,'HOGARES-ENDLINE'!$A:$B,2,FALSE)</f>
        <v>01011012</v>
      </c>
      <c r="F2194" s="6" t="str">
        <f t="shared" si="78"/>
        <v>0101101203</v>
      </c>
    </row>
    <row r="2195" spans="1:6" x14ac:dyDescent="0.3">
      <c r="A2195" s="6" t="s">
        <v>3495</v>
      </c>
      <c r="B2195">
        <v>70432281</v>
      </c>
      <c r="C2195">
        <v>2</v>
      </c>
      <c r="D2195" t="str">
        <f t="shared" si="77"/>
        <v>02</v>
      </c>
      <c r="E2195" t="str">
        <f>VLOOKUP(B2195,'HOGARES-ENDLINE'!$A:$B,2,FALSE)</f>
        <v>01011012</v>
      </c>
      <c r="F2195" s="6" t="str">
        <f t="shared" si="78"/>
        <v>0101101202</v>
      </c>
    </row>
    <row r="2196" spans="1:6" x14ac:dyDescent="0.3">
      <c r="A2196" s="6" t="s">
        <v>3496</v>
      </c>
      <c r="B2196">
        <v>70432281</v>
      </c>
      <c r="C2196">
        <v>4</v>
      </c>
      <c r="D2196" t="str">
        <f t="shared" si="77"/>
        <v>04</v>
      </c>
      <c r="E2196" t="str">
        <f>VLOOKUP(B2196,'HOGARES-ENDLINE'!$A:$B,2,FALSE)</f>
        <v>01011012</v>
      </c>
      <c r="F2196" s="6" t="str">
        <f t="shared" si="78"/>
        <v>0101101204</v>
      </c>
    </row>
    <row r="2197" spans="1:6" x14ac:dyDescent="0.3">
      <c r="A2197" s="6" t="s">
        <v>3497</v>
      </c>
      <c r="B2197">
        <v>70432281</v>
      </c>
      <c r="C2197">
        <v>1</v>
      </c>
      <c r="D2197" t="str">
        <f t="shared" si="77"/>
        <v>01</v>
      </c>
      <c r="E2197" t="str">
        <f>VLOOKUP(B2197,'HOGARES-ENDLINE'!$A:$B,2,FALSE)</f>
        <v>01011012</v>
      </c>
      <c r="F2197" s="6" t="str">
        <f t="shared" si="78"/>
        <v>0101101201</v>
      </c>
    </row>
    <row r="2198" spans="1:6" x14ac:dyDescent="0.3">
      <c r="A2198" s="6" t="s">
        <v>3500</v>
      </c>
      <c r="B2198">
        <v>70540124</v>
      </c>
      <c r="C2198">
        <v>1</v>
      </c>
      <c r="D2198" t="str">
        <f t="shared" si="77"/>
        <v>01</v>
      </c>
      <c r="E2198" t="str">
        <f>VLOOKUP(B2198,'HOGARES-ENDLINE'!$A:$B,2,FALSE)</f>
        <v>01011013</v>
      </c>
      <c r="F2198" s="6" t="str">
        <f t="shared" si="78"/>
        <v>0101101301</v>
      </c>
    </row>
    <row r="2199" spans="1:6" x14ac:dyDescent="0.3">
      <c r="A2199" s="6" t="s">
        <v>3499</v>
      </c>
      <c r="B2199">
        <v>70540124</v>
      </c>
      <c r="C2199">
        <v>2</v>
      </c>
      <c r="D2199" t="str">
        <f t="shared" si="77"/>
        <v>02</v>
      </c>
      <c r="E2199" t="str">
        <f>VLOOKUP(B2199,'HOGARES-ENDLINE'!$A:$B,2,FALSE)</f>
        <v>01011013</v>
      </c>
      <c r="F2199" s="6" t="str">
        <f t="shared" si="78"/>
        <v>0101101302</v>
      </c>
    </row>
    <row r="2200" spans="1:6" x14ac:dyDescent="0.3">
      <c r="A2200" s="6" t="s">
        <v>3498</v>
      </c>
      <c r="B2200">
        <v>70540124</v>
      </c>
      <c r="C2200">
        <v>3</v>
      </c>
      <c r="D2200" t="str">
        <f t="shared" si="77"/>
        <v>03</v>
      </c>
      <c r="E2200" t="str">
        <f>VLOOKUP(B2200,'HOGARES-ENDLINE'!$A:$B,2,FALSE)</f>
        <v>01011013</v>
      </c>
      <c r="F2200" s="6" t="str">
        <f t="shared" si="78"/>
        <v>0101101303</v>
      </c>
    </row>
    <row r="2201" spans="1:6" x14ac:dyDescent="0.3">
      <c r="A2201" s="6" t="s">
        <v>3501</v>
      </c>
      <c r="B2201">
        <v>70663173</v>
      </c>
      <c r="C2201">
        <v>1</v>
      </c>
      <c r="D2201" t="str">
        <f t="shared" si="77"/>
        <v>01</v>
      </c>
      <c r="E2201" t="str">
        <f>VLOOKUP(B2201,'HOGARES-ENDLINE'!$A:$B,2,FALSE)</f>
        <v>01011014</v>
      </c>
      <c r="F2201" s="6" t="str">
        <f t="shared" si="78"/>
        <v>0101101401</v>
      </c>
    </row>
    <row r="2202" spans="1:6" x14ac:dyDescent="0.3">
      <c r="A2202" s="6" t="s">
        <v>3502</v>
      </c>
      <c r="B2202">
        <v>70721342</v>
      </c>
      <c r="C2202">
        <v>1</v>
      </c>
      <c r="D2202" t="str">
        <f t="shared" si="77"/>
        <v>01</v>
      </c>
      <c r="E2202" t="str">
        <f>VLOOKUP(B2202,'HOGARES-ENDLINE'!$A:$B,2,FALSE)</f>
        <v>01011015</v>
      </c>
      <c r="F2202" s="6" t="str">
        <f t="shared" si="78"/>
        <v>0101101501</v>
      </c>
    </row>
    <row r="2203" spans="1:6" x14ac:dyDescent="0.3">
      <c r="A2203" s="6" t="s">
        <v>3508</v>
      </c>
      <c r="B2203">
        <v>71218215</v>
      </c>
      <c r="C2203">
        <v>2</v>
      </c>
      <c r="D2203" t="str">
        <f t="shared" si="77"/>
        <v>02</v>
      </c>
      <c r="E2203" t="str">
        <f>VLOOKUP(B2203,'HOGARES-ENDLINE'!$A:$B,2,FALSE)</f>
        <v>00011017</v>
      </c>
      <c r="F2203" s="6" t="str">
        <f t="shared" si="78"/>
        <v>0001101702</v>
      </c>
    </row>
    <row r="2204" spans="1:6" x14ac:dyDescent="0.3">
      <c r="A2204" s="6" t="s">
        <v>3505</v>
      </c>
      <c r="B2204">
        <v>71218215</v>
      </c>
      <c r="C2204">
        <v>3</v>
      </c>
      <c r="D2204" t="str">
        <f t="shared" si="77"/>
        <v>03</v>
      </c>
      <c r="E2204" t="str">
        <f>VLOOKUP(B2204,'HOGARES-ENDLINE'!$A:$B,2,FALSE)</f>
        <v>00011017</v>
      </c>
      <c r="F2204" s="6" t="str">
        <f t="shared" si="78"/>
        <v>0001101703</v>
      </c>
    </row>
    <row r="2205" spans="1:6" x14ac:dyDescent="0.3">
      <c r="A2205" s="6" t="s">
        <v>3506</v>
      </c>
      <c r="B2205">
        <v>71218215</v>
      </c>
      <c r="C2205">
        <v>1</v>
      </c>
      <c r="D2205" t="str">
        <f t="shared" si="77"/>
        <v>01</v>
      </c>
      <c r="E2205" t="str">
        <f>VLOOKUP(B2205,'HOGARES-ENDLINE'!$A:$B,2,FALSE)</f>
        <v>00011017</v>
      </c>
      <c r="F2205" s="6" t="str">
        <f t="shared" si="78"/>
        <v>0001101701</v>
      </c>
    </row>
    <row r="2206" spans="1:6" x14ac:dyDescent="0.3">
      <c r="A2206" s="6" t="s">
        <v>3511</v>
      </c>
      <c r="B2206">
        <v>71260467</v>
      </c>
      <c r="C2206">
        <v>1</v>
      </c>
      <c r="D2206" t="str">
        <f t="shared" si="77"/>
        <v>01</v>
      </c>
      <c r="E2206" t="str">
        <f>VLOOKUP(B2206,'HOGARES-ENDLINE'!$A:$B,2,FALSE)</f>
        <v>00011018</v>
      </c>
      <c r="F2206" s="6" t="str">
        <f t="shared" si="78"/>
        <v>0001101801</v>
      </c>
    </row>
    <row r="2207" spans="1:6" x14ac:dyDescent="0.3">
      <c r="A2207" s="6" t="s">
        <v>3513</v>
      </c>
      <c r="B2207">
        <v>71314870</v>
      </c>
      <c r="C2207">
        <v>1</v>
      </c>
      <c r="D2207" t="str">
        <f t="shared" si="77"/>
        <v>01</v>
      </c>
      <c r="E2207" t="str">
        <f>VLOOKUP(B2207,'HOGARES-ENDLINE'!$A:$B,2,FALSE)</f>
        <v>01011020</v>
      </c>
      <c r="F2207" s="6" t="str">
        <f t="shared" si="78"/>
        <v>0101102001</v>
      </c>
    </row>
    <row r="2208" spans="1:6" x14ac:dyDescent="0.3">
      <c r="A2208" s="6" t="s">
        <v>3517</v>
      </c>
      <c r="B2208">
        <v>71387728</v>
      </c>
      <c r="C2208">
        <v>1</v>
      </c>
      <c r="D2208" t="str">
        <f t="shared" si="77"/>
        <v>01</v>
      </c>
      <c r="E2208" t="str">
        <f>VLOOKUP(B2208,'HOGARES-ENDLINE'!$A:$B,2,FALSE)</f>
        <v>00011023</v>
      </c>
      <c r="F2208" s="6" t="str">
        <f t="shared" si="78"/>
        <v>0001102301</v>
      </c>
    </row>
    <row r="2209" spans="1:6" x14ac:dyDescent="0.3">
      <c r="A2209" s="6" t="s">
        <v>3520</v>
      </c>
      <c r="B2209">
        <v>71579896</v>
      </c>
      <c r="C2209">
        <v>1</v>
      </c>
      <c r="D2209" t="str">
        <f t="shared" si="77"/>
        <v>01</v>
      </c>
      <c r="E2209" t="str">
        <f>VLOOKUP(B2209,'HOGARES-ENDLINE'!$A:$B,2,FALSE)</f>
        <v>00011024</v>
      </c>
      <c r="F2209" s="6" t="str">
        <f t="shared" si="78"/>
        <v>0001102401</v>
      </c>
    </row>
    <row r="2210" spans="1:6" x14ac:dyDescent="0.3">
      <c r="A2210" s="6" t="s">
        <v>3521</v>
      </c>
      <c r="B2210">
        <v>71591169</v>
      </c>
      <c r="C2210">
        <v>1</v>
      </c>
      <c r="D2210" t="str">
        <f t="shared" si="77"/>
        <v>01</v>
      </c>
      <c r="E2210" t="str">
        <f>VLOOKUP(B2210,'HOGARES-ENDLINE'!$A:$B,2,FALSE)</f>
        <v>00011025</v>
      </c>
      <c r="F2210" s="6" t="str">
        <f t="shared" si="78"/>
        <v>0001102501</v>
      </c>
    </row>
    <row r="2211" spans="1:6" x14ac:dyDescent="0.3">
      <c r="A2211" s="6" t="s">
        <v>3524</v>
      </c>
      <c r="B2211">
        <v>71603638</v>
      </c>
      <c r="C2211">
        <v>2</v>
      </c>
      <c r="D2211" t="str">
        <f t="shared" si="77"/>
        <v>02</v>
      </c>
      <c r="E2211" t="str">
        <f>VLOOKUP(B2211,'HOGARES-ENDLINE'!$A:$B,2,FALSE)</f>
        <v>00011026</v>
      </c>
      <c r="F2211" s="6" t="str">
        <f t="shared" si="78"/>
        <v>0001102602</v>
      </c>
    </row>
    <row r="2212" spans="1:6" x14ac:dyDescent="0.3">
      <c r="A2212" s="6" t="s">
        <v>3523</v>
      </c>
      <c r="B2212">
        <v>71603638</v>
      </c>
      <c r="C2212">
        <v>1</v>
      </c>
      <c r="D2212" t="str">
        <f t="shared" si="77"/>
        <v>01</v>
      </c>
      <c r="E2212" t="str">
        <f>VLOOKUP(B2212,'HOGARES-ENDLINE'!$A:$B,2,FALSE)</f>
        <v>00011026</v>
      </c>
      <c r="F2212" s="6" t="str">
        <f t="shared" si="78"/>
        <v>0001102601</v>
      </c>
    </row>
    <row r="2213" spans="1:6" x14ac:dyDescent="0.3">
      <c r="A2213" s="6" t="s">
        <v>3522</v>
      </c>
      <c r="B2213">
        <v>71603638</v>
      </c>
      <c r="C2213">
        <v>3</v>
      </c>
      <c r="D2213" t="str">
        <f t="shared" si="77"/>
        <v>03</v>
      </c>
      <c r="E2213" t="str">
        <f>VLOOKUP(B2213,'HOGARES-ENDLINE'!$A:$B,2,FALSE)</f>
        <v>00011026</v>
      </c>
      <c r="F2213" s="6" t="str">
        <f t="shared" si="78"/>
        <v>0001102603</v>
      </c>
    </row>
    <row r="2214" spans="1:6" x14ac:dyDescent="0.3">
      <c r="A2214" s="6" t="s">
        <v>3526</v>
      </c>
      <c r="B2214">
        <v>71645240</v>
      </c>
      <c r="C2214">
        <v>1</v>
      </c>
      <c r="D2214" t="str">
        <f t="shared" si="77"/>
        <v>01</v>
      </c>
      <c r="E2214" t="str">
        <f>VLOOKUP(B2214,'HOGARES-ENDLINE'!$A:$B,2,FALSE)</f>
        <v>01011027</v>
      </c>
      <c r="F2214" s="6" t="str">
        <f t="shared" si="78"/>
        <v>0101102701</v>
      </c>
    </row>
    <row r="2215" spans="1:6" x14ac:dyDescent="0.3">
      <c r="A2215" s="6" t="s">
        <v>3530</v>
      </c>
      <c r="B2215">
        <v>71646374</v>
      </c>
      <c r="C2215">
        <v>1</v>
      </c>
      <c r="D2215" t="str">
        <f t="shared" si="77"/>
        <v>01</v>
      </c>
      <c r="E2215" t="str">
        <f>VLOOKUP(B2215,'HOGARES-ENDLINE'!$A:$B,2,FALSE)</f>
        <v>00011028</v>
      </c>
      <c r="F2215" s="6" t="str">
        <f t="shared" si="78"/>
        <v>0001102801</v>
      </c>
    </row>
    <row r="2216" spans="1:6" x14ac:dyDescent="0.3">
      <c r="A2216" s="6" t="s">
        <v>3528</v>
      </c>
      <c r="B2216">
        <v>71646374</v>
      </c>
      <c r="C2216">
        <v>2</v>
      </c>
      <c r="D2216" t="str">
        <f t="shared" si="77"/>
        <v>02</v>
      </c>
      <c r="E2216" t="str">
        <f>VLOOKUP(B2216,'HOGARES-ENDLINE'!$A:$B,2,FALSE)</f>
        <v>00011028</v>
      </c>
      <c r="F2216" s="6" t="str">
        <f t="shared" si="78"/>
        <v>0001102802</v>
      </c>
    </row>
    <row r="2217" spans="1:6" x14ac:dyDescent="0.3">
      <c r="A2217" s="6" t="s">
        <v>3531</v>
      </c>
      <c r="B2217">
        <v>71653892</v>
      </c>
      <c r="C2217">
        <v>1</v>
      </c>
      <c r="D2217" t="str">
        <f t="shared" si="77"/>
        <v>01</v>
      </c>
      <c r="E2217" t="str">
        <f>VLOOKUP(B2217,'HOGARES-ENDLINE'!$A:$B,2,FALSE)</f>
        <v>00011029</v>
      </c>
      <c r="F2217" s="6" t="str">
        <f t="shared" si="78"/>
        <v>0001102901</v>
      </c>
    </row>
    <row r="2218" spans="1:6" x14ac:dyDescent="0.3">
      <c r="A2218" s="6" t="s">
        <v>3534</v>
      </c>
      <c r="B2218">
        <v>71663203</v>
      </c>
      <c r="C2218">
        <v>1</v>
      </c>
      <c r="D2218" t="str">
        <f t="shared" si="77"/>
        <v>01</v>
      </c>
      <c r="E2218" t="str">
        <f>VLOOKUP(B2218,'HOGARES-ENDLINE'!$A:$B,2,FALSE)</f>
        <v>00011030</v>
      </c>
      <c r="F2218" s="6" t="str">
        <f t="shared" si="78"/>
        <v>0001103001</v>
      </c>
    </row>
    <row r="2219" spans="1:6" x14ac:dyDescent="0.3">
      <c r="A2219" s="6" t="s">
        <v>3533</v>
      </c>
      <c r="B2219">
        <v>71663203</v>
      </c>
      <c r="C2219">
        <v>4</v>
      </c>
      <c r="D2219" t="str">
        <f t="shared" si="77"/>
        <v>04</v>
      </c>
      <c r="E2219" t="str">
        <f>VLOOKUP(B2219,'HOGARES-ENDLINE'!$A:$B,2,FALSE)</f>
        <v>00011030</v>
      </c>
      <c r="F2219" s="6" t="str">
        <f t="shared" si="78"/>
        <v>0001103004</v>
      </c>
    </row>
    <row r="2220" spans="1:6" x14ac:dyDescent="0.3">
      <c r="A2220" s="6" t="s">
        <v>3535</v>
      </c>
      <c r="B2220">
        <v>71663203</v>
      </c>
      <c r="C2220">
        <v>6</v>
      </c>
      <c r="D2220" t="str">
        <f t="shared" si="77"/>
        <v>06</v>
      </c>
      <c r="E2220" t="str">
        <f>VLOOKUP(B2220,'HOGARES-ENDLINE'!$A:$B,2,FALSE)</f>
        <v>00011030</v>
      </c>
      <c r="F2220" s="6" t="str">
        <f t="shared" si="78"/>
        <v>0001103006</v>
      </c>
    </row>
    <row r="2221" spans="1:6" x14ac:dyDescent="0.3">
      <c r="A2221" s="6" t="s">
        <v>3536</v>
      </c>
      <c r="B2221">
        <v>71663203</v>
      </c>
      <c r="C2221">
        <v>5</v>
      </c>
      <c r="D2221" t="str">
        <f t="shared" si="77"/>
        <v>05</v>
      </c>
      <c r="E2221" t="str">
        <f>VLOOKUP(B2221,'HOGARES-ENDLINE'!$A:$B,2,FALSE)</f>
        <v>00011030</v>
      </c>
      <c r="F2221" s="6" t="str">
        <f t="shared" si="78"/>
        <v>0001103005</v>
      </c>
    </row>
    <row r="2222" spans="1:6" x14ac:dyDescent="0.3">
      <c r="A2222" s="6" t="s">
        <v>3537</v>
      </c>
      <c r="B2222">
        <v>71663203</v>
      </c>
      <c r="C2222">
        <v>2</v>
      </c>
      <c r="D2222" t="str">
        <f t="shared" si="77"/>
        <v>02</v>
      </c>
      <c r="E2222" t="str">
        <f>VLOOKUP(B2222,'HOGARES-ENDLINE'!$A:$B,2,FALSE)</f>
        <v>00011030</v>
      </c>
      <c r="F2222" s="6" t="str">
        <f t="shared" si="78"/>
        <v>0001103002</v>
      </c>
    </row>
    <row r="2223" spans="1:6" x14ac:dyDescent="0.3">
      <c r="A2223" s="6" t="s">
        <v>3532</v>
      </c>
      <c r="B2223">
        <v>71663203</v>
      </c>
      <c r="C2223">
        <v>3</v>
      </c>
      <c r="D2223" t="str">
        <f t="shared" si="77"/>
        <v>03</v>
      </c>
      <c r="E2223" t="str">
        <f>VLOOKUP(B2223,'HOGARES-ENDLINE'!$A:$B,2,FALSE)</f>
        <v>00011030</v>
      </c>
      <c r="F2223" s="6" t="str">
        <f t="shared" si="78"/>
        <v>0001103003</v>
      </c>
    </row>
    <row r="2224" spans="1:6" x14ac:dyDescent="0.3">
      <c r="A2224" s="6" t="s">
        <v>3541</v>
      </c>
      <c r="B2224">
        <v>71664592</v>
      </c>
      <c r="C2224">
        <v>2</v>
      </c>
      <c r="D2224" t="str">
        <f t="shared" si="77"/>
        <v>02</v>
      </c>
      <c r="E2224" t="str">
        <f>VLOOKUP(B2224,'HOGARES-ENDLINE'!$A:$B,2,FALSE)</f>
        <v>00011031</v>
      </c>
      <c r="F2224" s="6" t="str">
        <f t="shared" si="78"/>
        <v>0001103102</v>
      </c>
    </row>
    <row r="2225" spans="1:6" x14ac:dyDescent="0.3">
      <c r="A2225" s="6" t="s">
        <v>3539</v>
      </c>
      <c r="B2225">
        <v>71664592</v>
      </c>
      <c r="C2225">
        <v>4</v>
      </c>
      <c r="D2225" t="str">
        <f t="shared" si="77"/>
        <v>04</v>
      </c>
      <c r="E2225" t="str">
        <f>VLOOKUP(B2225,'HOGARES-ENDLINE'!$A:$B,2,FALSE)</f>
        <v>00011031</v>
      </c>
      <c r="F2225" s="6" t="str">
        <f t="shared" si="78"/>
        <v>0001103104</v>
      </c>
    </row>
    <row r="2226" spans="1:6" x14ac:dyDescent="0.3">
      <c r="A2226" s="6" t="s">
        <v>3538</v>
      </c>
      <c r="B2226">
        <v>71664592</v>
      </c>
      <c r="C2226">
        <v>5</v>
      </c>
      <c r="D2226" t="str">
        <f t="shared" si="77"/>
        <v>05</v>
      </c>
      <c r="E2226" t="str">
        <f>VLOOKUP(B2226,'HOGARES-ENDLINE'!$A:$B,2,FALSE)</f>
        <v>00011031</v>
      </c>
      <c r="F2226" s="6" t="str">
        <f t="shared" si="78"/>
        <v>0001103105</v>
      </c>
    </row>
    <row r="2227" spans="1:6" x14ac:dyDescent="0.3">
      <c r="A2227" s="6" t="s">
        <v>3542</v>
      </c>
      <c r="B2227">
        <v>71664592</v>
      </c>
      <c r="C2227">
        <v>3</v>
      </c>
      <c r="D2227" t="str">
        <f t="shared" si="77"/>
        <v>03</v>
      </c>
      <c r="E2227" t="str">
        <f>VLOOKUP(B2227,'HOGARES-ENDLINE'!$A:$B,2,FALSE)</f>
        <v>00011031</v>
      </c>
      <c r="F2227" s="6" t="str">
        <f t="shared" si="78"/>
        <v>0001103103</v>
      </c>
    </row>
    <row r="2228" spans="1:6" x14ac:dyDescent="0.3">
      <c r="A2228" s="6" t="s">
        <v>3540</v>
      </c>
      <c r="B2228">
        <v>71664592</v>
      </c>
      <c r="C2228">
        <v>1</v>
      </c>
      <c r="D2228" t="str">
        <f t="shared" si="77"/>
        <v>01</v>
      </c>
      <c r="E2228" t="str">
        <f>VLOOKUP(B2228,'HOGARES-ENDLINE'!$A:$B,2,FALSE)</f>
        <v>00011031</v>
      </c>
      <c r="F2228" s="6" t="str">
        <f t="shared" si="78"/>
        <v>0001103101</v>
      </c>
    </row>
    <row r="2229" spans="1:6" x14ac:dyDescent="0.3">
      <c r="A2229" s="6" t="s">
        <v>3543</v>
      </c>
      <c r="B2229">
        <v>71671195</v>
      </c>
      <c r="C2229">
        <v>2</v>
      </c>
      <c r="D2229" t="str">
        <f t="shared" si="77"/>
        <v>02</v>
      </c>
      <c r="E2229" t="str">
        <f>VLOOKUP(B2229,'HOGARES-ENDLINE'!$A:$B,2,FALSE)</f>
        <v>00011032</v>
      </c>
      <c r="F2229" s="6" t="str">
        <f t="shared" si="78"/>
        <v>0001103202</v>
      </c>
    </row>
    <row r="2230" spans="1:6" x14ac:dyDescent="0.3">
      <c r="A2230" s="6" t="s">
        <v>3544</v>
      </c>
      <c r="B2230">
        <v>71671195</v>
      </c>
      <c r="C2230">
        <v>1</v>
      </c>
      <c r="D2230" t="str">
        <f t="shared" si="77"/>
        <v>01</v>
      </c>
      <c r="E2230" t="str">
        <f>VLOOKUP(B2230,'HOGARES-ENDLINE'!$A:$B,2,FALSE)</f>
        <v>00011032</v>
      </c>
      <c r="F2230" s="6" t="str">
        <f t="shared" si="78"/>
        <v>0001103201</v>
      </c>
    </row>
    <row r="2231" spans="1:6" x14ac:dyDescent="0.3">
      <c r="A2231" s="6" t="s">
        <v>3551</v>
      </c>
      <c r="B2231">
        <v>71686558</v>
      </c>
      <c r="C2231">
        <v>2</v>
      </c>
      <c r="D2231" t="str">
        <f t="shared" si="77"/>
        <v>02</v>
      </c>
      <c r="E2231" t="str">
        <f>VLOOKUP(B2231,'HOGARES-ENDLINE'!$A:$B,2,FALSE)</f>
        <v>00011034</v>
      </c>
      <c r="F2231" s="6" t="str">
        <f t="shared" si="78"/>
        <v>0001103402</v>
      </c>
    </row>
    <row r="2232" spans="1:6" x14ac:dyDescent="0.3">
      <c r="A2232" s="6" t="s">
        <v>3550</v>
      </c>
      <c r="B2232">
        <v>71686558</v>
      </c>
      <c r="C2232">
        <v>1</v>
      </c>
      <c r="D2232" t="str">
        <f t="shared" si="77"/>
        <v>01</v>
      </c>
      <c r="E2232" t="str">
        <f>VLOOKUP(B2232,'HOGARES-ENDLINE'!$A:$B,2,FALSE)</f>
        <v>00011034</v>
      </c>
      <c r="F2232" s="6" t="str">
        <f t="shared" si="78"/>
        <v>0001103401</v>
      </c>
    </row>
    <row r="2233" spans="1:6" x14ac:dyDescent="0.3">
      <c r="A2233" s="6" t="s">
        <v>3552</v>
      </c>
      <c r="B2233">
        <v>71697945</v>
      </c>
      <c r="C2233">
        <v>1</v>
      </c>
      <c r="D2233" t="str">
        <f t="shared" si="77"/>
        <v>01</v>
      </c>
      <c r="E2233" t="str">
        <f>VLOOKUP(B2233,'HOGARES-ENDLINE'!$A:$B,2,FALSE)</f>
        <v>00011035</v>
      </c>
      <c r="F2233" s="6" t="str">
        <f t="shared" si="78"/>
        <v>0001103501</v>
      </c>
    </row>
    <row r="2234" spans="1:6" x14ac:dyDescent="0.3">
      <c r="A2234" s="6" t="s">
        <v>3555</v>
      </c>
      <c r="B2234">
        <v>71717122</v>
      </c>
      <c r="C2234">
        <v>2</v>
      </c>
      <c r="D2234" t="str">
        <f t="shared" si="77"/>
        <v>02</v>
      </c>
      <c r="E2234" t="str">
        <f>VLOOKUP(B2234,'HOGARES-ENDLINE'!$A:$B,2,FALSE)</f>
        <v>00011036</v>
      </c>
      <c r="F2234" s="6" t="str">
        <f t="shared" si="78"/>
        <v>0001103602</v>
      </c>
    </row>
    <row r="2235" spans="1:6" x14ac:dyDescent="0.3">
      <c r="A2235" s="6" t="s">
        <v>3557</v>
      </c>
      <c r="B2235">
        <v>71717122</v>
      </c>
      <c r="C2235">
        <v>7</v>
      </c>
      <c r="D2235" t="str">
        <f t="shared" si="77"/>
        <v>07</v>
      </c>
      <c r="E2235" t="str">
        <f>VLOOKUP(B2235,'HOGARES-ENDLINE'!$A:$B,2,FALSE)</f>
        <v>00011036</v>
      </c>
      <c r="F2235" s="6" t="str">
        <f t="shared" si="78"/>
        <v>0001103607</v>
      </c>
    </row>
    <row r="2236" spans="1:6" x14ac:dyDescent="0.3">
      <c r="A2236" s="6" t="s">
        <v>3559</v>
      </c>
      <c r="B2236">
        <v>71717122</v>
      </c>
      <c r="C2236">
        <v>1</v>
      </c>
      <c r="D2236" t="str">
        <f t="shared" ref="D2236:D2299" si="79">_xlfn.CONCAT(0,C2236)</f>
        <v>01</v>
      </c>
      <c r="E2236" t="str">
        <f>VLOOKUP(B2236,'HOGARES-ENDLINE'!$A:$B,2,FALSE)</f>
        <v>00011036</v>
      </c>
      <c r="F2236" s="6" t="str">
        <f t="shared" si="78"/>
        <v>0001103601</v>
      </c>
    </row>
    <row r="2237" spans="1:6" x14ac:dyDescent="0.3">
      <c r="A2237" s="6" t="s">
        <v>3556</v>
      </c>
      <c r="B2237">
        <v>71717122</v>
      </c>
      <c r="C2237">
        <v>4</v>
      </c>
      <c r="D2237" t="str">
        <f t="shared" si="79"/>
        <v>04</v>
      </c>
      <c r="E2237" t="str">
        <f>VLOOKUP(B2237,'HOGARES-ENDLINE'!$A:$B,2,FALSE)</f>
        <v>00011036</v>
      </c>
      <c r="F2237" s="6" t="str">
        <f t="shared" si="78"/>
        <v>0001103604</v>
      </c>
    </row>
    <row r="2238" spans="1:6" x14ac:dyDescent="0.3">
      <c r="A2238" s="6" t="s">
        <v>3561</v>
      </c>
      <c r="B2238">
        <v>71717122</v>
      </c>
      <c r="C2238">
        <v>6</v>
      </c>
      <c r="D2238" t="str">
        <f t="shared" si="79"/>
        <v>06</v>
      </c>
      <c r="E2238" t="str">
        <f>VLOOKUP(B2238,'HOGARES-ENDLINE'!$A:$B,2,FALSE)</f>
        <v>00011036</v>
      </c>
      <c r="F2238" s="6" t="str">
        <f t="shared" si="78"/>
        <v>0001103606</v>
      </c>
    </row>
    <row r="2239" spans="1:6" x14ac:dyDescent="0.3">
      <c r="A2239" s="6" t="s">
        <v>3558</v>
      </c>
      <c r="B2239">
        <v>71717122</v>
      </c>
      <c r="C2239">
        <v>5</v>
      </c>
      <c r="D2239" t="str">
        <f t="shared" si="79"/>
        <v>05</v>
      </c>
      <c r="E2239" t="str">
        <f>VLOOKUP(B2239,'HOGARES-ENDLINE'!$A:$B,2,FALSE)</f>
        <v>00011036</v>
      </c>
      <c r="F2239" s="6" t="str">
        <f t="shared" si="78"/>
        <v>0001103605</v>
      </c>
    </row>
    <row r="2240" spans="1:6" x14ac:dyDescent="0.3">
      <c r="A2240" s="6" t="s">
        <v>3560</v>
      </c>
      <c r="B2240">
        <v>71717122</v>
      </c>
      <c r="C2240">
        <v>3</v>
      </c>
      <c r="D2240" t="str">
        <f t="shared" si="79"/>
        <v>03</v>
      </c>
      <c r="E2240" t="str">
        <f>VLOOKUP(B2240,'HOGARES-ENDLINE'!$A:$B,2,FALSE)</f>
        <v>00011036</v>
      </c>
      <c r="F2240" s="6" t="str">
        <f t="shared" si="78"/>
        <v>0001103603</v>
      </c>
    </row>
    <row r="2241" spans="1:6" x14ac:dyDescent="0.3">
      <c r="A2241" s="6" t="s">
        <v>3564</v>
      </c>
      <c r="B2241">
        <v>71744033</v>
      </c>
      <c r="C2241">
        <v>1</v>
      </c>
      <c r="D2241" t="str">
        <f t="shared" si="79"/>
        <v>01</v>
      </c>
      <c r="E2241" t="str">
        <f>VLOOKUP(B2241,'HOGARES-ENDLINE'!$A:$B,2,FALSE)</f>
        <v>00011038</v>
      </c>
      <c r="F2241" s="6" t="str">
        <f t="shared" si="78"/>
        <v>0001103801</v>
      </c>
    </row>
    <row r="2242" spans="1:6" x14ac:dyDescent="0.3">
      <c r="A2242" s="6" t="s">
        <v>3569</v>
      </c>
      <c r="B2242">
        <v>71763215</v>
      </c>
      <c r="C2242">
        <v>1</v>
      </c>
      <c r="D2242" t="str">
        <f t="shared" si="79"/>
        <v>01</v>
      </c>
      <c r="E2242" t="str">
        <f>VLOOKUP(B2242,'HOGARES-ENDLINE'!$A:$B,2,FALSE)</f>
        <v>01011039</v>
      </c>
      <c r="F2242" s="6" t="str">
        <f t="shared" si="78"/>
        <v>0101103901</v>
      </c>
    </row>
    <row r="2243" spans="1:6" x14ac:dyDescent="0.3">
      <c r="A2243" s="6" t="s">
        <v>3571</v>
      </c>
      <c r="B2243">
        <v>71769872</v>
      </c>
      <c r="C2243">
        <v>2</v>
      </c>
      <c r="D2243" t="str">
        <f t="shared" si="79"/>
        <v>02</v>
      </c>
      <c r="E2243" t="str">
        <f>VLOOKUP(B2243,'HOGARES-ENDLINE'!$A:$B,2,FALSE)</f>
        <v>00011040</v>
      </c>
      <c r="F2243" s="6" t="str">
        <f t="shared" ref="F2243:F2306" si="80">_xlfn.CONCAT(E2243,D2243)</f>
        <v>0001104002</v>
      </c>
    </row>
    <row r="2244" spans="1:6" x14ac:dyDescent="0.3">
      <c r="A2244" s="6" t="s">
        <v>3570</v>
      </c>
      <c r="B2244">
        <v>71769872</v>
      </c>
      <c r="C2244">
        <v>1</v>
      </c>
      <c r="D2244" t="str">
        <f t="shared" si="79"/>
        <v>01</v>
      </c>
      <c r="E2244" t="str">
        <f>VLOOKUP(B2244,'HOGARES-ENDLINE'!$A:$B,2,FALSE)</f>
        <v>00011040</v>
      </c>
      <c r="F2244" s="6" t="str">
        <f t="shared" si="80"/>
        <v>0001104001</v>
      </c>
    </row>
    <row r="2245" spans="1:6" x14ac:dyDescent="0.3">
      <c r="A2245" s="6" t="s">
        <v>3573</v>
      </c>
      <c r="B2245">
        <v>71796175</v>
      </c>
      <c r="C2245">
        <v>4</v>
      </c>
      <c r="D2245" t="str">
        <f t="shared" si="79"/>
        <v>04</v>
      </c>
      <c r="E2245" t="str">
        <f>VLOOKUP(B2245,'HOGARES-ENDLINE'!$A:$B,2,FALSE)</f>
        <v>00011041</v>
      </c>
      <c r="F2245" s="6" t="str">
        <f t="shared" si="80"/>
        <v>0001104104</v>
      </c>
    </row>
    <row r="2246" spans="1:6" x14ac:dyDescent="0.3">
      <c r="A2246" s="6" t="s">
        <v>3572</v>
      </c>
      <c r="B2246">
        <v>71796175</v>
      </c>
      <c r="C2246">
        <v>2</v>
      </c>
      <c r="D2246" t="str">
        <f t="shared" si="79"/>
        <v>02</v>
      </c>
      <c r="E2246" t="str">
        <f>VLOOKUP(B2246,'HOGARES-ENDLINE'!$A:$B,2,FALSE)</f>
        <v>00011041</v>
      </c>
      <c r="F2246" s="6" t="str">
        <f t="shared" si="80"/>
        <v>0001104102</v>
      </c>
    </row>
    <row r="2247" spans="1:6" x14ac:dyDescent="0.3">
      <c r="A2247" s="6" t="s">
        <v>3575</v>
      </c>
      <c r="B2247">
        <v>71796175</v>
      </c>
      <c r="C2247">
        <v>3</v>
      </c>
      <c r="D2247" t="str">
        <f t="shared" si="79"/>
        <v>03</v>
      </c>
      <c r="E2247" t="str">
        <f>VLOOKUP(B2247,'HOGARES-ENDLINE'!$A:$B,2,FALSE)</f>
        <v>00011041</v>
      </c>
      <c r="F2247" s="6" t="str">
        <f t="shared" si="80"/>
        <v>0001104103</v>
      </c>
    </row>
    <row r="2248" spans="1:6" x14ac:dyDescent="0.3">
      <c r="A2248" s="6" t="s">
        <v>3574</v>
      </c>
      <c r="B2248">
        <v>71796175</v>
      </c>
      <c r="C2248">
        <v>1</v>
      </c>
      <c r="D2248" t="str">
        <f t="shared" si="79"/>
        <v>01</v>
      </c>
      <c r="E2248" t="str">
        <f>VLOOKUP(B2248,'HOGARES-ENDLINE'!$A:$B,2,FALSE)</f>
        <v>00011041</v>
      </c>
      <c r="F2248" s="6" t="str">
        <f t="shared" si="80"/>
        <v>0001104101</v>
      </c>
    </row>
    <row r="2249" spans="1:6" x14ac:dyDescent="0.3">
      <c r="A2249" s="6" t="s">
        <v>3576</v>
      </c>
      <c r="B2249">
        <v>71799939</v>
      </c>
      <c r="C2249">
        <v>1</v>
      </c>
      <c r="D2249" t="str">
        <f t="shared" si="79"/>
        <v>01</v>
      </c>
      <c r="E2249" t="str">
        <f>VLOOKUP(B2249,'HOGARES-ENDLINE'!$A:$B,2,FALSE)</f>
        <v>00011042</v>
      </c>
      <c r="F2249" s="6" t="str">
        <f t="shared" si="80"/>
        <v>0001104201</v>
      </c>
    </row>
    <row r="2250" spans="1:6" x14ac:dyDescent="0.3">
      <c r="A2250" s="6" t="s">
        <v>3578</v>
      </c>
      <c r="B2250">
        <v>72042663</v>
      </c>
      <c r="C2250">
        <v>2</v>
      </c>
      <c r="D2250" t="str">
        <f t="shared" si="79"/>
        <v>02</v>
      </c>
      <c r="E2250" t="str">
        <f>VLOOKUP(B2250,'HOGARES-ENDLINE'!$A:$B,2,FALSE)</f>
        <v>01031043</v>
      </c>
      <c r="F2250" s="6" t="str">
        <f t="shared" si="80"/>
        <v>0103104302</v>
      </c>
    </row>
    <row r="2251" spans="1:6" x14ac:dyDescent="0.3">
      <c r="A2251" s="6" t="s">
        <v>3577</v>
      </c>
      <c r="B2251">
        <v>72042663</v>
      </c>
      <c r="C2251">
        <v>4</v>
      </c>
      <c r="D2251" t="str">
        <f t="shared" si="79"/>
        <v>04</v>
      </c>
      <c r="E2251" t="str">
        <f>VLOOKUP(B2251,'HOGARES-ENDLINE'!$A:$B,2,FALSE)</f>
        <v>01031043</v>
      </c>
      <c r="F2251" s="6" t="str">
        <f t="shared" si="80"/>
        <v>0103104304</v>
      </c>
    </row>
    <row r="2252" spans="1:6" x14ac:dyDescent="0.3">
      <c r="A2252" s="6" t="s">
        <v>3579</v>
      </c>
      <c r="B2252">
        <v>72042663</v>
      </c>
      <c r="C2252">
        <v>1</v>
      </c>
      <c r="D2252" t="str">
        <f t="shared" si="79"/>
        <v>01</v>
      </c>
      <c r="E2252" t="str">
        <f>VLOOKUP(B2252,'HOGARES-ENDLINE'!$A:$B,2,FALSE)</f>
        <v>01031043</v>
      </c>
      <c r="F2252" s="6" t="str">
        <f t="shared" si="80"/>
        <v>0103104301</v>
      </c>
    </row>
    <row r="2253" spans="1:6" x14ac:dyDescent="0.3">
      <c r="A2253" s="6" t="s">
        <v>3580</v>
      </c>
      <c r="B2253">
        <v>72042663</v>
      </c>
      <c r="C2253">
        <v>3</v>
      </c>
      <c r="D2253" t="str">
        <f t="shared" si="79"/>
        <v>03</v>
      </c>
      <c r="E2253" t="str">
        <f>VLOOKUP(B2253,'HOGARES-ENDLINE'!$A:$B,2,FALSE)</f>
        <v>01031043</v>
      </c>
      <c r="F2253" s="6" t="str">
        <f t="shared" si="80"/>
        <v>0103104303</v>
      </c>
    </row>
    <row r="2254" spans="1:6" x14ac:dyDescent="0.3">
      <c r="A2254" s="6" t="s">
        <v>3582</v>
      </c>
      <c r="B2254">
        <v>72127034</v>
      </c>
      <c r="C2254">
        <v>2</v>
      </c>
      <c r="D2254" t="str">
        <f t="shared" si="79"/>
        <v>02</v>
      </c>
      <c r="E2254" t="str">
        <f>VLOOKUP(B2254,'HOGARES-ENDLINE'!$A:$B,2,FALSE)</f>
        <v>00031044</v>
      </c>
      <c r="F2254" s="6" t="str">
        <f t="shared" si="80"/>
        <v>0003104402</v>
      </c>
    </row>
    <row r="2255" spans="1:6" x14ac:dyDescent="0.3">
      <c r="A2255" s="6" t="s">
        <v>3581</v>
      </c>
      <c r="B2255">
        <v>72127034</v>
      </c>
      <c r="C2255">
        <v>1</v>
      </c>
      <c r="D2255" t="str">
        <f t="shared" si="79"/>
        <v>01</v>
      </c>
      <c r="E2255" t="str">
        <f>VLOOKUP(B2255,'HOGARES-ENDLINE'!$A:$B,2,FALSE)</f>
        <v>00031044</v>
      </c>
      <c r="F2255" s="6" t="str">
        <f t="shared" si="80"/>
        <v>0003104401</v>
      </c>
    </row>
    <row r="2256" spans="1:6" x14ac:dyDescent="0.3">
      <c r="A2256" s="6" t="s">
        <v>3584</v>
      </c>
      <c r="B2256">
        <v>72129785</v>
      </c>
      <c r="C2256">
        <v>2</v>
      </c>
      <c r="D2256" t="str">
        <f t="shared" si="79"/>
        <v>02</v>
      </c>
      <c r="E2256" t="str">
        <f>VLOOKUP(B2256,'HOGARES-ENDLINE'!$A:$B,2,FALSE)</f>
        <v>01031045</v>
      </c>
      <c r="F2256" s="6" t="str">
        <f t="shared" si="80"/>
        <v>0103104502</v>
      </c>
    </row>
    <row r="2257" spans="1:6" x14ac:dyDescent="0.3">
      <c r="A2257" s="6" t="s">
        <v>3585</v>
      </c>
      <c r="B2257">
        <v>72129785</v>
      </c>
      <c r="C2257">
        <v>1</v>
      </c>
      <c r="D2257" t="str">
        <f t="shared" si="79"/>
        <v>01</v>
      </c>
      <c r="E2257" t="str">
        <f>VLOOKUP(B2257,'HOGARES-ENDLINE'!$A:$B,2,FALSE)</f>
        <v>01031045</v>
      </c>
      <c r="F2257" s="6" t="str">
        <f t="shared" si="80"/>
        <v>0103104501</v>
      </c>
    </row>
    <row r="2258" spans="1:6" x14ac:dyDescent="0.3">
      <c r="A2258" s="6" t="s">
        <v>5198</v>
      </c>
      <c r="B2258">
        <v>72129785</v>
      </c>
      <c r="C2258">
        <v>3</v>
      </c>
      <c r="D2258" t="str">
        <f t="shared" si="79"/>
        <v>03</v>
      </c>
      <c r="E2258" t="str">
        <f>VLOOKUP(B2258,'HOGARES-ENDLINE'!$A:$B,2,FALSE)</f>
        <v>01031045</v>
      </c>
      <c r="F2258" s="6" t="str">
        <f t="shared" si="80"/>
        <v>0103104503</v>
      </c>
    </row>
    <row r="2259" spans="1:6" x14ac:dyDescent="0.3">
      <c r="A2259" s="6" t="s">
        <v>3587</v>
      </c>
      <c r="B2259">
        <v>72131105</v>
      </c>
      <c r="C2259">
        <v>1</v>
      </c>
      <c r="D2259" t="str">
        <f t="shared" si="79"/>
        <v>01</v>
      </c>
      <c r="E2259" t="str">
        <f>VLOOKUP(B2259,'HOGARES-ENDLINE'!$A:$B,2,FALSE)</f>
        <v>00031046</v>
      </c>
      <c r="F2259" s="6" t="str">
        <f t="shared" si="80"/>
        <v>0003104601</v>
      </c>
    </row>
    <row r="2260" spans="1:6" x14ac:dyDescent="0.3">
      <c r="A2260" s="6" t="s">
        <v>3586</v>
      </c>
      <c r="B2260">
        <v>72131105</v>
      </c>
      <c r="C2260">
        <v>2</v>
      </c>
      <c r="D2260" t="str">
        <f t="shared" si="79"/>
        <v>02</v>
      </c>
      <c r="E2260" t="str">
        <f>VLOOKUP(B2260,'HOGARES-ENDLINE'!$A:$B,2,FALSE)</f>
        <v>00031046</v>
      </c>
      <c r="F2260" s="6" t="str">
        <f t="shared" si="80"/>
        <v>0003104602</v>
      </c>
    </row>
    <row r="2261" spans="1:6" x14ac:dyDescent="0.3">
      <c r="A2261" s="6" t="s">
        <v>3589</v>
      </c>
      <c r="B2261">
        <v>72132483</v>
      </c>
      <c r="C2261">
        <v>1</v>
      </c>
      <c r="D2261" t="str">
        <f t="shared" si="79"/>
        <v>01</v>
      </c>
      <c r="E2261" t="str">
        <f>VLOOKUP(B2261,'HOGARES-ENDLINE'!$A:$B,2,FALSE)</f>
        <v>01031047</v>
      </c>
      <c r="F2261" s="6" t="str">
        <f t="shared" si="80"/>
        <v>0103104701</v>
      </c>
    </row>
    <row r="2262" spans="1:6" x14ac:dyDescent="0.3">
      <c r="A2262" s="6" t="s">
        <v>3590</v>
      </c>
      <c r="B2262">
        <v>72132483</v>
      </c>
      <c r="C2262">
        <v>2</v>
      </c>
      <c r="D2262" t="str">
        <f t="shared" si="79"/>
        <v>02</v>
      </c>
      <c r="E2262" t="str">
        <f>VLOOKUP(B2262,'HOGARES-ENDLINE'!$A:$B,2,FALSE)</f>
        <v>01031047</v>
      </c>
      <c r="F2262" s="6" t="str">
        <f t="shared" si="80"/>
        <v>0103104702</v>
      </c>
    </row>
    <row r="2263" spans="1:6" x14ac:dyDescent="0.3">
      <c r="A2263" s="6" t="s">
        <v>3592</v>
      </c>
      <c r="B2263">
        <v>72132483</v>
      </c>
      <c r="C2263">
        <v>3</v>
      </c>
      <c r="D2263" t="str">
        <f t="shared" si="79"/>
        <v>03</v>
      </c>
      <c r="E2263" t="str">
        <f>VLOOKUP(B2263,'HOGARES-ENDLINE'!$A:$B,2,FALSE)</f>
        <v>01031047</v>
      </c>
      <c r="F2263" s="6" t="str">
        <f t="shared" si="80"/>
        <v>0103104703</v>
      </c>
    </row>
    <row r="2264" spans="1:6" x14ac:dyDescent="0.3">
      <c r="A2264" s="6" t="s">
        <v>3591</v>
      </c>
      <c r="B2264">
        <v>72132483</v>
      </c>
      <c r="C2264">
        <v>4</v>
      </c>
      <c r="D2264" t="str">
        <f t="shared" si="79"/>
        <v>04</v>
      </c>
      <c r="E2264" t="str">
        <f>VLOOKUP(B2264,'HOGARES-ENDLINE'!$A:$B,2,FALSE)</f>
        <v>01031047</v>
      </c>
      <c r="F2264" s="6" t="str">
        <f t="shared" si="80"/>
        <v>0103104704</v>
      </c>
    </row>
    <row r="2265" spans="1:6" x14ac:dyDescent="0.3">
      <c r="A2265" s="6" t="s">
        <v>3588</v>
      </c>
      <c r="B2265">
        <v>72132483</v>
      </c>
      <c r="C2265">
        <v>5</v>
      </c>
      <c r="D2265" t="str">
        <f t="shared" si="79"/>
        <v>05</v>
      </c>
      <c r="E2265" t="str">
        <f>VLOOKUP(B2265,'HOGARES-ENDLINE'!$A:$B,2,FALSE)</f>
        <v>01031047</v>
      </c>
      <c r="F2265" s="6" t="str">
        <f t="shared" si="80"/>
        <v>0103104705</v>
      </c>
    </row>
    <row r="2266" spans="1:6" x14ac:dyDescent="0.3">
      <c r="A2266" s="6" t="s">
        <v>3593</v>
      </c>
      <c r="B2266">
        <v>72144157</v>
      </c>
      <c r="C2266">
        <v>1</v>
      </c>
      <c r="D2266" t="str">
        <f t="shared" si="79"/>
        <v>01</v>
      </c>
      <c r="E2266" t="str">
        <f>VLOOKUP(B2266,'HOGARES-ENDLINE'!$A:$B,2,FALSE)</f>
        <v>01031048</v>
      </c>
      <c r="F2266" s="6" t="str">
        <f t="shared" si="80"/>
        <v>0103104801</v>
      </c>
    </row>
    <row r="2267" spans="1:6" x14ac:dyDescent="0.3">
      <c r="A2267" s="6" t="s">
        <v>3596</v>
      </c>
      <c r="B2267">
        <v>72145817</v>
      </c>
      <c r="C2267">
        <v>3</v>
      </c>
      <c r="D2267" t="str">
        <f t="shared" si="79"/>
        <v>03</v>
      </c>
      <c r="E2267" t="str">
        <f>VLOOKUP(B2267,'HOGARES-ENDLINE'!$A:$B,2,FALSE)</f>
        <v>01031049</v>
      </c>
      <c r="F2267" s="6" t="str">
        <f t="shared" si="80"/>
        <v>0103104903</v>
      </c>
    </row>
    <row r="2268" spans="1:6" x14ac:dyDescent="0.3">
      <c r="A2268" s="6" t="s">
        <v>3595</v>
      </c>
      <c r="B2268">
        <v>72145817</v>
      </c>
      <c r="C2268">
        <v>1</v>
      </c>
      <c r="D2268" t="str">
        <f t="shared" si="79"/>
        <v>01</v>
      </c>
      <c r="E2268" t="str">
        <f>VLOOKUP(B2268,'HOGARES-ENDLINE'!$A:$B,2,FALSE)</f>
        <v>01031049</v>
      </c>
      <c r="F2268" s="6" t="str">
        <f t="shared" si="80"/>
        <v>0103104901</v>
      </c>
    </row>
    <row r="2269" spans="1:6" x14ac:dyDescent="0.3">
      <c r="A2269" s="6" t="s">
        <v>3594</v>
      </c>
      <c r="B2269">
        <v>72145817</v>
      </c>
      <c r="C2269">
        <v>2</v>
      </c>
      <c r="D2269" t="str">
        <f t="shared" si="79"/>
        <v>02</v>
      </c>
      <c r="E2269" t="str">
        <f>VLOOKUP(B2269,'HOGARES-ENDLINE'!$A:$B,2,FALSE)</f>
        <v>01031049</v>
      </c>
      <c r="F2269" s="6" t="str">
        <f t="shared" si="80"/>
        <v>0103104902</v>
      </c>
    </row>
    <row r="2270" spans="1:6" x14ac:dyDescent="0.3">
      <c r="A2270" s="6" t="s">
        <v>3600</v>
      </c>
      <c r="B2270">
        <v>72146165</v>
      </c>
      <c r="C2270">
        <v>3</v>
      </c>
      <c r="D2270" t="str">
        <f t="shared" si="79"/>
        <v>03</v>
      </c>
      <c r="E2270" t="str">
        <f>VLOOKUP(B2270,'HOGARES-ENDLINE'!$A:$B,2,FALSE)</f>
        <v>00031050</v>
      </c>
      <c r="F2270" s="6" t="str">
        <f t="shared" si="80"/>
        <v>0003105003</v>
      </c>
    </row>
    <row r="2271" spans="1:6" x14ac:dyDescent="0.3">
      <c r="A2271" s="6" t="s">
        <v>3599</v>
      </c>
      <c r="B2271">
        <v>72146165</v>
      </c>
      <c r="C2271">
        <v>5</v>
      </c>
      <c r="D2271" t="str">
        <f t="shared" si="79"/>
        <v>05</v>
      </c>
      <c r="E2271" t="str">
        <f>VLOOKUP(B2271,'HOGARES-ENDLINE'!$A:$B,2,FALSE)</f>
        <v>00031050</v>
      </c>
      <c r="F2271" s="6" t="str">
        <f t="shared" si="80"/>
        <v>0003105005</v>
      </c>
    </row>
    <row r="2272" spans="1:6" x14ac:dyDescent="0.3">
      <c r="A2272" s="6" t="s">
        <v>3597</v>
      </c>
      <c r="B2272">
        <v>72146165</v>
      </c>
      <c r="C2272">
        <v>4</v>
      </c>
      <c r="D2272" t="str">
        <f t="shared" si="79"/>
        <v>04</v>
      </c>
      <c r="E2272" t="str">
        <f>VLOOKUP(B2272,'HOGARES-ENDLINE'!$A:$B,2,FALSE)</f>
        <v>00031050</v>
      </c>
      <c r="F2272" s="6" t="str">
        <f t="shared" si="80"/>
        <v>0003105004</v>
      </c>
    </row>
    <row r="2273" spans="1:6" x14ac:dyDescent="0.3">
      <c r="A2273" s="6" t="s">
        <v>3598</v>
      </c>
      <c r="B2273">
        <v>72146165</v>
      </c>
      <c r="C2273">
        <v>1</v>
      </c>
      <c r="D2273" t="str">
        <f t="shared" si="79"/>
        <v>01</v>
      </c>
      <c r="E2273" t="str">
        <f>VLOOKUP(B2273,'HOGARES-ENDLINE'!$A:$B,2,FALSE)</f>
        <v>00031050</v>
      </c>
      <c r="F2273" s="6" t="str">
        <f t="shared" si="80"/>
        <v>0003105001</v>
      </c>
    </row>
    <row r="2274" spans="1:6" x14ac:dyDescent="0.3">
      <c r="A2274" s="6" t="s">
        <v>3601</v>
      </c>
      <c r="B2274">
        <v>72146165</v>
      </c>
      <c r="C2274">
        <v>2</v>
      </c>
      <c r="D2274" t="str">
        <f t="shared" si="79"/>
        <v>02</v>
      </c>
      <c r="E2274" t="str">
        <f>VLOOKUP(B2274,'HOGARES-ENDLINE'!$A:$B,2,FALSE)</f>
        <v>00031050</v>
      </c>
      <c r="F2274" s="6" t="str">
        <f t="shared" si="80"/>
        <v>0003105002</v>
      </c>
    </row>
    <row r="2275" spans="1:6" x14ac:dyDescent="0.3">
      <c r="A2275" s="6" t="s">
        <v>3602</v>
      </c>
      <c r="B2275">
        <v>72146737</v>
      </c>
      <c r="C2275">
        <v>1</v>
      </c>
      <c r="D2275" t="str">
        <f t="shared" si="79"/>
        <v>01</v>
      </c>
      <c r="E2275" t="str">
        <f>VLOOKUP(B2275,'HOGARES-ENDLINE'!$A:$B,2,FALSE)</f>
        <v>01031051</v>
      </c>
      <c r="F2275" s="6" t="str">
        <f t="shared" si="80"/>
        <v>0103105101</v>
      </c>
    </row>
    <row r="2276" spans="1:6" x14ac:dyDescent="0.3">
      <c r="A2276" s="6" t="s">
        <v>3603</v>
      </c>
      <c r="B2276">
        <v>72146737</v>
      </c>
      <c r="C2276">
        <v>2</v>
      </c>
      <c r="D2276" t="str">
        <f t="shared" si="79"/>
        <v>02</v>
      </c>
      <c r="E2276" t="str">
        <f>VLOOKUP(B2276,'HOGARES-ENDLINE'!$A:$B,2,FALSE)</f>
        <v>01031051</v>
      </c>
      <c r="F2276" s="6" t="str">
        <f t="shared" si="80"/>
        <v>0103105102</v>
      </c>
    </row>
    <row r="2277" spans="1:6" x14ac:dyDescent="0.3">
      <c r="A2277" s="6" t="s">
        <v>3608</v>
      </c>
      <c r="B2277">
        <v>72149109</v>
      </c>
      <c r="C2277">
        <v>5</v>
      </c>
      <c r="D2277" t="str">
        <f t="shared" si="79"/>
        <v>05</v>
      </c>
      <c r="E2277" t="str">
        <f>VLOOKUP(B2277,'HOGARES-ENDLINE'!$A:$B,2,FALSE)</f>
        <v>00031052</v>
      </c>
      <c r="F2277" s="6" t="str">
        <f t="shared" si="80"/>
        <v>0003105205</v>
      </c>
    </row>
    <row r="2278" spans="1:6" x14ac:dyDescent="0.3">
      <c r="A2278" s="6" t="s">
        <v>3604</v>
      </c>
      <c r="B2278">
        <v>72149109</v>
      </c>
      <c r="C2278">
        <v>2</v>
      </c>
      <c r="D2278" t="str">
        <f t="shared" si="79"/>
        <v>02</v>
      </c>
      <c r="E2278" t="str">
        <f>VLOOKUP(B2278,'HOGARES-ENDLINE'!$A:$B,2,FALSE)</f>
        <v>00031052</v>
      </c>
      <c r="F2278" s="6" t="str">
        <f t="shared" si="80"/>
        <v>0003105202</v>
      </c>
    </row>
    <row r="2279" spans="1:6" x14ac:dyDescent="0.3">
      <c r="A2279" s="6" t="s">
        <v>3606</v>
      </c>
      <c r="B2279">
        <v>72149109</v>
      </c>
      <c r="C2279">
        <v>1</v>
      </c>
      <c r="D2279" t="str">
        <f t="shared" si="79"/>
        <v>01</v>
      </c>
      <c r="E2279" t="str">
        <f>VLOOKUP(B2279,'HOGARES-ENDLINE'!$A:$B,2,FALSE)</f>
        <v>00031052</v>
      </c>
      <c r="F2279" s="6" t="str">
        <f t="shared" si="80"/>
        <v>0003105201</v>
      </c>
    </row>
    <row r="2280" spans="1:6" x14ac:dyDescent="0.3">
      <c r="A2280" s="6" t="s">
        <v>3605</v>
      </c>
      <c r="B2280">
        <v>72149109</v>
      </c>
      <c r="C2280">
        <v>3</v>
      </c>
      <c r="D2280" t="str">
        <f t="shared" si="79"/>
        <v>03</v>
      </c>
      <c r="E2280" t="str">
        <f>VLOOKUP(B2280,'HOGARES-ENDLINE'!$A:$B,2,FALSE)</f>
        <v>00031052</v>
      </c>
      <c r="F2280" s="6" t="str">
        <f t="shared" si="80"/>
        <v>0003105203</v>
      </c>
    </row>
    <row r="2281" spans="1:6" x14ac:dyDescent="0.3">
      <c r="A2281" s="6" t="s">
        <v>3607</v>
      </c>
      <c r="B2281">
        <v>72149109</v>
      </c>
      <c r="C2281">
        <v>4</v>
      </c>
      <c r="D2281" t="str">
        <f t="shared" si="79"/>
        <v>04</v>
      </c>
      <c r="E2281" t="str">
        <f>VLOOKUP(B2281,'HOGARES-ENDLINE'!$A:$B,2,FALSE)</f>
        <v>00031052</v>
      </c>
      <c r="F2281" s="6" t="str">
        <f t="shared" si="80"/>
        <v>0003105204</v>
      </c>
    </row>
    <row r="2282" spans="1:6" x14ac:dyDescent="0.3">
      <c r="A2282" s="6" t="s">
        <v>3609</v>
      </c>
      <c r="B2282">
        <v>72167042</v>
      </c>
      <c r="C2282">
        <v>1</v>
      </c>
      <c r="D2282" t="str">
        <f t="shared" si="79"/>
        <v>01</v>
      </c>
      <c r="E2282" t="str">
        <f>VLOOKUP(B2282,'HOGARES-ENDLINE'!$A:$B,2,FALSE)</f>
        <v>00031053</v>
      </c>
      <c r="F2282" s="6" t="str">
        <f t="shared" si="80"/>
        <v>0003105301</v>
      </c>
    </row>
    <row r="2283" spans="1:6" x14ac:dyDescent="0.3">
      <c r="A2283" s="6" t="s">
        <v>3611</v>
      </c>
      <c r="B2283">
        <v>72167042</v>
      </c>
      <c r="C2283">
        <v>2</v>
      </c>
      <c r="D2283" t="str">
        <f t="shared" si="79"/>
        <v>02</v>
      </c>
      <c r="E2283" t="str">
        <f>VLOOKUP(B2283,'HOGARES-ENDLINE'!$A:$B,2,FALSE)</f>
        <v>00031053</v>
      </c>
      <c r="F2283" s="6" t="str">
        <f t="shared" si="80"/>
        <v>0003105302</v>
      </c>
    </row>
    <row r="2284" spans="1:6" x14ac:dyDescent="0.3">
      <c r="A2284" s="6" t="s">
        <v>3610</v>
      </c>
      <c r="B2284">
        <v>72167042</v>
      </c>
      <c r="C2284">
        <v>3</v>
      </c>
      <c r="D2284" t="str">
        <f t="shared" si="79"/>
        <v>03</v>
      </c>
      <c r="E2284" t="str">
        <f>VLOOKUP(B2284,'HOGARES-ENDLINE'!$A:$B,2,FALSE)</f>
        <v>00031053</v>
      </c>
      <c r="F2284" s="6" t="str">
        <f t="shared" si="80"/>
        <v>0003105303</v>
      </c>
    </row>
    <row r="2285" spans="1:6" x14ac:dyDescent="0.3">
      <c r="A2285" s="6" t="s">
        <v>3612</v>
      </c>
      <c r="B2285">
        <v>72170241</v>
      </c>
      <c r="C2285">
        <v>3</v>
      </c>
      <c r="D2285" t="str">
        <f t="shared" si="79"/>
        <v>03</v>
      </c>
      <c r="E2285" t="str">
        <f>VLOOKUP(B2285,'HOGARES-ENDLINE'!$A:$B,2,FALSE)</f>
        <v>00031054</v>
      </c>
      <c r="F2285" s="6" t="str">
        <f t="shared" si="80"/>
        <v>0003105403</v>
      </c>
    </row>
    <row r="2286" spans="1:6" x14ac:dyDescent="0.3">
      <c r="A2286" s="6" t="s">
        <v>3613</v>
      </c>
      <c r="B2286">
        <v>72170241</v>
      </c>
      <c r="C2286">
        <v>2</v>
      </c>
      <c r="D2286" t="str">
        <f t="shared" si="79"/>
        <v>02</v>
      </c>
      <c r="E2286" t="str">
        <f>VLOOKUP(B2286,'HOGARES-ENDLINE'!$A:$B,2,FALSE)</f>
        <v>00031054</v>
      </c>
      <c r="F2286" s="6" t="str">
        <f t="shared" si="80"/>
        <v>0003105402</v>
      </c>
    </row>
    <row r="2287" spans="1:6" x14ac:dyDescent="0.3">
      <c r="A2287" s="6" t="s">
        <v>3615</v>
      </c>
      <c r="B2287">
        <v>72170241</v>
      </c>
      <c r="C2287">
        <v>1</v>
      </c>
      <c r="D2287" t="str">
        <f t="shared" si="79"/>
        <v>01</v>
      </c>
      <c r="E2287" t="str">
        <f>VLOOKUP(B2287,'HOGARES-ENDLINE'!$A:$B,2,FALSE)</f>
        <v>00031054</v>
      </c>
      <c r="F2287" s="6" t="str">
        <f t="shared" si="80"/>
        <v>0003105401</v>
      </c>
    </row>
    <row r="2288" spans="1:6" x14ac:dyDescent="0.3">
      <c r="A2288" s="6" t="s">
        <v>3614</v>
      </c>
      <c r="B2288">
        <v>72170241</v>
      </c>
      <c r="C2288">
        <v>4</v>
      </c>
      <c r="D2288" t="str">
        <f t="shared" si="79"/>
        <v>04</v>
      </c>
      <c r="E2288" t="str">
        <f>VLOOKUP(B2288,'HOGARES-ENDLINE'!$A:$B,2,FALSE)</f>
        <v>00031054</v>
      </c>
      <c r="F2288" s="6" t="str">
        <f t="shared" si="80"/>
        <v>0003105404</v>
      </c>
    </row>
    <row r="2289" spans="1:6" x14ac:dyDescent="0.3">
      <c r="A2289" s="6" t="s">
        <v>3618</v>
      </c>
      <c r="B2289">
        <v>72175816</v>
      </c>
      <c r="C2289">
        <v>1</v>
      </c>
      <c r="D2289" t="str">
        <f t="shared" si="79"/>
        <v>01</v>
      </c>
      <c r="E2289" t="str">
        <f>VLOOKUP(B2289,'HOGARES-ENDLINE'!$A:$B,2,FALSE)</f>
        <v>00031055</v>
      </c>
      <c r="F2289" s="6" t="str">
        <f t="shared" si="80"/>
        <v>0003105501</v>
      </c>
    </row>
    <row r="2290" spans="1:6" x14ac:dyDescent="0.3">
      <c r="A2290" s="6" t="s">
        <v>3617</v>
      </c>
      <c r="B2290">
        <v>72175816</v>
      </c>
      <c r="C2290">
        <v>4</v>
      </c>
      <c r="D2290" t="str">
        <f t="shared" si="79"/>
        <v>04</v>
      </c>
      <c r="E2290" t="str">
        <f>VLOOKUP(B2290,'HOGARES-ENDLINE'!$A:$B,2,FALSE)</f>
        <v>00031055</v>
      </c>
      <c r="F2290" s="6" t="str">
        <f t="shared" si="80"/>
        <v>0003105504</v>
      </c>
    </row>
    <row r="2291" spans="1:6" x14ac:dyDescent="0.3">
      <c r="A2291" s="6" t="s">
        <v>3620</v>
      </c>
      <c r="B2291">
        <v>72175816</v>
      </c>
      <c r="C2291">
        <v>5</v>
      </c>
      <c r="D2291" t="str">
        <f t="shared" si="79"/>
        <v>05</v>
      </c>
      <c r="E2291" t="str">
        <f>VLOOKUP(B2291,'HOGARES-ENDLINE'!$A:$B,2,FALSE)</f>
        <v>00031055</v>
      </c>
      <c r="F2291" s="6" t="str">
        <f t="shared" si="80"/>
        <v>0003105505</v>
      </c>
    </row>
    <row r="2292" spans="1:6" x14ac:dyDescent="0.3">
      <c r="A2292" s="6" t="s">
        <v>3619</v>
      </c>
      <c r="B2292">
        <v>72175816</v>
      </c>
      <c r="C2292">
        <v>2</v>
      </c>
      <c r="D2292" t="str">
        <f t="shared" si="79"/>
        <v>02</v>
      </c>
      <c r="E2292" t="str">
        <f>VLOOKUP(B2292,'HOGARES-ENDLINE'!$A:$B,2,FALSE)</f>
        <v>00031055</v>
      </c>
      <c r="F2292" s="6" t="str">
        <f t="shared" si="80"/>
        <v>0003105502</v>
      </c>
    </row>
    <row r="2293" spans="1:6" x14ac:dyDescent="0.3">
      <c r="A2293" s="6" t="s">
        <v>3616</v>
      </c>
      <c r="B2293">
        <v>72175816</v>
      </c>
      <c r="C2293">
        <v>3</v>
      </c>
      <c r="D2293" t="str">
        <f t="shared" si="79"/>
        <v>03</v>
      </c>
      <c r="E2293" t="str">
        <f>VLOOKUP(B2293,'HOGARES-ENDLINE'!$A:$B,2,FALSE)</f>
        <v>00031055</v>
      </c>
      <c r="F2293" s="6" t="str">
        <f t="shared" si="80"/>
        <v>0003105503</v>
      </c>
    </row>
    <row r="2294" spans="1:6" x14ac:dyDescent="0.3">
      <c r="A2294" s="6" t="s">
        <v>3621</v>
      </c>
      <c r="B2294">
        <v>72178853</v>
      </c>
      <c r="C2294">
        <v>2</v>
      </c>
      <c r="D2294" t="str">
        <f t="shared" si="79"/>
        <v>02</v>
      </c>
      <c r="E2294" t="str">
        <f>VLOOKUP(B2294,'HOGARES-ENDLINE'!$A:$B,2,FALSE)</f>
        <v>01031056</v>
      </c>
      <c r="F2294" s="6" t="str">
        <f t="shared" si="80"/>
        <v>0103105602</v>
      </c>
    </row>
    <row r="2295" spans="1:6" x14ac:dyDescent="0.3">
      <c r="A2295" s="6" t="s">
        <v>3622</v>
      </c>
      <c r="B2295">
        <v>72178853</v>
      </c>
      <c r="C2295">
        <v>1</v>
      </c>
      <c r="D2295" t="str">
        <f t="shared" si="79"/>
        <v>01</v>
      </c>
      <c r="E2295" t="str">
        <f>VLOOKUP(B2295,'HOGARES-ENDLINE'!$A:$B,2,FALSE)</f>
        <v>01031056</v>
      </c>
      <c r="F2295" s="6" t="str">
        <f t="shared" si="80"/>
        <v>0103105601</v>
      </c>
    </row>
    <row r="2296" spans="1:6" x14ac:dyDescent="0.3">
      <c r="A2296" s="6" t="s">
        <v>3627</v>
      </c>
      <c r="B2296">
        <v>72180833</v>
      </c>
      <c r="C2296">
        <v>5</v>
      </c>
      <c r="D2296" t="str">
        <f t="shared" si="79"/>
        <v>05</v>
      </c>
      <c r="E2296" t="str">
        <f>VLOOKUP(B2296,'HOGARES-ENDLINE'!$A:$B,2,FALSE)</f>
        <v>01031057</v>
      </c>
      <c r="F2296" s="6" t="str">
        <f t="shared" si="80"/>
        <v>0103105705</v>
      </c>
    </row>
    <row r="2297" spans="1:6" x14ac:dyDescent="0.3">
      <c r="A2297" s="6" t="s">
        <v>3626</v>
      </c>
      <c r="B2297">
        <v>72180833</v>
      </c>
      <c r="C2297">
        <v>1</v>
      </c>
      <c r="D2297" t="str">
        <f t="shared" si="79"/>
        <v>01</v>
      </c>
      <c r="E2297" t="str">
        <f>VLOOKUP(B2297,'HOGARES-ENDLINE'!$A:$B,2,FALSE)</f>
        <v>01031057</v>
      </c>
      <c r="F2297" s="6" t="str">
        <f t="shared" si="80"/>
        <v>0103105701</v>
      </c>
    </row>
    <row r="2298" spans="1:6" x14ac:dyDescent="0.3">
      <c r="A2298" s="6" t="s">
        <v>3625</v>
      </c>
      <c r="B2298">
        <v>72180833</v>
      </c>
      <c r="C2298">
        <v>2</v>
      </c>
      <c r="D2298" t="str">
        <f t="shared" si="79"/>
        <v>02</v>
      </c>
      <c r="E2298" t="str">
        <f>VLOOKUP(B2298,'HOGARES-ENDLINE'!$A:$B,2,FALSE)</f>
        <v>01031057</v>
      </c>
      <c r="F2298" s="6" t="str">
        <f t="shared" si="80"/>
        <v>0103105702</v>
      </c>
    </row>
    <row r="2299" spans="1:6" x14ac:dyDescent="0.3">
      <c r="A2299" s="6" t="s">
        <v>3623</v>
      </c>
      <c r="B2299">
        <v>72180833</v>
      </c>
      <c r="C2299">
        <v>4</v>
      </c>
      <c r="D2299" t="str">
        <f t="shared" si="79"/>
        <v>04</v>
      </c>
      <c r="E2299" t="str">
        <f>VLOOKUP(B2299,'HOGARES-ENDLINE'!$A:$B,2,FALSE)</f>
        <v>01031057</v>
      </c>
      <c r="F2299" s="6" t="str">
        <f t="shared" si="80"/>
        <v>0103105704</v>
      </c>
    </row>
    <row r="2300" spans="1:6" x14ac:dyDescent="0.3">
      <c r="A2300" s="6" t="s">
        <v>3624</v>
      </c>
      <c r="B2300">
        <v>72180833</v>
      </c>
      <c r="C2300">
        <v>3</v>
      </c>
      <c r="D2300" t="str">
        <f t="shared" ref="D2300:D2363" si="81">_xlfn.CONCAT(0,C2300)</f>
        <v>03</v>
      </c>
      <c r="E2300" t="str">
        <f>VLOOKUP(B2300,'HOGARES-ENDLINE'!$A:$B,2,FALSE)</f>
        <v>01031057</v>
      </c>
      <c r="F2300" s="6" t="str">
        <f t="shared" si="80"/>
        <v>0103105703</v>
      </c>
    </row>
    <row r="2301" spans="1:6" x14ac:dyDescent="0.3">
      <c r="A2301" s="6" t="s">
        <v>3629</v>
      </c>
      <c r="B2301">
        <v>72182204</v>
      </c>
      <c r="C2301">
        <v>2</v>
      </c>
      <c r="D2301" t="str">
        <f t="shared" si="81"/>
        <v>02</v>
      </c>
      <c r="E2301" t="str">
        <f>VLOOKUP(B2301,'HOGARES-ENDLINE'!$A:$B,2,FALSE)</f>
        <v>01031058</v>
      </c>
      <c r="F2301" s="6" t="str">
        <f t="shared" si="80"/>
        <v>0103105802</v>
      </c>
    </row>
    <row r="2302" spans="1:6" x14ac:dyDescent="0.3">
      <c r="A2302" s="6" t="s">
        <v>3628</v>
      </c>
      <c r="B2302">
        <v>72182204</v>
      </c>
      <c r="C2302">
        <v>1</v>
      </c>
      <c r="D2302" t="str">
        <f t="shared" si="81"/>
        <v>01</v>
      </c>
      <c r="E2302" t="str">
        <f>VLOOKUP(B2302,'HOGARES-ENDLINE'!$A:$B,2,FALSE)</f>
        <v>01031058</v>
      </c>
      <c r="F2302" s="6" t="str">
        <f t="shared" si="80"/>
        <v>0103105801</v>
      </c>
    </row>
    <row r="2303" spans="1:6" x14ac:dyDescent="0.3">
      <c r="A2303" s="6" t="s">
        <v>3630</v>
      </c>
      <c r="B2303">
        <v>72182204</v>
      </c>
      <c r="C2303">
        <v>4</v>
      </c>
      <c r="D2303" t="str">
        <f t="shared" si="81"/>
        <v>04</v>
      </c>
      <c r="E2303" t="str">
        <f>VLOOKUP(B2303,'HOGARES-ENDLINE'!$A:$B,2,FALSE)</f>
        <v>01031058</v>
      </c>
      <c r="F2303" s="6" t="str">
        <f t="shared" si="80"/>
        <v>0103105804</v>
      </c>
    </row>
    <row r="2304" spans="1:6" x14ac:dyDescent="0.3">
      <c r="A2304" s="6" t="s">
        <v>3634</v>
      </c>
      <c r="B2304">
        <v>72183434</v>
      </c>
      <c r="C2304">
        <v>2</v>
      </c>
      <c r="D2304" t="str">
        <f t="shared" si="81"/>
        <v>02</v>
      </c>
      <c r="E2304" t="str">
        <f>VLOOKUP(B2304,'HOGARES-ENDLINE'!$A:$B,2,FALSE)</f>
        <v>00031059</v>
      </c>
      <c r="F2304" s="6" t="str">
        <f t="shared" si="80"/>
        <v>0003105902</v>
      </c>
    </row>
    <row r="2305" spans="1:6" x14ac:dyDescent="0.3">
      <c r="A2305" s="6" t="s">
        <v>3635</v>
      </c>
      <c r="B2305">
        <v>72183434</v>
      </c>
      <c r="C2305">
        <v>4</v>
      </c>
      <c r="D2305" t="str">
        <f t="shared" si="81"/>
        <v>04</v>
      </c>
      <c r="E2305" t="str">
        <f>VLOOKUP(B2305,'HOGARES-ENDLINE'!$A:$B,2,FALSE)</f>
        <v>00031059</v>
      </c>
      <c r="F2305" s="6" t="str">
        <f t="shared" si="80"/>
        <v>0003105904</v>
      </c>
    </row>
    <row r="2306" spans="1:6" x14ac:dyDescent="0.3">
      <c r="A2306" s="6" t="s">
        <v>3633</v>
      </c>
      <c r="B2306">
        <v>72183434</v>
      </c>
      <c r="C2306">
        <v>1</v>
      </c>
      <c r="D2306" t="str">
        <f t="shared" si="81"/>
        <v>01</v>
      </c>
      <c r="E2306" t="str">
        <f>VLOOKUP(B2306,'HOGARES-ENDLINE'!$A:$B,2,FALSE)</f>
        <v>00031059</v>
      </c>
      <c r="F2306" s="6" t="str">
        <f t="shared" si="80"/>
        <v>0003105901</v>
      </c>
    </row>
    <row r="2307" spans="1:6" x14ac:dyDescent="0.3">
      <c r="A2307" s="6" t="s">
        <v>3632</v>
      </c>
      <c r="B2307">
        <v>72183434</v>
      </c>
      <c r="C2307">
        <v>3</v>
      </c>
      <c r="D2307" t="str">
        <f t="shared" si="81"/>
        <v>03</v>
      </c>
      <c r="E2307" t="str">
        <f>VLOOKUP(B2307,'HOGARES-ENDLINE'!$A:$B,2,FALSE)</f>
        <v>00031059</v>
      </c>
      <c r="F2307" s="6" t="str">
        <f t="shared" ref="F2307:F2370" si="82">_xlfn.CONCAT(E2307,D2307)</f>
        <v>0003105903</v>
      </c>
    </row>
    <row r="2308" spans="1:6" x14ac:dyDescent="0.3">
      <c r="A2308" s="6" t="s">
        <v>3641</v>
      </c>
      <c r="B2308">
        <v>72184735</v>
      </c>
      <c r="C2308">
        <v>4</v>
      </c>
      <c r="D2308" t="str">
        <f t="shared" si="81"/>
        <v>04</v>
      </c>
      <c r="E2308" t="str">
        <f>VLOOKUP(B2308,'HOGARES-ENDLINE'!$A:$B,2,FALSE)</f>
        <v>00031060</v>
      </c>
      <c r="F2308" s="6" t="str">
        <f t="shared" si="82"/>
        <v>0003106004</v>
      </c>
    </row>
    <row r="2309" spans="1:6" x14ac:dyDescent="0.3">
      <c r="A2309" s="6" t="s">
        <v>3637</v>
      </c>
      <c r="B2309">
        <v>72184735</v>
      </c>
      <c r="C2309">
        <v>2</v>
      </c>
      <c r="D2309" t="str">
        <f t="shared" si="81"/>
        <v>02</v>
      </c>
      <c r="E2309" t="str">
        <f>VLOOKUP(B2309,'HOGARES-ENDLINE'!$A:$B,2,FALSE)</f>
        <v>00031060</v>
      </c>
      <c r="F2309" s="6" t="str">
        <f t="shared" si="82"/>
        <v>0003106002</v>
      </c>
    </row>
    <row r="2310" spans="1:6" x14ac:dyDescent="0.3">
      <c r="A2310" s="6" t="s">
        <v>3638</v>
      </c>
      <c r="B2310">
        <v>72184735</v>
      </c>
      <c r="C2310">
        <v>3</v>
      </c>
      <c r="D2310" t="str">
        <f t="shared" si="81"/>
        <v>03</v>
      </c>
      <c r="E2310" t="str">
        <f>VLOOKUP(B2310,'HOGARES-ENDLINE'!$A:$B,2,FALSE)</f>
        <v>00031060</v>
      </c>
      <c r="F2310" s="6" t="str">
        <f t="shared" si="82"/>
        <v>0003106003</v>
      </c>
    </row>
    <row r="2311" spans="1:6" x14ac:dyDescent="0.3">
      <c r="A2311" s="6" t="s">
        <v>3639</v>
      </c>
      <c r="B2311">
        <v>72184735</v>
      </c>
      <c r="C2311">
        <v>1</v>
      </c>
      <c r="D2311" t="str">
        <f t="shared" si="81"/>
        <v>01</v>
      </c>
      <c r="E2311" t="str">
        <f>VLOOKUP(B2311,'HOGARES-ENDLINE'!$A:$B,2,FALSE)</f>
        <v>00031060</v>
      </c>
      <c r="F2311" s="6" t="str">
        <f t="shared" si="82"/>
        <v>0003106001</v>
      </c>
    </row>
    <row r="2312" spans="1:6" x14ac:dyDescent="0.3">
      <c r="A2312" s="6" t="s">
        <v>3636</v>
      </c>
      <c r="B2312">
        <v>72184735</v>
      </c>
      <c r="C2312">
        <v>5</v>
      </c>
      <c r="D2312" t="str">
        <f t="shared" si="81"/>
        <v>05</v>
      </c>
      <c r="E2312" t="str">
        <f>VLOOKUP(B2312,'HOGARES-ENDLINE'!$A:$B,2,FALSE)</f>
        <v>00031060</v>
      </c>
      <c r="F2312" s="6" t="str">
        <f t="shared" si="82"/>
        <v>0003106005</v>
      </c>
    </row>
    <row r="2313" spans="1:6" x14ac:dyDescent="0.3">
      <c r="A2313" s="6" t="s">
        <v>3640</v>
      </c>
      <c r="B2313">
        <v>72184735</v>
      </c>
      <c r="C2313">
        <v>6</v>
      </c>
      <c r="D2313" t="str">
        <f t="shared" si="81"/>
        <v>06</v>
      </c>
      <c r="E2313" t="str">
        <f>VLOOKUP(B2313,'HOGARES-ENDLINE'!$A:$B,2,FALSE)</f>
        <v>00031060</v>
      </c>
      <c r="F2313" s="6" t="str">
        <f t="shared" si="82"/>
        <v>0003106006</v>
      </c>
    </row>
    <row r="2314" spans="1:6" x14ac:dyDescent="0.3">
      <c r="A2314" s="6" t="s">
        <v>3642</v>
      </c>
      <c r="B2314">
        <v>72200209</v>
      </c>
      <c r="C2314">
        <v>1</v>
      </c>
      <c r="D2314" t="str">
        <f t="shared" si="81"/>
        <v>01</v>
      </c>
      <c r="E2314" t="str">
        <f>VLOOKUP(B2314,'HOGARES-ENDLINE'!$A:$B,2,FALSE)</f>
        <v>01031061</v>
      </c>
      <c r="F2314" s="6" t="str">
        <f t="shared" si="82"/>
        <v>0103106101</v>
      </c>
    </row>
    <row r="2315" spans="1:6" x14ac:dyDescent="0.3">
      <c r="A2315" s="6" t="s">
        <v>3644</v>
      </c>
      <c r="B2315">
        <v>72210592</v>
      </c>
      <c r="C2315">
        <v>1</v>
      </c>
      <c r="D2315" t="str">
        <f t="shared" si="81"/>
        <v>01</v>
      </c>
      <c r="E2315" t="str">
        <f>VLOOKUP(B2315,'HOGARES-ENDLINE'!$A:$B,2,FALSE)</f>
        <v>01031062</v>
      </c>
      <c r="F2315" s="6" t="str">
        <f t="shared" si="82"/>
        <v>0103106201</v>
      </c>
    </row>
    <row r="2316" spans="1:6" x14ac:dyDescent="0.3">
      <c r="A2316" s="6" t="s">
        <v>3652</v>
      </c>
      <c r="B2316">
        <v>72212320</v>
      </c>
      <c r="C2316">
        <v>4</v>
      </c>
      <c r="D2316" t="str">
        <f t="shared" si="81"/>
        <v>04</v>
      </c>
      <c r="E2316" t="str">
        <f>VLOOKUP(B2316,'HOGARES-ENDLINE'!$A:$B,2,FALSE)</f>
        <v>01031063</v>
      </c>
      <c r="F2316" s="6" t="str">
        <f t="shared" si="82"/>
        <v>0103106304</v>
      </c>
    </row>
    <row r="2317" spans="1:6" x14ac:dyDescent="0.3">
      <c r="A2317" s="6" t="s">
        <v>3647</v>
      </c>
      <c r="B2317">
        <v>72212320</v>
      </c>
      <c r="C2317">
        <v>3</v>
      </c>
      <c r="D2317" t="str">
        <f t="shared" si="81"/>
        <v>03</v>
      </c>
      <c r="E2317" t="str">
        <f>VLOOKUP(B2317,'HOGARES-ENDLINE'!$A:$B,2,FALSE)</f>
        <v>01031063</v>
      </c>
      <c r="F2317" s="6" t="str">
        <f t="shared" si="82"/>
        <v>0103106303</v>
      </c>
    </row>
    <row r="2318" spans="1:6" x14ac:dyDescent="0.3">
      <c r="A2318" s="6" t="s">
        <v>3650</v>
      </c>
      <c r="B2318">
        <v>72212320</v>
      </c>
      <c r="C2318">
        <v>2</v>
      </c>
      <c r="D2318" t="str">
        <f t="shared" si="81"/>
        <v>02</v>
      </c>
      <c r="E2318" t="str">
        <f>VLOOKUP(B2318,'HOGARES-ENDLINE'!$A:$B,2,FALSE)</f>
        <v>01031063</v>
      </c>
      <c r="F2318" s="6" t="str">
        <f t="shared" si="82"/>
        <v>0103106302</v>
      </c>
    </row>
    <row r="2319" spans="1:6" x14ac:dyDescent="0.3">
      <c r="A2319" s="6" t="s">
        <v>3645</v>
      </c>
      <c r="B2319">
        <v>72212320</v>
      </c>
      <c r="C2319">
        <v>1</v>
      </c>
      <c r="D2319" t="str">
        <f t="shared" si="81"/>
        <v>01</v>
      </c>
      <c r="E2319" t="str">
        <f>VLOOKUP(B2319,'HOGARES-ENDLINE'!$A:$B,2,FALSE)</f>
        <v>01031063</v>
      </c>
      <c r="F2319" s="6" t="str">
        <f t="shared" si="82"/>
        <v>0103106301</v>
      </c>
    </row>
    <row r="2320" spans="1:6" x14ac:dyDescent="0.3">
      <c r="A2320" s="6" t="s">
        <v>3654</v>
      </c>
      <c r="B2320">
        <v>72213150</v>
      </c>
      <c r="C2320">
        <v>1</v>
      </c>
      <c r="D2320" t="str">
        <f t="shared" si="81"/>
        <v>01</v>
      </c>
      <c r="E2320" t="str">
        <f>VLOOKUP(B2320,'HOGARES-ENDLINE'!$A:$B,2,FALSE)</f>
        <v>00031064</v>
      </c>
      <c r="F2320" s="6" t="str">
        <f t="shared" si="82"/>
        <v>0003106401</v>
      </c>
    </row>
    <row r="2321" spans="1:6" x14ac:dyDescent="0.3">
      <c r="A2321" s="6" t="s">
        <v>3657</v>
      </c>
      <c r="B2321">
        <v>72214776</v>
      </c>
      <c r="C2321">
        <v>3</v>
      </c>
      <c r="D2321" t="str">
        <f t="shared" si="81"/>
        <v>03</v>
      </c>
      <c r="E2321" t="str">
        <f>VLOOKUP(B2321,'HOGARES-ENDLINE'!$A:$B,2,FALSE)</f>
        <v>01031065</v>
      </c>
      <c r="F2321" s="6" t="str">
        <f t="shared" si="82"/>
        <v>0103106503</v>
      </c>
    </row>
    <row r="2322" spans="1:6" x14ac:dyDescent="0.3">
      <c r="A2322" s="6" t="s">
        <v>3659</v>
      </c>
      <c r="B2322">
        <v>72214776</v>
      </c>
      <c r="C2322">
        <v>2</v>
      </c>
      <c r="D2322" t="str">
        <f t="shared" si="81"/>
        <v>02</v>
      </c>
      <c r="E2322" t="str">
        <f>VLOOKUP(B2322,'HOGARES-ENDLINE'!$A:$B,2,FALSE)</f>
        <v>01031065</v>
      </c>
      <c r="F2322" s="6" t="str">
        <f t="shared" si="82"/>
        <v>0103106502</v>
      </c>
    </row>
    <row r="2323" spans="1:6" x14ac:dyDescent="0.3">
      <c r="A2323" s="6" t="s">
        <v>3658</v>
      </c>
      <c r="B2323">
        <v>72214776</v>
      </c>
      <c r="C2323">
        <v>1</v>
      </c>
      <c r="D2323" t="str">
        <f t="shared" si="81"/>
        <v>01</v>
      </c>
      <c r="E2323" t="str">
        <f>VLOOKUP(B2323,'HOGARES-ENDLINE'!$A:$B,2,FALSE)</f>
        <v>01031065</v>
      </c>
      <c r="F2323" s="6" t="str">
        <f t="shared" si="82"/>
        <v>0103106501</v>
      </c>
    </row>
    <row r="2324" spans="1:6" x14ac:dyDescent="0.3">
      <c r="A2324" s="6" t="s">
        <v>3664</v>
      </c>
      <c r="B2324">
        <v>72217502</v>
      </c>
      <c r="C2324">
        <v>3</v>
      </c>
      <c r="D2324" t="str">
        <f t="shared" si="81"/>
        <v>03</v>
      </c>
      <c r="E2324" t="str">
        <f>VLOOKUP(B2324,'HOGARES-ENDLINE'!$A:$B,2,FALSE)</f>
        <v>00031066</v>
      </c>
      <c r="F2324" s="6" t="str">
        <f t="shared" si="82"/>
        <v>0003106603</v>
      </c>
    </row>
    <row r="2325" spans="1:6" x14ac:dyDescent="0.3">
      <c r="A2325" s="6" t="s">
        <v>3661</v>
      </c>
      <c r="B2325">
        <v>72217502</v>
      </c>
      <c r="C2325">
        <v>4</v>
      </c>
      <c r="D2325" t="str">
        <f t="shared" si="81"/>
        <v>04</v>
      </c>
      <c r="E2325" t="str">
        <f>VLOOKUP(B2325,'HOGARES-ENDLINE'!$A:$B,2,FALSE)</f>
        <v>00031066</v>
      </c>
      <c r="F2325" s="6" t="str">
        <f t="shared" si="82"/>
        <v>0003106604</v>
      </c>
    </row>
    <row r="2326" spans="1:6" x14ac:dyDescent="0.3">
      <c r="A2326" s="6" t="s">
        <v>3660</v>
      </c>
      <c r="B2326">
        <v>72217502</v>
      </c>
      <c r="C2326">
        <v>6</v>
      </c>
      <c r="D2326" t="str">
        <f t="shared" si="81"/>
        <v>06</v>
      </c>
      <c r="E2326" t="str">
        <f>VLOOKUP(B2326,'HOGARES-ENDLINE'!$A:$B,2,FALSE)</f>
        <v>00031066</v>
      </c>
      <c r="F2326" s="6" t="str">
        <f t="shared" si="82"/>
        <v>0003106606</v>
      </c>
    </row>
    <row r="2327" spans="1:6" x14ac:dyDescent="0.3">
      <c r="A2327" s="6" t="s">
        <v>3663</v>
      </c>
      <c r="B2327">
        <v>72217502</v>
      </c>
      <c r="C2327">
        <v>1</v>
      </c>
      <c r="D2327" t="str">
        <f t="shared" si="81"/>
        <v>01</v>
      </c>
      <c r="E2327" t="str">
        <f>VLOOKUP(B2327,'HOGARES-ENDLINE'!$A:$B,2,FALSE)</f>
        <v>00031066</v>
      </c>
      <c r="F2327" s="6" t="str">
        <f t="shared" si="82"/>
        <v>0003106601</v>
      </c>
    </row>
    <row r="2328" spans="1:6" x14ac:dyDescent="0.3">
      <c r="A2328" s="6" t="s">
        <v>3665</v>
      </c>
      <c r="B2328">
        <v>72217502</v>
      </c>
      <c r="C2328">
        <v>5</v>
      </c>
      <c r="D2328" t="str">
        <f t="shared" si="81"/>
        <v>05</v>
      </c>
      <c r="E2328" t="str">
        <f>VLOOKUP(B2328,'HOGARES-ENDLINE'!$A:$B,2,FALSE)</f>
        <v>00031066</v>
      </c>
      <c r="F2328" s="6" t="str">
        <f t="shared" si="82"/>
        <v>0003106605</v>
      </c>
    </row>
    <row r="2329" spans="1:6" x14ac:dyDescent="0.3">
      <c r="A2329" s="6" t="s">
        <v>3662</v>
      </c>
      <c r="B2329">
        <v>72217502</v>
      </c>
      <c r="C2329">
        <v>2</v>
      </c>
      <c r="D2329" t="str">
        <f t="shared" si="81"/>
        <v>02</v>
      </c>
      <c r="E2329" t="str">
        <f>VLOOKUP(B2329,'HOGARES-ENDLINE'!$A:$B,2,FALSE)</f>
        <v>00031066</v>
      </c>
      <c r="F2329" s="6" t="str">
        <f t="shared" si="82"/>
        <v>0003106602</v>
      </c>
    </row>
    <row r="2330" spans="1:6" x14ac:dyDescent="0.3">
      <c r="A2330" s="6" t="s">
        <v>3666</v>
      </c>
      <c r="B2330">
        <v>72227073</v>
      </c>
      <c r="C2330">
        <v>1</v>
      </c>
      <c r="D2330" t="str">
        <f t="shared" si="81"/>
        <v>01</v>
      </c>
      <c r="E2330" t="str">
        <f>VLOOKUP(B2330,'HOGARES-ENDLINE'!$A:$B,2,FALSE)</f>
        <v>01031067</v>
      </c>
      <c r="F2330" s="6" t="str">
        <f t="shared" si="82"/>
        <v>0103106701</v>
      </c>
    </row>
    <row r="2331" spans="1:6" x14ac:dyDescent="0.3">
      <c r="A2331" s="6" t="s">
        <v>3674</v>
      </c>
      <c r="B2331">
        <v>72227387</v>
      </c>
      <c r="C2331">
        <v>4</v>
      </c>
      <c r="D2331" t="str">
        <f t="shared" si="81"/>
        <v>04</v>
      </c>
      <c r="E2331" t="str">
        <f>VLOOKUP(B2331,'HOGARES-ENDLINE'!$A:$B,2,FALSE)</f>
        <v>01031068</v>
      </c>
      <c r="F2331" s="6" t="str">
        <f t="shared" si="82"/>
        <v>0103106804</v>
      </c>
    </row>
    <row r="2332" spans="1:6" x14ac:dyDescent="0.3">
      <c r="A2332" s="6" t="s">
        <v>3673</v>
      </c>
      <c r="B2332">
        <v>72227387</v>
      </c>
      <c r="C2332">
        <v>5</v>
      </c>
      <c r="D2332" t="str">
        <f t="shared" si="81"/>
        <v>05</v>
      </c>
      <c r="E2332" t="str">
        <f>VLOOKUP(B2332,'HOGARES-ENDLINE'!$A:$B,2,FALSE)</f>
        <v>01031068</v>
      </c>
      <c r="F2332" s="6" t="str">
        <f t="shared" si="82"/>
        <v>0103106805</v>
      </c>
    </row>
    <row r="2333" spans="1:6" x14ac:dyDescent="0.3">
      <c r="A2333" s="6" t="s">
        <v>3671</v>
      </c>
      <c r="B2333">
        <v>72227387</v>
      </c>
      <c r="C2333">
        <v>2</v>
      </c>
      <c r="D2333" t="str">
        <f t="shared" si="81"/>
        <v>02</v>
      </c>
      <c r="E2333" t="str">
        <f>VLOOKUP(B2333,'HOGARES-ENDLINE'!$A:$B,2,FALSE)</f>
        <v>01031068</v>
      </c>
      <c r="F2333" s="6" t="str">
        <f t="shared" si="82"/>
        <v>0103106802</v>
      </c>
    </row>
    <row r="2334" spans="1:6" x14ac:dyDescent="0.3">
      <c r="A2334" s="6" t="s">
        <v>3672</v>
      </c>
      <c r="B2334">
        <v>72227387</v>
      </c>
      <c r="C2334">
        <v>3</v>
      </c>
      <c r="D2334" t="str">
        <f t="shared" si="81"/>
        <v>03</v>
      </c>
      <c r="E2334" t="str">
        <f>VLOOKUP(B2334,'HOGARES-ENDLINE'!$A:$B,2,FALSE)</f>
        <v>01031068</v>
      </c>
      <c r="F2334" s="6" t="str">
        <f t="shared" si="82"/>
        <v>0103106803</v>
      </c>
    </row>
    <row r="2335" spans="1:6" x14ac:dyDescent="0.3">
      <c r="A2335" s="6" t="s">
        <v>3675</v>
      </c>
      <c r="B2335">
        <v>72227387</v>
      </c>
      <c r="C2335">
        <v>1</v>
      </c>
      <c r="D2335" t="str">
        <f t="shared" si="81"/>
        <v>01</v>
      </c>
      <c r="E2335" t="str">
        <f>VLOOKUP(B2335,'HOGARES-ENDLINE'!$A:$B,2,FALSE)</f>
        <v>01031068</v>
      </c>
      <c r="F2335" s="6" t="str">
        <f t="shared" si="82"/>
        <v>0103106801</v>
      </c>
    </row>
    <row r="2336" spans="1:6" x14ac:dyDescent="0.3">
      <c r="A2336" s="6" t="s">
        <v>3676</v>
      </c>
      <c r="B2336">
        <v>72234487</v>
      </c>
      <c r="C2336">
        <v>1</v>
      </c>
      <c r="D2336" t="str">
        <f t="shared" si="81"/>
        <v>01</v>
      </c>
      <c r="E2336" t="str">
        <f>VLOOKUP(B2336,'HOGARES-ENDLINE'!$A:$B,2,FALSE)</f>
        <v>00031069</v>
      </c>
      <c r="F2336" s="6" t="str">
        <f t="shared" si="82"/>
        <v>0003106901</v>
      </c>
    </row>
    <row r="2337" spans="1:6" x14ac:dyDescent="0.3">
      <c r="A2337" s="6" t="s">
        <v>3679</v>
      </c>
      <c r="B2337">
        <v>72239153</v>
      </c>
      <c r="C2337">
        <v>1</v>
      </c>
      <c r="D2337" t="str">
        <f t="shared" si="81"/>
        <v>01</v>
      </c>
      <c r="E2337" t="str">
        <f>VLOOKUP(B2337,'HOGARES-ENDLINE'!$A:$B,2,FALSE)</f>
        <v>00031070</v>
      </c>
      <c r="F2337" s="6" t="str">
        <f t="shared" si="82"/>
        <v>0003107001</v>
      </c>
    </row>
    <row r="2338" spans="1:6" x14ac:dyDescent="0.3">
      <c r="A2338" s="6" t="s">
        <v>3678</v>
      </c>
      <c r="B2338">
        <v>72239153</v>
      </c>
      <c r="C2338">
        <v>2</v>
      </c>
      <c r="D2338" t="str">
        <f t="shared" si="81"/>
        <v>02</v>
      </c>
      <c r="E2338" t="str">
        <f>VLOOKUP(B2338,'HOGARES-ENDLINE'!$A:$B,2,FALSE)</f>
        <v>00031070</v>
      </c>
      <c r="F2338" s="6" t="str">
        <f t="shared" si="82"/>
        <v>0003107002</v>
      </c>
    </row>
    <row r="2339" spans="1:6" x14ac:dyDescent="0.3">
      <c r="A2339" s="6" t="s">
        <v>3682</v>
      </c>
      <c r="B2339">
        <v>72239164</v>
      </c>
      <c r="C2339">
        <v>2</v>
      </c>
      <c r="D2339" t="str">
        <f t="shared" si="81"/>
        <v>02</v>
      </c>
      <c r="E2339" t="str">
        <f>VLOOKUP(B2339,'HOGARES-ENDLINE'!$A:$B,2,FALSE)</f>
        <v>01031071</v>
      </c>
      <c r="F2339" s="6" t="str">
        <f t="shared" si="82"/>
        <v>0103107102</v>
      </c>
    </row>
    <row r="2340" spans="1:6" x14ac:dyDescent="0.3">
      <c r="A2340" s="6" t="s">
        <v>3680</v>
      </c>
      <c r="B2340">
        <v>72239164</v>
      </c>
      <c r="C2340">
        <v>1</v>
      </c>
      <c r="D2340" t="str">
        <f t="shared" si="81"/>
        <v>01</v>
      </c>
      <c r="E2340" t="str">
        <f>VLOOKUP(B2340,'HOGARES-ENDLINE'!$A:$B,2,FALSE)</f>
        <v>01031071</v>
      </c>
      <c r="F2340" s="6" t="str">
        <f t="shared" si="82"/>
        <v>0103107101</v>
      </c>
    </row>
    <row r="2341" spans="1:6" x14ac:dyDescent="0.3">
      <c r="A2341" s="6" t="s">
        <v>3685</v>
      </c>
      <c r="B2341">
        <v>72256249</v>
      </c>
      <c r="C2341">
        <v>2</v>
      </c>
      <c r="D2341" t="str">
        <f t="shared" si="81"/>
        <v>02</v>
      </c>
      <c r="E2341" t="str">
        <f>VLOOKUP(B2341,'HOGARES-ENDLINE'!$A:$B,2,FALSE)</f>
        <v>00031072</v>
      </c>
      <c r="F2341" s="6" t="str">
        <f t="shared" si="82"/>
        <v>0003107202</v>
      </c>
    </row>
    <row r="2342" spans="1:6" x14ac:dyDescent="0.3">
      <c r="A2342" s="6" t="s">
        <v>3686</v>
      </c>
      <c r="B2342">
        <v>72256249</v>
      </c>
      <c r="C2342">
        <v>4</v>
      </c>
      <c r="D2342" t="str">
        <f t="shared" si="81"/>
        <v>04</v>
      </c>
      <c r="E2342" t="str">
        <f>VLOOKUP(B2342,'HOGARES-ENDLINE'!$A:$B,2,FALSE)</f>
        <v>00031072</v>
      </c>
      <c r="F2342" s="6" t="str">
        <f t="shared" si="82"/>
        <v>0003107204</v>
      </c>
    </row>
    <row r="2343" spans="1:6" x14ac:dyDescent="0.3">
      <c r="A2343" s="6" t="s">
        <v>3683</v>
      </c>
      <c r="B2343">
        <v>72256249</v>
      </c>
      <c r="C2343">
        <v>3</v>
      </c>
      <c r="D2343" t="str">
        <f t="shared" si="81"/>
        <v>03</v>
      </c>
      <c r="E2343" t="str">
        <f>VLOOKUP(B2343,'HOGARES-ENDLINE'!$A:$B,2,FALSE)</f>
        <v>00031072</v>
      </c>
      <c r="F2343" s="6" t="str">
        <f t="shared" si="82"/>
        <v>0003107203</v>
      </c>
    </row>
    <row r="2344" spans="1:6" x14ac:dyDescent="0.3">
      <c r="A2344" s="6" t="s">
        <v>3684</v>
      </c>
      <c r="B2344">
        <v>72256249</v>
      </c>
      <c r="C2344">
        <v>1</v>
      </c>
      <c r="D2344" t="str">
        <f t="shared" si="81"/>
        <v>01</v>
      </c>
      <c r="E2344" t="str">
        <f>VLOOKUP(B2344,'HOGARES-ENDLINE'!$A:$B,2,FALSE)</f>
        <v>00031072</v>
      </c>
      <c r="F2344" s="6" t="str">
        <f t="shared" si="82"/>
        <v>0003107201</v>
      </c>
    </row>
    <row r="2345" spans="1:6" x14ac:dyDescent="0.3">
      <c r="A2345" s="6" t="s">
        <v>3687</v>
      </c>
      <c r="B2345">
        <v>72259355</v>
      </c>
      <c r="C2345">
        <v>1</v>
      </c>
      <c r="D2345" t="str">
        <f t="shared" si="81"/>
        <v>01</v>
      </c>
      <c r="E2345" t="str">
        <f>VLOOKUP(B2345,'HOGARES-ENDLINE'!$A:$B,2,FALSE)</f>
        <v>00031073</v>
      </c>
      <c r="F2345" s="6" t="str">
        <f t="shared" si="82"/>
        <v>0003107301</v>
      </c>
    </row>
    <row r="2346" spans="1:6" x14ac:dyDescent="0.3">
      <c r="A2346" s="6" t="s">
        <v>3689</v>
      </c>
      <c r="B2346">
        <v>72259355</v>
      </c>
      <c r="C2346">
        <v>3</v>
      </c>
      <c r="D2346" t="str">
        <f t="shared" si="81"/>
        <v>03</v>
      </c>
      <c r="E2346" t="str">
        <f>VLOOKUP(B2346,'HOGARES-ENDLINE'!$A:$B,2,FALSE)</f>
        <v>00031073</v>
      </c>
      <c r="F2346" s="6" t="str">
        <f t="shared" si="82"/>
        <v>0003107303</v>
      </c>
    </row>
    <row r="2347" spans="1:6" x14ac:dyDescent="0.3">
      <c r="A2347" s="6" t="s">
        <v>3688</v>
      </c>
      <c r="B2347">
        <v>72259355</v>
      </c>
      <c r="C2347">
        <v>2</v>
      </c>
      <c r="D2347" t="str">
        <f t="shared" si="81"/>
        <v>02</v>
      </c>
      <c r="E2347" t="str">
        <f>VLOOKUP(B2347,'HOGARES-ENDLINE'!$A:$B,2,FALSE)</f>
        <v>00031073</v>
      </c>
      <c r="F2347" s="6" t="str">
        <f t="shared" si="82"/>
        <v>0003107302</v>
      </c>
    </row>
    <row r="2348" spans="1:6" x14ac:dyDescent="0.3">
      <c r="A2348" s="6" t="s">
        <v>3690</v>
      </c>
      <c r="B2348">
        <v>72261103</v>
      </c>
      <c r="C2348">
        <v>1</v>
      </c>
      <c r="D2348" t="str">
        <f t="shared" si="81"/>
        <v>01</v>
      </c>
      <c r="E2348" t="str">
        <f>VLOOKUP(B2348,'HOGARES-ENDLINE'!$A:$B,2,FALSE)</f>
        <v>00031074</v>
      </c>
      <c r="F2348" s="6" t="str">
        <f t="shared" si="82"/>
        <v>0003107401</v>
      </c>
    </row>
    <row r="2349" spans="1:6" x14ac:dyDescent="0.3">
      <c r="A2349" s="6" t="s">
        <v>3691</v>
      </c>
      <c r="B2349">
        <v>72261103</v>
      </c>
      <c r="C2349">
        <v>3</v>
      </c>
      <c r="D2349" t="str">
        <f t="shared" si="81"/>
        <v>03</v>
      </c>
      <c r="E2349" t="str">
        <f>VLOOKUP(B2349,'HOGARES-ENDLINE'!$A:$B,2,FALSE)</f>
        <v>00031074</v>
      </c>
      <c r="F2349" s="6" t="str">
        <f t="shared" si="82"/>
        <v>0003107403</v>
      </c>
    </row>
    <row r="2350" spans="1:6" x14ac:dyDescent="0.3">
      <c r="A2350" s="6" t="s">
        <v>3692</v>
      </c>
      <c r="B2350">
        <v>72261103</v>
      </c>
      <c r="C2350">
        <v>2</v>
      </c>
      <c r="D2350" t="str">
        <f t="shared" si="81"/>
        <v>02</v>
      </c>
      <c r="E2350" t="str">
        <f>VLOOKUP(B2350,'HOGARES-ENDLINE'!$A:$B,2,FALSE)</f>
        <v>00031074</v>
      </c>
      <c r="F2350" s="6" t="str">
        <f t="shared" si="82"/>
        <v>0003107402</v>
      </c>
    </row>
    <row r="2351" spans="1:6" x14ac:dyDescent="0.3">
      <c r="A2351" s="6" t="s">
        <v>3693</v>
      </c>
      <c r="B2351">
        <v>72261103</v>
      </c>
      <c r="C2351">
        <v>4</v>
      </c>
      <c r="D2351" t="str">
        <f t="shared" si="81"/>
        <v>04</v>
      </c>
      <c r="E2351" t="str">
        <f>VLOOKUP(B2351,'HOGARES-ENDLINE'!$A:$B,2,FALSE)</f>
        <v>00031074</v>
      </c>
      <c r="F2351" s="6" t="str">
        <f t="shared" si="82"/>
        <v>0003107404</v>
      </c>
    </row>
    <row r="2352" spans="1:6" x14ac:dyDescent="0.3">
      <c r="A2352" s="6" t="s">
        <v>3695</v>
      </c>
      <c r="B2352">
        <v>72264710</v>
      </c>
      <c r="C2352">
        <v>1</v>
      </c>
      <c r="D2352" t="str">
        <f t="shared" si="81"/>
        <v>01</v>
      </c>
      <c r="E2352" t="str">
        <f>VLOOKUP(B2352,'HOGARES-ENDLINE'!$A:$B,2,FALSE)</f>
        <v>00031075</v>
      </c>
      <c r="F2352" s="6" t="str">
        <f t="shared" si="82"/>
        <v>0003107501</v>
      </c>
    </row>
    <row r="2353" spans="1:6" x14ac:dyDescent="0.3">
      <c r="A2353" s="6" t="s">
        <v>3703</v>
      </c>
      <c r="B2353">
        <v>72265227</v>
      </c>
      <c r="C2353">
        <v>3</v>
      </c>
      <c r="D2353" t="str">
        <f t="shared" si="81"/>
        <v>03</v>
      </c>
      <c r="E2353" t="str">
        <f>VLOOKUP(B2353,'HOGARES-ENDLINE'!$A:$B,2,FALSE)</f>
        <v>00031076</v>
      </c>
      <c r="F2353" s="6" t="str">
        <f t="shared" si="82"/>
        <v>0003107603</v>
      </c>
    </row>
    <row r="2354" spans="1:6" x14ac:dyDescent="0.3">
      <c r="A2354" s="6" t="s">
        <v>3705</v>
      </c>
      <c r="B2354">
        <v>72265227</v>
      </c>
      <c r="C2354">
        <v>1</v>
      </c>
      <c r="D2354" t="str">
        <f t="shared" si="81"/>
        <v>01</v>
      </c>
      <c r="E2354" t="str">
        <f>VLOOKUP(B2354,'HOGARES-ENDLINE'!$A:$B,2,FALSE)</f>
        <v>00031076</v>
      </c>
      <c r="F2354" s="6" t="str">
        <f t="shared" si="82"/>
        <v>0003107601</v>
      </c>
    </row>
    <row r="2355" spans="1:6" x14ac:dyDescent="0.3">
      <c r="A2355" s="6" t="s">
        <v>3704</v>
      </c>
      <c r="B2355">
        <v>72265227</v>
      </c>
      <c r="C2355">
        <v>4</v>
      </c>
      <c r="D2355" t="str">
        <f t="shared" si="81"/>
        <v>04</v>
      </c>
      <c r="E2355" t="str">
        <f>VLOOKUP(B2355,'HOGARES-ENDLINE'!$A:$B,2,FALSE)</f>
        <v>00031076</v>
      </c>
      <c r="F2355" s="6" t="str">
        <f t="shared" si="82"/>
        <v>0003107604</v>
      </c>
    </row>
    <row r="2356" spans="1:6" x14ac:dyDescent="0.3">
      <c r="A2356" s="6" t="s">
        <v>3702</v>
      </c>
      <c r="B2356">
        <v>72265227</v>
      </c>
      <c r="C2356">
        <v>2</v>
      </c>
      <c r="D2356" t="str">
        <f t="shared" si="81"/>
        <v>02</v>
      </c>
      <c r="E2356" t="str">
        <f>VLOOKUP(B2356,'HOGARES-ENDLINE'!$A:$B,2,FALSE)</f>
        <v>00031076</v>
      </c>
      <c r="F2356" s="6" t="str">
        <f t="shared" si="82"/>
        <v>0003107602</v>
      </c>
    </row>
    <row r="2357" spans="1:6" x14ac:dyDescent="0.3">
      <c r="A2357" s="6" t="s">
        <v>3709</v>
      </c>
      <c r="B2357">
        <v>72298484</v>
      </c>
      <c r="C2357">
        <v>1</v>
      </c>
      <c r="D2357" t="str">
        <f t="shared" si="81"/>
        <v>01</v>
      </c>
      <c r="E2357" t="str">
        <f>VLOOKUP(B2357,'HOGARES-ENDLINE'!$A:$B,2,FALSE)</f>
        <v>01031077</v>
      </c>
      <c r="F2357" s="6" t="str">
        <f t="shared" si="82"/>
        <v>0103107701</v>
      </c>
    </row>
    <row r="2358" spans="1:6" x14ac:dyDescent="0.3">
      <c r="A2358" s="6" t="s">
        <v>3715</v>
      </c>
      <c r="B2358">
        <v>73153652</v>
      </c>
      <c r="C2358">
        <v>3</v>
      </c>
      <c r="D2358" t="str">
        <f t="shared" si="81"/>
        <v>03</v>
      </c>
      <c r="E2358" t="str">
        <f>VLOOKUP(B2358,'HOGARES-ENDLINE'!$A:$B,2,FALSE)</f>
        <v>00031079</v>
      </c>
      <c r="F2358" s="6" t="str">
        <f t="shared" si="82"/>
        <v>0003107903</v>
      </c>
    </row>
    <row r="2359" spans="1:6" x14ac:dyDescent="0.3">
      <c r="A2359" s="6" t="s">
        <v>3714</v>
      </c>
      <c r="B2359">
        <v>73153652</v>
      </c>
      <c r="C2359">
        <v>2</v>
      </c>
      <c r="D2359" t="str">
        <f t="shared" si="81"/>
        <v>02</v>
      </c>
      <c r="E2359" t="str">
        <f>VLOOKUP(B2359,'HOGARES-ENDLINE'!$A:$B,2,FALSE)</f>
        <v>00031079</v>
      </c>
      <c r="F2359" s="6" t="str">
        <f t="shared" si="82"/>
        <v>0003107902</v>
      </c>
    </row>
    <row r="2360" spans="1:6" x14ac:dyDescent="0.3">
      <c r="A2360" s="6" t="s">
        <v>3716</v>
      </c>
      <c r="B2360">
        <v>73153652</v>
      </c>
      <c r="C2360">
        <v>1</v>
      </c>
      <c r="D2360" t="str">
        <f t="shared" si="81"/>
        <v>01</v>
      </c>
      <c r="E2360" t="str">
        <f>VLOOKUP(B2360,'HOGARES-ENDLINE'!$A:$B,2,FALSE)</f>
        <v>00031079</v>
      </c>
      <c r="F2360" s="6" t="str">
        <f t="shared" si="82"/>
        <v>0003107901</v>
      </c>
    </row>
    <row r="2361" spans="1:6" x14ac:dyDescent="0.3">
      <c r="A2361" s="6" t="s">
        <v>3767</v>
      </c>
      <c r="B2361">
        <v>76047511</v>
      </c>
      <c r="C2361">
        <v>1</v>
      </c>
      <c r="D2361" t="str">
        <f t="shared" si="81"/>
        <v>01</v>
      </c>
      <c r="E2361" t="str">
        <f>VLOOKUP(B2361,'HOGARES-ENDLINE'!$A:$B,2,FALSE)</f>
        <v>01021095</v>
      </c>
      <c r="F2361" s="6" t="str">
        <f t="shared" si="82"/>
        <v>0102109501</v>
      </c>
    </row>
    <row r="2362" spans="1:6" x14ac:dyDescent="0.3">
      <c r="A2362" s="6" t="s">
        <v>3772</v>
      </c>
      <c r="B2362">
        <v>76268499</v>
      </c>
      <c r="C2362">
        <v>5</v>
      </c>
      <c r="D2362" t="str">
        <f t="shared" si="81"/>
        <v>05</v>
      </c>
      <c r="E2362" t="str">
        <f>VLOOKUP(B2362,'HOGARES-ENDLINE'!$A:$B,2,FALSE)</f>
        <v>00021097</v>
      </c>
      <c r="F2362" s="6" t="str">
        <f t="shared" si="82"/>
        <v>0002109705</v>
      </c>
    </row>
    <row r="2363" spans="1:6" x14ac:dyDescent="0.3">
      <c r="A2363" s="6" t="s">
        <v>3771</v>
      </c>
      <c r="B2363">
        <v>76268499</v>
      </c>
      <c r="C2363">
        <v>1</v>
      </c>
      <c r="D2363" t="str">
        <f t="shared" si="81"/>
        <v>01</v>
      </c>
      <c r="E2363" t="str">
        <f>VLOOKUP(B2363,'HOGARES-ENDLINE'!$A:$B,2,FALSE)</f>
        <v>00021097</v>
      </c>
      <c r="F2363" s="6" t="str">
        <f t="shared" si="82"/>
        <v>0002109701</v>
      </c>
    </row>
    <row r="2364" spans="1:6" x14ac:dyDescent="0.3">
      <c r="A2364" s="6" t="s">
        <v>3774</v>
      </c>
      <c r="B2364">
        <v>76268499</v>
      </c>
      <c r="C2364">
        <v>4</v>
      </c>
      <c r="D2364" t="str">
        <f t="shared" ref="D2364:D2427" si="83">_xlfn.CONCAT(0,C2364)</f>
        <v>04</v>
      </c>
      <c r="E2364" t="str">
        <f>VLOOKUP(B2364,'HOGARES-ENDLINE'!$A:$B,2,FALSE)</f>
        <v>00021097</v>
      </c>
      <c r="F2364" s="6" t="str">
        <f t="shared" si="82"/>
        <v>0002109704</v>
      </c>
    </row>
    <row r="2365" spans="1:6" x14ac:dyDescent="0.3">
      <c r="A2365" s="6" t="s">
        <v>3773</v>
      </c>
      <c r="B2365">
        <v>76268499</v>
      </c>
      <c r="C2365">
        <v>2</v>
      </c>
      <c r="D2365" t="str">
        <f t="shared" si="83"/>
        <v>02</v>
      </c>
      <c r="E2365" t="str">
        <f>VLOOKUP(B2365,'HOGARES-ENDLINE'!$A:$B,2,FALSE)</f>
        <v>00021097</v>
      </c>
      <c r="F2365" s="6" t="str">
        <f t="shared" si="82"/>
        <v>0002109702</v>
      </c>
    </row>
    <row r="2366" spans="1:6" x14ac:dyDescent="0.3">
      <c r="A2366" s="6" t="s">
        <v>3775</v>
      </c>
      <c r="B2366">
        <v>76268499</v>
      </c>
      <c r="C2366">
        <v>3</v>
      </c>
      <c r="D2366" t="str">
        <f t="shared" si="83"/>
        <v>03</v>
      </c>
      <c r="E2366" t="str">
        <f>VLOOKUP(B2366,'HOGARES-ENDLINE'!$A:$B,2,FALSE)</f>
        <v>00021097</v>
      </c>
      <c r="F2366" s="6" t="str">
        <f t="shared" si="82"/>
        <v>0002109703</v>
      </c>
    </row>
    <row r="2367" spans="1:6" x14ac:dyDescent="0.3">
      <c r="A2367" s="6" t="s">
        <v>3777</v>
      </c>
      <c r="B2367">
        <v>76290401</v>
      </c>
      <c r="C2367">
        <v>1</v>
      </c>
      <c r="D2367" t="str">
        <f t="shared" si="83"/>
        <v>01</v>
      </c>
      <c r="E2367" t="str">
        <f>VLOOKUP(B2367,'HOGARES-ENDLINE'!$A:$B,2,FALSE)</f>
        <v>00021098</v>
      </c>
      <c r="F2367" s="6" t="str">
        <f t="shared" si="82"/>
        <v>0002109801</v>
      </c>
    </row>
    <row r="2368" spans="1:6" x14ac:dyDescent="0.3">
      <c r="A2368" s="6" t="s">
        <v>3776</v>
      </c>
      <c r="B2368">
        <v>76290401</v>
      </c>
      <c r="C2368">
        <v>2</v>
      </c>
      <c r="D2368" t="str">
        <f t="shared" si="83"/>
        <v>02</v>
      </c>
      <c r="E2368" t="str">
        <f>VLOOKUP(B2368,'HOGARES-ENDLINE'!$A:$B,2,FALSE)</f>
        <v>00021098</v>
      </c>
      <c r="F2368" s="6" t="str">
        <f t="shared" si="82"/>
        <v>0002109802</v>
      </c>
    </row>
    <row r="2369" spans="1:6" x14ac:dyDescent="0.3">
      <c r="A2369" s="6" t="s">
        <v>3780</v>
      </c>
      <c r="B2369">
        <v>76324402</v>
      </c>
      <c r="C2369">
        <v>4</v>
      </c>
      <c r="D2369" t="str">
        <f t="shared" si="83"/>
        <v>04</v>
      </c>
      <c r="E2369" t="str">
        <f>VLOOKUP(B2369,'HOGARES-ENDLINE'!$A:$B,2,FALSE)</f>
        <v>01021099</v>
      </c>
      <c r="F2369" s="6" t="str">
        <f t="shared" si="82"/>
        <v>0102109904</v>
      </c>
    </row>
    <row r="2370" spans="1:6" x14ac:dyDescent="0.3">
      <c r="A2370" s="6" t="s">
        <v>3778</v>
      </c>
      <c r="B2370">
        <v>76324402</v>
      </c>
      <c r="C2370">
        <v>2</v>
      </c>
      <c r="D2370" t="str">
        <f t="shared" si="83"/>
        <v>02</v>
      </c>
      <c r="E2370" t="str">
        <f>VLOOKUP(B2370,'HOGARES-ENDLINE'!$A:$B,2,FALSE)</f>
        <v>01021099</v>
      </c>
      <c r="F2370" s="6" t="str">
        <f t="shared" si="82"/>
        <v>0102109902</v>
      </c>
    </row>
    <row r="2371" spans="1:6" x14ac:dyDescent="0.3">
      <c r="A2371" s="6" t="s">
        <v>3781</v>
      </c>
      <c r="B2371">
        <v>76324402</v>
      </c>
      <c r="C2371">
        <v>3</v>
      </c>
      <c r="D2371" t="str">
        <f t="shared" si="83"/>
        <v>03</v>
      </c>
      <c r="E2371" t="str">
        <f>VLOOKUP(B2371,'HOGARES-ENDLINE'!$A:$B,2,FALSE)</f>
        <v>01021099</v>
      </c>
      <c r="F2371" s="6" t="str">
        <f t="shared" ref="F2371:F2434" si="84">_xlfn.CONCAT(E2371,D2371)</f>
        <v>0102109903</v>
      </c>
    </row>
    <row r="2372" spans="1:6" x14ac:dyDescent="0.3">
      <c r="A2372" s="6" t="s">
        <v>3779</v>
      </c>
      <c r="B2372">
        <v>76324402</v>
      </c>
      <c r="C2372">
        <v>1</v>
      </c>
      <c r="D2372" t="str">
        <f t="shared" si="83"/>
        <v>01</v>
      </c>
      <c r="E2372" t="str">
        <f>VLOOKUP(B2372,'HOGARES-ENDLINE'!$A:$B,2,FALSE)</f>
        <v>01021099</v>
      </c>
      <c r="F2372" s="6" t="str">
        <f t="shared" si="84"/>
        <v>0102109901</v>
      </c>
    </row>
    <row r="2373" spans="1:6" x14ac:dyDescent="0.3">
      <c r="A2373" s="6" t="s">
        <v>3784</v>
      </c>
      <c r="B2373">
        <v>76336138</v>
      </c>
      <c r="C2373">
        <v>1</v>
      </c>
      <c r="D2373" t="str">
        <f t="shared" si="83"/>
        <v>01</v>
      </c>
      <c r="E2373" t="str">
        <f>VLOOKUP(B2373,'HOGARES-ENDLINE'!$A:$B,2,FALSE)</f>
        <v>01021100</v>
      </c>
      <c r="F2373" s="6" t="str">
        <f t="shared" si="84"/>
        <v>0102110001</v>
      </c>
    </row>
    <row r="2374" spans="1:6" x14ac:dyDescent="0.3">
      <c r="A2374" s="6" t="s">
        <v>3786</v>
      </c>
      <c r="B2374">
        <v>76337278</v>
      </c>
      <c r="C2374">
        <v>1</v>
      </c>
      <c r="D2374" t="str">
        <f t="shared" si="83"/>
        <v>01</v>
      </c>
      <c r="E2374" t="str">
        <f>VLOOKUP(B2374,'HOGARES-ENDLINE'!$A:$B,2,FALSE)</f>
        <v>00021101</v>
      </c>
      <c r="F2374" s="6" t="str">
        <f t="shared" si="84"/>
        <v>0002110101</v>
      </c>
    </row>
    <row r="2375" spans="1:6" x14ac:dyDescent="0.3">
      <c r="A2375" s="6" t="s">
        <v>3790</v>
      </c>
      <c r="B2375">
        <v>77020562</v>
      </c>
      <c r="C2375">
        <v>2</v>
      </c>
      <c r="D2375" t="str">
        <f t="shared" si="83"/>
        <v>02</v>
      </c>
      <c r="E2375" t="str">
        <f>VLOOKUP(B2375,'HOGARES-ENDLINE'!$A:$B,2,FALSE)</f>
        <v>00031102</v>
      </c>
      <c r="F2375" s="6" t="str">
        <f t="shared" si="84"/>
        <v>0003110202</v>
      </c>
    </row>
    <row r="2376" spans="1:6" x14ac:dyDescent="0.3">
      <c r="A2376" s="6" t="s">
        <v>3787</v>
      </c>
      <c r="B2376">
        <v>77020562</v>
      </c>
      <c r="C2376">
        <v>5</v>
      </c>
      <c r="D2376" t="str">
        <f t="shared" si="83"/>
        <v>05</v>
      </c>
      <c r="E2376" t="str">
        <f>VLOOKUP(B2376,'HOGARES-ENDLINE'!$A:$B,2,FALSE)</f>
        <v>00031102</v>
      </c>
      <c r="F2376" s="6" t="str">
        <f t="shared" si="84"/>
        <v>0003110205</v>
      </c>
    </row>
    <row r="2377" spans="1:6" x14ac:dyDescent="0.3">
      <c r="A2377" s="6" t="s">
        <v>3791</v>
      </c>
      <c r="B2377">
        <v>77020562</v>
      </c>
      <c r="C2377">
        <v>3</v>
      </c>
      <c r="D2377" t="str">
        <f t="shared" si="83"/>
        <v>03</v>
      </c>
      <c r="E2377" t="str">
        <f>VLOOKUP(B2377,'HOGARES-ENDLINE'!$A:$B,2,FALSE)</f>
        <v>00031102</v>
      </c>
      <c r="F2377" s="6" t="str">
        <f t="shared" si="84"/>
        <v>0003110203</v>
      </c>
    </row>
    <row r="2378" spans="1:6" x14ac:dyDescent="0.3">
      <c r="A2378" s="6" t="s">
        <v>3788</v>
      </c>
      <c r="B2378">
        <v>77020562</v>
      </c>
      <c r="C2378">
        <v>1</v>
      </c>
      <c r="D2378" t="str">
        <f t="shared" si="83"/>
        <v>01</v>
      </c>
      <c r="E2378" t="str">
        <f>VLOOKUP(B2378,'HOGARES-ENDLINE'!$A:$B,2,FALSE)</f>
        <v>00031102</v>
      </c>
      <c r="F2378" s="6" t="str">
        <f t="shared" si="84"/>
        <v>0003110201</v>
      </c>
    </row>
    <row r="2379" spans="1:6" x14ac:dyDescent="0.3">
      <c r="A2379" s="6" t="s">
        <v>3860</v>
      </c>
      <c r="B2379">
        <v>87085002</v>
      </c>
      <c r="C2379">
        <v>2</v>
      </c>
      <c r="D2379" t="str">
        <f t="shared" si="83"/>
        <v>02</v>
      </c>
      <c r="E2379" t="str">
        <f>VLOOKUP(B2379,'HOGARES-ENDLINE'!$A:$B,2,FALSE)</f>
        <v>00021125</v>
      </c>
      <c r="F2379" s="6" t="str">
        <f t="shared" si="84"/>
        <v>0002112502</v>
      </c>
    </row>
    <row r="2380" spans="1:6" x14ac:dyDescent="0.3">
      <c r="A2380" s="6" t="s">
        <v>3859</v>
      </c>
      <c r="B2380">
        <v>87085002</v>
      </c>
      <c r="C2380">
        <v>1</v>
      </c>
      <c r="D2380" t="str">
        <f t="shared" si="83"/>
        <v>01</v>
      </c>
      <c r="E2380" t="str">
        <f>VLOOKUP(B2380,'HOGARES-ENDLINE'!$A:$B,2,FALSE)</f>
        <v>00021125</v>
      </c>
      <c r="F2380" s="6" t="str">
        <f t="shared" si="84"/>
        <v>0002112501</v>
      </c>
    </row>
    <row r="2381" spans="1:6" x14ac:dyDescent="0.3">
      <c r="A2381" s="6" t="s">
        <v>3872</v>
      </c>
      <c r="B2381">
        <v>87430106</v>
      </c>
      <c r="C2381">
        <v>1</v>
      </c>
      <c r="D2381" t="str">
        <f t="shared" si="83"/>
        <v>01</v>
      </c>
      <c r="E2381" t="str">
        <f>VLOOKUP(B2381,'HOGARES-ENDLINE'!$A:$B,2,FALSE)</f>
        <v>01021133</v>
      </c>
      <c r="F2381" s="6" t="str">
        <f t="shared" si="84"/>
        <v>0102113301</v>
      </c>
    </row>
    <row r="2382" spans="1:6" x14ac:dyDescent="0.3">
      <c r="A2382" s="6" t="s">
        <v>3898</v>
      </c>
      <c r="B2382">
        <v>94061999</v>
      </c>
      <c r="C2382">
        <v>2</v>
      </c>
      <c r="D2382" t="str">
        <f t="shared" si="83"/>
        <v>02</v>
      </c>
      <c r="E2382" t="str">
        <f>VLOOKUP(B2382,'HOGARES-ENDLINE'!$A:$B,2,FALSE)</f>
        <v>00021143</v>
      </c>
      <c r="F2382" s="6" t="str">
        <f t="shared" si="84"/>
        <v>0002114302</v>
      </c>
    </row>
    <row r="2383" spans="1:6" x14ac:dyDescent="0.3">
      <c r="A2383" s="6" t="s">
        <v>3899</v>
      </c>
      <c r="B2383">
        <v>94061999</v>
      </c>
      <c r="C2383">
        <v>1</v>
      </c>
      <c r="D2383" t="str">
        <f t="shared" si="83"/>
        <v>01</v>
      </c>
      <c r="E2383" t="str">
        <f>VLOOKUP(B2383,'HOGARES-ENDLINE'!$A:$B,2,FALSE)</f>
        <v>00021143</v>
      </c>
      <c r="F2383" s="6" t="str">
        <f t="shared" si="84"/>
        <v>0002114301</v>
      </c>
    </row>
    <row r="2384" spans="1:6" x14ac:dyDescent="0.3">
      <c r="A2384" s="6" t="s">
        <v>3900</v>
      </c>
      <c r="B2384">
        <v>94063123</v>
      </c>
      <c r="C2384">
        <v>1</v>
      </c>
      <c r="D2384" t="str">
        <f t="shared" si="83"/>
        <v>01</v>
      </c>
      <c r="E2384" t="str">
        <f>VLOOKUP(B2384,'HOGARES-ENDLINE'!$A:$B,2,FALSE)</f>
        <v>00021144</v>
      </c>
      <c r="F2384" s="6" t="str">
        <f t="shared" si="84"/>
        <v>0002114401</v>
      </c>
    </row>
    <row r="2385" spans="1:6" x14ac:dyDescent="0.3">
      <c r="A2385" s="6" t="s">
        <v>3903</v>
      </c>
      <c r="B2385">
        <v>94191300</v>
      </c>
      <c r="C2385">
        <v>2</v>
      </c>
      <c r="D2385" t="str">
        <f t="shared" si="83"/>
        <v>02</v>
      </c>
      <c r="E2385" t="str">
        <f>VLOOKUP(B2385,'HOGARES-ENDLINE'!$A:$B,2,FALSE)</f>
        <v>00021145</v>
      </c>
      <c r="F2385" s="6" t="str">
        <f t="shared" si="84"/>
        <v>0002114502</v>
      </c>
    </row>
    <row r="2386" spans="1:6" x14ac:dyDescent="0.3">
      <c r="A2386" s="6" t="s">
        <v>3902</v>
      </c>
      <c r="B2386">
        <v>94191300</v>
      </c>
      <c r="C2386">
        <v>1</v>
      </c>
      <c r="D2386" t="str">
        <f t="shared" si="83"/>
        <v>01</v>
      </c>
      <c r="E2386" t="str">
        <f>VLOOKUP(B2386,'HOGARES-ENDLINE'!$A:$B,2,FALSE)</f>
        <v>00021145</v>
      </c>
      <c r="F2386" s="6" t="str">
        <f t="shared" si="84"/>
        <v>0002114501</v>
      </c>
    </row>
    <row r="2387" spans="1:6" x14ac:dyDescent="0.3">
      <c r="A2387" s="6" t="s">
        <v>3901</v>
      </c>
      <c r="B2387">
        <v>94191300</v>
      </c>
      <c r="C2387">
        <v>3</v>
      </c>
      <c r="D2387" t="str">
        <f t="shared" si="83"/>
        <v>03</v>
      </c>
      <c r="E2387" t="str">
        <f>VLOOKUP(B2387,'HOGARES-ENDLINE'!$A:$B,2,FALSE)</f>
        <v>00021145</v>
      </c>
      <c r="F2387" s="6" t="str">
        <f t="shared" si="84"/>
        <v>0002114503</v>
      </c>
    </row>
    <row r="2388" spans="1:6" x14ac:dyDescent="0.3">
      <c r="A2388" s="6" t="s">
        <v>3905</v>
      </c>
      <c r="B2388">
        <v>94225090</v>
      </c>
      <c r="C2388">
        <v>1</v>
      </c>
      <c r="D2388" t="str">
        <f t="shared" si="83"/>
        <v>01</v>
      </c>
      <c r="E2388" t="str">
        <f>VLOOKUP(B2388,'HOGARES-ENDLINE'!$A:$B,2,FALSE)</f>
        <v>01021146</v>
      </c>
      <c r="F2388" s="6" t="str">
        <f t="shared" si="84"/>
        <v>0102114601</v>
      </c>
    </row>
    <row r="2389" spans="1:6" x14ac:dyDescent="0.3">
      <c r="A2389" s="6" t="s">
        <v>3907</v>
      </c>
      <c r="B2389">
        <v>94374533</v>
      </c>
      <c r="C2389">
        <v>1</v>
      </c>
      <c r="D2389" t="str">
        <f t="shared" si="83"/>
        <v>01</v>
      </c>
      <c r="E2389" t="str">
        <f>VLOOKUP(B2389,'HOGARES-ENDLINE'!$A:$B,2,FALSE)</f>
        <v>00021147</v>
      </c>
      <c r="F2389" s="6" t="str">
        <f t="shared" si="84"/>
        <v>0002114701</v>
      </c>
    </row>
    <row r="2390" spans="1:6" x14ac:dyDescent="0.3">
      <c r="A2390" s="6" t="s">
        <v>3908</v>
      </c>
      <c r="B2390">
        <v>94402421</v>
      </c>
      <c r="C2390">
        <v>1</v>
      </c>
      <c r="D2390" t="str">
        <f t="shared" si="83"/>
        <v>01</v>
      </c>
      <c r="E2390" t="str">
        <f>VLOOKUP(B2390,'HOGARES-ENDLINE'!$A:$B,2,FALSE)</f>
        <v>00021148</v>
      </c>
      <c r="F2390" s="6" t="str">
        <f t="shared" si="84"/>
        <v>0002114801</v>
      </c>
    </row>
    <row r="2391" spans="1:6" x14ac:dyDescent="0.3">
      <c r="A2391" s="6" t="s">
        <v>3909</v>
      </c>
      <c r="B2391">
        <v>94403143</v>
      </c>
      <c r="C2391">
        <v>1</v>
      </c>
      <c r="D2391" t="str">
        <f t="shared" si="83"/>
        <v>01</v>
      </c>
      <c r="E2391" t="str">
        <f>VLOOKUP(B2391,'HOGARES-ENDLINE'!$A:$B,2,FALSE)</f>
        <v>00021149</v>
      </c>
      <c r="F2391" s="6" t="str">
        <f t="shared" si="84"/>
        <v>0002114901</v>
      </c>
    </row>
    <row r="2392" spans="1:6" x14ac:dyDescent="0.3">
      <c r="A2392" s="6" t="s">
        <v>3911</v>
      </c>
      <c r="B2392">
        <v>94427227</v>
      </c>
      <c r="C2392">
        <v>5</v>
      </c>
      <c r="D2392" t="str">
        <f t="shared" si="83"/>
        <v>05</v>
      </c>
      <c r="E2392" t="str">
        <f>VLOOKUP(B2392,'HOGARES-ENDLINE'!$A:$B,2,FALSE)</f>
        <v>00021150</v>
      </c>
      <c r="F2392" s="6" t="str">
        <f t="shared" si="84"/>
        <v>0002115005</v>
      </c>
    </row>
    <row r="2393" spans="1:6" x14ac:dyDescent="0.3">
      <c r="A2393" s="6" t="s">
        <v>3915</v>
      </c>
      <c r="B2393">
        <v>94427227</v>
      </c>
      <c r="C2393">
        <v>3</v>
      </c>
      <c r="D2393" t="str">
        <f t="shared" si="83"/>
        <v>03</v>
      </c>
      <c r="E2393" t="str">
        <f>VLOOKUP(B2393,'HOGARES-ENDLINE'!$A:$B,2,FALSE)</f>
        <v>00021150</v>
      </c>
      <c r="F2393" s="6" t="str">
        <f t="shared" si="84"/>
        <v>0002115003</v>
      </c>
    </row>
    <row r="2394" spans="1:6" x14ac:dyDescent="0.3">
      <c r="A2394" s="6" t="s">
        <v>3912</v>
      </c>
      <c r="B2394">
        <v>94427227</v>
      </c>
      <c r="C2394">
        <v>4</v>
      </c>
      <c r="D2394" t="str">
        <f t="shared" si="83"/>
        <v>04</v>
      </c>
      <c r="E2394" t="str">
        <f>VLOOKUP(B2394,'HOGARES-ENDLINE'!$A:$B,2,FALSE)</f>
        <v>00021150</v>
      </c>
      <c r="F2394" s="6" t="str">
        <f t="shared" si="84"/>
        <v>0002115004</v>
      </c>
    </row>
    <row r="2395" spans="1:6" x14ac:dyDescent="0.3">
      <c r="A2395" s="6" t="s">
        <v>3913</v>
      </c>
      <c r="B2395">
        <v>94427227</v>
      </c>
      <c r="C2395">
        <v>2</v>
      </c>
      <c r="D2395" t="str">
        <f t="shared" si="83"/>
        <v>02</v>
      </c>
      <c r="E2395" t="str">
        <f>VLOOKUP(B2395,'HOGARES-ENDLINE'!$A:$B,2,FALSE)</f>
        <v>00021150</v>
      </c>
      <c r="F2395" s="6" t="str">
        <f t="shared" si="84"/>
        <v>0002115002</v>
      </c>
    </row>
    <row r="2396" spans="1:6" x14ac:dyDescent="0.3">
      <c r="A2396" s="6" t="s">
        <v>3914</v>
      </c>
      <c r="B2396">
        <v>94427227</v>
      </c>
      <c r="C2396">
        <v>1</v>
      </c>
      <c r="D2396" t="str">
        <f t="shared" si="83"/>
        <v>01</v>
      </c>
      <c r="E2396" t="str">
        <f>VLOOKUP(B2396,'HOGARES-ENDLINE'!$A:$B,2,FALSE)</f>
        <v>00021150</v>
      </c>
      <c r="F2396" s="6" t="str">
        <f t="shared" si="84"/>
        <v>0002115001</v>
      </c>
    </row>
    <row r="2397" spans="1:6" x14ac:dyDescent="0.3">
      <c r="A2397" s="6" t="s">
        <v>3918</v>
      </c>
      <c r="B2397">
        <v>94459917</v>
      </c>
      <c r="C2397">
        <v>3</v>
      </c>
      <c r="D2397" t="str">
        <f t="shared" si="83"/>
        <v>03</v>
      </c>
      <c r="E2397" t="str">
        <f>VLOOKUP(B2397,'HOGARES-ENDLINE'!$A:$B,2,FALSE)</f>
        <v>01021151</v>
      </c>
      <c r="F2397" s="6" t="str">
        <f t="shared" si="84"/>
        <v>0102115103</v>
      </c>
    </row>
    <row r="2398" spans="1:6" x14ac:dyDescent="0.3">
      <c r="A2398" s="6" t="s">
        <v>3920</v>
      </c>
      <c r="B2398">
        <v>94494784</v>
      </c>
      <c r="C2398">
        <v>1</v>
      </c>
      <c r="D2398" t="str">
        <f t="shared" si="83"/>
        <v>01</v>
      </c>
      <c r="E2398" t="str">
        <f>VLOOKUP(B2398,'HOGARES-ENDLINE'!$A:$B,2,FALSE)</f>
        <v>01021152</v>
      </c>
      <c r="F2398" s="6" t="str">
        <f t="shared" si="84"/>
        <v>0102115201</v>
      </c>
    </row>
    <row r="2399" spans="1:6" x14ac:dyDescent="0.3">
      <c r="A2399" s="6" t="s">
        <v>3921</v>
      </c>
      <c r="B2399">
        <v>94501681</v>
      </c>
      <c r="C2399">
        <v>1</v>
      </c>
      <c r="D2399" t="str">
        <f t="shared" si="83"/>
        <v>01</v>
      </c>
      <c r="E2399" t="str">
        <f>VLOOKUP(B2399,'HOGARES-ENDLINE'!$A:$B,2,FALSE)</f>
        <v>00021153</v>
      </c>
      <c r="F2399" s="6" t="str">
        <f t="shared" si="84"/>
        <v>0002115301</v>
      </c>
    </row>
    <row r="2400" spans="1:6" x14ac:dyDescent="0.3">
      <c r="A2400" s="6" t="s">
        <v>3924</v>
      </c>
      <c r="B2400">
        <v>94513261</v>
      </c>
      <c r="C2400">
        <v>1</v>
      </c>
      <c r="D2400" t="str">
        <f t="shared" si="83"/>
        <v>01</v>
      </c>
      <c r="E2400" t="str">
        <f>VLOOKUP(B2400,'HOGARES-ENDLINE'!$A:$B,2,FALSE)</f>
        <v>01021155</v>
      </c>
      <c r="F2400" s="6" t="str">
        <f t="shared" si="84"/>
        <v>0102115501</v>
      </c>
    </row>
    <row r="2401" spans="1:6" x14ac:dyDescent="0.3">
      <c r="A2401" s="6" t="s">
        <v>3927</v>
      </c>
      <c r="B2401">
        <v>94528503</v>
      </c>
      <c r="C2401">
        <v>2</v>
      </c>
      <c r="D2401" t="str">
        <f t="shared" si="83"/>
        <v>02</v>
      </c>
      <c r="E2401" t="str">
        <f>VLOOKUP(B2401,'HOGARES-ENDLINE'!$A:$B,2,FALSE)</f>
        <v>00021156</v>
      </c>
      <c r="F2401" s="6" t="str">
        <f t="shared" si="84"/>
        <v>0002115602</v>
      </c>
    </row>
    <row r="2402" spans="1:6" x14ac:dyDescent="0.3">
      <c r="A2402" s="6" t="s">
        <v>3926</v>
      </c>
      <c r="B2402">
        <v>94528503</v>
      </c>
      <c r="C2402">
        <v>3</v>
      </c>
      <c r="D2402" t="str">
        <f t="shared" si="83"/>
        <v>03</v>
      </c>
      <c r="E2402" t="str">
        <f>VLOOKUP(B2402,'HOGARES-ENDLINE'!$A:$B,2,FALSE)</f>
        <v>00021156</v>
      </c>
      <c r="F2402" s="6" t="str">
        <f t="shared" si="84"/>
        <v>0002115603</v>
      </c>
    </row>
    <row r="2403" spans="1:6" x14ac:dyDescent="0.3">
      <c r="A2403" s="6" t="s">
        <v>3925</v>
      </c>
      <c r="B2403">
        <v>94528503</v>
      </c>
      <c r="C2403">
        <v>1</v>
      </c>
      <c r="D2403" t="str">
        <f t="shared" si="83"/>
        <v>01</v>
      </c>
      <c r="E2403" t="str">
        <f>VLOOKUP(B2403,'HOGARES-ENDLINE'!$A:$B,2,FALSE)</f>
        <v>00021156</v>
      </c>
      <c r="F2403" s="6" t="str">
        <f t="shared" si="84"/>
        <v>0002115601</v>
      </c>
    </row>
    <row r="2404" spans="1:6" x14ac:dyDescent="0.3">
      <c r="A2404" s="6" t="s">
        <v>3928</v>
      </c>
      <c r="B2404">
        <v>94534343</v>
      </c>
      <c r="C2404">
        <v>1</v>
      </c>
      <c r="D2404" t="str">
        <f t="shared" si="83"/>
        <v>01</v>
      </c>
      <c r="E2404" t="str">
        <f>VLOOKUP(B2404,'HOGARES-ENDLINE'!$A:$B,2,FALSE)</f>
        <v>00021157</v>
      </c>
      <c r="F2404" s="6" t="str">
        <f t="shared" si="84"/>
        <v>0002115701</v>
      </c>
    </row>
    <row r="2405" spans="1:6" x14ac:dyDescent="0.3">
      <c r="A2405" s="6" t="s">
        <v>3929</v>
      </c>
      <c r="B2405">
        <v>94534343</v>
      </c>
      <c r="C2405">
        <v>2</v>
      </c>
      <c r="D2405" t="str">
        <f t="shared" si="83"/>
        <v>02</v>
      </c>
      <c r="E2405" t="str">
        <f>VLOOKUP(B2405,'HOGARES-ENDLINE'!$A:$B,2,FALSE)</f>
        <v>00021157</v>
      </c>
      <c r="F2405" s="6" t="str">
        <f t="shared" si="84"/>
        <v>0002115702</v>
      </c>
    </row>
    <row r="2406" spans="1:6" x14ac:dyDescent="0.3">
      <c r="A2406" s="6" t="s">
        <v>3934</v>
      </c>
      <c r="B2406">
        <v>94537823</v>
      </c>
      <c r="C2406">
        <v>3</v>
      </c>
      <c r="D2406" t="str">
        <f t="shared" si="83"/>
        <v>03</v>
      </c>
      <c r="E2406" t="str">
        <f>VLOOKUP(B2406,'HOGARES-ENDLINE'!$A:$B,2,FALSE)</f>
        <v>00021158</v>
      </c>
      <c r="F2406" s="6" t="str">
        <f t="shared" si="84"/>
        <v>0002115803</v>
      </c>
    </row>
    <row r="2407" spans="1:6" x14ac:dyDescent="0.3">
      <c r="A2407" s="6" t="s">
        <v>3931</v>
      </c>
      <c r="B2407">
        <v>94537823</v>
      </c>
      <c r="C2407">
        <v>1</v>
      </c>
      <c r="D2407" t="str">
        <f t="shared" si="83"/>
        <v>01</v>
      </c>
      <c r="E2407" t="str">
        <f>VLOOKUP(B2407,'HOGARES-ENDLINE'!$A:$B,2,FALSE)</f>
        <v>00021158</v>
      </c>
      <c r="F2407" s="6" t="str">
        <f t="shared" si="84"/>
        <v>0002115801</v>
      </c>
    </row>
    <row r="2408" spans="1:6" x14ac:dyDescent="0.3">
      <c r="A2408" s="6" t="s">
        <v>3933</v>
      </c>
      <c r="B2408">
        <v>94537823</v>
      </c>
      <c r="C2408">
        <v>5</v>
      </c>
      <c r="D2408" t="str">
        <f t="shared" si="83"/>
        <v>05</v>
      </c>
      <c r="E2408" t="str">
        <f>VLOOKUP(B2408,'HOGARES-ENDLINE'!$A:$B,2,FALSE)</f>
        <v>00021158</v>
      </c>
      <c r="F2408" s="6" t="str">
        <f t="shared" si="84"/>
        <v>0002115805</v>
      </c>
    </row>
    <row r="2409" spans="1:6" x14ac:dyDescent="0.3">
      <c r="A2409" s="6" t="s">
        <v>3932</v>
      </c>
      <c r="B2409">
        <v>94537823</v>
      </c>
      <c r="C2409">
        <v>2</v>
      </c>
      <c r="D2409" t="str">
        <f t="shared" si="83"/>
        <v>02</v>
      </c>
      <c r="E2409" t="str">
        <f>VLOOKUP(B2409,'HOGARES-ENDLINE'!$A:$B,2,FALSE)</f>
        <v>00021158</v>
      </c>
      <c r="F2409" s="6" t="str">
        <f t="shared" si="84"/>
        <v>0002115802</v>
      </c>
    </row>
    <row r="2410" spans="1:6" x14ac:dyDescent="0.3">
      <c r="A2410" s="6" t="s">
        <v>3930</v>
      </c>
      <c r="B2410">
        <v>94537823</v>
      </c>
      <c r="C2410">
        <v>4</v>
      </c>
      <c r="D2410" t="str">
        <f t="shared" si="83"/>
        <v>04</v>
      </c>
      <c r="E2410" t="str">
        <f>VLOOKUP(B2410,'HOGARES-ENDLINE'!$A:$B,2,FALSE)</f>
        <v>00021158</v>
      </c>
      <c r="F2410" s="6" t="str">
        <f t="shared" si="84"/>
        <v>0002115804</v>
      </c>
    </row>
    <row r="2411" spans="1:6" x14ac:dyDescent="0.3">
      <c r="A2411" s="6" t="s">
        <v>3936</v>
      </c>
      <c r="B2411">
        <v>94540935</v>
      </c>
      <c r="C2411">
        <v>2</v>
      </c>
      <c r="D2411" t="str">
        <f t="shared" si="83"/>
        <v>02</v>
      </c>
      <c r="E2411" t="str">
        <f>VLOOKUP(B2411,'HOGARES-ENDLINE'!$A:$B,2,FALSE)</f>
        <v>01021159</v>
      </c>
      <c r="F2411" s="6" t="str">
        <f t="shared" si="84"/>
        <v>0102115902</v>
      </c>
    </row>
    <row r="2412" spans="1:6" x14ac:dyDescent="0.3">
      <c r="A2412" s="6" t="s">
        <v>3935</v>
      </c>
      <c r="B2412">
        <v>94540935</v>
      </c>
      <c r="C2412">
        <v>1</v>
      </c>
      <c r="D2412" t="str">
        <f t="shared" si="83"/>
        <v>01</v>
      </c>
      <c r="E2412" t="str">
        <f>VLOOKUP(B2412,'HOGARES-ENDLINE'!$A:$B,2,FALSE)</f>
        <v>01021159</v>
      </c>
      <c r="F2412" s="6" t="str">
        <f t="shared" si="84"/>
        <v>0102115901</v>
      </c>
    </row>
    <row r="2413" spans="1:6" x14ac:dyDescent="0.3">
      <c r="A2413" s="6" t="s">
        <v>3944</v>
      </c>
      <c r="B2413">
        <v>98638636</v>
      </c>
      <c r="C2413">
        <v>1</v>
      </c>
      <c r="D2413" t="str">
        <f t="shared" si="83"/>
        <v>01</v>
      </c>
      <c r="E2413" t="str">
        <f>VLOOKUP(B2413,'HOGARES-ENDLINE'!$A:$B,2,FALSE)</f>
        <v>01011162</v>
      </c>
      <c r="F2413" s="6" t="str">
        <f t="shared" si="84"/>
        <v>0101116201</v>
      </c>
    </row>
    <row r="2414" spans="1:6" x14ac:dyDescent="0.3">
      <c r="A2414" s="6" t="s">
        <v>3945</v>
      </c>
      <c r="B2414">
        <v>98657538</v>
      </c>
      <c r="C2414">
        <v>1</v>
      </c>
      <c r="D2414" t="str">
        <f t="shared" si="83"/>
        <v>01</v>
      </c>
      <c r="E2414" t="str">
        <f>VLOOKUP(B2414,'HOGARES-ENDLINE'!$A:$B,2,FALSE)</f>
        <v>00011163</v>
      </c>
      <c r="F2414" s="6" t="str">
        <f t="shared" si="84"/>
        <v>0001116301</v>
      </c>
    </row>
    <row r="2415" spans="1:6" x14ac:dyDescent="0.3">
      <c r="A2415" s="6" t="s">
        <v>86</v>
      </c>
      <c r="B2415">
        <v>100306195</v>
      </c>
      <c r="C2415">
        <v>3</v>
      </c>
      <c r="D2415" t="str">
        <f t="shared" si="83"/>
        <v>03</v>
      </c>
      <c r="E2415" t="str">
        <f>VLOOKUP(B2415,'HOGARES-ENDLINE'!$A:$B,2,FALSE)</f>
        <v>00010021</v>
      </c>
      <c r="F2415" s="6" t="str">
        <f t="shared" si="84"/>
        <v>0001002103</v>
      </c>
    </row>
    <row r="2416" spans="1:6" x14ac:dyDescent="0.3">
      <c r="A2416" s="6" t="s">
        <v>85</v>
      </c>
      <c r="B2416">
        <v>100306195</v>
      </c>
      <c r="C2416">
        <v>1</v>
      </c>
      <c r="D2416" t="str">
        <f t="shared" si="83"/>
        <v>01</v>
      </c>
      <c r="E2416" t="str">
        <f>VLOOKUP(B2416,'HOGARES-ENDLINE'!$A:$B,2,FALSE)</f>
        <v>00010021</v>
      </c>
      <c r="F2416" s="6" t="str">
        <f t="shared" si="84"/>
        <v>0001002101</v>
      </c>
    </row>
    <row r="2417" spans="1:6" x14ac:dyDescent="0.3">
      <c r="A2417" s="6" t="s">
        <v>84</v>
      </c>
      <c r="B2417">
        <v>100306195</v>
      </c>
      <c r="C2417">
        <v>2</v>
      </c>
      <c r="D2417" t="str">
        <f t="shared" si="83"/>
        <v>02</v>
      </c>
      <c r="E2417" t="str">
        <f>VLOOKUP(B2417,'HOGARES-ENDLINE'!$A:$B,2,FALSE)</f>
        <v>00010021</v>
      </c>
      <c r="F2417" s="6" t="str">
        <f t="shared" si="84"/>
        <v>0001002102</v>
      </c>
    </row>
    <row r="2418" spans="1:6" x14ac:dyDescent="0.3">
      <c r="A2418" s="6" t="s">
        <v>5199</v>
      </c>
      <c r="B2418">
        <v>100306195</v>
      </c>
      <c r="C2418">
        <v>5</v>
      </c>
      <c r="D2418" t="str">
        <f t="shared" si="83"/>
        <v>05</v>
      </c>
      <c r="E2418" t="str">
        <f>VLOOKUP(B2418,'HOGARES-ENDLINE'!$A:$B,2,FALSE)</f>
        <v>00010021</v>
      </c>
      <c r="F2418" s="6" t="str">
        <f t="shared" si="84"/>
        <v>0001002105</v>
      </c>
    </row>
    <row r="2419" spans="1:6" x14ac:dyDescent="0.3">
      <c r="A2419" s="6" t="s">
        <v>83</v>
      </c>
      <c r="B2419">
        <v>100306195</v>
      </c>
      <c r="C2419">
        <v>4</v>
      </c>
      <c r="D2419" t="str">
        <f t="shared" si="83"/>
        <v>04</v>
      </c>
      <c r="E2419" t="str">
        <f>VLOOKUP(B2419,'HOGARES-ENDLINE'!$A:$B,2,FALSE)</f>
        <v>00010021</v>
      </c>
      <c r="F2419" s="6" t="str">
        <f t="shared" si="84"/>
        <v>0001002104</v>
      </c>
    </row>
    <row r="2420" spans="1:6" x14ac:dyDescent="0.3">
      <c r="A2420" s="6" t="s">
        <v>2044</v>
      </c>
      <c r="B2420">
        <v>325743367</v>
      </c>
      <c r="C2420">
        <v>1</v>
      </c>
      <c r="D2420" t="str">
        <f t="shared" si="83"/>
        <v>01</v>
      </c>
      <c r="E2420" t="str">
        <f>VLOOKUP(B2420,'HOGARES-ENDLINE'!$A:$B,2,FALSE)</f>
        <v>00010611</v>
      </c>
      <c r="F2420" s="6" t="str">
        <f t="shared" si="84"/>
        <v>0001061101</v>
      </c>
    </row>
    <row r="2421" spans="1:6" x14ac:dyDescent="0.3">
      <c r="A2421" s="6" t="s">
        <v>2045</v>
      </c>
      <c r="B2421">
        <v>325743367</v>
      </c>
      <c r="C2421">
        <v>2</v>
      </c>
      <c r="D2421" t="str">
        <f t="shared" si="83"/>
        <v>02</v>
      </c>
      <c r="E2421" t="str">
        <f>VLOOKUP(B2421,'HOGARES-ENDLINE'!$A:$B,2,FALSE)</f>
        <v>00010611</v>
      </c>
      <c r="F2421" s="6" t="str">
        <f t="shared" si="84"/>
        <v>0001061102</v>
      </c>
    </row>
    <row r="2422" spans="1:6" x14ac:dyDescent="0.3">
      <c r="A2422" s="6" t="s">
        <v>2043</v>
      </c>
      <c r="B2422">
        <v>325743367</v>
      </c>
      <c r="C2422">
        <v>3</v>
      </c>
      <c r="D2422" t="str">
        <f t="shared" si="83"/>
        <v>03</v>
      </c>
      <c r="E2422" t="str">
        <f>VLOOKUP(B2422,'HOGARES-ENDLINE'!$A:$B,2,FALSE)</f>
        <v>00010611</v>
      </c>
      <c r="F2422" s="6" t="str">
        <f t="shared" si="84"/>
        <v>0001061103</v>
      </c>
    </row>
    <row r="2423" spans="1:6" x14ac:dyDescent="0.3">
      <c r="A2423" s="6" t="s">
        <v>2</v>
      </c>
      <c r="B2423">
        <v>1000193972</v>
      </c>
      <c r="C2423">
        <v>1</v>
      </c>
      <c r="D2423" t="str">
        <f t="shared" si="83"/>
        <v>01</v>
      </c>
      <c r="E2423" t="str">
        <f>VLOOKUP(B2423,'HOGARES-ENDLINE'!$A:$B,2,FALSE)</f>
        <v>00010001</v>
      </c>
      <c r="F2423" s="6" t="str">
        <f t="shared" si="84"/>
        <v>0001000101</v>
      </c>
    </row>
    <row r="2424" spans="1:6" x14ac:dyDescent="0.3">
      <c r="A2424" s="6" t="s">
        <v>3</v>
      </c>
      <c r="B2424">
        <v>1000292440</v>
      </c>
      <c r="C2424">
        <v>2</v>
      </c>
      <c r="D2424" t="str">
        <f t="shared" si="83"/>
        <v>02</v>
      </c>
      <c r="E2424" t="str">
        <f>VLOOKUP(B2424,'HOGARES-ENDLINE'!$A:$B,2,FALSE)</f>
        <v>00010002</v>
      </c>
      <c r="F2424" s="6" t="str">
        <f t="shared" si="84"/>
        <v>0001000202</v>
      </c>
    </row>
    <row r="2425" spans="1:6" x14ac:dyDescent="0.3">
      <c r="A2425" s="6" t="s">
        <v>5</v>
      </c>
      <c r="B2425">
        <v>1000292440</v>
      </c>
      <c r="C2425">
        <v>1</v>
      </c>
      <c r="D2425" t="str">
        <f t="shared" si="83"/>
        <v>01</v>
      </c>
      <c r="E2425" t="str">
        <f>VLOOKUP(B2425,'HOGARES-ENDLINE'!$A:$B,2,FALSE)</f>
        <v>00010002</v>
      </c>
      <c r="F2425" s="6" t="str">
        <f t="shared" si="84"/>
        <v>0001000201</v>
      </c>
    </row>
    <row r="2426" spans="1:6" x14ac:dyDescent="0.3">
      <c r="A2426" s="6" t="s">
        <v>4</v>
      </c>
      <c r="B2426">
        <v>1000292440</v>
      </c>
      <c r="C2426">
        <v>3</v>
      </c>
      <c r="D2426" t="str">
        <f t="shared" si="83"/>
        <v>03</v>
      </c>
      <c r="E2426" t="str">
        <f>VLOOKUP(B2426,'HOGARES-ENDLINE'!$A:$B,2,FALSE)</f>
        <v>00010002</v>
      </c>
      <c r="F2426" s="6" t="str">
        <f t="shared" si="84"/>
        <v>0001000203</v>
      </c>
    </row>
    <row r="2427" spans="1:6" x14ac:dyDescent="0.3">
      <c r="A2427" s="6" t="s">
        <v>6</v>
      </c>
      <c r="B2427">
        <v>1000438461</v>
      </c>
      <c r="C2427">
        <v>3</v>
      </c>
      <c r="D2427" t="str">
        <f t="shared" si="83"/>
        <v>03</v>
      </c>
      <c r="E2427" t="str">
        <f>VLOOKUP(B2427,'HOGARES-ENDLINE'!$A:$B,2,FALSE)</f>
        <v>00010003</v>
      </c>
      <c r="F2427" s="6" t="str">
        <f t="shared" si="84"/>
        <v>0001000303</v>
      </c>
    </row>
    <row r="2428" spans="1:6" x14ac:dyDescent="0.3">
      <c r="A2428" s="6" t="s">
        <v>9</v>
      </c>
      <c r="B2428">
        <v>1000438461</v>
      </c>
      <c r="C2428">
        <v>4</v>
      </c>
      <c r="D2428" t="str">
        <f t="shared" ref="D2428:D2431" si="85">_xlfn.CONCAT(0,C2428)</f>
        <v>04</v>
      </c>
      <c r="E2428" t="str">
        <f>VLOOKUP(B2428,'HOGARES-ENDLINE'!$A:$B,2,FALSE)</f>
        <v>00010003</v>
      </c>
      <c r="F2428" s="6" t="str">
        <f t="shared" si="84"/>
        <v>0001000304</v>
      </c>
    </row>
    <row r="2429" spans="1:6" x14ac:dyDescent="0.3">
      <c r="A2429" s="6" t="s">
        <v>7</v>
      </c>
      <c r="B2429">
        <v>1000438461</v>
      </c>
      <c r="C2429">
        <v>5</v>
      </c>
      <c r="D2429" t="str">
        <f t="shared" si="85"/>
        <v>05</v>
      </c>
      <c r="E2429" t="str">
        <f>VLOOKUP(B2429,'HOGARES-ENDLINE'!$A:$B,2,FALSE)</f>
        <v>00010003</v>
      </c>
      <c r="F2429" s="6" t="str">
        <f t="shared" si="84"/>
        <v>0001000305</v>
      </c>
    </row>
    <row r="2430" spans="1:6" x14ac:dyDescent="0.3">
      <c r="A2430" s="6" t="s">
        <v>8</v>
      </c>
      <c r="B2430">
        <v>1000438461</v>
      </c>
      <c r="C2430">
        <v>1</v>
      </c>
      <c r="D2430" t="str">
        <f t="shared" si="85"/>
        <v>01</v>
      </c>
      <c r="E2430" t="str">
        <f>VLOOKUP(B2430,'HOGARES-ENDLINE'!$A:$B,2,FALSE)</f>
        <v>00010003</v>
      </c>
      <c r="F2430" s="6" t="str">
        <f t="shared" si="84"/>
        <v>0001000301</v>
      </c>
    </row>
    <row r="2431" spans="1:6" x14ac:dyDescent="0.3">
      <c r="A2431" s="6" t="s">
        <v>10</v>
      </c>
      <c r="B2431">
        <v>1000438461</v>
      </c>
      <c r="C2431">
        <v>2</v>
      </c>
      <c r="D2431" t="str">
        <f t="shared" si="85"/>
        <v>02</v>
      </c>
      <c r="E2431" t="str">
        <f>VLOOKUP(B2431,'HOGARES-ENDLINE'!$A:$B,2,FALSE)</f>
        <v>00010003</v>
      </c>
      <c r="F2431" s="6" t="str">
        <f t="shared" si="84"/>
        <v>0001000302</v>
      </c>
    </row>
    <row r="2432" spans="1:6" x14ac:dyDescent="0.3">
      <c r="A2432" s="6" t="s">
        <v>14</v>
      </c>
      <c r="B2432">
        <v>1000536137</v>
      </c>
      <c r="C2432">
        <v>13</v>
      </c>
      <c r="D2432">
        <f>C2432</f>
        <v>13</v>
      </c>
      <c r="E2432" t="str">
        <f>VLOOKUP(B2432,'HOGARES-ENDLINE'!$A:$B,2,FALSE)</f>
        <v>01010004</v>
      </c>
      <c r="F2432" s="6" t="str">
        <f t="shared" si="84"/>
        <v>0101000413</v>
      </c>
    </row>
    <row r="2433" spans="1:6" x14ac:dyDescent="0.3">
      <c r="A2433" s="6" t="s">
        <v>11</v>
      </c>
      <c r="B2433">
        <v>1000536137</v>
      </c>
      <c r="C2433">
        <v>4</v>
      </c>
      <c r="D2433" t="str">
        <f>_xlfn.CONCAT(0,C2433)</f>
        <v>04</v>
      </c>
      <c r="E2433" t="str">
        <f>VLOOKUP(B2433,'HOGARES-ENDLINE'!$A:$B,2,FALSE)</f>
        <v>01010004</v>
      </c>
      <c r="F2433" s="6" t="str">
        <f t="shared" si="84"/>
        <v>0101000404</v>
      </c>
    </row>
    <row r="2434" spans="1:6" x14ac:dyDescent="0.3">
      <c r="A2434" s="6" t="s">
        <v>12</v>
      </c>
      <c r="B2434">
        <v>1000536137</v>
      </c>
      <c r="C2434">
        <v>10</v>
      </c>
      <c r="D2434">
        <f>C2434</f>
        <v>10</v>
      </c>
      <c r="E2434" t="str">
        <f>VLOOKUP(B2434,'HOGARES-ENDLINE'!$A:$B,2,FALSE)</f>
        <v>01010004</v>
      </c>
      <c r="F2434" s="6" t="str">
        <f t="shared" si="84"/>
        <v>0101000410</v>
      </c>
    </row>
    <row r="2435" spans="1:6" x14ac:dyDescent="0.3">
      <c r="A2435" s="6" t="s">
        <v>20</v>
      </c>
      <c r="B2435">
        <v>1000536137</v>
      </c>
      <c r="C2435">
        <v>3</v>
      </c>
      <c r="D2435" t="str">
        <f>_xlfn.CONCAT(0,C2435)</f>
        <v>03</v>
      </c>
      <c r="E2435" t="str">
        <f>VLOOKUP(B2435,'HOGARES-ENDLINE'!$A:$B,2,FALSE)</f>
        <v>01010004</v>
      </c>
      <c r="F2435" s="6" t="str">
        <f t="shared" ref="F2435:F2498" si="86">_xlfn.CONCAT(E2435,D2435)</f>
        <v>0101000403</v>
      </c>
    </row>
    <row r="2436" spans="1:6" x14ac:dyDescent="0.3">
      <c r="A2436" s="6" t="s">
        <v>22</v>
      </c>
      <c r="B2436">
        <v>1000536137</v>
      </c>
      <c r="C2436">
        <v>11</v>
      </c>
      <c r="D2436">
        <f>C2436</f>
        <v>11</v>
      </c>
      <c r="E2436" t="str">
        <f>VLOOKUP(B2436,'HOGARES-ENDLINE'!$A:$B,2,FALSE)</f>
        <v>01010004</v>
      </c>
      <c r="F2436" s="6" t="str">
        <f t="shared" si="86"/>
        <v>0101000411</v>
      </c>
    </row>
    <row r="2437" spans="1:6" x14ac:dyDescent="0.3">
      <c r="A2437" s="6" t="s">
        <v>21</v>
      </c>
      <c r="B2437">
        <v>1000536137</v>
      </c>
      <c r="C2437">
        <v>6</v>
      </c>
      <c r="D2437" t="str">
        <f t="shared" ref="D2437:D2439" si="87">_xlfn.CONCAT(0,C2437)</f>
        <v>06</v>
      </c>
      <c r="E2437" t="str">
        <f>VLOOKUP(B2437,'HOGARES-ENDLINE'!$A:$B,2,FALSE)</f>
        <v>01010004</v>
      </c>
      <c r="F2437" s="6" t="str">
        <f t="shared" si="86"/>
        <v>0101000406</v>
      </c>
    </row>
    <row r="2438" spans="1:6" x14ac:dyDescent="0.3">
      <c r="A2438" s="6" t="s">
        <v>17</v>
      </c>
      <c r="B2438">
        <v>1000536137</v>
      </c>
      <c r="C2438">
        <v>7</v>
      </c>
      <c r="D2438" t="str">
        <f t="shared" si="87"/>
        <v>07</v>
      </c>
      <c r="E2438" t="str">
        <f>VLOOKUP(B2438,'HOGARES-ENDLINE'!$A:$B,2,FALSE)</f>
        <v>01010004</v>
      </c>
      <c r="F2438" s="6" t="str">
        <f t="shared" si="86"/>
        <v>0101000407</v>
      </c>
    </row>
    <row r="2439" spans="1:6" x14ac:dyDescent="0.3">
      <c r="A2439" s="6" t="s">
        <v>23</v>
      </c>
      <c r="B2439">
        <v>1000536137</v>
      </c>
      <c r="C2439">
        <v>9</v>
      </c>
      <c r="D2439" t="str">
        <f t="shared" si="87"/>
        <v>09</v>
      </c>
      <c r="E2439" t="str">
        <f>VLOOKUP(B2439,'HOGARES-ENDLINE'!$A:$B,2,FALSE)</f>
        <v>01010004</v>
      </c>
      <c r="F2439" s="6" t="str">
        <f t="shared" si="86"/>
        <v>0101000409</v>
      </c>
    </row>
    <row r="2440" spans="1:6" x14ac:dyDescent="0.3">
      <c r="A2440" s="6" t="s">
        <v>13</v>
      </c>
      <c r="B2440">
        <v>1000536137</v>
      </c>
      <c r="C2440">
        <v>12</v>
      </c>
      <c r="D2440">
        <f>C2440</f>
        <v>12</v>
      </c>
      <c r="E2440" t="str">
        <f>VLOOKUP(B2440,'HOGARES-ENDLINE'!$A:$B,2,FALSE)</f>
        <v>01010004</v>
      </c>
      <c r="F2440" s="6" t="str">
        <f t="shared" si="86"/>
        <v>0101000412</v>
      </c>
    </row>
    <row r="2441" spans="1:6" x14ac:dyDescent="0.3">
      <c r="A2441" s="6" t="s">
        <v>16</v>
      </c>
      <c r="B2441">
        <v>1000536137</v>
      </c>
      <c r="C2441">
        <v>8</v>
      </c>
      <c r="D2441" t="str">
        <f t="shared" ref="D2441:D2504" si="88">_xlfn.CONCAT(0,C2441)</f>
        <v>08</v>
      </c>
      <c r="E2441" t="str">
        <f>VLOOKUP(B2441,'HOGARES-ENDLINE'!$A:$B,2,FALSE)</f>
        <v>01010004</v>
      </c>
      <c r="F2441" s="6" t="str">
        <f t="shared" si="86"/>
        <v>0101000408</v>
      </c>
    </row>
    <row r="2442" spans="1:6" x14ac:dyDescent="0.3">
      <c r="A2442" s="6" t="s">
        <v>19</v>
      </c>
      <c r="B2442">
        <v>1000536137</v>
      </c>
      <c r="C2442">
        <v>2</v>
      </c>
      <c r="D2442" t="str">
        <f t="shared" si="88"/>
        <v>02</v>
      </c>
      <c r="E2442" t="str">
        <f>VLOOKUP(B2442,'HOGARES-ENDLINE'!$A:$B,2,FALSE)</f>
        <v>01010004</v>
      </c>
      <c r="F2442" s="6" t="str">
        <f t="shared" si="86"/>
        <v>0101000402</v>
      </c>
    </row>
    <row r="2443" spans="1:6" x14ac:dyDescent="0.3">
      <c r="A2443" s="6" t="s">
        <v>18</v>
      </c>
      <c r="B2443">
        <v>1000536137</v>
      </c>
      <c r="C2443">
        <v>1</v>
      </c>
      <c r="D2443" t="str">
        <f t="shared" si="88"/>
        <v>01</v>
      </c>
      <c r="E2443" t="str">
        <f>VLOOKUP(B2443,'HOGARES-ENDLINE'!$A:$B,2,FALSE)</f>
        <v>01010004</v>
      </c>
      <c r="F2443" s="6" t="str">
        <f t="shared" si="86"/>
        <v>0101000401</v>
      </c>
    </row>
    <row r="2444" spans="1:6" x14ac:dyDescent="0.3">
      <c r="A2444" s="6" t="s">
        <v>15</v>
      </c>
      <c r="B2444">
        <v>1000536137</v>
      </c>
      <c r="C2444">
        <v>5</v>
      </c>
      <c r="D2444" t="str">
        <f t="shared" si="88"/>
        <v>05</v>
      </c>
      <c r="E2444" t="str">
        <f>VLOOKUP(B2444,'HOGARES-ENDLINE'!$A:$B,2,FALSE)</f>
        <v>01010004</v>
      </c>
      <c r="F2444" s="6" t="str">
        <f t="shared" si="86"/>
        <v>0101000405</v>
      </c>
    </row>
    <row r="2445" spans="1:6" x14ac:dyDescent="0.3">
      <c r="A2445" s="6" t="s">
        <v>27</v>
      </c>
      <c r="B2445">
        <v>1000538215</v>
      </c>
      <c r="C2445">
        <v>1</v>
      </c>
      <c r="D2445" t="str">
        <f t="shared" si="88"/>
        <v>01</v>
      </c>
      <c r="E2445" t="str">
        <f>VLOOKUP(B2445,'HOGARES-ENDLINE'!$A:$B,2,FALSE)</f>
        <v>01010005</v>
      </c>
      <c r="F2445" s="6" t="str">
        <f t="shared" si="86"/>
        <v>0101000501</v>
      </c>
    </row>
    <row r="2446" spans="1:6" x14ac:dyDescent="0.3">
      <c r="A2446" s="6" t="s">
        <v>28</v>
      </c>
      <c r="B2446">
        <v>1000638664</v>
      </c>
      <c r="C2446">
        <v>1</v>
      </c>
      <c r="D2446" t="str">
        <f t="shared" si="88"/>
        <v>01</v>
      </c>
      <c r="E2446" t="str">
        <f>VLOOKUP(B2446,'HOGARES-ENDLINE'!$A:$B,2,FALSE)</f>
        <v>01010006</v>
      </c>
      <c r="F2446" s="6" t="str">
        <f t="shared" si="86"/>
        <v>0101000601</v>
      </c>
    </row>
    <row r="2447" spans="1:6" x14ac:dyDescent="0.3">
      <c r="A2447" s="6" t="s">
        <v>32</v>
      </c>
      <c r="B2447">
        <v>1000643548</v>
      </c>
      <c r="C2447">
        <v>1</v>
      </c>
      <c r="D2447" t="str">
        <f t="shared" si="88"/>
        <v>01</v>
      </c>
      <c r="E2447" t="str">
        <f>VLOOKUP(B2447,'HOGARES-ENDLINE'!$A:$B,2,FALSE)</f>
        <v>01010007</v>
      </c>
      <c r="F2447" s="6" t="str">
        <f t="shared" si="86"/>
        <v>0101000701</v>
      </c>
    </row>
    <row r="2448" spans="1:6" x14ac:dyDescent="0.3">
      <c r="A2448" s="6" t="s">
        <v>35</v>
      </c>
      <c r="B2448">
        <v>1000871711</v>
      </c>
      <c r="C2448">
        <v>3</v>
      </c>
      <c r="D2448" t="str">
        <f t="shared" si="88"/>
        <v>03</v>
      </c>
      <c r="E2448" t="str">
        <f>VLOOKUP(B2448,'HOGARES-ENDLINE'!$A:$B,2,FALSE)</f>
        <v>01010008</v>
      </c>
      <c r="F2448" s="6" t="str">
        <f t="shared" si="86"/>
        <v>0101000803</v>
      </c>
    </row>
    <row r="2449" spans="1:6" x14ac:dyDescent="0.3">
      <c r="A2449" s="6" t="s">
        <v>33</v>
      </c>
      <c r="B2449">
        <v>1000871711</v>
      </c>
      <c r="C2449">
        <v>2</v>
      </c>
      <c r="D2449" t="str">
        <f t="shared" si="88"/>
        <v>02</v>
      </c>
      <c r="E2449" t="str">
        <f>VLOOKUP(B2449,'HOGARES-ENDLINE'!$A:$B,2,FALSE)</f>
        <v>01010008</v>
      </c>
      <c r="F2449" s="6" t="str">
        <f t="shared" si="86"/>
        <v>0101000802</v>
      </c>
    </row>
    <row r="2450" spans="1:6" x14ac:dyDescent="0.3">
      <c r="A2450" s="6" t="s">
        <v>34</v>
      </c>
      <c r="B2450">
        <v>1000871711</v>
      </c>
      <c r="C2450">
        <v>1</v>
      </c>
      <c r="D2450" t="str">
        <f t="shared" si="88"/>
        <v>01</v>
      </c>
      <c r="E2450" t="str">
        <f>VLOOKUP(B2450,'HOGARES-ENDLINE'!$A:$B,2,FALSE)</f>
        <v>01010008</v>
      </c>
      <c r="F2450" s="6" t="str">
        <f t="shared" si="86"/>
        <v>0101000801</v>
      </c>
    </row>
    <row r="2451" spans="1:6" x14ac:dyDescent="0.3">
      <c r="A2451" s="6" t="s">
        <v>38</v>
      </c>
      <c r="B2451">
        <v>1001033236</v>
      </c>
      <c r="C2451">
        <v>2</v>
      </c>
      <c r="D2451" t="str">
        <f t="shared" si="88"/>
        <v>02</v>
      </c>
      <c r="E2451" t="str">
        <f>VLOOKUP(B2451,'HOGARES-ENDLINE'!$A:$B,2,FALSE)</f>
        <v>00010009</v>
      </c>
      <c r="F2451" s="6" t="str">
        <f t="shared" si="86"/>
        <v>0001000902</v>
      </c>
    </row>
    <row r="2452" spans="1:6" x14ac:dyDescent="0.3">
      <c r="A2452" s="6" t="s">
        <v>36</v>
      </c>
      <c r="B2452">
        <v>1001033236</v>
      </c>
      <c r="C2452">
        <v>3</v>
      </c>
      <c r="D2452" t="str">
        <f t="shared" si="88"/>
        <v>03</v>
      </c>
      <c r="E2452" t="str">
        <f>VLOOKUP(B2452,'HOGARES-ENDLINE'!$A:$B,2,FALSE)</f>
        <v>00010009</v>
      </c>
      <c r="F2452" s="6" t="str">
        <f t="shared" si="86"/>
        <v>0001000903</v>
      </c>
    </row>
    <row r="2453" spans="1:6" x14ac:dyDescent="0.3">
      <c r="A2453" s="6" t="s">
        <v>37</v>
      </c>
      <c r="B2453">
        <v>1001033236</v>
      </c>
      <c r="C2453">
        <v>1</v>
      </c>
      <c r="D2453" t="str">
        <f t="shared" si="88"/>
        <v>01</v>
      </c>
      <c r="E2453" t="str">
        <f>VLOOKUP(B2453,'HOGARES-ENDLINE'!$A:$B,2,FALSE)</f>
        <v>00010009</v>
      </c>
      <c r="F2453" s="6" t="str">
        <f t="shared" si="86"/>
        <v>0001000901</v>
      </c>
    </row>
    <row r="2454" spans="1:6" x14ac:dyDescent="0.3">
      <c r="A2454" s="6" t="s">
        <v>46</v>
      </c>
      <c r="B2454">
        <v>1001359510</v>
      </c>
      <c r="C2454">
        <v>1</v>
      </c>
      <c r="D2454" t="str">
        <f t="shared" si="88"/>
        <v>01</v>
      </c>
      <c r="E2454" t="str">
        <f>VLOOKUP(B2454,'HOGARES-ENDLINE'!$A:$B,2,FALSE)</f>
        <v>01010012</v>
      </c>
      <c r="F2454" s="6" t="str">
        <f t="shared" si="86"/>
        <v>0101001201</v>
      </c>
    </row>
    <row r="2455" spans="1:6" x14ac:dyDescent="0.3">
      <c r="A2455" s="6" t="s">
        <v>53</v>
      </c>
      <c r="B2455">
        <v>1001851457</v>
      </c>
      <c r="C2455">
        <v>2</v>
      </c>
      <c r="D2455" t="str">
        <f t="shared" si="88"/>
        <v>02</v>
      </c>
      <c r="E2455" t="str">
        <f>VLOOKUP(B2455,'HOGARES-ENDLINE'!$A:$B,2,FALSE)</f>
        <v>01030013</v>
      </c>
      <c r="F2455" s="6" t="str">
        <f t="shared" si="86"/>
        <v>0103001302</v>
      </c>
    </row>
    <row r="2456" spans="1:6" x14ac:dyDescent="0.3">
      <c r="A2456" s="6" t="s">
        <v>50</v>
      </c>
      <c r="B2456">
        <v>1001851457</v>
      </c>
      <c r="C2456">
        <v>6</v>
      </c>
      <c r="D2456" t="str">
        <f t="shared" si="88"/>
        <v>06</v>
      </c>
      <c r="E2456" t="str">
        <f>VLOOKUP(B2456,'HOGARES-ENDLINE'!$A:$B,2,FALSE)</f>
        <v>01030013</v>
      </c>
      <c r="F2456" s="6" t="str">
        <f t="shared" si="86"/>
        <v>0103001306</v>
      </c>
    </row>
    <row r="2457" spans="1:6" x14ac:dyDescent="0.3">
      <c r="A2457" s="6" t="s">
        <v>48</v>
      </c>
      <c r="B2457">
        <v>1001851457</v>
      </c>
      <c r="C2457">
        <v>4</v>
      </c>
      <c r="D2457" t="str">
        <f t="shared" si="88"/>
        <v>04</v>
      </c>
      <c r="E2457" t="str">
        <f>VLOOKUP(B2457,'HOGARES-ENDLINE'!$A:$B,2,FALSE)</f>
        <v>01030013</v>
      </c>
      <c r="F2457" s="6" t="str">
        <f t="shared" si="86"/>
        <v>0103001304</v>
      </c>
    </row>
    <row r="2458" spans="1:6" x14ac:dyDescent="0.3">
      <c r="A2458" s="6" t="s">
        <v>52</v>
      </c>
      <c r="B2458">
        <v>1001851457</v>
      </c>
      <c r="C2458">
        <v>5</v>
      </c>
      <c r="D2458" t="str">
        <f t="shared" si="88"/>
        <v>05</v>
      </c>
      <c r="E2458" t="str">
        <f>VLOOKUP(B2458,'HOGARES-ENDLINE'!$A:$B,2,FALSE)</f>
        <v>01030013</v>
      </c>
      <c r="F2458" s="6" t="str">
        <f t="shared" si="86"/>
        <v>0103001305</v>
      </c>
    </row>
    <row r="2459" spans="1:6" x14ac:dyDescent="0.3">
      <c r="A2459" s="6" t="s">
        <v>49</v>
      </c>
      <c r="B2459">
        <v>1001851457</v>
      </c>
      <c r="C2459">
        <v>1</v>
      </c>
      <c r="D2459" t="str">
        <f t="shared" si="88"/>
        <v>01</v>
      </c>
      <c r="E2459" t="str">
        <f>VLOOKUP(B2459,'HOGARES-ENDLINE'!$A:$B,2,FALSE)</f>
        <v>01030013</v>
      </c>
      <c r="F2459" s="6" t="str">
        <f t="shared" si="86"/>
        <v>0103001301</v>
      </c>
    </row>
    <row r="2460" spans="1:6" x14ac:dyDescent="0.3">
      <c r="A2460" s="6" t="s">
        <v>51</v>
      </c>
      <c r="B2460">
        <v>1001851457</v>
      </c>
      <c r="C2460">
        <v>3</v>
      </c>
      <c r="D2460" t="str">
        <f t="shared" si="88"/>
        <v>03</v>
      </c>
      <c r="E2460" t="str">
        <f>VLOOKUP(B2460,'HOGARES-ENDLINE'!$A:$B,2,FALSE)</f>
        <v>01030013</v>
      </c>
      <c r="F2460" s="6" t="str">
        <f t="shared" si="86"/>
        <v>0103001303</v>
      </c>
    </row>
    <row r="2461" spans="1:6" x14ac:dyDescent="0.3">
      <c r="A2461" s="6" t="s">
        <v>56</v>
      </c>
      <c r="B2461">
        <v>1002022185</v>
      </c>
      <c r="C2461">
        <v>1</v>
      </c>
      <c r="D2461" t="str">
        <f t="shared" si="88"/>
        <v>01</v>
      </c>
      <c r="E2461" t="str">
        <f>VLOOKUP(B2461,'HOGARES-ENDLINE'!$A:$B,2,FALSE)</f>
        <v>00030014</v>
      </c>
      <c r="F2461" s="6" t="str">
        <f t="shared" si="86"/>
        <v>0003001401</v>
      </c>
    </row>
    <row r="2462" spans="1:6" x14ac:dyDescent="0.3">
      <c r="A2462" s="6" t="s">
        <v>55</v>
      </c>
      <c r="B2462">
        <v>1002022185</v>
      </c>
      <c r="C2462">
        <v>5</v>
      </c>
      <c r="D2462" t="str">
        <f t="shared" si="88"/>
        <v>05</v>
      </c>
      <c r="E2462" t="str">
        <f>VLOOKUP(B2462,'HOGARES-ENDLINE'!$A:$B,2,FALSE)</f>
        <v>00030014</v>
      </c>
      <c r="F2462" s="6" t="str">
        <f t="shared" si="86"/>
        <v>0003001405</v>
      </c>
    </row>
    <row r="2463" spans="1:6" x14ac:dyDescent="0.3">
      <c r="A2463" s="6" t="s">
        <v>58</v>
      </c>
      <c r="B2463">
        <v>1002022185</v>
      </c>
      <c r="C2463">
        <v>2</v>
      </c>
      <c r="D2463" t="str">
        <f t="shared" si="88"/>
        <v>02</v>
      </c>
      <c r="E2463" t="str">
        <f>VLOOKUP(B2463,'HOGARES-ENDLINE'!$A:$B,2,FALSE)</f>
        <v>00030014</v>
      </c>
      <c r="F2463" s="6" t="str">
        <f t="shared" si="86"/>
        <v>0003001402</v>
      </c>
    </row>
    <row r="2464" spans="1:6" x14ac:dyDescent="0.3">
      <c r="A2464" s="6" t="s">
        <v>54</v>
      </c>
      <c r="B2464">
        <v>1002022185</v>
      </c>
      <c r="C2464">
        <v>4</v>
      </c>
      <c r="D2464" t="str">
        <f t="shared" si="88"/>
        <v>04</v>
      </c>
      <c r="E2464" t="str">
        <f>VLOOKUP(B2464,'HOGARES-ENDLINE'!$A:$B,2,FALSE)</f>
        <v>00030014</v>
      </c>
      <c r="F2464" s="6" t="str">
        <f t="shared" si="86"/>
        <v>0003001404</v>
      </c>
    </row>
    <row r="2465" spans="1:6" x14ac:dyDescent="0.3">
      <c r="A2465" s="6" t="s">
        <v>61</v>
      </c>
      <c r="B2465">
        <v>1002026183</v>
      </c>
      <c r="C2465">
        <v>2</v>
      </c>
      <c r="D2465" t="str">
        <f t="shared" si="88"/>
        <v>02</v>
      </c>
      <c r="E2465" t="str">
        <f>VLOOKUP(B2465,'HOGARES-ENDLINE'!$A:$B,2,FALSE)</f>
        <v>00030015</v>
      </c>
      <c r="F2465" s="6" t="str">
        <f t="shared" si="86"/>
        <v>0003001502</v>
      </c>
    </row>
    <row r="2466" spans="1:6" x14ac:dyDescent="0.3">
      <c r="A2466" s="6" t="s">
        <v>63</v>
      </c>
      <c r="B2466">
        <v>1002026183</v>
      </c>
      <c r="C2466">
        <v>6</v>
      </c>
      <c r="D2466" t="str">
        <f t="shared" si="88"/>
        <v>06</v>
      </c>
      <c r="E2466" t="str">
        <f>VLOOKUP(B2466,'HOGARES-ENDLINE'!$A:$B,2,FALSE)</f>
        <v>00030015</v>
      </c>
      <c r="F2466" s="6" t="str">
        <f t="shared" si="86"/>
        <v>0003001506</v>
      </c>
    </row>
    <row r="2467" spans="1:6" x14ac:dyDescent="0.3">
      <c r="A2467" s="6" t="s">
        <v>62</v>
      </c>
      <c r="B2467">
        <v>1002026183</v>
      </c>
      <c r="C2467">
        <v>5</v>
      </c>
      <c r="D2467" t="str">
        <f t="shared" si="88"/>
        <v>05</v>
      </c>
      <c r="E2467" t="str">
        <f>VLOOKUP(B2467,'HOGARES-ENDLINE'!$A:$B,2,FALSE)</f>
        <v>00030015</v>
      </c>
      <c r="F2467" s="6" t="str">
        <f t="shared" si="86"/>
        <v>0003001505</v>
      </c>
    </row>
    <row r="2468" spans="1:6" x14ac:dyDescent="0.3">
      <c r="A2468" s="6" t="s">
        <v>59</v>
      </c>
      <c r="B2468">
        <v>1002026183</v>
      </c>
      <c r="C2468">
        <v>3</v>
      </c>
      <c r="D2468" t="str">
        <f t="shared" si="88"/>
        <v>03</v>
      </c>
      <c r="E2468" t="str">
        <f>VLOOKUP(B2468,'HOGARES-ENDLINE'!$A:$B,2,FALSE)</f>
        <v>00030015</v>
      </c>
      <c r="F2468" s="6" t="str">
        <f t="shared" si="86"/>
        <v>0003001503</v>
      </c>
    </row>
    <row r="2469" spans="1:6" x14ac:dyDescent="0.3">
      <c r="A2469" s="6" t="s">
        <v>60</v>
      </c>
      <c r="B2469">
        <v>1002026183</v>
      </c>
      <c r="C2469">
        <v>4</v>
      </c>
      <c r="D2469" t="str">
        <f t="shared" si="88"/>
        <v>04</v>
      </c>
      <c r="E2469" t="str">
        <f>VLOOKUP(B2469,'HOGARES-ENDLINE'!$A:$B,2,FALSE)</f>
        <v>00030015</v>
      </c>
      <c r="F2469" s="6" t="str">
        <f t="shared" si="86"/>
        <v>0003001504</v>
      </c>
    </row>
    <row r="2470" spans="1:6" x14ac:dyDescent="0.3">
      <c r="A2470" s="6" t="s">
        <v>64</v>
      </c>
      <c r="B2470">
        <v>1002026183</v>
      </c>
      <c r="C2470">
        <v>1</v>
      </c>
      <c r="D2470" t="str">
        <f t="shared" si="88"/>
        <v>01</v>
      </c>
      <c r="E2470" t="str">
        <f>VLOOKUP(B2470,'HOGARES-ENDLINE'!$A:$B,2,FALSE)</f>
        <v>00030015</v>
      </c>
      <c r="F2470" s="6" t="str">
        <f t="shared" si="86"/>
        <v>0003001501</v>
      </c>
    </row>
    <row r="2471" spans="1:6" x14ac:dyDescent="0.3">
      <c r="A2471" s="6" t="s">
        <v>68</v>
      </c>
      <c r="B2471">
        <v>1002034065</v>
      </c>
      <c r="C2471">
        <v>4</v>
      </c>
      <c r="D2471" t="str">
        <f t="shared" si="88"/>
        <v>04</v>
      </c>
      <c r="E2471" t="str">
        <f>VLOOKUP(B2471,'HOGARES-ENDLINE'!$A:$B,2,FALSE)</f>
        <v>00030016</v>
      </c>
      <c r="F2471" s="6" t="str">
        <f t="shared" si="86"/>
        <v>0003001604</v>
      </c>
    </row>
    <row r="2472" spans="1:6" x14ac:dyDescent="0.3">
      <c r="A2472" s="6" t="s">
        <v>66</v>
      </c>
      <c r="B2472">
        <v>1002034065</v>
      </c>
      <c r="C2472">
        <v>1</v>
      </c>
      <c r="D2472" t="str">
        <f t="shared" si="88"/>
        <v>01</v>
      </c>
      <c r="E2472" t="str">
        <f>VLOOKUP(B2472,'HOGARES-ENDLINE'!$A:$B,2,FALSE)</f>
        <v>00030016</v>
      </c>
      <c r="F2472" s="6" t="str">
        <f t="shared" si="86"/>
        <v>0003001601</v>
      </c>
    </row>
    <row r="2473" spans="1:6" x14ac:dyDescent="0.3">
      <c r="A2473" s="6" t="s">
        <v>65</v>
      </c>
      <c r="B2473">
        <v>1002034065</v>
      </c>
      <c r="C2473">
        <v>3</v>
      </c>
      <c r="D2473" t="str">
        <f t="shared" si="88"/>
        <v>03</v>
      </c>
      <c r="E2473" t="str">
        <f>VLOOKUP(B2473,'HOGARES-ENDLINE'!$A:$B,2,FALSE)</f>
        <v>00030016</v>
      </c>
      <c r="F2473" s="6" t="str">
        <f t="shared" si="86"/>
        <v>0003001603</v>
      </c>
    </row>
    <row r="2474" spans="1:6" x14ac:dyDescent="0.3">
      <c r="A2474" s="6" t="s">
        <v>67</v>
      </c>
      <c r="B2474">
        <v>1002034065</v>
      </c>
      <c r="C2474">
        <v>2</v>
      </c>
      <c r="D2474" t="str">
        <f t="shared" si="88"/>
        <v>02</v>
      </c>
      <c r="E2474" t="str">
        <f>VLOOKUP(B2474,'HOGARES-ENDLINE'!$A:$B,2,FALSE)</f>
        <v>00030016</v>
      </c>
      <c r="F2474" s="6" t="str">
        <f t="shared" si="86"/>
        <v>0003001602</v>
      </c>
    </row>
    <row r="2475" spans="1:6" x14ac:dyDescent="0.3">
      <c r="A2475" s="6" t="s">
        <v>70</v>
      </c>
      <c r="B2475">
        <v>1002130477</v>
      </c>
      <c r="C2475">
        <v>1</v>
      </c>
      <c r="D2475" t="str">
        <f t="shared" si="88"/>
        <v>01</v>
      </c>
      <c r="E2475" t="str">
        <f>VLOOKUP(B2475,'HOGARES-ENDLINE'!$A:$B,2,FALSE)</f>
        <v>01030017</v>
      </c>
      <c r="F2475" s="6" t="str">
        <f t="shared" si="86"/>
        <v>0103001701</v>
      </c>
    </row>
    <row r="2476" spans="1:6" x14ac:dyDescent="0.3">
      <c r="A2476" s="6" t="s">
        <v>71</v>
      </c>
      <c r="B2476">
        <v>1002130477</v>
      </c>
      <c r="C2476">
        <v>4</v>
      </c>
      <c r="D2476" t="str">
        <f t="shared" si="88"/>
        <v>04</v>
      </c>
      <c r="E2476" t="str">
        <f>VLOOKUP(B2476,'HOGARES-ENDLINE'!$A:$B,2,FALSE)</f>
        <v>01030017</v>
      </c>
      <c r="F2476" s="6" t="str">
        <f t="shared" si="86"/>
        <v>0103001704</v>
      </c>
    </row>
    <row r="2477" spans="1:6" x14ac:dyDescent="0.3">
      <c r="A2477" s="6" t="s">
        <v>72</v>
      </c>
      <c r="B2477">
        <v>1002130477</v>
      </c>
      <c r="C2477">
        <v>3</v>
      </c>
      <c r="D2477" t="str">
        <f t="shared" si="88"/>
        <v>03</v>
      </c>
      <c r="E2477" t="str">
        <f>VLOOKUP(B2477,'HOGARES-ENDLINE'!$A:$B,2,FALSE)</f>
        <v>01030017</v>
      </c>
      <c r="F2477" s="6" t="str">
        <f t="shared" si="86"/>
        <v>0103001703</v>
      </c>
    </row>
    <row r="2478" spans="1:6" x14ac:dyDescent="0.3">
      <c r="A2478" s="6" t="s">
        <v>69</v>
      </c>
      <c r="B2478">
        <v>1002130477</v>
      </c>
      <c r="C2478">
        <v>2</v>
      </c>
      <c r="D2478" t="str">
        <f t="shared" si="88"/>
        <v>02</v>
      </c>
      <c r="E2478" t="str">
        <f>VLOOKUP(B2478,'HOGARES-ENDLINE'!$A:$B,2,FALSE)</f>
        <v>01030017</v>
      </c>
      <c r="F2478" s="6" t="str">
        <f t="shared" si="86"/>
        <v>0103001702</v>
      </c>
    </row>
    <row r="2479" spans="1:6" x14ac:dyDescent="0.3">
      <c r="A2479" s="6" t="s">
        <v>73</v>
      </c>
      <c r="B2479">
        <v>1002155243</v>
      </c>
      <c r="C2479">
        <v>2</v>
      </c>
      <c r="D2479" t="str">
        <f t="shared" si="88"/>
        <v>02</v>
      </c>
      <c r="E2479" t="str">
        <f>VLOOKUP(B2479,'HOGARES-ENDLINE'!$A:$B,2,FALSE)</f>
        <v>01030018</v>
      </c>
      <c r="F2479" s="6" t="str">
        <f t="shared" si="86"/>
        <v>0103001802</v>
      </c>
    </row>
    <row r="2480" spans="1:6" x14ac:dyDescent="0.3">
      <c r="A2480" s="6" t="s">
        <v>74</v>
      </c>
      <c r="B2480">
        <v>1002155243</v>
      </c>
      <c r="C2480">
        <v>1</v>
      </c>
      <c r="D2480" t="str">
        <f t="shared" si="88"/>
        <v>01</v>
      </c>
      <c r="E2480" t="str">
        <f>VLOOKUP(B2480,'HOGARES-ENDLINE'!$A:$B,2,FALSE)</f>
        <v>01030018</v>
      </c>
      <c r="F2480" s="6" t="str">
        <f t="shared" si="86"/>
        <v>0103001801</v>
      </c>
    </row>
    <row r="2481" spans="1:6" x14ac:dyDescent="0.3">
      <c r="A2481" s="6" t="s">
        <v>75</v>
      </c>
      <c r="B2481">
        <v>1002163129</v>
      </c>
      <c r="C2481">
        <v>1</v>
      </c>
      <c r="D2481" t="str">
        <f t="shared" si="88"/>
        <v>01</v>
      </c>
      <c r="E2481" t="str">
        <f>VLOOKUP(B2481,'HOGARES-ENDLINE'!$A:$B,2,FALSE)</f>
        <v>00030019</v>
      </c>
      <c r="F2481" s="6" t="str">
        <f t="shared" si="86"/>
        <v>0003001901</v>
      </c>
    </row>
    <row r="2482" spans="1:6" x14ac:dyDescent="0.3">
      <c r="A2482" s="6" t="s">
        <v>76</v>
      </c>
      <c r="B2482">
        <v>1002793265</v>
      </c>
      <c r="C2482">
        <v>4</v>
      </c>
      <c r="D2482" t="str">
        <f t="shared" si="88"/>
        <v>04</v>
      </c>
      <c r="E2482" t="str">
        <f>VLOOKUP(B2482,'HOGARES-ENDLINE'!$A:$B,2,FALSE)</f>
        <v>01020020</v>
      </c>
      <c r="F2482" s="6" t="str">
        <f t="shared" si="86"/>
        <v>0102002004</v>
      </c>
    </row>
    <row r="2483" spans="1:6" x14ac:dyDescent="0.3">
      <c r="A2483" s="6" t="s">
        <v>77</v>
      </c>
      <c r="B2483">
        <v>1002793265</v>
      </c>
      <c r="C2483">
        <v>6</v>
      </c>
      <c r="D2483" t="str">
        <f t="shared" si="88"/>
        <v>06</v>
      </c>
      <c r="E2483" t="str">
        <f>VLOOKUP(B2483,'HOGARES-ENDLINE'!$A:$B,2,FALSE)</f>
        <v>01020020</v>
      </c>
      <c r="F2483" s="6" t="str">
        <f t="shared" si="86"/>
        <v>0102002006</v>
      </c>
    </row>
    <row r="2484" spans="1:6" x14ac:dyDescent="0.3">
      <c r="A2484" s="6" t="s">
        <v>78</v>
      </c>
      <c r="B2484">
        <v>1002793265</v>
      </c>
      <c r="C2484">
        <v>7</v>
      </c>
      <c r="D2484" t="str">
        <f t="shared" si="88"/>
        <v>07</v>
      </c>
      <c r="E2484" t="str">
        <f>VLOOKUP(B2484,'HOGARES-ENDLINE'!$A:$B,2,FALSE)</f>
        <v>01020020</v>
      </c>
      <c r="F2484" s="6" t="str">
        <f t="shared" si="86"/>
        <v>0102002007</v>
      </c>
    </row>
    <row r="2485" spans="1:6" x14ac:dyDescent="0.3">
      <c r="A2485" s="6" t="s">
        <v>82</v>
      </c>
      <c r="B2485">
        <v>1002793265</v>
      </c>
      <c r="C2485">
        <v>1</v>
      </c>
      <c r="D2485" t="str">
        <f t="shared" si="88"/>
        <v>01</v>
      </c>
      <c r="E2485" t="str">
        <f>VLOOKUP(B2485,'HOGARES-ENDLINE'!$A:$B,2,FALSE)</f>
        <v>01020020</v>
      </c>
      <c r="F2485" s="6" t="str">
        <f t="shared" si="86"/>
        <v>0102002001</v>
      </c>
    </row>
    <row r="2486" spans="1:6" x14ac:dyDescent="0.3">
      <c r="A2486" s="6" t="s">
        <v>81</v>
      </c>
      <c r="B2486">
        <v>1002793265</v>
      </c>
      <c r="C2486">
        <v>5</v>
      </c>
      <c r="D2486" t="str">
        <f t="shared" si="88"/>
        <v>05</v>
      </c>
      <c r="E2486" t="str">
        <f>VLOOKUP(B2486,'HOGARES-ENDLINE'!$A:$B,2,FALSE)</f>
        <v>01020020</v>
      </c>
      <c r="F2486" s="6" t="str">
        <f t="shared" si="86"/>
        <v>0102002005</v>
      </c>
    </row>
    <row r="2487" spans="1:6" x14ac:dyDescent="0.3">
      <c r="A2487" s="6" t="s">
        <v>79</v>
      </c>
      <c r="B2487">
        <v>1002793265</v>
      </c>
      <c r="C2487">
        <v>3</v>
      </c>
      <c r="D2487" t="str">
        <f t="shared" si="88"/>
        <v>03</v>
      </c>
      <c r="E2487" t="str">
        <f>VLOOKUP(B2487,'HOGARES-ENDLINE'!$A:$B,2,FALSE)</f>
        <v>01020020</v>
      </c>
      <c r="F2487" s="6" t="str">
        <f t="shared" si="86"/>
        <v>0102002003</v>
      </c>
    </row>
    <row r="2488" spans="1:6" x14ac:dyDescent="0.3">
      <c r="A2488" s="6" t="s">
        <v>80</v>
      </c>
      <c r="B2488">
        <v>1002793265</v>
      </c>
      <c r="C2488">
        <v>2</v>
      </c>
      <c r="D2488" t="str">
        <f t="shared" si="88"/>
        <v>02</v>
      </c>
      <c r="E2488" t="str">
        <f>VLOOKUP(B2488,'HOGARES-ENDLINE'!$A:$B,2,FALSE)</f>
        <v>01020020</v>
      </c>
      <c r="F2488" s="6" t="str">
        <f t="shared" si="86"/>
        <v>0102002002</v>
      </c>
    </row>
    <row r="2489" spans="1:6" x14ac:dyDescent="0.3">
      <c r="A2489" s="6" t="s">
        <v>89</v>
      </c>
      <c r="B2489">
        <v>1005706694</v>
      </c>
      <c r="C2489">
        <v>3</v>
      </c>
      <c r="D2489" t="str">
        <f t="shared" si="88"/>
        <v>03</v>
      </c>
      <c r="E2489" t="str">
        <f>VLOOKUP(B2489,'HOGARES-ENDLINE'!$A:$B,2,FALSE)</f>
        <v>00020022</v>
      </c>
      <c r="F2489" s="6" t="str">
        <f t="shared" si="86"/>
        <v>0002002203</v>
      </c>
    </row>
    <row r="2490" spans="1:6" x14ac:dyDescent="0.3">
      <c r="A2490" s="6" t="s">
        <v>87</v>
      </c>
      <c r="B2490">
        <v>1005706694</v>
      </c>
      <c r="C2490">
        <v>2</v>
      </c>
      <c r="D2490" t="str">
        <f t="shared" si="88"/>
        <v>02</v>
      </c>
      <c r="E2490" t="str">
        <f>VLOOKUP(B2490,'HOGARES-ENDLINE'!$A:$B,2,FALSE)</f>
        <v>00020022</v>
      </c>
      <c r="F2490" s="6" t="str">
        <f t="shared" si="86"/>
        <v>0002002202</v>
      </c>
    </row>
    <row r="2491" spans="1:6" x14ac:dyDescent="0.3">
      <c r="A2491" s="6" t="s">
        <v>88</v>
      </c>
      <c r="B2491">
        <v>1005706694</v>
      </c>
      <c r="C2491">
        <v>4</v>
      </c>
      <c r="D2491" t="str">
        <f t="shared" si="88"/>
        <v>04</v>
      </c>
      <c r="E2491" t="str">
        <f>VLOOKUP(B2491,'HOGARES-ENDLINE'!$A:$B,2,FALSE)</f>
        <v>00020022</v>
      </c>
      <c r="F2491" s="6" t="str">
        <f t="shared" si="86"/>
        <v>0002002204</v>
      </c>
    </row>
    <row r="2492" spans="1:6" x14ac:dyDescent="0.3">
      <c r="A2492" s="6" t="s">
        <v>90</v>
      </c>
      <c r="B2492">
        <v>1005706694</v>
      </c>
      <c r="C2492">
        <v>1</v>
      </c>
      <c r="D2492" t="str">
        <f t="shared" si="88"/>
        <v>01</v>
      </c>
      <c r="E2492" t="str">
        <f>VLOOKUP(B2492,'HOGARES-ENDLINE'!$A:$B,2,FALSE)</f>
        <v>00020022</v>
      </c>
      <c r="F2492" s="6" t="str">
        <f t="shared" si="86"/>
        <v>0002002201</v>
      </c>
    </row>
    <row r="2493" spans="1:6" x14ac:dyDescent="0.3">
      <c r="A2493" s="6" t="s">
        <v>93</v>
      </c>
      <c r="B2493">
        <v>1005934818</v>
      </c>
      <c r="C2493">
        <v>3</v>
      </c>
      <c r="D2493" t="str">
        <f t="shared" si="88"/>
        <v>03</v>
      </c>
      <c r="E2493" t="str">
        <f>VLOOKUP(B2493,'HOGARES-ENDLINE'!$A:$B,2,FALSE)</f>
        <v>00020024</v>
      </c>
      <c r="F2493" s="6" t="str">
        <f t="shared" si="86"/>
        <v>0002002403</v>
      </c>
    </row>
    <row r="2494" spans="1:6" x14ac:dyDescent="0.3">
      <c r="A2494" s="6" t="s">
        <v>95</v>
      </c>
      <c r="B2494">
        <v>1005934818</v>
      </c>
      <c r="C2494">
        <v>4</v>
      </c>
      <c r="D2494" t="str">
        <f t="shared" si="88"/>
        <v>04</v>
      </c>
      <c r="E2494" t="str">
        <f>VLOOKUP(B2494,'HOGARES-ENDLINE'!$A:$B,2,FALSE)</f>
        <v>00020024</v>
      </c>
      <c r="F2494" s="6" t="str">
        <f t="shared" si="86"/>
        <v>0002002404</v>
      </c>
    </row>
    <row r="2495" spans="1:6" x14ac:dyDescent="0.3">
      <c r="A2495" s="6" t="s">
        <v>94</v>
      </c>
      <c r="B2495">
        <v>1005934818</v>
      </c>
      <c r="C2495">
        <v>1</v>
      </c>
      <c r="D2495" t="str">
        <f t="shared" si="88"/>
        <v>01</v>
      </c>
      <c r="E2495" t="str">
        <f>VLOOKUP(B2495,'HOGARES-ENDLINE'!$A:$B,2,FALSE)</f>
        <v>00020024</v>
      </c>
      <c r="F2495" s="6" t="str">
        <f t="shared" si="86"/>
        <v>0002002401</v>
      </c>
    </row>
    <row r="2496" spans="1:6" x14ac:dyDescent="0.3">
      <c r="A2496" s="6" t="s">
        <v>96</v>
      </c>
      <c r="B2496">
        <v>1005934818</v>
      </c>
      <c r="C2496">
        <v>2</v>
      </c>
      <c r="D2496" t="str">
        <f t="shared" si="88"/>
        <v>02</v>
      </c>
      <c r="E2496" t="str">
        <f>VLOOKUP(B2496,'HOGARES-ENDLINE'!$A:$B,2,FALSE)</f>
        <v>00020024</v>
      </c>
      <c r="F2496" s="6" t="str">
        <f t="shared" si="86"/>
        <v>0002002402</v>
      </c>
    </row>
    <row r="2497" spans="1:6" x14ac:dyDescent="0.3">
      <c r="A2497" s="6" t="s">
        <v>98</v>
      </c>
      <c r="B2497">
        <v>1006233749</v>
      </c>
      <c r="C2497">
        <v>2</v>
      </c>
      <c r="D2497" t="str">
        <f t="shared" si="88"/>
        <v>02</v>
      </c>
      <c r="E2497" t="str">
        <f>VLOOKUP(B2497,'HOGARES-ENDLINE'!$A:$B,2,FALSE)</f>
        <v>01020025</v>
      </c>
      <c r="F2497" s="6" t="str">
        <f t="shared" si="86"/>
        <v>0102002502</v>
      </c>
    </row>
    <row r="2498" spans="1:6" x14ac:dyDescent="0.3">
      <c r="A2498" s="6" t="s">
        <v>5200</v>
      </c>
      <c r="B2498">
        <v>1006233749</v>
      </c>
      <c r="C2498">
        <v>3</v>
      </c>
      <c r="D2498" t="str">
        <f t="shared" si="88"/>
        <v>03</v>
      </c>
      <c r="E2498" t="str">
        <f>VLOOKUP(B2498,'HOGARES-ENDLINE'!$A:$B,2,FALSE)</f>
        <v>01020025</v>
      </c>
      <c r="F2498" s="6" t="str">
        <f t="shared" si="86"/>
        <v>0102002503</v>
      </c>
    </row>
    <row r="2499" spans="1:6" x14ac:dyDescent="0.3">
      <c r="A2499" s="6" t="s">
        <v>97</v>
      </c>
      <c r="B2499">
        <v>1006233749</v>
      </c>
      <c r="C2499">
        <v>1</v>
      </c>
      <c r="D2499" t="str">
        <f t="shared" si="88"/>
        <v>01</v>
      </c>
      <c r="E2499" t="str">
        <f>VLOOKUP(B2499,'HOGARES-ENDLINE'!$A:$B,2,FALSE)</f>
        <v>01020025</v>
      </c>
      <c r="F2499" s="6" t="str">
        <f t="shared" ref="F2499:F2562" si="89">_xlfn.CONCAT(E2499,D2499)</f>
        <v>0102002501</v>
      </c>
    </row>
    <row r="2500" spans="1:6" x14ac:dyDescent="0.3">
      <c r="A2500" s="6" t="s">
        <v>101</v>
      </c>
      <c r="B2500">
        <v>1007132436</v>
      </c>
      <c r="C2500">
        <v>1</v>
      </c>
      <c r="D2500" t="str">
        <f t="shared" si="88"/>
        <v>01</v>
      </c>
      <c r="E2500" t="str">
        <f>VLOOKUP(B2500,'HOGARES-ENDLINE'!$A:$B,2,FALSE)</f>
        <v>01030027</v>
      </c>
      <c r="F2500" s="6" t="str">
        <f t="shared" si="89"/>
        <v>0103002701</v>
      </c>
    </row>
    <row r="2501" spans="1:6" x14ac:dyDescent="0.3">
      <c r="A2501" s="6" t="s">
        <v>106</v>
      </c>
      <c r="B2501">
        <v>1007175950</v>
      </c>
      <c r="C2501">
        <v>2</v>
      </c>
      <c r="D2501" t="str">
        <f t="shared" si="88"/>
        <v>02</v>
      </c>
      <c r="E2501" t="str">
        <f>VLOOKUP(B2501,'HOGARES-ENDLINE'!$A:$B,2,FALSE)</f>
        <v>01030028</v>
      </c>
      <c r="F2501" s="6" t="str">
        <f t="shared" si="89"/>
        <v>0103002802</v>
      </c>
    </row>
    <row r="2502" spans="1:6" x14ac:dyDescent="0.3">
      <c r="A2502" s="6" t="s">
        <v>107</v>
      </c>
      <c r="B2502">
        <v>1007175950</v>
      </c>
      <c r="C2502">
        <v>3</v>
      </c>
      <c r="D2502" t="str">
        <f t="shared" si="88"/>
        <v>03</v>
      </c>
      <c r="E2502" t="str">
        <f>VLOOKUP(B2502,'HOGARES-ENDLINE'!$A:$B,2,FALSE)</f>
        <v>01030028</v>
      </c>
      <c r="F2502" s="6" t="str">
        <f t="shared" si="89"/>
        <v>0103002803</v>
      </c>
    </row>
    <row r="2503" spans="1:6" x14ac:dyDescent="0.3">
      <c r="A2503" s="6" t="s">
        <v>108</v>
      </c>
      <c r="B2503">
        <v>1007175950</v>
      </c>
      <c r="C2503">
        <v>1</v>
      </c>
      <c r="D2503" t="str">
        <f t="shared" si="88"/>
        <v>01</v>
      </c>
      <c r="E2503" t="str">
        <f>VLOOKUP(B2503,'HOGARES-ENDLINE'!$A:$B,2,FALSE)</f>
        <v>01030028</v>
      </c>
      <c r="F2503" s="6" t="str">
        <f t="shared" si="89"/>
        <v>0103002801</v>
      </c>
    </row>
    <row r="2504" spans="1:6" x14ac:dyDescent="0.3">
      <c r="A2504" s="6" t="s">
        <v>109</v>
      </c>
      <c r="B2504">
        <v>1007175950</v>
      </c>
      <c r="C2504">
        <v>4</v>
      </c>
      <c r="D2504" t="str">
        <f t="shared" si="88"/>
        <v>04</v>
      </c>
      <c r="E2504" t="str">
        <f>VLOOKUP(B2504,'HOGARES-ENDLINE'!$A:$B,2,FALSE)</f>
        <v>01030028</v>
      </c>
      <c r="F2504" s="6" t="str">
        <f t="shared" si="89"/>
        <v>0103002804</v>
      </c>
    </row>
    <row r="2505" spans="1:6" x14ac:dyDescent="0.3">
      <c r="A2505" s="6" t="s">
        <v>110</v>
      </c>
      <c r="B2505">
        <v>1007908804</v>
      </c>
      <c r="C2505">
        <v>1</v>
      </c>
      <c r="D2505" t="str">
        <f t="shared" ref="D2505:D2568" si="90">_xlfn.CONCAT(0,C2505)</f>
        <v>01</v>
      </c>
      <c r="E2505" t="str">
        <f>VLOOKUP(B2505,'HOGARES-ENDLINE'!$A:$B,2,FALSE)</f>
        <v>00030029</v>
      </c>
      <c r="F2505" s="6" t="str">
        <f t="shared" si="89"/>
        <v>0003002901</v>
      </c>
    </row>
    <row r="2506" spans="1:6" x14ac:dyDescent="0.3">
      <c r="A2506" s="6" t="s">
        <v>113</v>
      </c>
      <c r="B2506">
        <v>1010032037</v>
      </c>
      <c r="C2506">
        <v>4</v>
      </c>
      <c r="D2506" t="str">
        <f t="shared" si="90"/>
        <v>04</v>
      </c>
      <c r="E2506" t="str">
        <f>VLOOKUP(B2506,'HOGARES-ENDLINE'!$A:$B,2,FALSE)</f>
        <v>01010030</v>
      </c>
      <c r="F2506" s="6" t="str">
        <f t="shared" si="89"/>
        <v>0101003004</v>
      </c>
    </row>
    <row r="2507" spans="1:6" x14ac:dyDescent="0.3">
      <c r="A2507" s="6" t="s">
        <v>114</v>
      </c>
      <c r="B2507">
        <v>1010032037</v>
      </c>
      <c r="C2507">
        <v>3</v>
      </c>
      <c r="D2507" t="str">
        <f t="shared" si="90"/>
        <v>03</v>
      </c>
      <c r="E2507" t="str">
        <f>VLOOKUP(B2507,'HOGARES-ENDLINE'!$A:$B,2,FALSE)</f>
        <v>01010030</v>
      </c>
      <c r="F2507" s="6" t="str">
        <f t="shared" si="89"/>
        <v>0101003003</v>
      </c>
    </row>
    <row r="2508" spans="1:6" x14ac:dyDescent="0.3">
      <c r="A2508" s="6" t="s">
        <v>112</v>
      </c>
      <c r="B2508">
        <v>1010032037</v>
      </c>
      <c r="C2508">
        <v>1</v>
      </c>
      <c r="D2508" t="str">
        <f t="shared" si="90"/>
        <v>01</v>
      </c>
      <c r="E2508" t="str">
        <f>VLOOKUP(B2508,'HOGARES-ENDLINE'!$A:$B,2,FALSE)</f>
        <v>01010030</v>
      </c>
      <c r="F2508" s="6" t="str">
        <f t="shared" si="89"/>
        <v>0101003001</v>
      </c>
    </row>
    <row r="2509" spans="1:6" x14ac:dyDescent="0.3">
      <c r="A2509" s="6" t="s">
        <v>116</v>
      </c>
      <c r="B2509">
        <v>1010119253</v>
      </c>
      <c r="C2509">
        <v>1</v>
      </c>
      <c r="D2509" t="str">
        <f t="shared" si="90"/>
        <v>01</v>
      </c>
      <c r="E2509" t="str">
        <f>VLOOKUP(B2509,'HOGARES-ENDLINE'!$A:$B,2,FALSE)</f>
        <v>01030031</v>
      </c>
      <c r="F2509" s="6" t="str">
        <f t="shared" si="89"/>
        <v>0103003101</v>
      </c>
    </row>
    <row r="2510" spans="1:6" x14ac:dyDescent="0.3">
      <c r="A2510" s="6" t="s">
        <v>115</v>
      </c>
      <c r="B2510">
        <v>1010119253</v>
      </c>
      <c r="C2510">
        <v>2</v>
      </c>
      <c r="D2510" t="str">
        <f t="shared" si="90"/>
        <v>02</v>
      </c>
      <c r="E2510" t="str">
        <f>VLOOKUP(B2510,'HOGARES-ENDLINE'!$A:$B,2,FALSE)</f>
        <v>01030031</v>
      </c>
      <c r="F2510" s="6" t="str">
        <f t="shared" si="89"/>
        <v>0103003102</v>
      </c>
    </row>
    <row r="2511" spans="1:6" x14ac:dyDescent="0.3">
      <c r="A2511" s="6" t="s">
        <v>118</v>
      </c>
      <c r="B2511">
        <v>1010119253</v>
      </c>
      <c r="C2511">
        <v>4</v>
      </c>
      <c r="D2511" t="str">
        <f t="shared" si="90"/>
        <v>04</v>
      </c>
      <c r="E2511" t="str">
        <f>VLOOKUP(B2511,'HOGARES-ENDLINE'!$A:$B,2,FALSE)</f>
        <v>01030031</v>
      </c>
      <c r="F2511" s="6" t="str">
        <f t="shared" si="89"/>
        <v>0103003104</v>
      </c>
    </row>
    <row r="2512" spans="1:6" x14ac:dyDescent="0.3">
      <c r="A2512" s="6" t="s">
        <v>117</v>
      </c>
      <c r="B2512">
        <v>1010119253</v>
      </c>
      <c r="C2512">
        <v>3</v>
      </c>
      <c r="D2512" t="str">
        <f t="shared" si="90"/>
        <v>03</v>
      </c>
      <c r="E2512" t="str">
        <f>VLOOKUP(B2512,'HOGARES-ENDLINE'!$A:$B,2,FALSE)</f>
        <v>01030031</v>
      </c>
      <c r="F2512" s="6" t="str">
        <f t="shared" si="89"/>
        <v>0103003103</v>
      </c>
    </row>
    <row r="2513" spans="1:6" x14ac:dyDescent="0.3">
      <c r="A2513" s="6" t="s">
        <v>5201</v>
      </c>
      <c r="B2513">
        <v>1010119253</v>
      </c>
      <c r="C2513">
        <v>5</v>
      </c>
      <c r="D2513" t="str">
        <f t="shared" si="90"/>
        <v>05</v>
      </c>
      <c r="E2513" t="str">
        <f>VLOOKUP(B2513,'HOGARES-ENDLINE'!$A:$B,2,FALSE)</f>
        <v>01030031</v>
      </c>
      <c r="F2513" s="6" t="str">
        <f t="shared" si="89"/>
        <v>0103003105</v>
      </c>
    </row>
    <row r="2514" spans="1:6" x14ac:dyDescent="0.3">
      <c r="A2514" s="6" t="s">
        <v>123</v>
      </c>
      <c r="B2514">
        <v>1015186975</v>
      </c>
      <c r="C2514">
        <v>1</v>
      </c>
      <c r="D2514" t="str">
        <f t="shared" si="90"/>
        <v>01</v>
      </c>
      <c r="E2514" t="str">
        <f>VLOOKUP(B2514,'HOGARES-ENDLINE'!$A:$B,2,FALSE)</f>
        <v>01010033</v>
      </c>
      <c r="F2514" s="6" t="str">
        <f t="shared" si="89"/>
        <v>0101003301</v>
      </c>
    </row>
    <row r="2515" spans="1:6" x14ac:dyDescent="0.3">
      <c r="A2515" s="6" t="s">
        <v>124</v>
      </c>
      <c r="B2515">
        <v>1015186975</v>
      </c>
      <c r="C2515">
        <v>2</v>
      </c>
      <c r="D2515" t="str">
        <f t="shared" si="90"/>
        <v>02</v>
      </c>
      <c r="E2515" t="str">
        <f>VLOOKUP(B2515,'HOGARES-ENDLINE'!$A:$B,2,FALSE)</f>
        <v>01010033</v>
      </c>
      <c r="F2515" s="6" t="str">
        <f t="shared" si="89"/>
        <v>0101003302</v>
      </c>
    </row>
    <row r="2516" spans="1:6" x14ac:dyDescent="0.3">
      <c r="A2516" s="6" t="s">
        <v>130</v>
      </c>
      <c r="B2516">
        <v>1015193737</v>
      </c>
      <c r="C2516">
        <v>4</v>
      </c>
      <c r="D2516" t="str">
        <f t="shared" si="90"/>
        <v>04</v>
      </c>
      <c r="E2516" t="str">
        <f>VLOOKUP(B2516,'HOGARES-ENDLINE'!$A:$B,2,FALSE)</f>
        <v>00010034</v>
      </c>
      <c r="F2516" s="6" t="str">
        <f t="shared" si="89"/>
        <v>0001003404</v>
      </c>
    </row>
    <row r="2517" spans="1:6" x14ac:dyDescent="0.3">
      <c r="A2517" s="6" t="s">
        <v>127</v>
      </c>
      <c r="B2517">
        <v>1015193737</v>
      </c>
      <c r="C2517">
        <v>6</v>
      </c>
      <c r="D2517" t="str">
        <f t="shared" si="90"/>
        <v>06</v>
      </c>
      <c r="E2517" t="str">
        <f>VLOOKUP(B2517,'HOGARES-ENDLINE'!$A:$B,2,FALSE)</f>
        <v>00010034</v>
      </c>
      <c r="F2517" s="6" t="str">
        <f t="shared" si="89"/>
        <v>0001003406</v>
      </c>
    </row>
    <row r="2518" spans="1:6" x14ac:dyDescent="0.3">
      <c r="A2518" s="6" t="s">
        <v>129</v>
      </c>
      <c r="B2518">
        <v>1015193737</v>
      </c>
      <c r="C2518">
        <v>2</v>
      </c>
      <c r="D2518" t="str">
        <f t="shared" si="90"/>
        <v>02</v>
      </c>
      <c r="E2518" t="str">
        <f>VLOOKUP(B2518,'HOGARES-ENDLINE'!$A:$B,2,FALSE)</f>
        <v>00010034</v>
      </c>
      <c r="F2518" s="6" t="str">
        <f t="shared" si="89"/>
        <v>0001003402</v>
      </c>
    </row>
    <row r="2519" spans="1:6" x14ac:dyDescent="0.3">
      <c r="A2519" s="6" t="s">
        <v>131</v>
      </c>
      <c r="B2519">
        <v>1015193737</v>
      </c>
      <c r="C2519">
        <v>5</v>
      </c>
      <c r="D2519" t="str">
        <f t="shared" si="90"/>
        <v>05</v>
      </c>
      <c r="E2519" t="str">
        <f>VLOOKUP(B2519,'HOGARES-ENDLINE'!$A:$B,2,FALSE)</f>
        <v>00010034</v>
      </c>
      <c r="F2519" s="6" t="str">
        <f t="shared" si="89"/>
        <v>0001003405</v>
      </c>
    </row>
    <row r="2520" spans="1:6" x14ac:dyDescent="0.3">
      <c r="A2520" s="6" t="s">
        <v>126</v>
      </c>
      <c r="B2520">
        <v>1015193737</v>
      </c>
      <c r="C2520">
        <v>3</v>
      </c>
      <c r="D2520" t="str">
        <f t="shared" si="90"/>
        <v>03</v>
      </c>
      <c r="E2520" t="str">
        <f>VLOOKUP(B2520,'HOGARES-ENDLINE'!$A:$B,2,FALSE)</f>
        <v>00010034</v>
      </c>
      <c r="F2520" s="6" t="str">
        <f t="shared" si="89"/>
        <v>0001003403</v>
      </c>
    </row>
    <row r="2521" spans="1:6" x14ac:dyDescent="0.3">
      <c r="A2521" s="6" t="s">
        <v>128</v>
      </c>
      <c r="B2521">
        <v>1015193737</v>
      </c>
      <c r="C2521">
        <v>1</v>
      </c>
      <c r="D2521" t="str">
        <f t="shared" si="90"/>
        <v>01</v>
      </c>
      <c r="E2521" t="str">
        <f>VLOOKUP(B2521,'HOGARES-ENDLINE'!$A:$B,2,FALSE)</f>
        <v>00010034</v>
      </c>
      <c r="F2521" s="6" t="str">
        <f t="shared" si="89"/>
        <v>0001003401</v>
      </c>
    </row>
    <row r="2522" spans="1:6" x14ac:dyDescent="0.3">
      <c r="A2522" s="6" t="s">
        <v>133</v>
      </c>
      <c r="B2522">
        <v>1017135726</v>
      </c>
      <c r="C2522">
        <v>1</v>
      </c>
      <c r="D2522" t="str">
        <f t="shared" si="90"/>
        <v>01</v>
      </c>
      <c r="E2522" t="str">
        <f>VLOOKUP(B2522,'HOGARES-ENDLINE'!$A:$B,2,FALSE)</f>
        <v>01010035</v>
      </c>
      <c r="F2522" s="6" t="str">
        <f t="shared" si="89"/>
        <v>0101003501</v>
      </c>
    </row>
    <row r="2523" spans="1:6" x14ac:dyDescent="0.3">
      <c r="A2523" s="6" t="s">
        <v>135</v>
      </c>
      <c r="B2523">
        <v>1017152403</v>
      </c>
      <c r="C2523">
        <v>1</v>
      </c>
      <c r="D2523" t="str">
        <f t="shared" si="90"/>
        <v>01</v>
      </c>
      <c r="E2523" t="str">
        <f>VLOOKUP(B2523,'HOGARES-ENDLINE'!$A:$B,2,FALSE)</f>
        <v>01010036</v>
      </c>
      <c r="F2523" s="6" t="str">
        <f t="shared" si="89"/>
        <v>0101003601</v>
      </c>
    </row>
    <row r="2524" spans="1:6" x14ac:dyDescent="0.3">
      <c r="A2524" s="6" t="s">
        <v>138</v>
      </c>
      <c r="B2524">
        <v>1017154497</v>
      </c>
      <c r="C2524">
        <v>1</v>
      </c>
      <c r="D2524" t="str">
        <f t="shared" si="90"/>
        <v>01</v>
      </c>
      <c r="E2524" t="str">
        <f>VLOOKUP(B2524,'HOGARES-ENDLINE'!$A:$B,2,FALSE)</f>
        <v>00010037</v>
      </c>
      <c r="F2524" s="6" t="str">
        <f t="shared" si="89"/>
        <v>0001003701</v>
      </c>
    </row>
    <row r="2525" spans="1:6" x14ac:dyDescent="0.3">
      <c r="A2525" s="6" t="s">
        <v>137</v>
      </c>
      <c r="B2525">
        <v>1017154497</v>
      </c>
      <c r="C2525">
        <v>2</v>
      </c>
      <c r="D2525" t="str">
        <f t="shared" si="90"/>
        <v>02</v>
      </c>
      <c r="E2525" t="str">
        <f>VLOOKUP(B2525,'HOGARES-ENDLINE'!$A:$B,2,FALSE)</f>
        <v>00010037</v>
      </c>
      <c r="F2525" s="6" t="str">
        <f t="shared" si="89"/>
        <v>0001003702</v>
      </c>
    </row>
    <row r="2526" spans="1:6" x14ac:dyDescent="0.3">
      <c r="A2526" s="6" t="s">
        <v>136</v>
      </c>
      <c r="B2526">
        <v>1017154497</v>
      </c>
      <c r="C2526">
        <v>3</v>
      </c>
      <c r="D2526" t="str">
        <f t="shared" si="90"/>
        <v>03</v>
      </c>
      <c r="E2526" t="str">
        <f>VLOOKUP(B2526,'HOGARES-ENDLINE'!$A:$B,2,FALSE)</f>
        <v>00010037</v>
      </c>
      <c r="F2526" s="6" t="str">
        <f t="shared" si="89"/>
        <v>0001003703</v>
      </c>
    </row>
    <row r="2527" spans="1:6" x14ac:dyDescent="0.3">
      <c r="A2527" s="6" t="s">
        <v>141</v>
      </c>
      <c r="B2527">
        <v>1017179652</v>
      </c>
      <c r="C2527">
        <v>1</v>
      </c>
      <c r="D2527" t="str">
        <f t="shared" si="90"/>
        <v>01</v>
      </c>
      <c r="E2527" t="str">
        <f>VLOOKUP(B2527,'HOGARES-ENDLINE'!$A:$B,2,FALSE)</f>
        <v>01010038</v>
      </c>
      <c r="F2527" s="6" t="str">
        <f t="shared" si="89"/>
        <v>0101003801</v>
      </c>
    </row>
    <row r="2528" spans="1:6" x14ac:dyDescent="0.3">
      <c r="A2528" s="6" t="s">
        <v>145</v>
      </c>
      <c r="B2528">
        <v>1017179966</v>
      </c>
      <c r="C2528">
        <v>1</v>
      </c>
      <c r="D2528" t="str">
        <f t="shared" si="90"/>
        <v>01</v>
      </c>
      <c r="E2528" t="str">
        <f>VLOOKUP(B2528,'HOGARES-ENDLINE'!$A:$B,2,FALSE)</f>
        <v>01010039</v>
      </c>
      <c r="F2528" s="6" t="str">
        <f t="shared" si="89"/>
        <v>0101003901</v>
      </c>
    </row>
    <row r="2529" spans="1:6" x14ac:dyDescent="0.3">
      <c r="A2529" s="6" t="s">
        <v>148</v>
      </c>
      <c r="B2529">
        <v>1017190314</v>
      </c>
      <c r="C2529">
        <v>1</v>
      </c>
      <c r="D2529" t="str">
        <f t="shared" si="90"/>
        <v>01</v>
      </c>
      <c r="E2529" t="str">
        <f>VLOOKUP(B2529,'HOGARES-ENDLINE'!$A:$B,2,FALSE)</f>
        <v>01010040</v>
      </c>
      <c r="F2529" s="6" t="str">
        <f t="shared" si="89"/>
        <v>0101004001</v>
      </c>
    </row>
    <row r="2530" spans="1:6" x14ac:dyDescent="0.3">
      <c r="A2530" s="6" t="s">
        <v>147</v>
      </c>
      <c r="B2530">
        <v>1017190314</v>
      </c>
      <c r="C2530">
        <v>2</v>
      </c>
      <c r="D2530" t="str">
        <f t="shared" si="90"/>
        <v>02</v>
      </c>
      <c r="E2530" t="str">
        <f>VLOOKUP(B2530,'HOGARES-ENDLINE'!$A:$B,2,FALSE)</f>
        <v>01010040</v>
      </c>
      <c r="F2530" s="6" t="str">
        <f t="shared" si="89"/>
        <v>0101004002</v>
      </c>
    </row>
    <row r="2531" spans="1:6" x14ac:dyDescent="0.3">
      <c r="A2531" s="6" t="s">
        <v>149</v>
      </c>
      <c r="B2531">
        <v>1017190314</v>
      </c>
      <c r="C2531">
        <v>3</v>
      </c>
      <c r="D2531" t="str">
        <f t="shared" si="90"/>
        <v>03</v>
      </c>
      <c r="E2531" t="str">
        <f>VLOOKUP(B2531,'HOGARES-ENDLINE'!$A:$B,2,FALSE)</f>
        <v>01010040</v>
      </c>
      <c r="F2531" s="6" t="str">
        <f t="shared" si="89"/>
        <v>0101004003</v>
      </c>
    </row>
    <row r="2532" spans="1:6" x14ac:dyDescent="0.3">
      <c r="A2532" s="6" t="s">
        <v>151</v>
      </c>
      <c r="B2532">
        <v>1017192472</v>
      </c>
      <c r="C2532">
        <v>3</v>
      </c>
      <c r="D2532" t="str">
        <f t="shared" si="90"/>
        <v>03</v>
      </c>
      <c r="E2532" t="str">
        <f>VLOOKUP(B2532,'HOGARES-ENDLINE'!$A:$B,2,FALSE)</f>
        <v>01010041</v>
      </c>
      <c r="F2532" s="6" t="str">
        <f t="shared" si="89"/>
        <v>0101004103</v>
      </c>
    </row>
    <row r="2533" spans="1:6" x14ac:dyDescent="0.3">
      <c r="A2533" s="6" t="s">
        <v>155</v>
      </c>
      <c r="B2533">
        <v>1017192472</v>
      </c>
      <c r="C2533">
        <v>5</v>
      </c>
      <c r="D2533" t="str">
        <f t="shared" si="90"/>
        <v>05</v>
      </c>
      <c r="E2533" t="str">
        <f>VLOOKUP(B2533,'HOGARES-ENDLINE'!$A:$B,2,FALSE)</f>
        <v>01010041</v>
      </c>
      <c r="F2533" s="6" t="str">
        <f t="shared" si="89"/>
        <v>0101004105</v>
      </c>
    </row>
    <row r="2534" spans="1:6" x14ac:dyDescent="0.3">
      <c r="A2534" s="6" t="s">
        <v>154</v>
      </c>
      <c r="B2534">
        <v>1017192472</v>
      </c>
      <c r="C2534">
        <v>7</v>
      </c>
      <c r="D2534" t="str">
        <f t="shared" si="90"/>
        <v>07</v>
      </c>
      <c r="E2534" t="str">
        <f>VLOOKUP(B2534,'HOGARES-ENDLINE'!$A:$B,2,FALSE)</f>
        <v>01010041</v>
      </c>
      <c r="F2534" s="6" t="str">
        <f t="shared" si="89"/>
        <v>0101004107</v>
      </c>
    </row>
    <row r="2535" spans="1:6" x14ac:dyDescent="0.3">
      <c r="A2535" s="6" t="s">
        <v>152</v>
      </c>
      <c r="B2535">
        <v>1017192472</v>
      </c>
      <c r="C2535">
        <v>6</v>
      </c>
      <c r="D2535" t="str">
        <f t="shared" si="90"/>
        <v>06</v>
      </c>
      <c r="E2535" t="str">
        <f>VLOOKUP(B2535,'HOGARES-ENDLINE'!$A:$B,2,FALSE)</f>
        <v>01010041</v>
      </c>
      <c r="F2535" s="6" t="str">
        <f t="shared" si="89"/>
        <v>0101004106</v>
      </c>
    </row>
    <row r="2536" spans="1:6" x14ac:dyDescent="0.3">
      <c r="A2536" s="6" t="s">
        <v>150</v>
      </c>
      <c r="B2536">
        <v>1017192472</v>
      </c>
      <c r="C2536">
        <v>1</v>
      </c>
      <c r="D2536" t="str">
        <f t="shared" si="90"/>
        <v>01</v>
      </c>
      <c r="E2536" t="str">
        <f>VLOOKUP(B2536,'HOGARES-ENDLINE'!$A:$B,2,FALSE)</f>
        <v>01010041</v>
      </c>
      <c r="F2536" s="6" t="str">
        <f t="shared" si="89"/>
        <v>0101004101</v>
      </c>
    </row>
    <row r="2537" spans="1:6" x14ac:dyDescent="0.3">
      <c r="A2537" s="6" t="s">
        <v>156</v>
      </c>
      <c r="B2537">
        <v>1017192472</v>
      </c>
      <c r="C2537">
        <v>4</v>
      </c>
      <c r="D2537" t="str">
        <f t="shared" si="90"/>
        <v>04</v>
      </c>
      <c r="E2537" t="str">
        <f>VLOOKUP(B2537,'HOGARES-ENDLINE'!$A:$B,2,FALSE)</f>
        <v>01010041</v>
      </c>
      <c r="F2537" s="6" t="str">
        <f t="shared" si="89"/>
        <v>0101004104</v>
      </c>
    </row>
    <row r="2538" spans="1:6" x14ac:dyDescent="0.3">
      <c r="A2538" s="6" t="s">
        <v>158</v>
      </c>
      <c r="B2538">
        <v>1017206637</v>
      </c>
      <c r="C2538">
        <v>1</v>
      </c>
      <c r="D2538" t="str">
        <f t="shared" si="90"/>
        <v>01</v>
      </c>
      <c r="E2538" t="str">
        <f>VLOOKUP(B2538,'HOGARES-ENDLINE'!$A:$B,2,FALSE)</f>
        <v>01010042</v>
      </c>
      <c r="F2538" s="6" t="str">
        <f t="shared" si="89"/>
        <v>0101004201</v>
      </c>
    </row>
    <row r="2539" spans="1:6" x14ac:dyDescent="0.3">
      <c r="A2539" s="6" t="s">
        <v>166</v>
      </c>
      <c r="B2539">
        <v>1017216558</v>
      </c>
      <c r="C2539">
        <v>1</v>
      </c>
      <c r="D2539" t="str">
        <f t="shared" si="90"/>
        <v>01</v>
      </c>
      <c r="E2539" t="str">
        <f>VLOOKUP(B2539,'HOGARES-ENDLINE'!$A:$B,2,FALSE)</f>
        <v>01010044</v>
      </c>
      <c r="F2539" s="6" t="str">
        <f t="shared" si="89"/>
        <v>0101004401</v>
      </c>
    </row>
    <row r="2540" spans="1:6" x14ac:dyDescent="0.3">
      <c r="A2540" s="6" t="s">
        <v>173</v>
      </c>
      <c r="B2540">
        <v>1017247299</v>
      </c>
      <c r="C2540">
        <v>1</v>
      </c>
      <c r="D2540" t="str">
        <f t="shared" si="90"/>
        <v>01</v>
      </c>
      <c r="E2540" t="str">
        <f>VLOOKUP(B2540,'HOGARES-ENDLINE'!$A:$B,2,FALSE)</f>
        <v>01010047</v>
      </c>
      <c r="F2540" s="6" t="str">
        <f t="shared" si="89"/>
        <v>0101004701</v>
      </c>
    </row>
    <row r="2541" spans="1:6" x14ac:dyDescent="0.3">
      <c r="A2541" s="6" t="s">
        <v>183</v>
      </c>
      <c r="B2541">
        <v>1017248051</v>
      </c>
      <c r="C2541">
        <v>1</v>
      </c>
      <c r="D2541" t="str">
        <f t="shared" si="90"/>
        <v>01</v>
      </c>
      <c r="E2541" t="str">
        <f>VLOOKUP(B2541,'HOGARES-ENDLINE'!$A:$B,2,FALSE)</f>
        <v>01010048</v>
      </c>
      <c r="F2541" s="6" t="str">
        <f t="shared" si="89"/>
        <v>0101004801</v>
      </c>
    </row>
    <row r="2542" spans="1:6" x14ac:dyDescent="0.3">
      <c r="A2542" s="6" t="s">
        <v>184</v>
      </c>
      <c r="B2542">
        <v>1017248051</v>
      </c>
      <c r="C2542">
        <v>2</v>
      </c>
      <c r="D2542" t="str">
        <f t="shared" si="90"/>
        <v>02</v>
      </c>
      <c r="E2542" t="str">
        <f>VLOOKUP(B2542,'HOGARES-ENDLINE'!$A:$B,2,FALSE)</f>
        <v>01010048</v>
      </c>
      <c r="F2542" s="6" t="str">
        <f t="shared" si="89"/>
        <v>0101004802</v>
      </c>
    </row>
    <row r="2543" spans="1:6" x14ac:dyDescent="0.3">
      <c r="A2543" s="6" t="s">
        <v>185</v>
      </c>
      <c r="B2543">
        <v>1017248051</v>
      </c>
      <c r="C2543">
        <v>3</v>
      </c>
      <c r="D2543" t="str">
        <f t="shared" si="90"/>
        <v>03</v>
      </c>
      <c r="E2543" t="str">
        <f>VLOOKUP(B2543,'HOGARES-ENDLINE'!$A:$B,2,FALSE)</f>
        <v>01010048</v>
      </c>
      <c r="F2543" s="6" t="str">
        <f t="shared" si="89"/>
        <v>0101004803</v>
      </c>
    </row>
    <row r="2544" spans="1:6" x14ac:dyDescent="0.3">
      <c r="A2544" s="6" t="s">
        <v>181</v>
      </c>
      <c r="B2544">
        <v>1017248051</v>
      </c>
      <c r="C2544">
        <v>4</v>
      </c>
      <c r="D2544" t="str">
        <f t="shared" si="90"/>
        <v>04</v>
      </c>
      <c r="E2544" t="str">
        <f>VLOOKUP(B2544,'HOGARES-ENDLINE'!$A:$B,2,FALSE)</f>
        <v>01010048</v>
      </c>
      <c r="F2544" s="6" t="str">
        <f t="shared" si="89"/>
        <v>0101004804</v>
      </c>
    </row>
    <row r="2545" spans="1:6" x14ac:dyDescent="0.3">
      <c r="A2545" s="6" t="s">
        <v>182</v>
      </c>
      <c r="B2545">
        <v>1017248051</v>
      </c>
      <c r="C2545">
        <v>5</v>
      </c>
      <c r="D2545" t="str">
        <f t="shared" si="90"/>
        <v>05</v>
      </c>
      <c r="E2545" t="str">
        <f>VLOOKUP(B2545,'HOGARES-ENDLINE'!$A:$B,2,FALSE)</f>
        <v>01010048</v>
      </c>
      <c r="F2545" s="6" t="str">
        <f t="shared" si="89"/>
        <v>0101004805</v>
      </c>
    </row>
    <row r="2546" spans="1:6" x14ac:dyDescent="0.3">
      <c r="A2546" s="6" t="s">
        <v>191</v>
      </c>
      <c r="B2546">
        <v>1017266133</v>
      </c>
      <c r="C2546">
        <v>1</v>
      </c>
      <c r="D2546" t="str">
        <f t="shared" si="90"/>
        <v>01</v>
      </c>
      <c r="E2546" t="str">
        <f>VLOOKUP(B2546,'HOGARES-ENDLINE'!$A:$B,2,FALSE)</f>
        <v>01010049</v>
      </c>
      <c r="F2546" s="6" t="str">
        <f t="shared" si="89"/>
        <v>0101004901</v>
      </c>
    </row>
    <row r="2547" spans="1:6" x14ac:dyDescent="0.3">
      <c r="A2547" s="6" t="s">
        <v>197</v>
      </c>
      <c r="B2547">
        <v>1017269447</v>
      </c>
      <c r="C2547">
        <v>1</v>
      </c>
      <c r="D2547" t="str">
        <f t="shared" si="90"/>
        <v>01</v>
      </c>
      <c r="E2547" t="str">
        <f>VLOOKUP(B2547,'HOGARES-ENDLINE'!$A:$B,2,FALSE)</f>
        <v>01010050</v>
      </c>
      <c r="F2547" s="6" t="str">
        <f t="shared" si="89"/>
        <v>0101005001</v>
      </c>
    </row>
    <row r="2548" spans="1:6" x14ac:dyDescent="0.3">
      <c r="A2548" s="6" t="s">
        <v>199</v>
      </c>
      <c r="B2548">
        <v>1017269998</v>
      </c>
      <c r="C2548">
        <v>2</v>
      </c>
      <c r="D2548" t="str">
        <f t="shared" si="90"/>
        <v>02</v>
      </c>
      <c r="E2548" t="str">
        <f>VLOOKUP(B2548,'HOGARES-ENDLINE'!$A:$B,2,FALSE)</f>
        <v>01010051</v>
      </c>
      <c r="F2548" s="6" t="str">
        <f t="shared" si="89"/>
        <v>0101005102</v>
      </c>
    </row>
    <row r="2549" spans="1:6" x14ac:dyDescent="0.3">
      <c r="A2549" s="6" t="s">
        <v>198</v>
      </c>
      <c r="B2549">
        <v>1017269998</v>
      </c>
      <c r="C2549">
        <v>1</v>
      </c>
      <c r="D2549" t="str">
        <f t="shared" si="90"/>
        <v>01</v>
      </c>
      <c r="E2549" t="str">
        <f>VLOOKUP(B2549,'HOGARES-ENDLINE'!$A:$B,2,FALSE)</f>
        <v>01010051</v>
      </c>
      <c r="F2549" s="6" t="str">
        <f t="shared" si="89"/>
        <v>0101005101</v>
      </c>
    </row>
    <row r="2550" spans="1:6" x14ac:dyDescent="0.3">
      <c r="A2550" s="6" t="s">
        <v>200</v>
      </c>
      <c r="B2550">
        <v>1020450299</v>
      </c>
      <c r="C2550">
        <v>6</v>
      </c>
      <c r="D2550" t="str">
        <f t="shared" si="90"/>
        <v>06</v>
      </c>
      <c r="E2550" t="str">
        <f>VLOOKUP(B2550,'HOGARES-ENDLINE'!$A:$B,2,FALSE)</f>
        <v>00010052</v>
      </c>
      <c r="F2550" s="6" t="str">
        <f t="shared" si="89"/>
        <v>0001005206</v>
      </c>
    </row>
    <row r="2551" spans="1:6" x14ac:dyDescent="0.3">
      <c r="A2551" s="6" t="s">
        <v>205</v>
      </c>
      <c r="B2551">
        <v>1020450299</v>
      </c>
      <c r="C2551">
        <v>3</v>
      </c>
      <c r="D2551" t="str">
        <f t="shared" si="90"/>
        <v>03</v>
      </c>
      <c r="E2551" t="str">
        <f>VLOOKUP(B2551,'HOGARES-ENDLINE'!$A:$B,2,FALSE)</f>
        <v>00010052</v>
      </c>
      <c r="F2551" s="6" t="str">
        <f t="shared" si="89"/>
        <v>0001005203</v>
      </c>
    </row>
    <row r="2552" spans="1:6" x14ac:dyDescent="0.3">
      <c r="A2552" s="6" t="s">
        <v>202</v>
      </c>
      <c r="B2552">
        <v>1020450299</v>
      </c>
      <c r="C2552">
        <v>4</v>
      </c>
      <c r="D2552" t="str">
        <f t="shared" si="90"/>
        <v>04</v>
      </c>
      <c r="E2552" t="str">
        <f>VLOOKUP(B2552,'HOGARES-ENDLINE'!$A:$B,2,FALSE)</f>
        <v>00010052</v>
      </c>
      <c r="F2552" s="6" t="str">
        <f t="shared" si="89"/>
        <v>0001005204</v>
      </c>
    </row>
    <row r="2553" spans="1:6" x14ac:dyDescent="0.3">
      <c r="A2553" s="6" t="s">
        <v>201</v>
      </c>
      <c r="B2553">
        <v>1020450299</v>
      </c>
      <c r="C2553">
        <v>5</v>
      </c>
      <c r="D2553" t="str">
        <f t="shared" si="90"/>
        <v>05</v>
      </c>
      <c r="E2553" t="str">
        <f>VLOOKUP(B2553,'HOGARES-ENDLINE'!$A:$B,2,FALSE)</f>
        <v>00010052</v>
      </c>
      <c r="F2553" s="6" t="str">
        <f t="shared" si="89"/>
        <v>0001005205</v>
      </c>
    </row>
    <row r="2554" spans="1:6" x14ac:dyDescent="0.3">
      <c r="A2554" s="6" t="s">
        <v>203</v>
      </c>
      <c r="B2554">
        <v>1020450299</v>
      </c>
      <c r="C2554">
        <v>2</v>
      </c>
      <c r="D2554" t="str">
        <f t="shared" si="90"/>
        <v>02</v>
      </c>
      <c r="E2554" t="str">
        <f>VLOOKUP(B2554,'HOGARES-ENDLINE'!$A:$B,2,FALSE)</f>
        <v>00010052</v>
      </c>
      <c r="F2554" s="6" t="str">
        <f t="shared" si="89"/>
        <v>0001005202</v>
      </c>
    </row>
    <row r="2555" spans="1:6" x14ac:dyDescent="0.3">
      <c r="A2555" s="6" t="s">
        <v>204</v>
      </c>
      <c r="B2555">
        <v>1020450299</v>
      </c>
      <c r="C2555">
        <v>1</v>
      </c>
      <c r="D2555" t="str">
        <f t="shared" si="90"/>
        <v>01</v>
      </c>
      <c r="E2555" t="str">
        <f>VLOOKUP(B2555,'HOGARES-ENDLINE'!$A:$B,2,FALSE)</f>
        <v>00010052</v>
      </c>
      <c r="F2555" s="6" t="str">
        <f t="shared" si="89"/>
        <v>0001005201</v>
      </c>
    </row>
    <row r="2556" spans="1:6" x14ac:dyDescent="0.3">
      <c r="A2556" s="6" t="s">
        <v>207</v>
      </c>
      <c r="B2556">
        <v>1020482801</v>
      </c>
      <c r="C2556">
        <v>2</v>
      </c>
      <c r="D2556" t="str">
        <f t="shared" si="90"/>
        <v>02</v>
      </c>
      <c r="E2556" t="str">
        <f>VLOOKUP(B2556,'HOGARES-ENDLINE'!$A:$B,2,FALSE)</f>
        <v>01010053</v>
      </c>
      <c r="F2556" s="6" t="str">
        <f t="shared" si="89"/>
        <v>0101005302</v>
      </c>
    </row>
    <row r="2557" spans="1:6" x14ac:dyDescent="0.3">
      <c r="A2557" s="6" t="s">
        <v>206</v>
      </c>
      <c r="B2557">
        <v>1020482801</v>
      </c>
      <c r="C2557">
        <v>1</v>
      </c>
      <c r="D2557" t="str">
        <f t="shared" si="90"/>
        <v>01</v>
      </c>
      <c r="E2557" t="str">
        <f>VLOOKUP(B2557,'HOGARES-ENDLINE'!$A:$B,2,FALSE)</f>
        <v>01010053</v>
      </c>
      <c r="F2557" s="6" t="str">
        <f t="shared" si="89"/>
        <v>0101005301</v>
      </c>
    </row>
    <row r="2558" spans="1:6" x14ac:dyDescent="0.3">
      <c r="A2558" s="6" t="s">
        <v>213</v>
      </c>
      <c r="B2558">
        <v>1022124557</v>
      </c>
      <c r="C2558">
        <v>1</v>
      </c>
      <c r="D2558" t="str">
        <f t="shared" si="90"/>
        <v>01</v>
      </c>
      <c r="E2558" t="str">
        <f>VLOOKUP(B2558,'HOGARES-ENDLINE'!$A:$B,2,FALSE)</f>
        <v>01010055</v>
      </c>
      <c r="F2558" s="6" t="str">
        <f t="shared" si="89"/>
        <v>0101005501</v>
      </c>
    </row>
    <row r="2559" spans="1:6" x14ac:dyDescent="0.3">
      <c r="A2559" s="6" t="s">
        <v>215</v>
      </c>
      <c r="B2559">
        <v>1022125326</v>
      </c>
      <c r="C2559">
        <v>1</v>
      </c>
      <c r="D2559" t="str">
        <f t="shared" si="90"/>
        <v>01</v>
      </c>
      <c r="E2559" t="str">
        <f>VLOOKUP(B2559,'HOGARES-ENDLINE'!$A:$B,2,FALSE)</f>
        <v>01010056</v>
      </c>
      <c r="F2559" s="6" t="str">
        <f t="shared" si="89"/>
        <v>0101005601</v>
      </c>
    </row>
    <row r="2560" spans="1:6" x14ac:dyDescent="0.3">
      <c r="A2560" s="6" t="s">
        <v>217</v>
      </c>
      <c r="B2560">
        <v>1023626536</v>
      </c>
      <c r="C2560">
        <v>2</v>
      </c>
      <c r="D2560" t="str">
        <f t="shared" si="90"/>
        <v>02</v>
      </c>
      <c r="E2560" t="str">
        <f>VLOOKUP(B2560,'HOGARES-ENDLINE'!$A:$B,2,FALSE)</f>
        <v>00010057</v>
      </c>
      <c r="F2560" s="6" t="str">
        <f t="shared" si="89"/>
        <v>0001005702</v>
      </c>
    </row>
    <row r="2561" spans="1:6" x14ac:dyDescent="0.3">
      <c r="A2561" s="6" t="s">
        <v>218</v>
      </c>
      <c r="B2561">
        <v>1023626536</v>
      </c>
      <c r="C2561">
        <v>3</v>
      </c>
      <c r="D2561" t="str">
        <f t="shared" si="90"/>
        <v>03</v>
      </c>
      <c r="E2561" t="str">
        <f>VLOOKUP(B2561,'HOGARES-ENDLINE'!$A:$B,2,FALSE)</f>
        <v>00010057</v>
      </c>
      <c r="F2561" s="6" t="str">
        <f t="shared" si="89"/>
        <v>0001005703</v>
      </c>
    </row>
    <row r="2562" spans="1:6" x14ac:dyDescent="0.3">
      <c r="A2562" s="6" t="s">
        <v>216</v>
      </c>
      <c r="B2562">
        <v>1023626536</v>
      </c>
      <c r="C2562">
        <v>1</v>
      </c>
      <c r="D2562" t="str">
        <f t="shared" si="90"/>
        <v>01</v>
      </c>
      <c r="E2562" t="str">
        <f>VLOOKUP(B2562,'HOGARES-ENDLINE'!$A:$B,2,FALSE)</f>
        <v>00010057</v>
      </c>
      <c r="F2562" s="6" t="str">
        <f t="shared" si="89"/>
        <v>0001005701</v>
      </c>
    </row>
    <row r="2563" spans="1:6" x14ac:dyDescent="0.3">
      <c r="A2563" s="6" t="s">
        <v>225</v>
      </c>
      <c r="B2563">
        <v>1025640590</v>
      </c>
      <c r="C2563">
        <v>2</v>
      </c>
      <c r="D2563" t="str">
        <f t="shared" si="90"/>
        <v>02</v>
      </c>
      <c r="E2563" t="str">
        <f>VLOOKUP(B2563,'HOGARES-ENDLINE'!$A:$B,2,FALSE)</f>
        <v>01010059</v>
      </c>
      <c r="F2563" s="6" t="str">
        <f t="shared" ref="F2563:F2626" si="91">_xlfn.CONCAT(E2563,D2563)</f>
        <v>0101005902</v>
      </c>
    </row>
    <row r="2564" spans="1:6" x14ac:dyDescent="0.3">
      <c r="A2564" s="6" t="s">
        <v>226</v>
      </c>
      <c r="B2564">
        <v>1025640590</v>
      </c>
      <c r="C2564">
        <v>1</v>
      </c>
      <c r="D2564" t="str">
        <f t="shared" si="90"/>
        <v>01</v>
      </c>
      <c r="E2564" t="str">
        <f>VLOOKUP(B2564,'HOGARES-ENDLINE'!$A:$B,2,FALSE)</f>
        <v>01010059</v>
      </c>
      <c r="F2564" s="6" t="str">
        <f t="shared" si="91"/>
        <v>0101005901</v>
      </c>
    </row>
    <row r="2565" spans="1:6" x14ac:dyDescent="0.3">
      <c r="A2565" s="6" t="s">
        <v>227</v>
      </c>
      <c r="B2565">
        <v>1025665487</v>
      </c>
      <c r="C2565">
        <v>1</v>
      </c>
      <c r="D2565" t="str">
        <f t="shared" si="90"/>
        <v>01</v>
      </c>
      <c r="E2565" t="str">
        <f>VLOOKUP(B2565,'HOGARES-ENDLINE'!$A:$B,2,FALSE)</f>
        <v>01010060</v>
      </c>
      <c r="F2565" s="6" t="str">
        <f t="shared" si="91"/>
        <v>0101006001</v>
      </c>
    </row>
    <row r="2566" spans="1:6" x14ac:dyDescent="0.3">
      <c r="A2566" s="6" t="s">
        <v>229</v>
      </c>
      <c r="B2566">
        <v>1025665487</v>
      </c>
      <c r="C2566">
        <v>2</v>
      </c>
      <c r="D2566" t="str">
        <f t="shared" si="90"/>
        <v>02</v>
      </c>
      <c r="E2566" t="str">
        <f>VLOOKUP(B2566,'HOGARES-ENDLINE'!$A:$B,2,FALSE)</f>
        <v>01010060</v>
      </c>
      <c r="F2566" s="6" t="str">
        <f t="shared" si="91"/>
        <v>0101006002</v>
      </c>
    </row>
    <row r="2567" spans="1:6" x14ac:dyDescent="0.3">
      <c r="A2567" s="6" t="s">
        <v>228</v>
      </c>
      <c r="B2567">
        <v>1025665487</v>
      </c>
      <c r="C2567">
        <v>4</v>
      </c>
      <c r="D2567" t="str">
        <f t="shared" si="90"/>
        <v>04</v>
      </c>
      <c r="E2567" t="str">
        <f>VLOOKUP(B2567,'HOGARES-ENDLINE'!$A:$B,2,FALSE)</f>
        <v>01010060</v>
      </c>
      <c r="F2567" s="6" t="str">
        <f t="shared" si="91"/>
        <v>0101006004</v>
      </c>
    </row>
    <row r="2568" spans="1:6" x14ac:dyDescent="0.3">
      <c r="A2568" s="6" t="s">
        <v>230</v>
      </c>
      <c r="B2568">
        <v>1025665487</v>
      </c>
      <c r="C2568">
        <v>3</v>
      </c>
      <c r="D2568" t="str">
        <f t="shared" si="90"/>
        <v>03</v>
      </c>
      <c r="E2568" t="str">
        <f>VLOOKUP(B2568,'HOGARES-ENDLINE'!$A:$B,2,FALSE)</f>
        <v>01010060</v>
      </c>
      <c r="F2568" s="6" t="str">
        <f t="shared" si="91"/>
        <v>0101006003</v>
      </c>
    </row>
    <row r="2569" spans="1:6" x14ac:dyDescent="0.3">
      <c r="A2569" s="6" t="s">
        <v>231</v>
      </c>
      <c r="B2569">
        <v>1026145865</v>
      </c>
      <c r="C2569">
        <v>2</v>
      </c>
      <c r="D2569" t="str">
        <f t="shared" ref="D2569:D2632" si="92">_xlfn.CONCAT(0,C2569)</f>
        <v>02</v>
      </c>
      <c r="E2569" t="str">
        <f>VLOOKUP(B2569,'HOGARES-ENDLINE'!$A:$B,2,FALSE)</f>
        <v>01010061</v>
      </c>
      <c r="F2569" s="6" t="str">
        <f t="shared" si="91"/>
        <v>0101006102</v>
      </c>
    </row>
    <row r="2570" spans="1:6" x14ac:dyDescent="0.3">
      <c r="A2570" s="6" t="s">
        <v>233</v>
      </c>
      <c r="B2570">
        <v>1026145865</v>
      </c>
      <c r="C2570">
        <v>1</v>
      </c>
      <c r="D2570" t="str">
        <f t="shared" si="92"/>
        <v>01</v>
      </c>
      <c r="E2570" t="str">
        <f>VLOOKUP(B2570,'HOGARES-ENDLINE'!$A:$B,2,FALSE)</f>
        <v>01010061</v>
      </c>
      <c r="F2570" s="6" t="str">
        <f t="shared" si="91"/>
        <v>0101006101</v>
      </c>
    </row>
    <row r="2571" spans="1:6" x14ac:dyDescent="0.3">
      <c r="A2571" s="6" t="s">
        <v>234</v>
      </c>
      <c r="B2571">
        <v>1026145865</v>
      </c>
      <c r="C2571">
        <v>3</v>
      </c>
      <c r="D2571" t="str">
        <f t="shared" si="92"/>
        <v>03</v>
      </c>
      <c r="E2571" t="str">
        <f>VLOOKUP(B2571,'HOGARES-ENDLINE'!$A:$B,2,FALSE)</f>
        <v>01010061</v>
      </c>
      <c r="F2571" s="6" t="str">
        <f t="shared" si="91"/>
        <v>0101006103</v>
      </c>
    </row>
    <row r="2572" spans="1:6" x14ac:dyDescent="0.3">
      <c r="A2572" s="6" t="s">
        <v>232</v>
      </c>
      <c r="B2572">
        <v>1026145865</v>
      </c>
      <c r="C2572">
        <v>4</v>
      </c>
      <c r="D2572" t="str">
        <f t="shared" si="92"/>
        <v>04</v>
      </c>
      <c r="E2572" t="str">
        <f>VLOOKUP(B2572,'HOGARES-ENDLINE'!$A:$B,2,FALSE)</f>
        <v>01010061</v>
      </c>
      <c r="F2572" s="6" t="str">
        <f t="shared" si="91"/>
        <v>0101006104</v>
      </c>
    </row>
    <row r="2573" spans="1:6" x14ac:dyDescent="0.3">
      <c r="A2573" s="6" t="s">
        <v>237</v>
      </c>
      <c r="B2573">
        <v>1032421813</v>
      </c>
      <c r="C2573">
        <v>1</v>
      </c>
      <c r="D2573" t="str">
        <f t="shared" si="92"/>
        <v>01</v>
      </c>
      <c r="E2573" t="str">
        <f>VLOOKUP(B2573,'HOGARES-ENDLINE'!$A:$B,2,FALSE)</f>
        <v>00010062</v>
      </c>
      <c r="F2573" s="6" t="str">
        <f t="shared" si="91"/>
        <v>0001006201</v>
      </c>
    </row>
    <row r="2574" spans="1:6" x14ac:dyDescent="0.3">
      <c r="A2574" s="6" t="s">
        <v>238</v>
      </c>
      <c r="B2574">
        <v>1032421813</v>
      </c>
      <c r="C2574">
        <v>2</v>
      </c>
      <c r="D2574" t="str">
        <f t="shared" si="92"/>
        <v>02</v>
      </c>
      <c r="E2574" t="str">
        <f>VLOOKUP(B2574,'HOGARES-ENDLINE'!$A:$B,2,FALSE)</f>
        <v>00010062</v>
      </c>
      <c r="F2574" s="6" t="str">
        <f t="shared" si="91"/>
        <v>0001006202</v>
      </c>
    </row>
    <row r="2575" spans="1:6" x14ac:dyDescent="0.3">
      <c r="A2575" s="6" t="s">
        <v>236</v>
      </c>
      <c r="B2575">
        <v>1032421813</v>
      </c>
      <c r="C2575">
        <v>5</v>
      </c>
      <c r="D2575" t="str">
        <f t="shared" si="92"/>
        <v>05</v>
      </c>
      <c r="E2575" t="str">
        <f>VLOOKUP(B2575,'HOGARES-ENDLINE'!$A:$B,2,FALSE)</f>
        <v>00010062</v>
      </c>
      <c r="F2575" s="6" t="str">
        <f t="shared" si="91"/>
        <v>0001006205</v>
      </c>
    </row>
    <row r="2576" spans="1:6" x14ac:dyDescent="0.3">
      <c r="A2576" s="6" t="s">
        <v>240</v>
      </c>
      <c r="B2576">
        <v>1032421813</v>
      </c>
      <c r="C2576">
        <v>3</v>
      </c>
      <c r="D2576" t="str">
        <f t="shared" si="92"/>
        <v>03</v>
      </c>
      <c r="E2576" t="str">
        <f>VLOOKUP(B2576,'HOGARES-ENDLINE'!$A:$B,2,FALSE)</f>
        <v>00010062</v>
      </c>
      <c r="F2576" s="6" t="str">
        <f t="shared" si="91"/>
        <v>0001006203</v>
      </c>
    </row>
    <row r="2577" spans="1:6" x14ac:dyDescent="0.3">
      <c r="A2577" s="6" t="s">
        <v>235</v>
      </c>
      <c r="B2577">
        <v>1032421813</v>
      </c>
      <c r="C2577">
        <v>6</v>
      </c>
      <c r="D2577" t="str">
        <f t="shared" si="92"/>
        <v>06</v>
      </c>
      <c r="E2577" t="str">
        <f>VLOOKUP(B2577,'HOGARES-ENDLINE'!$A:$B,2,FALSE)</f>
        <v>00010062</v>
      </c>
      <c r="F2577" s="6" t="str">
        <f t="shared" si="91"/>
        <v>0001006206</v>
      </c>
    </row>
    <row r="2578" spans="1:6" x14ac:dyDescent="0.3">
      <c r="A2578" s="6" t="s">
        <v>239</v>
      </c>
      <c r="B2578">
        <v>1032421813</v>
      </c>
      <c r="C2578">
        <v>4</v>
      </c>
      <c r="D2578" t="str">
        <f t="shared" si="92"/>
        <v>04</v>
      </c>
      <c r="E2578" t="str">
        <f>VLOOKUP(B2578,'HOGARES-ENDLINE'!$A:$B,2,FALSE)</f>
        <v>00010062</v>
      </c>
      <c r="F2578" s="6" t="str">
        <f t="shared" si="91"/>
        <v>0001006204</v>
      </c>
    </row>
    <row r="2579" spans="1:6" x14ac:dyDescent="0.3">
      <c r="A2579" s="6" t="s">
        <v>243</v>
      </c>
      <c r="B2579">
        <v>1033176878</v>
      </c>
      <c r="C2579">
        <v>4</v>
      </c>
      <c r="D2579" t="str">
        <f t="shared" si="92"/>
        <v>04</v>
      </c>
      <c r="E2579" t="str">
        <f>VLOOKUP(B2579,'HOGARES-ENDLINE'!$A:$B,2,FALSE)</f>
        <v>00010063</v>
      </c>
      <c r="F2579" s="6" t="str">
        <f t="shared" si="91"/>
        <v>0001006304</v>
      </c>
    </row>
    <row r="2580" spans="1:6" x14ac:dyDescent="0.3">
      <c r="A2580" s="6" t="s">
        <v>242</v>
      </c>
      <c r="B2580">
        <v>1033176878</v>
      </c>
      <c r="C2580">
        <v>2</v>
      </c>
      <c r="D2580" t="str">
        <f t="shared" si="92"/>
        <v>02</v>
      </c>
      <c r="E2580" t="str">
        <f>VLOOKUP(B2580,'HOGARES-ENDLINE'!$A:$B,2,FALSE)</f>
        <v>00010063</v>
      </c>
      <c r="F2580" s="6" t="str">
        <f t="shared" si="91"/>
        <v>0001006302</v>
      </c>
    </row>
    <row r="2581" spans="1:6" x14ac:dyDescent="0.3">
      <c r="A2581" s="6" t="s">
        <v>241</v>
      </c>
      <c r="B2581">
        <v>1033176878</v>
      </c>
      <c r="C2581">
        <v>1</v>
      </c>
      <c r="D2581" t="str">
        <f t="shared" si="92"/>
        <v>01</v>
      </c>
      <c r="E2581" t="str">
        <f>VLOOKUP(B2581,'HOGARES-ENDLINE'!$A:$B,2,FALSE)</f>
        <v>00010063</v>
      </c>
      <c r="F2581" s="6" t="str">
        <f t="shared" si="91"/>
        <v>0001006301</v>
      </c>
    </row>
    <row r="2582" spans="1:6" x14ac:dyDescent="0.3">
      <c r="A2582" s="6" t="s">
        <v>247</v>
      </c>
      <c r="B2582">
        <v>1035228839</v>
      </c>
      <c r="C2582">
        <v>1</v>
      </c>
      <c r="D2582" t="str">
        <f t="shared" si="92"/>
        <v>01</v>
      </c>
      <c r="E2582" t="str">
        <f>VLOOKUP(B2582,'HOGARES-ENDLINE'!$A:$B,2,FALSE)</f>
        <v>00010064</v>
      </c>
      <c r="F2582" s="6" t="str">
        <f t="shared" si="91"/>
        <v>0001006401</v>
      </c>
    </row>
    <row r="2583" spans="1:6" x14ac:dyDescent="0.3">
      <c r="A2583" s="6" t="s">
        <v>246</v>
      </c>
      <c r="B2583">
        <v>1035228839</v>
      </c>
      <c r="C2583">
        <v>3</v>
      </c>
      <c r="D2583" t="str">
        <f t="shared" si="92"/>
        <v>03</v>
      </c>
      <c r="E2583" t="str">
        <f>VLOOKUP(B2583,'HOGARES-ENDLINE'!$A:$B,2,FALSE)</f>
        <v>00010064</v>
      </c>
      <c r="F2583" s="6" t="str">
        <f t="shared" si="91"/>
        <v>0001006403</v>
      </c>
    </row>
    <row r="2584" spans="1:6" x14ac:dyDescent="0.3">
      <c r="A2584" s="6" t="s">
        <v>249</v>
      </c>
      <c r="B2584">
        <v>1035921080</v>
      </c>
      <c r="C2584">
        <v>1</v>
      </c>
      <c r="D2584" t="str">
        <f t="shared" si="92"/>
        <v>01</v>
      </c>
      <c r="E2584" t="str">
        <f>VLOOKUP(B2584,'HOGARES-ENDLINE'!$A:$B,2,FALSE)</f>
        <v>00010065</v>
      </c>
      <c r="F2584" s="6" t="str">
        <f t="shared" si="91"/>
        <v>0001006501</v>
      </c>
    </row>
    <row r="2585" spans="1:6" x14ac:dyDescent="0.3">
      <c r="A2585" s="6" t="s">
        <v>248</v>
      </c>
      <c r="B2585">
        <v>1035921080</v>
      </c>
      <c r="C2585">
        <v>2</v>
      </c>
      <c r="D2585" t="str">
        <f t="shared" si="92"/>
        <v>02</v>
      </c>
      <c r="E2585" t="str">
        <f>VLOOKUP(B2585,'HOGARES-ENDLINE'!$A:$B,2,FALSE)</f>
        <v>00010065</v>
      </c>
      <c r="F2585" s="6" t="str">
        <f t="shared" si="91"/>
        <v>0001006502</v>
      </c>
    </row>
    <row r="2586" spans="1:6" x14ac:dyDescent="0.3">
      <c r="A2586" s="6" t="s">
        <v>251</v>
      </c>
      <c r="B2586">
        <v>1036601648</v>
      </c>
      <c r="C2586">
        <v>3</v>
      </c>
      <c r="D2586" t="str">
        <f t="shared" si="92"/>
        <v>03</v>
      </c>
      <c r="E2586" t="str">
        <f>VLOOKUP(B2586,'HOGARES-ENDLINE'!$A:$B,2,FALSE)</f>
        <v>01010066</v>
      </c>
      <c r="F2586" s="6" t="str">
        <f t="shared" si="91"/>
        <v>0101006603</v>
      </c>
    </row>
    <row r="2587" spans="1:6" x14ac:dyDescent="0.3">
      <c r="A2587" s="6" t="s">
        <v>253</v>
      </c>
      <c r="B2587">
        <v>1036601648</v>
      </c>
      <c r="C2587">
        <v>1</v>
      </c>
      <c r="D2587" t="str">
        <f t="shared" si="92"/>
        <v>01</v>
      </c>
      <c r="E2587" t="str">
        <f>VLOOKUP(B2587,'HOGARES-ENDLINE'!$A:$B,2,FALSE)</f>
        <v>01010066</v>
      </c>
      <c r="F2587" s="6" t="str">
        <f t="shared" si="91"/>
        <v>0101006601</v>
      </c>
    </row>
    <row r="2588" spans="1:6" x14ac:dyDescent="0.3">
      <c r="A2588" s="6" t="s">
        <v>252</v>
      </c>
      <c r="B2588">
        <v>1036601648</v>
      </c>
      <c r="C2588">
        <v>4</v>
      </c>
      <c r="D2588" t="str">
        <f t="shared" si="92"/>
        <v>04</v>
      </c>
      <c r="E2588" t="str">
        <f>VLOOKUP(B2588,'HOGARES-ENDLINE'!$A:$B,2,FALSE)</f>
        <v>01010066</v>
      </c>
      <c r="F2588" s="6" t="str">
        <f t="shared" si="91"/>
        <v>0101006604</v>
      </c>
    </row>
    <row r="2589" spans="1:6" x14ac:dyDescent="0.3">
      <c r="A2589" s="6" t="s">
        <v>250</v>
      </c>
      <c r="B2589">
        <v>1036601648</v>
      </c>
      <c r="C2589">
        <v>2</v>
      </c>
      <c r="D2589" t="str">
        <f t="shared" si="92"/>
        <v>02</v>
      </c>
      <c r="E2589" t="str">
        <f>VLOOKUP(B2589,'HOGARES-ENDLINE'!$A:$B,2,FALSE)</f>
        <v>01010066</v>
      </c>
      <c r="F2589" s="6" t="str">
        <f t="shared" si="91"/>
        <v>0101006602</v>
      </c>
    </row>
    <row r="2590" spans="1:6" x14ac:dyDescent="0.3">
      <c r="A2590" s="6" t="s">
        <v>258</v>
      </c>
      <c r="B2590">
        <v>1036617115</v>
      </c>
      <c r="C2590">
        <v>4</v>
      </c>
      <c r="D2590" t="str">
        <f t="shared" si="92"/>
        <v>04</v>
      </c>
      <c r="E2590" t="str">
        <f>VLOOKUP(B2590,'HOGARES-ENDLINE'!$A:$B,2,FALSE)</f>
        <v>00010068</v>
      </c>
      <c r="F2590" s="6" t="str">
        <f t="shared" si="91"/>
        <v>0001006804</v>
      </c>
    </row>
    <row r="2591" spans="1:6" x14ac:dyDescent="0.3">
      <c r="A2591" s="6" t="s">
        <v>259</v>
      </c>
      <c r="B2591">
        <v>1036617115</v>
      </c>
      <c r="C2591">
        <v>3</v>
      </c>
      <c r="D2591" t="str">
        <f t="shared" si="92"/>
        <v>03</v>
      </c>
      <c r="E2591" t="str">
        <f>VLOOKUP(B2591,'HOGARES-ENDLINE'!$A:$B,2,FALSE)</f>
        <v>00010068</v>
      </c>
      <c r="F2591" s="6" t="str">
        <f t="shared" si="91"/>
        <v>0001006803</v>
      </c>
    </row>
    <row r="2592" spans="1:6" x14ac:dyDescent="0.3">
      <c r="A2592" s="6" t="s">
        <v>257</v>
      </c>
      <c r="B2592">
        <v>1036617115</v>
      </c>
      <c r="C2592">
        <v>2</v>
      </c>
      <c r="D2592" t="str">
        <f t="shared" si="92"/>
        <v>02</v>
      </c>
      <c r="E2592" t="str">
        <f>VLOOKUP(B2592,'HOGARES-ENDLINE'!$A:$B,2,FALSE)</f>
        <v>00010068</v>
      </c>
      <c r="F2592" s="6" t="str">
        <f t="shared" si="91"/>
        <v>0001006802</v>
      </c>
    </row>
    <row r="2593" spans="1:6" x14ac:dyDescent="0.3">
      <c r="A2593" s="6" t="s">
        <v>256</v>
      </c>
      <c r="B2593">
        <v>1036617115</v>
      </c>
      <c r="C2593">
        <v>1</v>
      </c>
      <c r="D2593" t="str">
        <f t="shared" si="92"/>
        <v>01</v>
      </c>
      <c r="E2593" t="str">
        <f>VLOOKUP(B2593,'HOGARES-ENDLINE'!$A:$B,2,FALSE)</f>
        <v>00010068</v>
      </c>
      <c r="F2593" s="6" t="str">
        <f t="shared" si="91"/>
        <v>0001006801</v>
      </c>
    </row>
    <row r="2594" spans="1:6" x14ac:dyDescent="0.3">
      <c r="A2594" s="6" t="s">
        <v>261</v>
      </c>
      <c r="B2594">
        <v>1036631758</v>
      </c>
      <c r="C2594">
        <v>1</v>
      </c>
      <c r="D2594" t="str">
        <f t="shared" si="92"/>
        <v>01</v>
      </c>
      <c r="E2594" t="str">
        <f>VLOOKUP(B2594,'HOGARES-ENDLINE'!$A:$B,2,FALSE)</f>
        <v>00010069</v>
      </c>
      <c r="F2594" s="6" t="str">
        <f t="shared" si="91"/>
        <v>0001006901</v>
      </c>
    </row>
    <row r="2595" spans="1:6" x14ac:dyDescent="0.3">
      <c r="A2595" s="6" t="s">
        <v>265</v>
      </c>
      <c r="B2595">
        <v>1036631758</v>
      </c>
      <c r="C2595">
        <v>4</v>
      </c>
      <c r="D2595" t="str">
        <f t="shared" si="92"/>
        <v>04</v>
      </c>
      <c r="E2595" t="str">
        <f>VLOOKUP(B2595,'HOGARES-ENDLINE'!$A:$B,2,FALSE)</f>
        <v>00010069</v>
      </c>
      <c r="F2595" s="6" t="str">
        <f t="shared" si="91"/>
        <v>0001006904</v>
      </c>
    </row>
    <row r="2596" spans="1:6" x14ac:dyDescent="0.3">
      <c r="A2596" s="6" t="s">
        <v>264</v>
      </c>
      <c r="B2596">
        <v>1036631758</v>
      </c>
      <c r="C2596">
        <v>5</v>
      </c>
      <c r="D2596" t="str">
        <f t="shared" si="92"/>
        <v>05</v>
      </c>
      <c r="E2596" t="str">
        <f>VLOOKUP(B2596,'HOGARES-ENDLINE'!$A:$B,2,FALSE)</f>
        <v>00010069</v>
      </c>
      <c r="F2596" s="6" t="str">
        <f t="shared" si="91"/>
        <v>0001006905</v>
      </c>
    </row>
    <row r="2597" spans="1:6" x14ac:dyDescent="0.3">
      <c r="A2597" s="6" t="s">
        <v>262</v>
      </c>
      <c r="B2597">
        <v>1036631758</v>
      </c>
      <c r="C2597">
        <v>2</v>
      </c>
      <c r="D2597" t="str">
        <f t="shared" si="92"/>
        <v>02</v>
      </c>
      <c r="E2597" t="str">
        <f>VLOOKUP(B2597,'HOGARES-ENDLINE'!$A:$B,2,FALSE)</f>
        <v>00010069</v>
      </c>
      <c r="F2597" s="6" t="str">
        <f t="shared" si="91"/>
        <v>0001006902</v>
      </c>
    </row>
    <row r="2598" spans="1:6" x14ac:dyDescent="0.3">
      <c r="A2598" s="6" t="s">
        <v>263</v>
      </c>
      <c r="B2598">
        <v>1036631758</v>
      </c>
      <c r="C2598">
        <v>6</v>
      </c>
      <c r="D2598" t="str">
        <f t="shared" si="92"/>
        <v>06</v>
      </c>
      <c r="E2598" t="str">
        <f>VLOOKUP(B2598,'HOGARES-ENDLINE'!$A:$B,2,FALSE)</f>
        <v>00010069</v>
      </c>
      <c r="F2598" s="6" t="str">
        <f t="shared" si="91"/>
        <v>0001006906</v>
      </c>
    </row>
    <row r="2599" spans="1:6" x14ac:dyDescent="0.3">
      <c r="A2599" s="6" t="s">
        <v>5202</v>
      </c>
      <c r="B2599">
        <v>1036934154</v>
      </c>
      <c r="C2599">
        <v>2</v>
      </c>
      <c r="D2599" t="str">
        <f t="shared" si="92"/>
        <v>02</v>
      </c>
      <c r="E2599" t="str">
        <f>VLOOKUP(B2599,'HOGARES-ENDLINE'!$A:$B,2,FALSE)</f>
        <v>01010070</v>
      </c>
      <c r="F2599" s="6" t="str">
        <f t="shared" si="91"/>
        <v>0101007002</v>
      </c>
    </row>
    <row r="2600" spans="1:6" x14ac:dyDescent="0.3">
      <c r="A2600" s="6" t="s">
        <v>266</v>
      </c>
      <c r="B2600">
        <v>1036934154</v>
      </c>
      <c r="C2600">
        <v>1</v>
      </c>
      <c r="D2600" t="str">
        <f t="shared" si="92"/>
        <v>01</v>
      </c>
      <c r="E2600" t="str">
        <f>VLOOKUP(B2600,'HOGARES-ENDLINE'!$A:$B,2,FALSE)</f>
        <v>01010070</v>
      </c>
      <c r="F2600" s="6" t="str">
        <f t="shared" si="91"/>
        <v>0101007001</v>
      </c>
    </row>
    <row r="2601" spans="1:6" x14ac:dyDescent="0.3">
      <c r="A2601" s="6" t="s">
        <v>270</v>
      </c>
      <c r="B2601">
        <v>1037263422</v>
      </c>
      <c r="C2601">
        <v>1</v>
      </c>
      <c r="D2601" t="str">
        <f t="shared" si="92"/>
        <v>01</v>
      </c>
      <c r="E2601" t="str">
        <f>VLOOKUP(B2601,'HOGARES-ENDLINE'!$A:$B,2,FALSE)</f>
        <v>01010071</v>
      </c>
      <c r="F2601" s="6" t="str">
        <f t="shared" si="91"/>
        <v>0101007101</v>
      </c>
    </row>
    <row r="2602" spans="1:6" x14ac:dyDescent="0.3">
      <c r="A2602" s="6" t="s">
        <v>271</v>
      </c>
      <c r="B2602">
        <v>1037263422</v>
      </c>
      <c r="C2602">
        <v>4</v>
      </c>
      <c r="D2602" t="str">
        <f t="shared" si="92"/>
        <v>04</v>
      </c>
      <c r="E2602" t="str">
        <f>VLOOKUP(B2602,'HOGARES-ENDLINE'!$A:$B,2,FALSE)</f>
        <v>01010071</v>
      </c>
      <c r="F2602" s="6" t="str">
        <f t="shared" si="91"/>
        <v>0101007104</v>
      </c>
    </row>
    <row r="2603" spans="1:6" x14ac:dyDescent="0.3">
      <c r="A2603" s="6" t="s">
        <v>267</v>
      </c>
      <c r="B2603">
        <v>1037263422</v>
      </c>
      <c r="C2603">
        <v>6</v>
      </c>
      <c r="D2603" t="str">
        <f t="shared" si="92"/>
        <v>06</v>
      </c>
      <c r="E2603" t="str">
        <f>VLOOKUP(B2603,'HOGARES-ENDLINE'!$A:$B,2,FALSE)</f>
        <v>01010071</v>
      </c>
      <c r="F2603" s="6" t="str">
        <f t="shared" si="91"/>
        <v>0101007106</v>
      </c>
    </row>
    <row r="2604" spans="1:6" x14ac:dyDescent="0.3">
      <c r="A2604" s="6" t="s">
        <v>273</v>
      </c>
      <c r="B2604">
        <v>1037263422</v>
      </c>
      <c r="C2604">
        <v>5</v>
      </c>
      <c r="D2604" t="str">
        <f t="shared" si="92"/>
        <v>05</v>
      </c>
      <c r="E2604" t="str">
        <f>VLOOKUP(B2604,'HOGARES-ENDLINE'!$A:$B,2,FALSE)</f>
        <v>01010071</v>
      </c>
      <c r="F2604" s="6" t="str">
        <f t="shared" si="91"/>
        <v>0101007105</v>
      </c>
    </row>
    <row r="2605" spans="1:6" x14ac:dyDescent="0.3">
      <c r="A2605" s="6" t="s">
        <v>279</v>
      </c>
      <c r="B2605">
        <v>1037570230</v>
      </c>
      <c r="C2605">
        <v>1</v>
      </c>
      <c r="D2605" t="str">
        <f t="shared" si="92"/>
        <v>01</v>
      </c>
      <c r="E2605" t="str">
        <f>VLOOKUP(B2605,'HOGARES-ENDLINE'!$A:$B,2,FALSE)</f>
        <v>01010073</v>
      </c>
      <c r="F2605" s="6" t="str">
        <f t="shared" si="91"/>
        <v>0101007301</v>
      </c>
    </row>
    <row r="2606" spans="1:6" x14ac:dyDescent="0.3">
      <c r="A2606" s="6" t="s">
        <v>282</v>
      </c>
      <c r="B2606">
        <v>1037584599</v>
      </c>
      <c r="C2606">
        <v>4</v>
      </c>
      <c r="D2606" t="str">
        <f t="shared" si="92"/>
        <v>04</v>
      </c>
      <c r="E2606" t="str">
        <f>VLOOKUP(B2606,'HOGARES-ENDLINE'!$A:$B,2,FALSE)</f>
        <v>00010074</v>
      </c>
      <c r="F2606" s="6" t="str">
        <f t="shared" si="91"/>
        <v>0001007404</v>
      </c>
    </row>
    <row r="2607" spans="1:6" x14ac:dyDescent="0.3">
      <c r="A2607" s="6" t="s">
        <v>283</v>
      </c>
      <c r="B2607">
        <v>1037584599</v>
      </c>
      <c r="C2607">
        <v>2</v>
      </c>
      <c r="D2607" t="str">
        <f t="shared" si="92"/>
        <v>02</v>
      </c>
      <c r="E2607" t="str">
        <f>VLOOKUP(B2607,'HOGARES-ENDLINE'!$A:$B,2,FALSE)</f>
        <v>00010074</v>
      </c>
      <c r="F2607" s="6" t="str">
        <f t="shared" si="91"/>
        <v>0001007402</v>
      </c>
    </row>
    <row r="2608" spans="1:6" x14ac:dyDescent="0.3">
      <c r="A2608" s="6" t="s">
        <v>280</v>
      </c>
      <c r="B2608">
        <v>1037584599</v>
      </c>
      <c r="C2608">
        <v>3</v>
      </c>
      <c r="D2608" t="str">
        <f t="shared" si="92"/>
        <v>03</v>
      </c>
      <c r="E2608" t="str">
        <f>VLOOKUP(B2608,'HOGARES-ENDLINE'!$A:$B,2,FALSE)</f>
        <v>00010074</v>
      </c>
      <c r="F2608" s="6" t="str">
        <f t="shared" si="91"/>
        <v>0001007403</v>
      </c>
    </row>
    <row r="2609" spans="1:6" x14ac:dyDescent="0.3">
      <c r="A2609" s="6" t="s">
        <v>281</v>
      </c>
      <c r="B2609">
        <v>1037584599</v>
      </c>
      <c r="C2609">
        <v>1</v>
      </c>
      <c r="D2609" t="str">
        <f t="shared" si="92"/>
        <v>01</v>
      </c>
      <c r="E2609" t="str">
        <f>VLOOKUP(B2609,'HOGARES-ENDLINE'!$A:$B,2,FALSE)</f>
        <v>00010074</v>
      </c>
      <c r="F2609" s="6" t="str">
        <f t="shared" si="91"/>
        <v>0001007401</v>
      </c>
    </row>
    <row r="2610" spans="1:6" x14ac:dyDescent="0.3">
      <c r="A2610" s="6" t="s">
        <v>284</v>
      </c>
      <c r="B2610">
        <v>1037613164</v>
      </c>
      <c r="C2610">
        <v>1</v>
      </c>
      <c r="D2610" t="str">
        <f t="shared" si="92"/>
        <v>01</v>
      </c>
      <c r="E2610" t="str">
        <f>VLOOKUP(B2610,'HOGARES-ENDLINE'!$A:$B,2,FALSE)</f>
        <v>00010075</v>
      </c>
      <c r="F2610" s="6" t="str">
        <f t="shared" si="91"/>
        <v>0001007501</v>
      </c>
    </row>
    <row r="2611" spans="1:6" x14ac:dyDescent="0.3">
      <c r="A2611" s="6" t="s">
        <v>286</v>
      </c>
      <c r="B2611">
        <v>1037613164</v>
      </c>
      <c r="C2611">
        <v>3</v>
      </c>
      <c r="D2611" t="str">
        <f t="shared" si="92"/>
        <v>03</v>
      </c>
      <c r="E2611" t="str">
        <f>VLOOKUP(B2611,'HOGARES-ENDLINE'!$A:$B,2,FALSE)</f>
        <v>00010075</v>
      </c>
      <c r="F2611" s="6" t="str">
        <f t="shared" si="91"/>
        <v>0001007503</v>
      </c>
    </row>
    <row r="2612" spans="1:6" x14ac:dyDescent="0.3">
      <c r="A2612" s="6" t="s">
        <v>285</v>
      </c>
      <c r="B2612">
        <v>1037613164</v>
      </c>
      <c r="C2612">
        <v>2</v>
      </c>
      <c r="D2612" t="str">
        <f t="shared" si="92"/>
        <v>02</v>
      </c>
      <c r="E2612" t="str">
        <f>VLOOKUP(B2612,'HOGARES-ENDLINE'!$A:$B,2,FALSE)</f>
        <v>00010075</v>
      </c>
      <c r="F2612" s="6" t="str">
        <f t="shared" si="91"/>
        <v>0001007502</v>
      </c>
    </row>
    <row r="2613" spans="1:6" x14ac:dyDescent="0.3">
      <c r="A2613" s="6" t="s">
        <v>288</v>
      </c>
      <c r="B2613">
        <v>1039285463</v>
      </c>
      <c r="C2613">
        <v>3</v>
      </c>
      <c r="D2613" t="str">
        <f t="shared" si="92"/>
        <v>03</v>
      </c>
      <c r="E2613" t="str">
        <f>VLOOKUP(B2613,'HOGARES-ENDLINE'!$A:$B,2,FALSE)</f>
        <v>01010076</v>
      </c>
      <c r="F2613" s="6" t="str">
        <f t="shared" si="91"/>
        <v>0101007603</v>
      </c>
    </row>
    <row r="2614" spans="1:6" x14ac:dyDescent="0.3">
      <c r="A2614" s="6" t="s">
        <v>290</v>
      </c>
      <c r="B2614">
        <v>1039285463</v>
      </c>
      <c r="C2614">
        <v>6</v>
      </c>
      <c r="D2614" t="str">
        <f t="shared" si="92"/>
        <v>06</v>
      </c>
      <c r="E2614" t="str">
        <f>VLOOKUP(B2614,'HOGARES-ENDLINE'!$A:$B,2,FALSE)</f>
        <v>01010076</v>
      </c>
      <c r="F2614" s="6" t="str">
        <f t="shared" si="91"/>
        <v>0101007606</v>
      </c>
    </row>
    <row r="2615" spans="1:6" x14ac:dyDescent="0.3">
      <c r="A2615" s="6" t="s">
        <v>287</v>
      </c>
      <c r="B2615">
        <v>1039285463</v>
      </c>
      <c r="C2615">
        <v>4</v>
      </c>
      <c r="D2615" t="str">
        <f t="shared" si="92"/>
        <v>04</v>
      </c>
      <c r="E2615" t="str">
        <f>VLOOKUP(B2615,'HOGARES-ENDLINE'!$A:$B,2,FALSE)</f>
        <v>01010076</v>
      </c>
      <c r="F2615" s="6" t="str">
        <f t="shared" si="91"/>
        <v>0101007604</v>
      </c>
    </row>
    <row r="2616" spans="1:6" x14ac:dyDescent="0.3">
      <c r="A2616" s="6" t="s">
        <v>292</v>
      </c>
      <c r="B2616">
        <v>1039285463</v>
      </c>
      <c r="C2616">
        <v>5</v>
      </c>
      <c r="D2616" t="str">
        <f t="shared" si="92"/>
        <v>05</v>
      </c>
      <c r="E2616" t="str">
        <f>VLOOKUP(B2616,'HOGARES-ENDLINE'!$A:$B,2,FALSE)</f>
        <v>01010076</v>
      </c>
      <c r="F2616" s="6" t="str">
        <f t="shared" si="91"/>
        <v>0101007605</v>
      </c>
    </row>
    <row r="2617" spans="1:6" x14ac:dyDescent="0.3">
      <c r="A2617" s="6" t="s">
        <v>291</v>
      </c>
      <c r="B2617">
        <v>1039285463</v>
      </c>
      <c r="C2617">
        <v>1</v>
      </c>
      <c r="D2617" t="str">
        <f t="shared" si="92"/>
        <v>01</v>
      </c>
      <c r="E2617" t="str">
        <f>VLOOKUP(B2617,'HOGARES-ENDLINE'!$A:$B,2,FALSE)</f>
        <v>01010076</v>
      </c>
      <c r="F2617" s="6" t="str">
        <f t="shared" si="91"/>
        <v>0101007601</v>
      </c>
    </row>
    <row r="2618" spans="1:6" x14ac:dyDescent="0.3">
      <c r="A2618" s="6" t="s">
        <v>293</v>
      </c>
      <c r="B2618">
        <v>1039460475</v>
      </c>
      <c r="C2618">
        <v>1</v>
      </c>
      <c r="D2618" t="str">
        <f t="shared" si="92"/>
        <v>01</v>
      </c>
      <c r="E2618" t="str">
        <f>VLOOKUP(B2618,'HOGARES-ENDLINE'!$A:$B,2,FALSE)</f>
        <v>00010077</v>
      </c>
      <c r="F2618" s="6" t="str">
        <f t="shared" si="91"/>
        <v>0001007701</v>
      </c>
    </row>
    <row r="2619" spans="1:6" x14ac:dyDescent="0.3">
      <c r="A2619" s="6" t="s">
        <v>295</v>
      </c>
      <c r="B2619">
        <v>1039460475</v>
      </c>
      <c r="C2619">
        <v>2</v>
      </c>
      <c r="D2619" t="str">
        <f t="shared" si="92"/>
        <v>02</v>
      </c>
      <c r="E2619" t="str">
        <f>VLOOKUP(B2619,'HOGARES-ENDLINE'!$A:$B,2,FALSE)</f>
        <v>00010077</v>
      </c>
      <c r="F2619" s="6" t="str">
        <f t="shared" si="91"/>
        <v>0001007702</v>
      </c>
    </row>
    <row r="2620" spans="1:6" x14ac:dyDescent="0.3">
      <c r="A2620" s="6" t="s">
        <v>294</v>
      </c>
      <c r="B2620">
        <v>1039460475</v>
      </c>
      <c r="C2620">
        <v>3</v>
      </c>
      <c r="D2620" t="str">
        <f t="shared" si="92"/>
        <v>03</v>
      </c>
      <c r="E2620" t="str">
        <f>VLOOKUP(B2620,'HOGARES-ENDLINE'!$A:$B,2,FALSE)</f>
        <v>00010077</v>
      </c>
      <c r="F2620" s="6" t="str">
        <f t="shared" si="91"/>
        <v>0001007703</v>
      </c>
    </row>
    <row r="2621" spans="1:6" x14ac:dyDescent="0.3">
      <c r="A2621" s="6" t="s">
        <v>305</v>
      </c>
      <c r="B2621">
        <v>1043435114</v>
      </c>
      <c r="C2621">
        <v>5</v>
      </c>
      <c r="D2621" t="str">
        <f t="shared" si="92"/>
        <v>05</v>
      </c>
      <c r="E2621" t="str">
        <f>VLOOKUP(B2621,'HOGARES-ENDLINE'!$A:$B,2,FALSE)</f>
        <v>01030080</v>
      </c>
      <c r="F2621" s="6" t="str">
        <f t="shared" si="91"/>
        <v>0103008005</v>
      </c>
    </row>
    <row r="2622" spans="1:6" x14ac:dyDescent="0.3">
      <c r="A2622" s="6" t="s">
        <v>306</v>
      </c>
      <c r="B2622">
        <v>1043435114</v>
      </c>
      <c r="C2622">
        <v>3</v>
      </c>
      <c r="D2622" t="str">
        <f t="shared" si="92"/>
        <v>03</v>
      </c>
      <c r="E2622" t="str">
        <f>VLOOKUP(B2622,'HOGARES-ENDLINE'!$A:$B,2,FALSE)</f>
        <v>01030080</v>
      </c>
      <c r="F2622" s="6" t="str">
        <f t="shared" si="91"/>
        <v>0103008003</v>
      </c>
    </row>
    <row r="2623" spans="1:6" x14ac:dyDescent="0.3">
      <c r="A2623" s="6" t="s">
        <v>303</v>
      </c>
      <c r="B2623">
        <v>1043435114</v>
      </c>
      <c r="C2623">
        <v>1</v>
      </c>
      <c r="D2623" t="str">
        <f t="shared" si="92"/>
        <v>01</v>
      </c>
      <c r="E2623" t="str">
        <f>VLOOKUP(B2623,'HOGARES-ENDLINE'!$A:$B,2,FALSE)</f>
        <v>01030080</v>
      </c>
      <c r="F2623" s="6" t="str">
        <f t="shared" si="91"/>
        <v>0103008001</v>
      </c>
    </row>
    <row r="2624" spans="1:6" x14ac:dyDescent="0.3">
      <c r="A2624" s="6" t="s">
        <v>307</v>
      </c>
      <c r="B2624">
        <v>1043435114</v>
      </c>
      <c r="C2624">
        <v>4</v>
      </c>
      <c r="D2624" t="str">
        <f t="shared" si="92"/>
        <v>04</v>
      </c>
      <c r="E2624" t="str">
        <f>VLOOKUP(B2624,'HOGARES-ENDLINE'!$A:$B,2,FALSE)</f>
        <v>01030080</v>
      </c>
      <c r="F2624" s="6" t="str">
        <f t="shared" si="91"/>
        <v>0103008004</v>
      </c>
    </row>
    <row r="2625" spans="1:6" x14ac:dyDescent="0.3">
      <c r="A2625" s="6" t="s">
        <v>304</v>
      </c>
      <c r="B2625">
        <v>1043435114</v>
      </c>
      <c r="C2625">
        <v>2</v>
      </c>
      <c r="D2625" t="str">
        <f t="shared" si="92"/>
        <v>02</v>
      </c>
      <c r="E2625" t="str">
        <f>VLOOKUP(B2625,'HOGARES-ENDLINE'!$A:$B,2,FALSE)</f>
        <v>01030080</v>
      </c>
      <c r="F2625" s="6" t="str">
        <f t="shared" si="91"/>
        <v>0103008002</v>
      </c>
    </row>
    <row r="2626" spans="1:6" x14ac:dyDescent="0.3">
      <c r="A2626" s="6" t="s">
        <v>309</v>
      </c>
      <c r="B2626">
        <v>1043665208</v>
      </c>
      <c r="C2626">
        <v>1</v>
      </c>
      <c r="D2626" t="str">
        <f t="shared" si="92"/>
        <v>01</v>
      </c>
      <c r="E2626" t="str">
        <f>VLOOKUP(B2626,'HOGARES-ENDLINE'!$A:$B,2,FALSE)</f>
        <v>01030081</v>
      </c>
      <c r="F2626" s="6" t="str">
        <f t="shared" si="91"/>
        <v>0103008101</v>
      </c>
    </row>
    <row r="2627" spans="1:6" x14ac:dyDescent="0.3">
      <c r="A2627" s="6" t="s">
        <v>313</v>
      </c>
      <c r="B2627">
        <v>1043873936</v>
      </c>
      <c r="C2627">
        <v>4</v>
      </c>
      <c r="D2627" t="str">
        <f t="shared" si="92"/>
        <v>04</v>
      </c>
      <c r="E2627" t="str">
        <f>VLOOKUP(B2627,'HOGARES-ENDLINE'!$A:$B,2,FALSE)</f>
        <v>00030082</v>
      </c>
      <c r="F2627" s="6" t="str">
        <f t="shared" ref="F2627:F2690" si="93">_xlfn.CONCAT(E2627,D2627)</f>
        <v>0003008204</v>
      </c>
    </row>
    <row r="2628" spans="1:6" x14ac:dyDescent="0.3">
      <c r="A2628" s="6" t="s">
        <v>312</v>
      </c>
      <c r="B2628">
        <v>1043873936</v>
      </c>
      <c r="C2628">
        <v>2</v>
      </c>
      <c r="D2628" t="str">
        <f t="shared" si="92"/>
        <v>02</v>
      </c>
      <c r="E2628" t="str">
        <f>VLOOKUP(B2628,'HOGARES-ENDLINE'!$A:$B,2,FALSE)</f>
        <v>00030082</v>
      </c>
      <c r="F2628" s="6" t="str">
        <f t="shared" si="93"/>
        <v>0003008202</v>
      </c>
    </row>
    <row r="2629" spans="1:6" x14ac:dyDescent="0.3">
      <c r="A2629" s="6" t="s">
        <v>310</v>
      </c>
      <c r="B2629">
        <v>1043873936</v>
      </c>
      <c r="C2629">
        <v>5</v>
      </c>
      <c r="D2629" t="str">
        <f t="shared" si="92"/>
        <v>05</v>
      </c>
      <c r="E2629" t="str">
        <f>VLOOKUP(B2629,'HOGARES-ENDLINE'!$A:$B,2,FALSE)</f>
        <v>00030082</v>
      </c>
      <c r="F2629" s="6" t="str">
        <f t="shared" si="93"/>
        <v>0003008205</v>
      </c>
    </row>
    <row r="2630" spans="1:6" x14ac:dyDescent="0.3">
      <c r="A2630" s="6" t="s">
        <v>314</v>
      </c>
      <c r="B2630">
        <v>1043873936</v>
      </c>
      <c r="C2630">
        <v>1</v>
      </c>
      <c r="D2630" t="str">
        <f t="shared" si="92"/>
        <v>01</v>
      </c>
      <c r="E2630" t="str">
        <f>VLOOKUP(B2630,'HOGARES-ENDLINE'!$A:$B,2,FALSE)</f>
        <v>00030082</v>
      </c>
      <c r="F2630" s="6" t="str">
        <f t="shared" si="93"/>
        <v>0003008201</v>
      </c>
    </row>
    <row r="2631" spans="1:6" x14ac:dyDescent="0.3">
      <c r="A2631" s="6" t="s">
        <v>311</v>
      </c>
      <c r="B2631">
        <v>1043873936</v>
      </c>
      <c r="C2631">
        <v>3</v>
      </c>
      <c r="D2631" t="str">
        <f t="shared" si="92"/>
        <v>03</v>
      </c>
      <c r="E2631" t="str">
        <f>VLOOKUP(B2631,'HOGARES-ENDLINE'!$A:$B,2,FALSE)</f>
        <v>00030082</v>
      </c>
      <c r="F2631" s="6" t="str">
        <f t="shared" si="93"/>
        <v>0003008203</v>
      </c>
    </row>
    <row r="2632" spans="1:6" x14ac:dyDescent="0.3">
      <c r="A2632" s="6" t="s">
        <v>315</v>
      </c>
      <c r="B2632">
        <v>1044150889</v>
      </c>
      <c r="C2632">
        <v>1</v>
      </c>
      <c r="D2632" t="str">
        <f t="shared" si="92"/>
        <v>01</v>
      </c>
      <c r="E2632" t="str">
        <f>VLOOKUP(B2632,'HOGARES-ENDLINE'!$A:$B,2,FALSE)</f>
        <v>01010083</v>
      </c>
      <c r="F2632" s="6" t="str">
        <f t="shared" si="93"/>
        <v>0101008301</v>
      </c>
    </row>
    <row r="2633" spans="1:6" x14ac:dyDescent="0.3">
      <c r="A2633" s="6" t="s">
        <v>320</v>
      </c>
      <c r="B2633">
        <v>1044618006</v>
      </c>
      <c r="C2633">
        <v>3</v>
      </c>
      <c r="D2633" t="str">
        <f t="shared" ref="D2633:D2696" si="94">_xlfn.CONCAT(0,C2633)</f>
        <v>03</v>
      </c>
      <c r="E2633" t="str">
        <f>VLOOKUP(B2633,'HOGARES-ENDLINE'!$A:$B,2,FALSE)</f>
        <v>00030084</v>
      </c>
      <c r="F2633" s="6" t="str">
        <f t="shared" si="93"/>
        <v>0003008403</v>
      </c>
    </row>
    <row r="2634" spans="1:6" x14ac:dyDescent="0.3">
      <c r="A2634" s="6" t="s">
        <v>319</v>
      </c>
      <c r="B2634">
        <v>1044618006</v>
      </c>
      <c r="C2634">
        <v>4</v>
      </c>
      <c r="D2634" t="str">
        <f t="shared" si="94"/>
        <v>04</v>
      </c>
      <c r="E2634" t="str">
        <f>VLOOKUP(B2634,'HOGARES-ENDLINE'!$A:$B,2,FALSE)</f>
        <v>00030084</v>
      </c>
      <c r="F2634" s="6" t="str">
        <f t="shared" si="93"/>
        <v>0003008404</v>
      </c>
    </row>
    <row r="2635" spans="1:6" x14ac:dyDescent="0.3">
      <c r="A2635" s="6" t="s">
        <v>316</v>
      </c>
      <c r="B2635">
        <v>1044618006</v>
      </c>
      <c r="C2635">
        <v>1</v>
      </c>
      <c r="D2635" t="str">
        <f t="shared" si="94"/>
        <v>01</v>
      </c>
      <c r="E2635" t="str">
        <f>VLOOKUP(B2635,'HOGARES-ENDLINE'!$A:$B,2,FALSE)</f>
        <v>00030084</v>
      </c>
      <c r="F2635" s="6" t="str">
        <f t="shared" si="93"/>
        <v>0003008401</v>
      </c>
    </row>
    <row r="2636" spans="1:6" x14ac:dyDescent="0.3">
      <c r="A2636" s="6" t="s">
        <v>318</v>
      </c>
      <c r="B2636">
        <v>1044618006</v>
      </c>
      <c r="C2636">
        <v>2</v>
      </c>
      <c r="D2636" t="str">
        <f t="shared" si="94"/>
        <v>02</v>
      </c>
      <c r="E2636" t="str">
        <f>VLOOKUP(B2636,'HOGARES-ENDLINE'!$A:$B,2,FALSE)</f>
        <v>00030084</v>
      </c>
      <c r="F2636" s="6" t="str">
        <f t="shared" si="93"/>
        <v>0003008402</v>
      </c>
    </row>
    <row r="2637" spans="1:6" x14ac:dyDescent="0.3">
      <c r="A2637" s="6" t="s">
        <v>321</v>
      </c>
      <c r="B2637">
        <v>1044618006</v>
      </c>
      <c r="C2637">
        <v>5</v>
      </c>
      <c r="D2637" t="str">
        <f t="shared" si="94"/>
        <v>05</v>
      </c>
      <c r="E2637" t="str">
        <f>VLOOKUP(B2637,'HOGARES-ENDLINE'!$A:$B,2,FALSE)</f>
        <v>00030084</v>
      </c>
      <c r="F2637" s="6" t="str">
        <f t="shared" si="93"/>
        <v>0003008405</v>
      </c>
    </row>
    <row r="2638" spans="1:6" x14ac:dyDescent="0.3">
      <c r="A2638" s="6" t="s">
        <v>325</v>
      </c>
      <c r="B2638">
        <v>1045674075</v>
      </c>
      <c r="C2638">
        <v>4</v>
      </c>
      <c r="D2638" t="str">
        <f t="shared" si="94"/>
        <v>04</v>
      </c>
      <c r="E2638" t="str">
        <f>VLOOKUP(B2638,'HOGARES-ENDLINE'!$A:$B,2,FALSE)</f>
        <v>00030085</v>
      </c>
      <c r="F2638" s="6" t="str">
        <f t="shared" si="93"/>
        <v>0003008504</v>
      </c>
    </row>
    <row r="2639" spans="1:6" x14ac:dyDescent="0.3">
      <c r="A2639" s="6" t="s">
        <v>326</v>
      </c>
      <c r="B2639">
        <v>1045674075</v>
      </c>
      <c r="C2639">
        <v>3</v>
      </c>
      <c r="D2639" t="str">
        <f t="shared" si="94"/>
        <v>03</v>
      </c>
      <c r="E2639" t="str">
        <f>VLOOKUP(B2639,'HOGARES-ENDLINE'!$A:$B,2,FALSE)</f>
        <v>00030085</v>
      </c>
      <c r="F2639" s="6" t="str">
        <f t="shared" si="93"/>
        <v>0003008503</v>
      </c>
    </row>
    <row r="2640" spans="1:6" x14ac:dyDescent="0.3">
      <c r="A2640" s="6" t="s">
        <v>324</v>
      </c>
      <c r="B2640">
        <v>1045674075</v>
      </c>
      <c r="C2640">
        <v>1</v>
      </c>
      <c r="D2640" t="str">
        <f t="shared" si="94"/>
        <v>01</v>
      </c>
      <c r="E2640" t="str">
        <f>VLOOKUP(B2640,'HOGARES-ENDLINE'!$A:$B,2,FALSE)</f>
        <v>00030085</v>
      </c>
      <c r="F2640" s="6" t="str">
        <f t="shared" si="93"/>
        <v>0003008501</v>
      </c>
    </row>
    <row r="2641" spans="1:6" x14ac:dyDescent="0.3">
      <c r="A2641" s="6" t="s">
        <v>323</v>
      </c>
      <c r="B2641">
        <v>1045674075</v>
      </c>
      <c r="C2641">
        <v>2</v>
      </c>
      <c r="D2641" t="str">
        <f t="shared" si="94"/>
        <v>02</v>
      </c>
      <c r="E2641" t="str">
        <f>VLOOKUP(B2641,'HOGARES-ENDLINE'!$A:$B,2,FALSE)</f>
        <v>00030085</v>
      </c>
      <c r="F2641" s="6" t="str">
        <f t="shared" si="93"/>
        <v>0003008502</v>
      </c>
    </row>
    <row r="2642" spans="1:6" x14ac:dyDescent="0.3">
      <c r="A2642" s="6" t="s">
        <v>328</v>
      </c>
      <c r="B2642">
        <v>1045675162</v>
      </c>
      <c r="C2642">
        <v>5</v>
      </c>
      <c r="D2642" t="str">
        <f t="shared" si="94"/>
        <v>05</v>
      </c>
      <c r="E2642" t="str">
        <f>VLOOKUP(B2642,'HOGARES-ENDLINE'!$A:$B,2,FALSE)</f>
        <v>00030086</v>
      </c>
      <c r="F2642" s="6" t="str">
        <f t="shared" si="93"/>
        <v>0003008605</v>
      </c>
    </row>
    <row r="2643" spans="1:6" x14ac:dyDescent="0.3">
      <c r="A2643" s="6" t="s">
        <v>331</v>
      </c>
      <c r="B2643">
        <v>1045675162</v>
      </c>
      <c r="C2643">
        <v>2</v>
      </c>
      <c r="D2643" t="str">
        <f t="shared" si="94"/>
        <v>02</v>
      </c>
      <c r="E2643" t="str">
        <f>VLOOKUP(B2643,'HOGARES-ENDLINE'!$A:$B,2,FALSE)</f>
        <v>00030086</v>
      </c>
      <c r="F2643" s="6" t="str">
        <f t="shared" si="93"/>
        <v>0003008602</v>
      </c>
    </row>
    <row r="2644" spans="1:6" x14ac:dyDescent="0.3">
      <c r="A2644" s="6" t="s">
        <v>330</v>
      </c>
      <c r="B2644">
        <v>1045675162</v>
      </c>
      <c r="C2644">
        <v>3</v>
      </c>
      <c r="D2644" t="str">
        <f t="shared" si="94"/>
        <v>03</v>
      </c>
      <c r="E2644" t="str">
        <f>VLOOKUP(B2644,'HOGARES-ENDLINE'!$A:$B,2,FALSE)</f>
        <v>00030086</v>
      </c>
      <c r="F2644" s="6" t="str">
        <f t="shared" si="93"/>
        <v>0003008603</v>
      </c>
    </row>
    <row r="2645" spans="1:6" x14ac:dyDescent="0.3">
      <c r="A2645" s="6" t="s">
        <v>329</v>
      </c>
      <c r="B2645">
        <v>1045675162</v>
      </c>
      <c r="C2645">
        <v>1</v>
      </c>
      <c r="D2645" t="str">
        <f t="shared" si="94"/>
        <v>01</v>
      </c>
      <c r="E2645" t="str">
        <f>VLOOKUP(B2645,'HOGARES-ENDLINE'!$A:$B,2,FALSE)</f>
        <v>00030086</v>
      </c>
      <c r="F2645" s="6" t="str">
        <f t="shared" si="93"/>
        <v>0003008601</v>
      </c>
    </row>
    <row r="2646" spans="1:6" x14ac:dyDescent="0.3">
      <c r="A2646" s="6" t="s">
        <v>327</v>
      </c>
      <c r="B2646">
        <v>1045675162</v>
      </c>
      <c r="C2646">
        <v>4</v>
      </c>
      <c r="D2646" t="str">
        <f t="shared" si="94"/>
        <v>04</v>
      </c>
      <c r="E2646" t="str">
        <f>VLOOKUP(B2646,'HOGARES-ENDLINE'!$A:$B,2,FALSE)</f>
        <v>00030086</v>
      </c>
      <c r="F2646" s="6" t="str">
        <f t="shared" si="93"/>
        <v>0003008604</v>
      </c>
    </row>
    <row r="2647" spans="1:6" x14ac:dyDescent="0.3">
      <c r="A2647" s="6" t="s">
        <v>332</v>
      </c>
      <c r="B2647">
        <v>1045677797</v>
      </c>
      <c r="C2647">
        <v>1</v>
      </c>
      <c r="D2647" t="str">
        <f t="shared" si="94"/>
        <v>01</v>
      </c>
      <c r="E2647" t="str">
        <f>VLOOKUP(B2647,'HOGARES-ENDLINE'!$A:$B,2,FALSE)</f>
        <v>01030087</v>
      </c>
      <c r="F2647" s="6" t="str">
        <f t="shared" si="93"/>
        <v>0103008701</v>
      </c>
    </row>
    <row r="2648" spans="1:6" x14ac:dyDescent="0.3">
      <c r="A2648" s="6" t="s">
        <v>333</v>
      </c>
      <c r="B2648">
        <v>1045677797</v>
      </c>
      <c r="C2648">
        <v>2</v>
      </c>
      <c r="D2648" t="str">
        <f t="shared" si="94"/>
        <v>02</v>
      </c>
      <c r="E2648" t="str">
        <f>VLOOKUP(B2648,'HOGARES-ENDLINE'!$A:$B,2,FALSE)</f>
        <v>01030087</v>
      </c>
      <c r="F2648" s="6" t="str">
        <f t="shared" si="93"/>
        <v>0103008702</v>
      </c>
    </row>
    <row r="2649" spans="1:6" x14ac:dyDescent="0.3">
      <c r="A2649" s="6" t="s">
        <v>336</v>
      </c>
      <c r="B2649">
        <v>1045678951</v>
      </c>
      <c r="C2649">
        <v>1</v>
      </c>
      <c r="D2649" t="str">
        <f t="shared" si="94"/>
        <v>01</v>
      </c>
      <c r="E2649" t="str">
        <f>VLOOKUP(B2649,'HOGARES-ENDLINE'!$A:$B,2,FALSE)</f>
        <v>01030088</v>
      </c>
      <c r="F2649" s="6" t="str">
        <f t="shared" si="93"/>
        <v>0103008801</v>
      </c>
    </row>
    <row r="2650" spans="1:6" x14ac:dyDescent="0.3">
      <c r="A2650" s="6" t="s">
        <v>337</v>
      </c>
      <c r="B2650">
        <v>1045678951</v>
      </c>
      <c r="C2650">
        <v>3</v>
      </c>
      <c r="D2650" t="str">
        <f t="shared" si="94"/>
        <v>03</v>
      </c>
      <c r="E2650" t="str">
        <f>VLOOKUP(B2650,'HOGARES-ENDLINE'!$A:$B,2,FALSE)</f>
        <v>01030088</v>
      </c>
      <c r="F2650" s="6" t="str">
        <f t="shared" si="93"/>
        <v>0103008803</v>
      </c>
    </row>
    <row r="2651" spans="1:6" x14ac:dyDescent="0.3">
      <c r="A2651" s="6" t="s">
        <v>335</v>
      </c>
      <c r="B2651">
        <v>1045678951</v>
      </c>
      <c r="C2651">
        <v>2</v>
      </c>
      <c r="D2651" t="str">
        <f t="shared" si="94"/>
        <v>02</v>
      </c>
      <c r="E2651" t="str">
        <f>VLOOKUP(B2651,'HOGARES-ENDLINE'!$A:$B,2,FALSE)</f>
        <v>01030088</v>
      </c>
      <c r="F2651" s="6" t="str">
        <f t="shared" si="93"/>
        <v>0103008802</v>
      </c>
    </row>
    <row r="2652" spans="1:6" x14ac:dyDescent="0.3">
      <c r="A2652" s="6" t="s">
        <v>334</v>
      </c>
      <c r="B2652">
        <v>1045678951</v>
      </c>
      <c r="C2652">
        <v>4</v>
      </c>
      <c r="D2652" t="str">
        <f t="shared" si="94"/>
        <v>04</v>
      </c>
      <c r="E2652" t="str">
        <f>VLOOKUP(B2652,'HOGARES-ENDLINE'!$A:$B,2,FALSE)</f>
        <v>01030088</v>
      </c>
      <c r="F2652" s="6" t="str">
        <f t="shared" si="93"/>
        <v>0103008804</v>
      </c>
    </row>
    <row r="2653" spans="1:6" x14ac:dyDescent="0.3">
      <c r="A2653" s="6" t="s">
        <v>338</v>
      </c>
      <c r="B2653">
        <v>1045679578</v>
      </c>
      <c r="C2653">
        <v>1</v>
      </c>
      <c r="D2653" t="str">
        <f t="shared" si="94"/>
        <v>01</v>
      </c>
      <c r="E2653" t="str">
        <f>VLOOKUP(B2653,'HOGARES-ENDLINE'!$A:$B,2,FALSE)</f>
        <v>01030089</v>
      </c>
      <c r="F2653" s="6" t="str">
        <f t="shared" si="93"/>
        <v>0103008901</v>
      </c>
    </row>
    <row r="2654" spans="1:6" x14ac:dyDescent="0.3">
      <c r="A2654" s="6" t="s">
        <v>340</v>
      </c>
      <c r="B2654">
        <v>1045683391</v>
      </c>
      <c r="C2654">
        <v>1</v>
      </c>
      <c r="D2654" t="str">
        <f t="shared" si="94"/>
        <v>01</v>
      </c>
      <c r="E2654" t="str">
        <f>VLOOKUP(B2654,'HOGARES-ENDLINE'!$A:$B,2,FALSE)</f>
        <v>01030090</v>
      </c>
      <c r="F2654" s="6" t="str">
        <f t="shared" si="93"/>
        <v>0103009001</v>
      </c>
    </row>
    <row r="2655" spans="1:6" x14ac:dyDescent="0.3">
      <c r="A2655" s="6" t="s">
        <v>341</v>
      </c>
      <c r="B2655">
        <v>1045683391</v>
      </c>
      <c r="C2655">
        <v>2</v>
      </c>
      <c r="D2655" t="str">
        <f t="shared" si="94"/>
        <v>02</v>
      </c>
      <c r="E2655" t="str">
        <f>VLOOKUP(B2655,'HOGARES-ENDLINE'!$A:$B,2,FALSE)</f>
        <v>01030090</v>
      </c>
      <c r="F2655" s="6" t="str">
        <f t="shared" si="93"/>
        <v>0103009002</v>
      </c>
    </row>
    <row r="2656" spans="1:6" x14ac:dyDescent="0.3">
      <c r="A2656" s="6" t="s">
        <v>339</v>
      </c>
      <c r="B2656">
        <v>1045683391</v>
      </c>
      <c r="C2656">
        <v>3</v>
      </c>
      <c r="D2656" t="str">
        <f t="shared" si="94"/>
        <v>03</v>
      </c>
      <c r="E2656" t="str">
        <f>VLOOKUP(B2656,'HOGARES-ENDLINE'!$A:$B,2,FALSE)</f>
        <v>01030090</v>
      </c>
      <c r="F2656" s="6" t="str">
        <f t="shared" si="93"/>
        <v>0103009003</v>
      </c>
    </row>
    <row r="2657" spans="1:6" x14ac:dyDescent="0.3">
      <c r="A2657" s="6" t="s">
        <v>343</v>
      </c>
      <c r="B2657">
        <v>1045684410</v>
      </c>
      <c r="C2657">
        <v>1</v>
      </c>
      <c r="D2657" t="str">
        <f t="shared" si="94"/>
        <v>01</v>
      </c>
      <c r="E2657" t="str">
        <f>VLOOKUP(B2657,'HOGARES-ENDLINE'!$A:$B,2,FALSE)</f>
        <v>01030091</v>
      </c>
      <c r="F2657" s="6" t="str">
        <f t="shared" si="93"/>
        <v>0103009101</v>
      </c>
    </row>
    <row r="2658" spans="1:6" x14ac:dyDescent="0.3">
      <c r="A2658" s="6" t="s">
        <v>342</v>
      </c>
      <c r="B2658">
        <v>1045684410</v>
      </c>
      <c r="C2658">
        <v>2</v>
      </c>
      <c r="D2658" t="str">
        <f t="shared" si="94"/>
        <v>02</v>
      </c>
      <c r="E2658" t="str">
        <f>VLOOKUP(B2658,'HOGARES-ENDLINE'!$A:$B,2,FALSE)</f>
        <v>01030091</v>
      </c>
      <c r="F2658" s="6" t="str">
        <f t="shared" si="93"/>
        <v>0103009102</v>
      </c>
    </row>
    <row r="2659" spans="1:6" x14ac:dyDescent="0.3">
      <c r="A2659" s="6" t="s">
        <v>346</v>
      </c>
      <c r="B2659">
        <v>1045685911</v>
      </c>
      <c r="C2659">
        <v>1</v>
      </c>
      <c r="D2659" t="str">
        <f t="shared" si="94"/>
        <v>01</v>
      </c>
      <c r="E2659" t="str">
        <f>VLOOKUP(B2659,'HOGARES-ENDLINE'!$A:$B,2,FALSE)</f>
        <v>01030092</v>
      </c>
      <c r="F2659" s="6" t="str">
        <f t="shared" si="93"/>
        <v>0103009201</v>
      </c>
    </row>
    <row r="2660" spans="1:6" x14ac:dyDescent="0.3">
      <c r="A2660" s="6" t="s">
        <v>344</v>
      </c>
      <c r="B2660">
        <v>1045685911</v>
      </c>
      <c r="C2660">
        <v>3</v>
      </c>
      <c r="D2660" t="str">
        <f t="shared" si="94"/>
        <v>03</v>
      </c>
      <c r="E2660" t="str">
        <f>VLOOKUP(B2660,'HOGARES-ENDLINE'!$A:$B,2,FALSE)</f>
        <v>01030092</v>
      </c>
      <c r="F2660" s="6" t="str">
        <f t="shared" si="93"/>
        <v>0103009203</v>
      </c>
    </row>
    <row r="2661" spans="1:6" x14ac:dyDescent="0.3">
      <c r="A2661" s="6" t="s">
        <v>345</v>
      </c>
      <c r="B2661">
        <v>1045685911</v>
      </c>
      <c r="C2661">
        <v>2</v>
      </c>
      <c r="D2661" t="str">
        <f t="shared" si="94"/>
        <v>02</v>
      </c>
      <c r="E2661" t="str">
        <f>VLOOKUP(B2661,'HOGARES-ENDLINE'!$A:$B,2,FALSE)</f>
        <v>01030092</v>
      </c>
      <c r="F2661" s="6" t="str">
        <f t="shared" si="93"/>
        <v>0103009202</v>
      </c>
    </row>
    <row r="2662" spans="1:6" x14ac:dyDescent="0.3">
      <c r="A2662" s="6" t="s">
        <v>348</v>
      </c>
      <c r="B2662">
        <v>1045691917</v>
      </c>
      <c r="C2662">
        <v>2</v>
      </c>
      <c r="D2662" t="str">
        <f t="shared" si="94"/>
        <v>02</v>
      </c>
      <c r="E2662" t="str">
        <f>VLOOKUP(B2662,'HOGARES-ENDLINE'!$A:$B,2,FALSE)</f>
        <v>01030093</v>
      </c>
      <c r="F2662" s="6" t="str">
        <f t="shared" si="93"/>
        <v>0103009302</v>
      </c>
    </row>
    <row r="2663" spans="1:6" x14ac:dyDescent="0.3">
      <c r="A2663" s="6" t="s">
        <v>347</v>
      </c>
      <c r="B2663">
        <v>1045691917</v>
      </c>
      <c r="C2663">
        <v>1</v>
      </c>
      <c r="D2663" t="str">
        <f t="shared" si="94"/>
        <v>01</v>
      </c>
      <c r="E2663" t="str">
        <f>VLOOKUP(B2663,'HOGARES-ENDLINE'!$A:$B,2,FALSE)</f>
        <v>01030093</v>
      </c>
      <c r="F2663" s="6" t="str">
        <f t="shared" si="93"/>
        <v>0103009301</v>
      </c>
    </row>
    <row r="2664" spans="1:6" x14ac:dyDescent="0.3">
      <c r="A2664" s="6" t="s">
        <v>349</v>
      </c>
      <c r="B2664">
        <v>1045724437</v>
      </c>
      <c r="C2664">
        <v>1</v>
      </c>
      <c r="D2664" t="str">
        <f t="shared" si="94"/>
        <v>01</v>
      </c>
      <c r="E2664" t="str">
        <f>VLOOKUP(B2664,'HOGARES-ENDLINE'!$A:$B,2,FALSE)</f>
        <v>01030094</v>
      </c>
      <c r="F2664" s="6" t="str">
        <f t="shared" si="93"/>
        <v>0103009401</v>
      </c>
    </row>
    <row r="2665" spans="1:6" x14ac:dyDescent="0.3">
      <c r="A2665" s="6" t="s">
        <v>355</v>
      </c>
      <c r="B2665">
        <v>1045731398</v>
      </c>
      <c r="C2665">
        <v>3</v>
      </c>
      <c r="D2665" t="str">
        <f t="shared" si="94"/>
        <v>03</v>
      </c>
      <c r="E2665" t="str">
        <f>VLOOKUP(B2665,'HOGARES-ENDLINE'!$A:$B,2,FALSE)</f>
        <v>01030095</v>
      </c>
      <c r="F2665" s="6" t="str">
        <f t="shared" si="93"/>
        <v>0103009503</v>
      </c>
    </row>
    <row r="2666" spans="1:6" x14ac:dyDescent="0.3">
      <c r="A2666" s="6" t="s">
        <v>354</v>
      </c>
      <c r="B2666">
        <v>1045731398</v>
      </c>
      <c r="C2666">
        <v>1</v>
      </c>
      <c r="D2666" t="str">
        <f t="shared" si="94"/>
        <v>01</v>
      </c>
      <c r="E2666" t="str">
        <f>VLOOKUP(B2666,'HOGARES-ENDLINE'!$A:$B,2,FALSE)</f>
        <v>01030095</v>
      </c>
      <c r="F2666" s="6" t="str">
        <f t="shared" si="93"/>
        <v>0103009501</v>
      </c>
    </row>
    <row r="2667" spans="1:6" x14ac:dyDescent="0.3">
      <c r="A2667" s="6" t="s">
        <v>358</v>
      </c>
      <c r="B2667">
        <v>1045741495</v>
      </c>
      <c r="C2667">
        <v>3</v>
      </c>
      <c r="D2667" t="str">
        <f t="shared" si="94"/>
        <v>03</v>
      </c>
      <c r="E2667" t="str">
        <f>VLOOKUP(B2667,'HOGARES-ENDLINE'!$A:$B,2,FALSE)</f>
        <v>01030096</v>
      </c>
      <c r="F2667" s="6" t="str">
        <f t="shared" si="93"/>
        <v>0103009603</v>
      </c>
    </row>
    <row r="2668" spans="1:6" x14ac:dyDescent="0.3">
      <c r="A2668" s="6" t="s">
        <v>356</v>
      </c>
      <c r="B2668">
        <v>1045741495</v>
      </c>
      <c r="C2668">
        <v>4</v>
      </c>
      <c r="D2668" t="str">
        <f t="shared" si="94"/>
        <v>04</v>
      </c>
      <c r="E2668" t="str">
        <f>VLOOKUP(B2668,'HOGARES-ENDLINE'!$A:$B,2,FALSE)</f>
        <v>01030096</v>
      </c>
      <c r="F2668" s="6" t="str">
        <f t="shared" si="93"/>
        <v>0103009604</v>
      </c>
    </row>
    <row r="2669" spans="1:6" x14ac:dyDescent="0.3">
      <c r="A2669" s="6" t="s">
        <v>360</v>
      </c>
      <c r="B2669">
        <v>1045741495</v>
      </c>
      <c r="C2669">
        <v>1</v>
      </c>
      <c r="D2669" t="str">
        <f t="shared" si="94"/>
        <v>01</v>
      </c>
      <c r="E2669" t="str">
        <f>VLOOKUP(B2669,'HOGARES-ENDLINE'!$A:$B,2,FALSE)</f>
        <v>01030096</v>
      </c>
      <c r="F2669" s="6" t="str">
        <f t="shared" si="93"/>
        <v>0103009601</v>
      </c>
    </row>
    <row r="2670" spans="1:6" x14ac:dyDescent="0.3">
      <c r="A2670" s="6" t="s">
        <v>357</v>
      </c>
      <c r="B2670">
        <v>1045741495</v>
      </c>
      <c r="C2670">
        <v>2</v>
      </c>
      <c r="D2670" t="str">
        <f t="shared" si="94"/>
        <v>02</v>
      </c>
      <c r="E2670" t="str">
        <f>VLOOKUP(B2670,'HOGARES-ENDLINE'!$A:$B,2,FALSE)</f>
        <v>01030096</v>
      </c>
      <c r="F2670" s="6" t="str">
        <f t="shared" si="93"/>
        <v>0103009602</v>
      </c>
    </row>
    <row r="2671" spans="1:6" x14ac:dyDescent="0.3">
      <c r="A2671" s="6" t="s">
        <v>359</v>
      </c>
      <c r="B2671">
        <v>1045741495</v>
      </c>
      <c r="C2671">
        <v>5</v>
      </c>
      <c r="D2671" t="str">
        <f t="shared" si="94"/>
        <v>05</v>
      </c>
      <c r="E2671" t="str">
        <f>VLOOKUP(B2671,'HOGARES-ENDLINE'!$A:$B,2,FALSE)</f>
        <v>01030096</v>
      </c>
      <c r="F2671" s="6" t="str">
        <f t="shared" si="93"/>
        <v>0103009605</v>
      </c>
    </row>
    <row r="2672" spans="1:6" x14ac:dyDescent="0.3">
      <c r="A2672" s="6" t="s">
        <v>363</v>
      </c>
      <c r="B2672">
        <v>1045743889</v>
      </c>
      <c r="C2672">
        <v>4</v>
      </c>
      <c r="D2672" t="str">
        <f t="shared" si="94"/>
        <v>04</v>
      </c>
      <c r="E2672" t="str">
        <f>VLOOKUP(B2672,'HOGARES-ENDLINE'!$A:$B,2,FALSE)</f>
        <v>01030097</v>
      </c>
      <c r="F2672" s="6" t="str">
        <f t="shared" si="93"/>
        <v>0103009704</v>
      </c>
    </row>
    <row r="2673" spans="1:6" x14ac:dyDescent="0.3">
      <c r="A2673" s="6" t="s">
        <v>362</v>
      </c>
      <c r="B2673">
        <v>1045743889</v>
      </c>
      <c r="C2673">
        <v>3</v>
      </c>
      <c r="D2673" t="str">
        <f t="shared" si="94"/>
        <v>03</v>
      </c>
      <c r="E2673" t="str">
        <f>VLOOKUP(B2673,'HOGARES-ENDLINE'!$A:$B,2,FALSE)</f>
        <v>01030097</v>
      </c>
      <c r="F2673" s="6" t="str">
        <f t="shared" si="93"/>
        <v>0103009703</v>
      </c>
    </row>
    <row r="2674" spans="1:6" x14ac:dyDescent="0.3">
      <c r="A2674" s="6" t="s">
        <v>361</v>
      </c>
      <c r="B2674">
        <v>1045743889</v>
      </c>
      <c r="C2674">
        <v>2</v>
      </c>
      <c r="D2674" t="str">
        <f t="shared" si="94"/>
        <v>02</v>
      </c>
      <c r="E2674" t="str">
        <f>VLOOKUP(B2674,'HOGARES-ENDLINE'!$A:$B,2,FALSE)</f>
        <v>01030097</v>
      </c>
      <c r="F2674" s="6" t="str">
        <f t="shared" si="93"/>
        <v>0103009702</v>
      </c>
    </row>
    <row r="2675" spans="1:6" x14ac:dyDescent="0.3">
      <c r="A2675" s="6" t="s">
        <v>364</v>
      </c>
      <c r="B2675">
        <v>1045743889</v>
      </c>
      <c r="C2675">
        <v>1</v>
      </c>
      <c r="D2675" t="str">
        <f t="shared" si="94"/>
        <v>01</v>
      </c>
      <c r="E2675" t="str">
        <f>VLOOKUP(B2675,'HOGARES-ENDLINE'!$A:$B,2,FALSE)</f>
        <v>01030097</v>
      </c>
      <c r="F2675" s="6" t="str">
        <f t="shared" si="93"/>
        <v>0103009701</v>
      </c>
    </row>
    <row r="2676" spans="1:6" x14ac:dyDescent="0.3">
      <c r="A2676" s="6" t="s">
        <v>367</v>
      </c>
      <c r="B2676">
        <v>1045746691</v>
      </c>
      <c r="C2676">
        <v>3</v>
      </c>
      <c r="D2676" t="str">
        <f t="shared" si="94"/>
        <v>03</v>
      </c>
      <c r="E2676" t="str">
        <f>VLOOKUP(B2676,'HOGARES-ENDLINE'!$A:$B,2,FALSE)</f>
        <v>01030098</v>
      </c>
      <c r="F2676" s="6" t="str">
        <f t="shared" si="93"/>
        <v>0103009803</v>
      </c>
    </row>
    <row r="2677" spans="1:6" x14ac:dyDescent="0.3">
      <c r="A2677" s="6" t="s">
        <v>369</v>
      </c>
      <c r="B2677">
        <v>1045746691</v>
      </c>
      <c r="C2677">
        <v>4</v>
      </c>
      <c r="D2677" t="str">
        <f t="shared" si="94"/>
        <v>04</v>
      </c>
      <c r="E2677" t="str">
        <f>VLOOKUP(B2677,'HOGARES-ENDLINE'!$A:$B,2,FALSE)</f>
        <v>01030098</v>
      </c>
      <c r="F2677" s="6" t="str">
        <f t="shared" si="93"/>
        <v>0103009804</v>
      </c>
    </row>
    <row r="2678" spans="1:6" x14ac:dyDescent="0.3">
      <c r="A2678" s="6" t="s">
        <v>366</v>
      </c>
      <c r="B2678">
        <v>1045746691</v>
      </c>
      <c r="C2678">
        <v>5</v>
      </c>
      <c r="D2678" t="str">
        <f t="shared" si="94"/>
        <v>05</v>
      </c>
      <c r="E2678" t="str">
        <f>VLOOKUP(B2678,'HOGARES-ENDLINE'!$A:$B,2,FALSE)</f>
        <v>01030098</v>
      </c>
      <c r="F2678" s="6" t="str">
        <f t="shared" si="93"/>
        <v>0103009805</v>
      </c>
    </row>
    <row r="2679" spans="1:6" x14ac:dyDescent="0.3">
      <c r="A2679" s="6" t="s">
        <v>368</v>
      </c>
      <c r="B2679">
        <v>1045746691</v>
      </c>
      <c r="C2679">
        <v>1</v>
      </c>
      <c r="D2679" t="str">
        <f t="shared" si="94"/>
        <v>01</v>
      </c>
      <c r="E2679" t="str">
        <f>VLOOKUP(B2679,'HOGARES-ENDLINE'!$A:$B,2,FALSE)</f>
        <v>01030098</v>
      </c>
      <c r="F2679" s="6" t="str">
        <f t="shared" si="93"/>
        <v>0103009801</v>
      </c>
    </row>
    <row r="2680" spans="1:6" x14ac:dyDescent="0.3">
      <c r="A2680" s="6" t="s">
        <v>365</v>
      </c>
      <c r="B2680">
        <v>1045746691</v>
      </c>
      <c r="C2680">
        <v>2</v>
      </c>
      <c r="D2680" t="str">
        <f t="shared" si="94"/>
        <v>02</v>
      </c>
      <c r="E2680" t="str">
        <f>VLOOKUP(B2680,'HOGARES-ENDLINE'!$A:$B,2,FALSE)</f>
        <v>01030098</v>
      </c>
      <c r="F2680" s="6" t="str">
        <f t="shared" si="93"/>
        <v>0103009802</v>
      </c>
    </row>
    <row r="2681" spans="1:6" x14ac:dyDescent="0.3">
      <c r="A2681" s="6" t="s">
        <v>372</v>
      </c>
      <c r="B2681">
        <v>1045748346</v>
      </c>
      <c r="C2681">
        <v>2</v>
      </c>
      <c r="D2681" t="str">
        <f t="shared" si="94"/>
        <v>02</v>
      </c>
      <c r="E2681" t="str">
        <f>VLOOKUP(B2681,'HOGARES-ENDLINE'!$A:$B,2,FALSE)</f>
        <v>01030099</v>
      </c>
      <c r="F2681" s="6" t="str">
        <f t="shared" si="93"/>
        <v>0103009902</v>
      </c>
    </row>
    <row r="2682" spans="1:6" x14ac:dyDescent="0.3">
      <c r="A2682" s="6" t="s">
        <v>371</v>
      </c>
      <c r="B2682">
        <v>1045748346</v>
      </c>
      <c r="C2682">
        <v>3</v>
      </c>
      <c r="D2682" t="str">
        <f t="shared" si="94"/>
        <v>03</v>
      </c>
      <c r="E2682" t="str">
        <f>VLOOKUP(B2682,'HOGARES-ENDLINE'!$A:$B,2,FALSE)</f>
        <v>01030099</v>
      </c>
      <c r="F2682" s="6" t="str">
        <f t="shared" si="93"/>
        <v>0103009903</v>
      </c>
    </row>
    <row r="2683" spans="1:6" x14ac:dyDescent="0.3">
      <c r="A2683" s="6" t="s">
        <v>370</v>
      </c>
      <c r="B2683">
        <v>1045748346</v>
      </c>
      <c r="C2683">
        <v>1</v>
      </c>
      <c r="D2683" t="str">
        <f t="shared" si="94"/>
        <v>01</v>
      </c>
      <c r="E2683" t="str">
        <f>VLOOKUP(B2683,'HOGARES-ENDLINE'!$A:$B,2,FALSE)</f>
        <v>01030099</v>
      </c>
      <c r="F2683" s="6" t="str">
        <f t="shared" si="93"/>
        <v>0103009901</v>
      </c>
    </row>
    <row r="2684" spans="1:6" x14ac:dyDescent="0.3">
      <c r="A2684" s="6" t="s">
        <v>374</v>
      </c>
      <c r="B2684">
        <v>1045759593</v>
      </c>
      <c r="C2684">
        <v>4</v>
      </c>
      <c r="D2684" t="str">
        <f t="shared" si="94"/>
        <v>04</v>
      </c>
      <c r="E2684" t="str">
        <f>VLOOKUP(B2684,'HOGARES-ENDLINE'!$A:$B,2,FALSE)</f>
        <v>01030100</v>
      </c>
      <c r="F2684" s="6" t="str">
        <f t="shared" si="93"/>
        <v>0103010004</v>
      </c>
    </row>
    <row r="2685" spans="1:6" x14ac:dyDescent="0.3">
      <c r="A2685" s="6" t="s">
        <v>375</v>
      </c>
      <c r="B2685">
        <v>1045759593</v>
      </c>
      <c r="C2685">
        <v>3</v>
      </c>
      <c r="D2685" t="str">
        <f t="shared" si="94"/>
        <v>03</v>
      </c>
      <c r="E2685" t="str">
        <f>VLOOKUP(B2685,'HOGARES-ENDLINE'!$A:$B,2,FALSE)</f>
        <v>01030100</v>
      </c>
      <c r="F2685" s="6" t="str">
        <f t="shared" si="93"/>
        <v>0103010003</v>
      </c>
    </row>
    <row r="2686" spans="1:6" x14ac:dyDescent="0.3">
      <c r="A2686" s="6" t="s">
        <v>376</v>
      </c>
      <c r="B2686">
        <v>1045759593</v>
      </c>
      <c r="C2686">
        <v>1</v>
      </c>
      <c r="D2686" t="str">
        <f t="shared" si="94"/>
        <v>01</v>
      </c>
      <c r="E2686" t="str">
        <f>VLOOKUP(B2686,'HOGARES-ENDLINE'!$A:$B,2,FALSE)</f>
        <v>01030100</v>
      </c>
      <c r="F2686" s="6" t="str">
        <f t="shared" si="93"/>
        <v>0103010001</v>
      </c>
    </row>
    <row r="2687" spans="1:6" x14ac:dyDescent="0.3">
      <c r="A2687" s="6" t="s">
        <v>378</v>
      </c>
      <c r="B2687">
        <v>1046697166</v>
      </c>
      <c r="C2687">
        <v>1</v>
      </c>
      <c r="D2687" t="str">
        <f t="shared" si="94"/>
        <v>01</v>
      </c>
      <c r="E2687" t="str">
        <f>VLOOKUP(B2687,'HOGARES-ENDLINE'!$A:$B,2,FALSE)</f>
        <v>00030101</v>
      </c>
      <c r="F2687" s="6" t="str">
        <f t="shared" si="93"/>
        <v>0003010101</v>
      </c>
    </row>
    <row r="2688" spans="1:6" x14ac:dyDescent="0.3">
      <c r="A2688" s="6" t="s">
        <v>379</v>
      </c>
      <c r="B2688">
        <v>1046697166</v>
      </c>
      <c r="C2688">
        <v>3</v>
      </c>
      <c r="D2688" t="str">
        <f t="shared" si="94"/>
        <v>03</v>
      </c>
      <c r="E2688" t="str">
        <f>VLOOKUP(B2688,'HOGARES-ENDLINE'!$A:$B,2,FALSE)</f>
        <v>00030101</v>
      </c>
      <c r="F2688" s="6" t="str">
        <f t="shared" si="93"/>
        <v>0003010103</v>
      </c>
    </row>
    <row r="2689" spans="1:6" x14ac:dyDescent="0.3">
      <c r="A2689" s="6" t="s">
        <v>383</v>
      </c>
      <c r="B2689">
        <v>1046702906</v>
      </c>
      <c r="C2689">
        <v>5</v>
      </c>
      <c r="D2689" t="str">
        <f t="shared" si="94"/>
        <v>05</v>
      </c>
      <c r="E2689" t="str">
        <f>VLOOKUP(B2689,'HOGARES-ENDLINE'!$A:$B,2,FALSE)</f>
        <v>00030102</v>
      </c>
      <c r="F2689" s="6" t="str">
        <f t="shared" si="93"/>
        <v>0003010205</v>
      </c>
    </row>
    <row r="2690" spans="1:6" x14ac:dyDescent="0.3">
      <c r="A2690" s="6" t="s">
        <v>385</v>
      </c>
      <c r="B2690">
        <v>1046702906</v>
      </c>
      <c r="C2690">
        <v>3</v>
      </c>
      <c r="D2690" t="str">
        <f t="shared" si="94"/>
        <v>03</v>
      </c>
      <c r="E2690" t="str">
        <f>VLOOKUP(B2690,'HOGARES-ENDLINE'!$A:$B,2,FALSE)</f>
        <v>00030102</v>
      </c>
      <c r="F2690" s="6" t="str">
        <f t="shared" si="93"/>
        <v>0003010203</v>
      </c>
    </row>
    <row r="2691" spans="1:6" x14ac:dyDescent="0.3">
      <c r="A2691" s="6" t="s">
        <v>382</v>
      </c>
      <c r="B2691">
        <v>1046702906</v>
      </c>
      <c r="C2691">
        <v>4</v>
      </c>
      <c r="D2691" t="str">
        <f t="shared" si="94"/>
        <v>04</v>
      </c>
      <c r="E2691" t="str">
        <f>VLOOKUP(B2691,'HOGARES-ENDLINE'!$A:$B,2,FALSE)</f>
        <v>00030102</v>
      </c>
      <c r="F2691" s="6" t="str">
        <f t="shared" ref="F2691:F2754" si="95">_xlfn.CONCAT(E2691,D2691)</f>
        <v>0003010204</v>
      </c>
    </row>
    <row r="2692" spans="1:6" x14ac:dyDescent="0.3">
      <c r="A2692" s="6" t="s">
        <v>381</v>
      </c>
      <c r="B2692">
        <v>1046702906</v>
      </c>
      <c r="C2692">
        <v>1</v>
      </c>
      <c r="D2692" t="str">
        <f t="shared" si="94"/>
        <v>01</v>
      </c>
      <c r="E2692" t="str">
        <f>VLOOKUP(B2692,'HOGARES-ENDLINE'!$A:$B,2,FALSE)</f>
        <v>00030102</v>
      </c>
      <c r="F2692" s="6" t="str">
        <f t="shared" si="95"/>
        <v>0003010201</v>
      </c>
    </row>
    <row r="2693" spans="1:6" x14ac:dyDescent="0.3">
      <c r="A2693" s="6" t="s">
        <v>384</v>
      </c>
      <c r="B2693">
        <v>1046702906</v>
      </c>
      <c r="C2693">
        <v>2</v>
      </c>
      <c r="D2693" t="str">
        <f t="shared" si="94"/>
        <v>02</v>
      </c>
      <c r="E2693" t="str">
        <f>VLOOKUP(B2693,'HOGARES-ENDLINE'!$A:$B,2,FALSE)</f>
        <v>00030102</v>
      </c>
      <c r="F2693" s="6" t="str">
        <f t="shared" si="95"/>
        <v>0003010202</v>
      </c>
    </row>
    <row r="2694" spans="1:6" x14ac:dyDescent="0.3">
      <c r="A2694" s="6" t="s">
        <v>5203</v>
      </c>
      <c r="B2694">
        <v>1047048484</v>
      </c>
      <c r="C2694">
        <v>6</v>
      </c>
      <c r="D2694" t="str">
        <f t="shared" si="94"/>
        <v>06</v>
      </c>
      <c r="E2694" t="str">
        <f>VLOOKUP(B2694,'HOGARES-ENDLINE'!$A:$B,2,FALSE)</f>
        <v>01030103</v>
      </c>
      <c r="F2694" s="6" t="str">
        <f t="shared" si="95"/>
        <v>0103010306</v>
      </c>
    </row>
    <row r="2695" spans="1:6" x14ac:dyDescent="0.3">
      <c r="A2695" s="6" t="s">
        <v>5204</v>
      </c>
      <c r="B2695">
        <v>1047048484</v>
      </c>
      <c r="C2695">
        <v>4</v>
      </c>
      <c r="D2695" t="str">
        <f t="shared" si="94"/>
        <v>04</v>
      </c>
      <c r="E2695" t="str">
        <f>VLOOKUP(B2695,'HOGARES-ENDLINE'!$A:$B,2,FALSE)</f>
        <v>01030103</v>
      </c>
      <c r="F2695" s="6" t="str">
        <f t="shared" si="95"/>
        <v>0103010304</v>
      </c>
    </row>
    <row r="2696" spans="1:6" x14ac:dyDescent="0.3">
      <c r="A2696" s="6" t="s">
        <v>5205</v>
      </c>
      <c r="B2696">
        <v>1047048484</v>
      </c>
      <c r="C2696">
        <v>5</v>
      </c>
      <c r="D2696" t="str">
        <f t="shared" si="94"/>
        <v>05</v>
      </c>
      <c r="E2696" t="str">
        <f>VLOOKUP(B2696,'HOGARES-ENDLINE'!$A:$B,2,FALSE)</f>
        <v>01030103</v>
      </c>
      <c r="F2696" s="6" t="str">
        <f t="shared" si="95"/>
        <v>0103010305</v>
      </c>
    </row>
    <row r="2697" spans="1:6" x14ac:dyDescent="0.3">
      <c r="A2697" s="6" t="s">
        <v>388</v>
      </c>
      <c r="B2697">
        <v>1047048484</v>
      </c>
      <c r="C2697">
        <v>3</v>
      </c>
      <c r="D2697" t="str">
        <f t="shared" ref="D2697:D2760" si="96">_xlfn.CONCAT(0,C2697)</f>
        <v>03</v>
      </c>
      <c r="E2697" t="str">
        <f>VLOOKUP(B2697,'HOGARES-ENDLINE'!$A:$B,2,FALSE)</f>
        <v>01030103</v>
      </c>
      <c r="F2697" s="6" t="str">
        <f t="shared" si="95"/>
        <v>0103010303</v>
      </c>
    </row>
    <row r="2698" spans="1:6" x14ac:dyDescent="0.3">
      <c r="A2698" s="6" t="s">
        <v>5206</v>
      </c>
      <c r="B2698">
        <v>1047048484</v>
      </c>
      <c r="C2698">
        <v>7</v>
      </c>
      <c r="D2698" t="str">
        <f t="shared" si="96"/>
        <v>07</v>
      </c>
      <c r="E2698" t="str">
        <f>VLOOKUP(B2698,'HOGARES-ENDLINE'!$A:$B,2,FALSE)</f>
        <v>01030103</v>
      </c>
      <c r="F2698" s="6" t="str">
        <f t="shared" si="95"/>
        <v>0103010307</v>
      </c>
    </row>
    <row r="2699" spans="1:6" x14ac:dyDescent="0.3">
      <c r="A2699" s="6" t="s">
        <v>386</v>
      </c>
      <c r="B2699">
        <v>1047048484</v>
      </c>
      <c r="C2699">
        <v>1</v>
      </c>
      <c r="D2699" t="str">
        <f t="shared" si="96"/>
        <v>01</v>
      </c>
      <c r="E2699" t="str">
        <f>VLOOKUP(B2699,'HOGARES-ENDLINE'!$A:$B,2,FALSE)</f>
        <v>01030103</v>
      </c>
      <c r="F2699" s="6" t="str">
        <f t="shared" si="95"/>
        <v>0103010301</v>
      </c>
    </row>
    <row r="2700" spans="1:6" x14ac:dyDescent="0.3">
      <c r="A2700" s="6" t="s">
        <v>387</v>
      </c>
      <c r="B2700">
        <v>1047048484</v>
      </c>
      <c r="C2700">
        <v>2</v>
      </c>
      <c r="D2700" t="str">
        <f t="shared" si="96"/>
        <v>02</v>
      </c>
      <c r="E2700" t="str">
        <f>VLOOKUP(B2700,'HOGARES-ENDLINE'!$A:$B,2,FALSE)</f>
        <v>01030103</v>
      </c>
      <c r="F2700" s="6" t="str">
        <f t="shared" si="95"/>
        <v>0103010302</v>
      </c>
    </row>
    <row r="2701" spans="1:6" x14ac:dyDescent="0.3">
      <c r="A2701" s="6" t="s">
        <v>389</v>
      </c>
      <c r="B2701">
        <v>1047217469</v>
      </c>
      <c r="C2701">
        <v>1</v>
      </c>
      <c r="D2701" t="str">
        <f t="shared" si="96"/>
        <v>01</v>
      </c>
      <c r="E2701" t="str">
        <f>VLOOKUP(B2701,'HOGARES-ENDLINE'!$A:$B,2,FALSE)</f>
        <v>00030104</v>
      </c>
      <c r="F2701" s="6" t="str">
        <f t="shared" si="95"/>
        <v>0003010401</v>
      </c>
    </row>
    <row r="2702" spans="1:6" x14ac:dyDescent="0.3">
      <c r="A2702" s="6" t="s">
        <v>400</v>
      </c>
      <c r="B2702">
        <v>1047221609</v>
      </c>
      <c r="C2702">
        <v>4</v>
      </c>
      <c r="D2702" t="str">
        <f t="shared" si="96"/>
        <v>04</v>
      </c>
      <c r="E2702" t="str">
        <f>VLOOKUP(B2702,'HOGARES-ENDLINE'!$A:$B,2,FALSE)</f>
        <v>01030105</v>
      </c>
      <c r="F2702" s="6" t="str">
        <f t="shared" si="95"/>
        <v>0103010504</v>
      </c>
    </row>
    <row r="2703" spans="1:6" x14ac:dyDescent="0.3">
      <c r="A2703" s="6" t="s">
        <v>397</v>
      </c>
      <c r="B2703">
        <v>1047221609</v>
      </c>
      <c r="C2703">
        <v>1</v>
      </c>
      <c r="D2703" t="str">
        <f t="shared" si="96"/>
        <v>01</v>
      </c>
      <c r="E2703" t="str">
        <f>VLOOKUP(B2703,'HOGARES-ENDLINE'!$A:$B,2,FALSE)</f>
        <v>01030105</v>
      </c>
      <c r="F2703" s="6" t="str">
        <f t="shared" si="95"/>
        <v>0103010501</v>
      </c>
    </row>
    <row r="2704" spans="1:6" x14ac:dyDescent="0.3">
      <c r="A2704" s="6" t="s">
        <v>398</v>
      </c>
      <c r="B2704">
        <v>1047221609</v>
      </c>
      <c r="C2704">
        <v>2</v>
      </c>
      <c r="D2704" t="str">
        <f t="shared" si="96"/>
        <v>02</v>
      </c>
      <c r="E2704" t="str">
        <f>VLOOKUP(B2704,'HOGARES-ENDLINE'!$A:$B,2,FALSE)</f>
        <v>01030105</v>
      </c>
      <c r="F2704" s="6" t="str">
        <f t="shared" si="95"/>
        <v>0103010502</v>
      </c>
    </row>
    <row r="2705" spans="1:6" x14ac:dyDescent="0.3">
      <c r="A2705" s="6" t="s">
        <v>399</v>
      </c>
      <c r="B2705">
        <v>1047221609</v>
      </c>
      <c r="C2705">
        <v>3</v>
      </c>
      <c r="D2705" t="str">
        <f t="shared" si="96"/>
        <v>03</v>
      </c>
      <c r="E2705" t="str">
        <f>VLOOKUP(B2705,'HOGARES-ENDLINE'!$A:$B,2,FALSE)</f>
        <v>01030105</v>
      </c>
      <c r="F2705" s="6" t="str">
        <f t="shared" si="95"/>
        <v>0103010503</v>
      </c>
    </row>
    <row r="2706" spans="1:6" x14ac:dyDescent="0.3">
      <c r="A2706" s="6" t="s">
        <v>402</v>
      </c>
      <c r="B2706">
        <v>1047222969</v>
      </c>
      <c r="C2706">
        <v>2</v>
      </c>
      <c r="D2706" t="str">
        <f t="shared" si="96"/>
        <v>02</v>
      </c>
      <c r="E2706" t="str">
        <f>VLOOKUP(B2706,'HOGARES-ENDLINE'!$A:$B,2,FALSE)</f>
        <v>00030106</v>
      </c>
      <c r="F2706" s="6" t="str">
        <f t="shared" si="95"/>
        <v>0003010602</v>
      </c>
    </row>
    <row r="2707" spans="1:6" x14ac:dyDescent="0.3">
      <c r="A2707" s="6" t="s">
        <v>401</v>
      </c>
      <c r="B2707">
        <v>1047222969</v>
      </c>
      <c r="C2707">
        <v>1</v>
      </c>
      <c r="D2707" t="str">
        <f t="shared" si="96"/>
        <v>01</v>
      </c>
      <c r="E2707" t="str">
        <f>VLOOKUP(B2707,'HOGARES-ENDLINE'!$A:$B,2,FALSE)</f>
        <v>00030106</v>
      </c>
      <c r="F2707" s="6" t="str">
        <f t="shared" si="95"/>
        <v>0003010601</v>
      </c>
    </row>
    <row r="2708" spans="1:6" x14ac:dyDescent="0.3">
      <c r="A2708" s="6" t="s">
        <v>403</v>
      </c>
      <c r="B2708">
        <v>1047222969</v>
      </c>
      <c r="C2708">
        <v>3</v>
      </c>
      <c r="D2708" t="str">
        <f t="shared" si="96"/>
        <v>03</v>
      </c>
      <c r="E2708" t="str">
        <f>VLOOKUP(B2708,'HOGARES-ENDLINE'!$A:$B,2,FALSE)</f>
        <v>00030106</v>
      </c>
      <c r="F2708" s="6" t="str">
        <f t="shared" si="95"/>
        <v>0003010603</v>
      </c>
    </row>
    <row r="2709" spans="1:6" x14ac:dyDescent="0.3">
      <c r="A2709" s="6" t="s">
        <v>404</v>
      </c>
      <c r="B2709">
        <v>1047223166</v>
      </c>
      <c r="C2709">
        <v>1</v>
      </c>
      <c r="D2709" t="str">
        <f t="shared" si="96"/>
        <v>01</v>
      </c>
      <c r="E2709" t="str">
        <f>VLOOKUP(B2709,'HOGARES-ENDLINE'!$A:$B,2,FALSE)</f>
        <v>01030107</v>
      </c>
      <c r="F2709" s="6" t="str">
        <f t="shared" si="95"/>
        <v>0103010701</v>
      </c>
    </row>
    <row r="2710" spans="1:6" x14ac:dyDescent="0.3">
      <c r="A2710" s="6" t="s">
        <v>405</v>
      </c>
      <c r="B2710">
        <v>1047223166</v>
      </c>
      <c r="C2710">
        <v>3</v>
      </c>
      <c r="D2710" t="str">
        <f t="shared" si="96"/>
        <v>03</v>
      </c>
      <c r="E2710" t="str">
        <f>VLOOKUP(B2710,'HOGARES-ENDLINE'!$A:$B,2,FALSE)</f>
        <v>01030107</v>
      </c>
      <c r="F2710" s="6" t="str">
        <f t="shared" si="95"/>
        <v>0103010703</v>
      </c>
    </row>
    <row r="2711" spans="1:6" x14ac:dyDescent="0.3">
      <c r="A2711" s="6" t="s">
        <v>407</v>
      </c>
      <c r="B2711">
        <v>1047223166</v>
      </c>
      <c r="C2711">
        <v>2</v>
      </c>
      <c r="D2711" t="str">
        <f t="shared" si="96"/>
        <v>02</v>
      </c>
      <c r="E2711" t="str">
        <f>VLOOKUP(B2711,'HOGARES-ENDLINE'!$A:$B,2,FALSE)</f>
        <v>01030107</v>
      </c>
      <c r="F2711" s="6" t="str">
        <f t="shared" si="95"/>
        <v>0103010702</v>
      </c>
    </row>
    <row r="2712" spans="1:6" x14ac:dyDescent="0.3">
      <c r="A2712" s="6" t="s">
        <v>406</v>
      </c>
      <c r="B2712">
        <v>1047223166</v>
      </c>
      <c r="C2712">
        <v>4</v>
      </c>
      <c r="D2712" t="str">
        <f t="shared" si="96"/>
        <v>04</v>
      </c>
      <c r="E2712" t="str">
        <f>VLOOKUP(B2712,'HOGARES-ENDLINE'!$A:$B,2,FALSE)</f>
        <v>01030107</v>
      </c>
      <c r="F2712" s="6" t="str">
        <f t="shared" si="95"/>
        <v>0103010704</v>
      </c>
    </row>
    <row r="2713" spans="1:6" x14ac:dyDescent="0.3">
      <c r="A2713" s="6" t="s">
        <v>409</v>
      </c>
      <c r="B2713">
        <v>1047223432</v>
      </c>
      <c r="C2713">
        <v>2</v>
      </c>
      <c r="D2713" t="str">
        <f t="shared" si="96"/>
        <v>02</v>
      </c>
      <c r="E2713" t="str">
        <f>VLOOKUP(B2713,'HOGARES-ENDLINE'!$A:$B,2,FALSE)</f>
        <v>00030108</v>
      </c>
      <c r="F2713" s="6" t="str">
        <f t="shared" si="95"/>
        <v>0003010802</v>
      </c>
    </row>
    <row r="2714" spans="1:6" x14ac:dyDescent="0.3">
      <c r="A2714" s="6" t="s">
        <v>410</v>
      </c>
      <c r="B2714">
        <v>1047223432</v>
      </c>
      <c r="C2714">
        <v>3</v>
      </c>
      <c r="D2714" t="str">
        <f t="shared" si="96"/>
        <v>03</v>
      </c>
      <c r="E2714" t="str">
        <f>VLOOKUP(B2714,'HOGARES-ENDLINE'!$A:$B,2,FALSE)</f>
        <v>00030108</v>
      </c>
      <c r="F2714" s="6" t="str">
        <f t="shared" si="95"/>
        <v>0003010803</v>
      </c>
    </row>
    <row r="2715" spans="1:6" x14ac:dyDescent="0.3">
      <c r="A2715" s="6" t="s">
        <v>408</v>
      </c>
      <c r="B2715">
        <v>1047223432</v>
      </c>
      <c r="C2715">
        <v>1</v>
      </c>
      <c r="D2715" t="str">
        <f t="shared" si="96"/>
        <v>01</v>
      </c>
      <c r="E2715" t="str">
        <f>VLOOKUP(B2715,'HOGARES-ENDLINE'!$A:$B,2,FALSE)</f>
        <v>00030108</v>
      </c>
      <c r="F2715" s="6" t="str">
        <f t="shared" si="95"/>
        <v>0003010801</v>
      </c>
    </row>
    <row r="2716" spans="1:6" x14ac:dyDescent="0.3">
      <c r="A2716" s="6" t="s">
        <v>411</v>
      </c>
      <c r="B2716">
        <v>1047226056</v>
      </c>
      <c r="C2716">
        <v>3</v>
      </c>
      <c r="D2716" t="str">
        <f t="shared" si="96"/>
        <v>03</v>
      </c>
      <c r="E2716" t="str">
        <f>VLOOKUP(B2716,'HOGARES-ENDLINE'!$A:$B,2,FALSE)</f>
        <v>01030109</v>
      </c>
      <c r="F2716" s="6" t="str">
        <f t="shared" si="95"/>
        <v>0103010903</v>
      </c>
    </row>
    <row r="2717" spans="1:6" x14ac:dyDescent="0.3">
      <c r="A2717" s="6" t="s">
        <v>414</v>
      </c>
      <c r="B2717">
        <v>1047226056</v>
      </c>
      <c r="C2717">
        <v>1</v>
      </c>
      <c r="D2717" t="str">
        <f t="shared" si="96"/>
        <v>01</v>
      </c>
      <c r="E2717" t="str">
        <f>VLOOKUP(B2717,'HOGARES-ENDLINE'!$A:$B,2,FALSE)</f>
        <v>01030109</v>
      </c>
      <c r="F2717" s="6" t="str">
        <f t="shared" si="95"/>
        <v>0103010901</v>
      </c>
    </row>
    <row r="2718" spans="1:6" x14ac:dyDescent="0.3">
      <c r="A2718" s="6" t="s">
        <v>412</v>
      </c>
      <c r="B2718">
        <v>1047226056</v>
      </c>
      <c r="C2718">
        <v>2</v>
      </c>
      <c r="D2718" t="str">
        <f t="shared" si="96"/>
        <v>02</v>
      </c>
      <c r="E2718" t="str">
        <f>VLOOKUP(B2718,'HOGARES-ENDLINE'!$A:$B,2,FALSE)</f>
        <v>01030109</v>
      </c>
      <c r="F2718" s="6" t="str">
        <f t="shared" si="95"/>
        <v>0103010902</v>
      </c>
    </row>
    <row r="2719" spans="1:6" x14ac:dyDescent="0.3">
      <c r="A2719" s="6" t="s">
        <v>413</v>
      </c>
      <c r="B2719">
        <v>1047226056</v>
      </c>
      <c r="C2719">
        <v>4</v>
      </c>
      <c r="D2719" t="str">
        <f t="shared" si="96"/>
        <v>04</v>
      </c>
      <c r="E2719" t="str">
        <f>VLOOKUP(B2719,'HOGARES-ENDLINE'!$A:$B,2,FALSE)</f>
        <v>01030109</v>
      </c>
      <c r="F2719" s="6" t="str">
        <f t="shared" si="95"/>
        <v>0103010904</v>
      </c>
    </row>
    <row r="2720" spans="1:6" x14ac:dyDescent="0.3">
      <c r="A2720" s="6" t="s">
        <v>419</v>
      </c>
      <c r="B2720">
        <v>1047227573</v>
      </c>
      <c r="C2720">
        <v>4</v>
      </c>
      <c r="D2720" t="str">
        <f t="shared" si="96"/>
        <v>04</v>
      </c>
      <c r="E2720" t="str">
        <f>VLOOKUP(B2720,'HOGARES-ENDLINE'!$A:$B,2,FALSE)</f>
        <v>01030111</v>
      </c>
      <c r="F2720" s="6" t="str">
        <f t="shared" si="95"/>
        <v>0103011104</v>
      </c>
    </row>
    <row r="2721" spans="1:6" x14ac:dyDescent="0.3">
      <c r="A2721" s="6" t="s">
        <v>416</v>
      </c>
      <c r="B2721">
        <v>1047227573</v>
      </c>
      <c r="C2721">
        <v>1</v>
      </c>
      <c r="D2721" t="str">
        <f t="shared" si="96"/>
        <v>01</v>
      </c>
      <c r="E2721" t="str">
        <f>VLOOKUP(B2721,'HOGARES-ENDLINE'!$A:$B,2,FALSE)</f>
        <v>01030111</v>
      </c>
      <c r="F2721" s="6" t="str">
        <f t="shared" si="95"/>
        <v>0103011101</v>
      </c>
    </row>
    <row r="2722" spans="1:6" x14ac:dyDescent="0.3">
      <c r="A2722" s="6" t="s">
        <v>418</v>
      </c>
      <c r="B2722">
        <v>1047227573</v>
      </c>
      <c r="C2722">
        <v>2</v>
      </c>
      <c r="D2722" t="str">
        <f t="shared" si="96"/>
        <v>02</v>
      </c>
      <c r="E2722" t="str">
        <f>VLOOKUP(B2722,'HOGARES-ENDLINE'!$A:$B,2,FALSE)</f>
        <v>01030111</v>
      </c>
      <c r="F2722" s="6" t="str">
        <f t="shared" si="95"/>
        <v>0103011102</v>
      </c>
    </row>
    <row r="2723" spans="1:6" x14ac:dyDescent="0.3">
      <c r="A2723" s="6" t="s">
        <v>417</v>
      </c>
      <c r="B2723">
        <v>1047227573</v>
      </c>
      <c r="C2723">
        <v>3</v>
      </c>
      <c r="D2723" t="str">
        <f t="shared" si="96"/>
        <v>03</v>
      </c>
      <c r="E2723" t="str">
        <f>VLOOKUP(B2723,'HOGARES-ENDLINE'!$A:$B,2,FALSE)</f>
        <v>01030111</v>
      </c>
      <c r="F2723" s="6" t="str">
        <f t="shared" si="95"/>
        <v>0103011103</v>
      </c>
    </row>
    <row r="2724" spans="1:6" x14ac:dyDescent="0.3">
      <c r="A2724" s="6" t="s">
        <v>420</v>
      </c>
      <c r="B2724">
        <v>1048220109</v>
      </c>
      <c r="C2724">
        <v>4</v>
      </c>
      <c r="D2724" t="str">
        <f t="shared" si="96"/>
        <v>04</v>
      </c>
      <c r="E2724" t="str">
        <f>VLOOKUP(B2724,'HOGARES-ENDLINE'!$A:$B,2,FALSE)</f>
        <v>01030112</v>
      </c>
      <c r="F2724" s="6" t="str">
        <f t="shared" si="95"/>
        <v>0103011204</v>
      </c>
    </row>
    <row r="2725" spans="1:6" x14ac:dyDescent="0.3">
      <c r="A2725" s="6" t="s">
        <v>422</v>
      </c>
      <c r="B2725">
        <v>1048220109</v>
      </c>
      <c r="C2725">
        <v>1</v>
      </c>
      <c r="D2725" t="str">
        <f t="shared" si="96"/>
        <v>01</v>
      </c>
      <c r="E2725" t="str">
        <f>VLOOKUP(B2725,'HOGARES-ENDLINE'!$A:$B,2,FALSE)</f>
        <v>01030112</v>
      </c>
      <c r="F2725" s="6" t="str">
        <f t="shared" si="95"/>
        <v>0103011201</v>
      </c>
    </row>
    <row r="2726" spans="1:6" x14ac:dyDescent="0.3">
      <c r="A2726" s="6" t="s">
        <v>421</v>
      </c>
      <c r="B2726">
        <v>1048220109</v>
      </c>
      <c r="C2726">
        <v>2</v>
      </c>
      <c r="D2726" t="str">
        <f t="shared" si="96"/>
        <v>02</v>
      </c>
      <c r="E2726" t="str">
        <f>VLOOKUP(B2726,'HOGARES-ENDLINE'!$A:$B,2,FALSE)</f>
        <v>01030112</v>
      </c>
      <c r="F2726" s="6" t="str">
        <f t="shared" si="95"/>
        <v>0103011202</v>
      </c>
    </row>
    <row r="2727" spans="1:6" x14ac:dyDescent="0.3">
      <c r="A2727" s="6" t="s">
        <v>423</v>
      </c>
      <c r="B2727">
        <v>1048220109</v>
      </c>
      <c r="C2727">
        <v>3</v>
      </c>
      <c r="D2727" t="str">
        <f t="shared" si="96"/>
        <v>03</v>
      </c>
      <c r="E2727" t="str">
        <f>VLOOKUP(B2727,'HOGARES-ENDLINE'!$A:$B,2,FALSE)</f>
        <v>01030112</v>
      </c>
      <c r="F2727" s="6" t="str">
        <f t="shared" si="95"/>
        <v>0103011203</v>
      </c>
    </row>
    <row r="2728" spans="1:6" x14ac:dyDescent="0.3">
      <c r="A2728" s="6" t="s">
        <v>424</v>
      </c>
      <c r="B2728">
        <v>1051360142</v>
      </c>
      <c r="C2728">
        <v>2</v>
      </c>
      <c r="D2728" t="str">
        <f t="shared" si="96"/>
        <v>02</v>
      </c>
      <c r="E2728" t="str">
        <f>VLOOKUP(B2728,'HOGARES-ENDLINE'!$A:$B,2,FALSE)</f>
        <v>00030113</v>
      </c>
      <c r="F2728" s="6" t="str">
        <f t="shared" si="95"/>
        <v>0003011302</v>
      </c>
    </row>
    <row r="2729" spans="1:6" x14ac:dyDescent="0.3">
      <c r="A2729" s="6" t="s">
        <v>425</v>
      </c>
      <c r="B2729">
        <v>1051360142</v>
      </c>
      <c r="C2729">
        <v>3</v>
      </c>
      <c r="D2729" t="str">
        <f t="shared" si="96"/>
        <v>03</v>
      </c>
      <c r="E2729" t="str">
        <f>VLOOKUP(B2729,'HOGARES-ENDLINE'!$A:$B,2,FALSE)</f>
        <v>00030113</v>
      </c>
      <c r="F2729" s="6" t="str">
        <f t="shared" si="95"/>
        <v>0003011303</v>
      </c>
    </row>
    <row r="2730" spans="1:6" x14ac:dyDescent="0.3">
      <c r="A2730" s="6" t="s">
        <v>427</v>
      </c>
      <c r="B2730">
        <v>1051360142</v>
      </c>
      <c r="C2730">
        <v>1</v>
      </c>
      <c r="D2730" t="str">
        <f t="shared" si="96"/>
        <v>01</v>
      </c>
      <c r="E2730" t="str">
        <f>VLOOKUP(B2730,'HOGARES-ENDLINE'!$A:$B,2,FALSE)</f>
        <v>00030113</v>
      </c>
      <c r="F2730" s="6" t="str">
        <f t="shared" si="95"/>
        <v>0003011301</v>
      </c>
    </row>
    <row r="2731" spans="1:6" x14ac:dyDescent="0.3">
      <c r="A2731" s="6" t="s">
        <v>426</v>
      </c>
      <c r="B2731">
        <v>1051360142</v>
      </c>
      <c r="C2731">
        <v>4</v>
      </c>
      <c r="D2731" t="str">
        <f t="shared" si="96"/>
        <v>04</v>
      </c>
      <c r="E2731" t="str">
        <f>VLOOKUP(B2731,'HOGARES-ENDLINE'!$A:$B,2,FALSE)</f>
        <v>00030113</v>
      </c>
      <c r="F2731" s="6" t="str">
        <f t="shared" si="95"/>
        <v>0003011304</v>
      </c>
    </row>
    <row r="2732" spans="1:6" x14ac:dyDescent="0.3">
      <c r="A2732" s="6" t="s">
        <v>435</v>
      </c>
      <c r="B2732">
        <v>1059044885</v>
      </c>
      <c r="C2732">
        <v>4</v>
      </c>
      <c r="D2732" t="str">
        <f t="shared" si="96"/>
        <v>04</v>
      </c>
      <c r="E2732" t="str">
        <f>VLOOKUP(B2732,'HOGARES-ENDLINE'!$A:$B,2,FALSE)</f>
        <v>01020115</v>
      </c>
      <c r="F2732" s="6" t="str">
        <f t="shared" si="95"/>
        <v>0102011504</v>
      </c>
    </row>
    <row r="2733" spans="1:6" x14ac:dyDescent="0.3">
      <c r="A2733" s="6" t="s">
        <v>432</v>
      </c>
      <c r="B2733">
        <v>1059044885</v>
      </c>
      <c r="C2733">
        <v>2</v>
      </c>
      <c r="D2733" t="str">
        <f t="shared" si="96"/>
        <v>02</v>
      </c>
      <c r="E2733" t="str">
        <f>VLOOKUP(B2733,'HOGARES-ENDLINE'!$A:$B,2,FALSE)</f>
        <v>01020115</v>
      </c>
      <c r="F2733" s="6" t="str">
        <f t="shared" si="95"/>
        <v>0102011502</v>
      </c>
    </row>
    <row r="2734" spans="1:6" x14ac:dyDescent="0.3">
      <c r="A2734" s="6" t="s">
        <v>434</v>
      </c>
      <c r="B2734">
        <v>1059044885</v>
      </c>
      <c r="C2734">
        <v>3</v>
      </c>
      <c r="D2734" t="str">
        <f t="shared" si="96"/>
        <v>03</v>
      </c>
      <c r="E2734" t="str">
        <f>VLOOKUP(B2734,'HOGARES-ENDLINE'!$A:$B,2,FALSE)</f>
        <v>01020115</v>
      </c>
      <c r="F2734" s="6" t="str">
        <f t="shared" si="95"/>
        <v>0102011503</v>
      </c>
    </row>
    <row r="2735" spans="1:6" x14ac:dyDescent="0.3">
      <c r="A2735" s="6" t="s">
        <v>433</v>
      </c>
      <c r="B2735">
        <v>1059044885</v>
      </c>
      <c r="C2735">
        <v>1</v>
      </c>
      <c r="D2735" t="str">
        <f t="shared" si="96"/>
        <v>01</v>
      </c>
      <c r="E2735" t="str">
        <f>VLOOKUP(B2735,'HOGARES-ENDLINE'!$A:$B,2,FALSE)</f>
        <v>01020115</v>
      </c>
      <c r="F2735" s="6" t="str">
        <f t="shared" si="95"/>
        <v>0102011501</v>
      </c>
    </row>
    <row r="2736" spans="1:6" x14ac:dyDescent="0.3">
      <c r="A2736" s="6" t="s">
        <v>436</v>
      </c>
      <c r="B2736">
        <v>1059986053</v>
      </c>
      <c r="C2736">
        <v>1</v>
      </c>
      <c r="D2736" t="str">
        <f t="shared" si="96"/>
        <v>01</v>
      </c>
      <c r="E2736" t="str">
        <f>VLOOKUP(B2736,'HOGARES-ENDLINE'!$A:$B,2,FALSE)</f>
        <v>01020116</v>
      </c>
      <c r="F2736" s="6" t="str">
        <f t="shared" si="95"/>
        <v>0102011601</v>
      </c>
    </row>
    <row r="2737" spans="1:6" x14ac:dyDescent="0.3">
      <c r="A2737" s="6" t="s">
        <v>443</v>
      </c>
      <c r="B2737">
        <v>1060102242</v>
      </c>
      <c r="C2737">
        <v>1</v>
      </c>
      <c r="D2737" t="str">
        <f t="shared" si="96"/>
        <v>01</v>
      </c>
      <c r="E2737" t="str">
        <f>VLOOKUP(B2737,'HOGARES-ENDLINE'!$A:$B,2,FALSE)</f>
        <v>01020117</v>
      </c>
      <c r="F2737" s="6" t="str">
        <f t="shared" si="95"/>
        <v>0102011701</v>
      </c>
    </row>
    <row r="2738" spans="1:6" x14ac:dyDescent="0.3">
      <c r="A2738" s="6" t="s">
        <v>447</v>
      </c>
      <c r="B2738">
        <v>1061433798</v>
      </c>
      <c r="C2738">
        <v>1</v>
      </c>
      <c r="D2738" t="str">
        <f t="shared" si="96"/>
        <v>01</v>
      </c>
      <c r="E2738" t="str">
        <f>VLOOKUP(B2738,'HOGARES-ENDLINE'!$A:$B,2,FALSE)</f>
        <v>01020118</v>
      </c>
      <c r="F2738" s="6" t="str">
        <f t="shared" si="95"/>
        <v>0102011801</v>
      </c>
    </row>
    <row r="2739" spans="1:6" x14ac:dyDescent="0.3">
      <c r="A2739" s="6" t="s">
        <v>445</v>
      </c>
      <c r="B2739">
        <v>1061433798</v>
      </c>
      <c r="C2739">
        <v>2</v>
      </c>
      <c r="D2739" t="str">
        <f t="shared" si="96"/>
        <v>02</v>
      </c>
      <c r="E2739" t="str">
        <f>VLOOKUP(B2739,'HOGARES-ENDLINE'!$A:$B,2,FALSE)</f>
        <v>01020118</v>
      </c>
      <c r="F2739" s="6" t="str">
        <f t="shared" si="95"/>
        <v>0102011802</v>
      </c>
    </row>
    <row r="2740" spans="1:6" x14ac:dyDescent="0.3">
      <c r="A2740" s="6" t="s">
        <v>449</v>
      </c>
      <c r="B2740">
        <v>1061433798</v>
      </c>
      <c r="C2740">
        <v>4</v>
      </c>
      <c r="D2740" t="str">
        <f t="shared" si="96"/>
        <v>04</v>
      </c>
      <c r="E2740" t="str">
        <f>VLOOKUP(B2740,'HOGARES-ENDLINE'!$A:$B,2,FALSE)</f>
        <v>01020118</v>
      </c>
      <c r="F2740" s="6" t="str">
        <f t="shared" si="95"/>
        <v>0102011804</v>
      </c>
    </row>
    <row r="2741" spans="1:6" x14ac:dyDescent="0.3">
      <c r="A2741" s="6" t="s">
        <v>448</v>
      </c>
      <c r="B2741">
        <v>1061433798</v>
      </c>
      <c r="C2741">
        <v>5</v>
      </c>
      <c r="D2741" t="str">
        <f t="shared" si="96"/>
        <v>05</v>
      </c>
      <c r="E2741" t="str">
        <f>VLOOKUP(B2741,'HOGARES-ENDLINE'!$A:$B,2,FALSE)</f>
        <v>01020118</v>
      </c>
      <c r="F2741" s="6" t="str">
        <f t="shared" si="95"/>
        <v>0102011805</v>
      </c>
    </row>
    <row r="2742" spans="1:6" x14ac:dyDescent="0.3">
      <c r="A2742" s="6" t="s">
        <v>446</v>
      </c>
      <c r="B2742">
        <v>1061433798</v>
      </c>
      <c r="C2742">
        <v>3</v>
      </c>
      <c r="D2742" t="str">
        <f t="shared" si="96"/>
        <v>03</v>
      </c>
      <c r="E2742" t="str">
        <f>VLOOKUP(B2742,'HOGARES-ENDLINE'!$A:$B,2,FALSE)</f>
        <v>01020118</v>
      </c>
      <c r="F2742" s="6" t="str">
        <f t="shared" si="95"/>
        <v>0102011803</v>
      </c>
    </row>
    <row r="2743" spans="1:6" x14ac:dyDescent="0.3">
      <c r="A2743" s="6" t="s">
        <v>450</v>
      </c>
      <c r="B2743">
        <v>1062297779</v>
      </c>
      <c r="C2743">
        <v>1</v>
      </c>
      <c r="D2743" t="str">
        <f t="shared" si="96"/>
        <v>01</v>
      </c>
      <c r="E2743" t="str">
        <f>VLOOKUP(B2743,'HOGARES-ENDLINE'!$A:$B,2,FALSE)</f>
        <v>01020119</v>
      </c>
      <c r="F2743" s="6" t="str">
        <f t="shared" si="95"/>
        <v>0102011901</v>
      </c>
    </row>
    <row r="2744" spans="1:6" x14ac:dyDescent="0.3">
      <c r="A2744" s="6" t="s">
        <v>460</v>
      </c>
      <c r="B2744">
        <v>1063282279</v>
      </c>
      <c r="C2744">
        <v>6</v>
      </c>
      <c r="D2744" t="str">
        <f t="shared" si="96"/>
        <v>06</v>
      </c>
      <c r="E2744" t="str">
        <f>VLOOKUP(B2744,'HOGARES-ENDLINE'!$A:$B,2,FALSE)</f>
        <v>00030120</v>
      </c>
      <c r="F2744" s="6" t="str">
        <f t="shared" si="95"/>
        <v>0003012006</v>
      </c>
    </row>
    <row r="2745" spans="1:6" x14ac:dyDescent="0.3">
      <c r="A2745" s="6" t="s">
        <v>456</v>
      </c>
      <c r="B2745">
        <v>1063282279</v>
      </c>
      <c r="C2745">
        <v>4</v>
      </c>
      <c r="D2745" t="str">
        <f t="shared" si="96"/>
        <v>04</v>
      </c>
      <c r="E2745" t="str">
        <f>VLOOKUP(B2745,'HOGARES-ENDLINE'!$A:$B,2,FALSE)</f>
        <v>00030120</v>
      </c>
      <c r="F2745" s="6" t="str">
        <f t="shared" si="95"/>
        <v>0003012004</v>
      </c>
    </row>
    <row r="2746" spans="1:6" x14ac:dyDescent="0.3">
      <c r="A2746" s="6" t="s">
        <v>458</v>
      </c>
      <c r="B2746">
        <v>1063282279</v>
      </c>
      <c r="C2746">
        <v>1</v>
      </c>
      <c r="D2746" t="str">
        <f t="shared" si="96"/>
        <v>01</v>
      </c>
      <c r="E2746" t="str">
        <f>VLOOKUP(B2746,'HOGARES-ENDLINE'!$A:$B,2,FALSE)</f>
        <v>00030120</v>
      </c>
      <c r="F2746" s="6" t="str">
        <f t="shared" si="95"/>
        <v>0003012001</v>
      </c>
    </row>
    <row r="2747" spans="1:6" x14ac:dyDescent="0.3">
      <c r="A2747" s="6" t="s">
        <v>461</v>
      </c>
      <c r="B2747">
        <v>1063282279</v>
      </c>
      <c r="C2747">
        <v>2</v>
      </c>
      <c r="D2747" t="str">
        <f t="shared" si="96"/>
        <v>02</v>
      </c>
      <c r="E2747" t="str">
        <f>VLOOKUP(B2747,'HOGARES-ENDLINE'!$A:$B,2,FALSE)</f>
        <v>00030120</v>
      </c>
      <c r="F2747" s="6" t="str">
        <f t="shared" si="95"/>
        <v>0003012002</v>
      </c>
    </row>
    <row r="2748" spans="1:6" x14ac:dyDescent="0.3">
      <c r="A2748" s="6" t="s">
        <v>459</v>
      </c>
      <c r="B2748">
        <v>1063282279</v>
      </c>
      <c r="C2748">
        <v>3</v>
      </c>
      <c r="D2748" t="str">
        <f t="shared" si="96"/>
        <v>03</v>
      </c>
      <c r="E2748" t="str">
        <f>VLOOKUP(B2748,'HOGARES-ENDLINE'!$A:$B,2,FALSE)</f>
        <v>00030120</v>
      </c>
      <c r="F2748" s="6" t="str">
        <f t="shared" si="95"/>
        <v>0003012003</v>
      </c>
    </row>
    <row r="2749" spans="1:6" x14ac:dyDescent="0.3">
      <c r="A2749" s="6" t="s">
        <v>457</v>
      </c>
      <c r="B2749">
        <v>1063282279</v>
      </c>
      <c r="C2749">
        <v>5</v>
      </c>
      <c r="D2749" t="str">
        <f t="shared" si="96"/>
        <v>05</v>
      </c>
      <c r="E2749" t="str">
        <f>VLOOKUP(B2749,'HOGARES-ENDLINE'!$A:$B,2,FALSE)</f>
        <v>00030120</v>
      </c>
      <c r="F2749" s="6" t="str">
        <f t="shared" si="95"/>
        <v>0003012005</v>
      </c>
    </row>
    <row r="2750" spans="1:6" x14ac:dyDescent="0.3">
      <c r="A2750" s="6" t="s">
        <v>465</v>
      </c>
      <c r="B2750">
        <v>1067094968</v>
      </c>
      <c r="C2750">
        <v>1</v>
      </c>
      <c r="D2750" t="str">
        <f t="shared" si="96"/>
        <v>01</v>
      </c>
      <c r="E2750" t="str">
        <f>VLOOKUP(B2750,'HOGARES-ENDLINE'!$A:$B,2,FALSE)</f>
        <v>01010121</v>
      </c>
      <c r="F2750" s="6" t="str">
        <f t="shared" si="95"/>
        <v>0101012101</v>
      </c>
    </row>
    <row r="2751" spans="1:6" x14ac:dyDescent="0.3">
      <c r="A2751" s="6" t="s">
        <v>467</v>
      </c>
      <c r="B2751">
        <v>1067461300</v>
      </c>
      <c r="C2751">
        <v>2</v>
      </c>
      <c r="D2751" t="str">
        <f t="shared" si="96"/>
        <v>02</v>
      </c>
      <c r="E2751" t="str">
        <f>VLOOKUP(B2751,'HOGARES-ENDLINE'!$A:$B,2,FALSE)</f>
        <v>01020122</v>
      </c>
      <c r="F2751" s="6" t="str">
        <f t="shared" si="95"/>
        <v>0102012202</v>
      </c>
    </row>
    <row r="2752" spans="1:6" x14ac:dyDescent="0.3">
      <c r="A2752" s="6" t="s">
        <v>468</v>
      </c>
      <c r="B2752">
        <v>1067461300</v>
      </c>
      <c r="C2752">
        <v>3</v>
      </c>
      <c r="D2752" t="str">
        <f t="shared" si="96"/>
        <v>03</v>
      </c>
      <c r="E2752" t="str">
        <f>VLOOKUP(B2752,'HOGARES-ENDLINE'!$A:$B,2,FALSE)</f>
        <v>01020122</v>
      </c>
      <c r="F2752" s="6" t="str">
        <f t="shared" si="95"/>
        <v>0102012203</v>
      </c>
    </row>
    <row r="2753" spans="1:6" x14ac:dyDescent="0.3">
      <c r="A2753" s="6" t="s">
        <v>466</v>
      </c>
      <c r="B2753">
        <v>1067461300</v>
      </c>
      <c r="C2753">
        <v>1</v>
      </c>
      <c r="D2753" t="str">
        <f t="shared" si="96"/>
        <v>01</v>
      </c>
      <c r="E2753" t="str">
        <f>VLOOKUP(B2753,'HOGARES-ENDLINE'!$A:$B,2,FALSE)</f>
        <v>01020122</v>
      </c>
      <c r="F2753" s="6" t="str">
        <f t="shared" si="95"/>
        <v>0102012201</v>
      </c>
    </row>
    <row r="2754" spans="1:6" x14ac:dyDescent="0.3">
      <c r="A2754" s="6" t="s">
        <v>5207</v>
      </c>
      <c r="B2754">
        <v>1067461300</v>
      </c>
      <c r="C2754">
        <v>4</v>
      </c>
      <c r="D2754" t="str">
        <f t="shared" si="96"/>
        <v>04</v>
      </c>
      <c r="E2754" t="str">
        <f>VLOOKUP(B2754,'HOGARES-ENDLINE'!$A:$B,2,FALSE)</f>
        <v>01020122</v>
      </c>
      <c r="F2754" s="6" t="str">
        <f t="shared" si="95"/>
        <v>0102012204</v>
      </c>
    </row>
    <row r="2755" spans="1:6" x14ac:dyDescent="0.3">
      <c r="A2755" s="6" t="s">
        <v>475</v>
      </c>
      <c r="B2755">
        <v>1080835928</v>
      </c>
      <c r="C2755">
        <v>1</v>
      </c>
      <c r="D2755" t="str">
        <f t="shared" si="96"/>
        <v>01</v>
      </c>
      <c r="E2755" t="str">
        <f>VLOOKUP(B2755,'HOGARES-ENDLINE'!$A:$B,2,FALSE)</f>
        <v>01020124</v>
      </c>
      <c r="F2755" s="6" t="str">
        <f t="shared" ref="F2755:F2818" si="97">_xlfn.CONCAT(E2755,D2755)</f>
        <v>0102012401</v>
      </c>
    </row>
    <row r="2756" spans="1:6" x14ac:dyDescent="0.3">
      <c r="A2756" s="6" t="s">
        <v>483</v>
      </c>
      <c r="B2756">
        <v>1101200056</v>
      </c>
      <c r="C2756">
        <v>2</v>
      </c>
      <c r="D2756" t="str">
        <f t="shared" si="96"/>
        <v>02</v>
      </c>
      <c r="E2756" t="str">
        <f>VLOOKUP(B2756,'HOGARES-ENDLINE'!$A:$B,2,FALSE)</f>
        <v>00030126</v>
      </c>
      <c r="F2756" s="6" t="str">
        <f t="shared" si="97"/>
        <v>0003012602</v>
      </c>
    </row>
    <row r="2757" spans="1:6" x14ac:dyDescent="0.3">
      <c r="A2757" s="6" t="s">
        <v>480</v>
      </c>
      <c r="B2757">
        <v>1101200056</v>
      </c>
      <c r="C2757">
        <v>5</v>
      </c>
      <c r="D2757" t="str">
        <f t="shared" si="96"/>
        <v>05</v>
      </c>
      <c r="E2757" t="str">
        <f>VLOOKUP(B2757,'HOGARES-ENDLINE'!$A:$B,2,FALSE)</f>
        <v>00030126</v>
      </c>
      <c r="F2757" s="6" t="str">
        <f t="shared" si="97"/>
        <v>0003012605</v>
      </c>
    </row>
    <row r="2758" spans="1:6" x14ac:dyDescent="0.3">
      <c r="A2758" s="6" t="s">
        <v>481</v>
      </c>
      <c r="B2758">
        <v>1101200056</v>
      </c>
      <c r="C2758">
        <v>4</v>
      </c>
      <c r="D2758" t="str">
        <f t="shared" si="96"/>
        <v>04</v>
      </c>
      <c r="E2758" t="str">
        <f>VLOOKUP(B2758,'HOGARES-ENDLINE'!$A:$B,2,FALSE)</f>
        <v>00030126</v>
      </c>
      <c r="F2758" s="6" t="str">
        <f t="shared" si="97"/>
        <v>0003012604</v>
      </c>
    </row>
    <row r="2759" spans="1:6" x14ac:dyDescent="0.3">
      <c r="A2759" s="6" t="s">
        <v>482</v>
      </c>
      <c r="B2759">
        <v>1101200056</v>
      </c>
      <c r="C2759">
        <v>1</v>
      </c>
      <c r="D2759" t="str">
        <f t="shared" si="96"/>
        <v>01</v>
      </c>
      <c r="E2759" t="str">
        <f>VLOOKUP(B2759,'HOGARES-ENDLINE'!$A:$B,2,FALSE)</f>
        <v>00030126</v>
      </c>
      <c r="F2759" s="6" t="str">
        <f t="shared" si="97"/>
        <v>0003012601</v>
      </c>
    </row>
    <row r="2760" spans="1:6" x14ac:dyDescent="0.3">
      <c r="A2760" s="6" t="s">
        <v>479</v>
      </c>
      <c r="B2760">
        <v>1101200056</v>
      </c>
      <c r="C2760">
        <v>3</v>
      </c>
      <c r="D2760" t="str">
        <f t="shared" si="96"/>
        <v>03</v>
      </c>
      <c r="E2760" t="str">
        <f>VLOOKUP(B2760,'HOGARES-ENDLINE'!$A:$B,2,FALSE)</f>
        <v>00030126</v>
      </c>
      <c r="F2760" s="6" t="str">
        <f t="shared" si="97"/>
        <v>0003012603</v>
      </c>
    </row>
    <row r="2761" spans="1:6" x14ac:dyDescent="0.3">
      <c r="A2761" s="6" t="s">
        <v>484</v>
      </c>
      <c r="B2761">
        <v>1107036712</v>
      </c>
      <c r="C2761">
        <v>1</v>
      </c>
      <c r="D2761" t="str">
        <f t="shared" ref="D2761:D2824" si="98">_xlfn.CONCAT(0,C2761)</f>
        <v>01</v>
      </c>
      <c r="E2761" t="str">
        <f>VLOOKUP(B2761,'HOGARES-ENDLINE'!$A:$B,2,FALSE)</f>
        <v>01020127</v>
      </c>
      <c r="F2761" s="6" t="str">
        <f t="shared" si="97"/>
        <v>0102012701</v>
      </c>
    </row>
    <row r="2762" spans="1:6" x14ac:dyDescent="0.3">
      <c r="A2762" s="6" t="s">
        <v>488</v>
      </c>
      <c r="B2762">
        <v>1107062248</v>
      </c>
      <c r="C2762">
        <v>4</v>
      </c>
      <c r="D2762" t="str">
        <f t="shared" si="98"/>
        <v>04</v>
      </c>
      <c r="E2762" t="str">
        <f>VLOOKUP(B2762,'HOGARES-ENDLINE'!$A:$B,2,FALSE)</f>
        <v>01020129</v>
      </c>
      <c r="F2762" s="6" t="str">
        <f t="shared" si="97"/>
        <v>0102012904</v>
      </c>
    </row>
    <row r="2763" spans="1:6" x14ac:dyDescent="0.3">
      <c r="A2763" s="6" t="s">
        <v>490</v>
      </c>
      <c r="B2763">
        <v>1107062248</v>
      </c>
      <c r="C2763">
        <v>1</v>
      </c>
      <c r="D2763" t="str">
        <f t="shared" si="98"/>
        <v>01</v>
      </c>
      <c r="E2763" t="str">
        <f>VLOOKUP(B2763,'HOGARES-ENDLINE'!$A:$B,2,FALSE)</f>
        <v>01020129</v>
      </c>
      <c r="F2763" s="6" t="str">
        <f t="shared" si="97"/>
        <v>0102012901</v>
      </c>
    </row>
    <row r="2764" spans="1:6" x14ac:dyDescent="0.3">
      <c r="A2764" s="6" t="s">
        <v>491</v>
      </c>
      <c r="B2764">
        <v>1107077651</v>
      </c>
      <c r="C2764">
        <v>3</v>
      </c>
      <c r="D2764" t="str">
        <f t="shared" si="98"/>
        <v>03</v>
      </c>
      <c r="E2764" t="str">
        <f>VLOOKUP(B2764,'HOGARES-ENDLINE'!$A:$B,2,FALSE)</f>
        <v>00020130</v>
      </c>
      <c r="F2764" s="6" t="str">
        <f t="shared" si="97"/>
        <v>0002013003</v>
      </c>
    </row>
    <row r="2765" spans="1:6" x14ac:dyDescent="0.3">
      <c r="A2765" s="6" t="s">
        <v>492</v>
      </c>
      <c r="B2765">
        <v>1107077651</v>
      </c>
      <c r="C2765">
        <v>2</v>
      </c>
      <c r="D2765" t="str">
        <f t="shared" si="98"/>
        <v>02</v>
      </c>
      <c r="E2765" t="str">
        <f>VLOOKUP(B2765,'HOGARES-ENDLINE'!$A:$B,2,FALSE)</f>
        <v>00020130</v>
      </c>
      <c r="F2765" s="6" t="str">
        <f t="shared" si="97"/>
        <v>0002013002</v>
      </c>
    </row>
    <row r="2766" spans="1:6" x14ac:dyDescent="0.3">
      <c r="A2766" s="6" t="s">
        <v>493</v>
      </c>
      <c r="B2766">
        <v>1107077651</v>
      </c>
      <c r="C2766">
        <v>1</v>
      </c>
      <c r="D2766" t="str">
        <f t="shared" si="98"/>
        <v>01</v>
      </c>
      <c r="E2766" t="str">
        <f>VLOOKUP(B2766,'HOGARES-ENDLINE'!$A:$B,2,FALSE)</f>
        <v>00020130</v>
      </c>
      <c r="F2766" s="6" t="str">
        <f t="shared" si="97"/>
        <v>0002013001</v>
      </c>
    </row>
    <row r="2767" spans="1:6" x14ac:dyDescent="0.3">
      <c r="A2767" s="6" t="s">
        <v>495</v>
      </c>
      <c r="B2767">
        <v>1107082402</v>
      </c>
      <c r="C2767">
        <v>1</v>
      </c>
      <c r="D2767" t="str">
        <f t="shared" si="98"/>
        <v>01</v>
      </c>
      <c r="E2767" t="str">
        <f>VLOOKUP(B2767,'HOGARES-ENDLINE'!$A:$B,2,FALSE)</f>
        <v>01020131</v>
      </c>
      <c r="F2767" s="6" t="str">
        <f t="shared" si="97"/>
        <v>0102013101</v>
      </c>
    </row>
    <row r="2768" spans="1:6" x14ac:dyDescent="0.3">
      <c r="A2768" s="6" t="s">
        <v>496</v>
      </c>
      <c r="B2768">
        <v>1107082402</v>
      </c>
      <c r="C2768">
        <v>3</v>
      </c>
      <c r="D2768" t="str">
        <f t="shared" si="98"/>
        <v>03</v>
      </c>
      <c r="E2768" t="str">
        <f>VLOOKUP(B2768,'HOGARES-ENDLINE'!$A:$B,2,FALSE)</f>
        <v>01020131</v>
      </c>
      <c r="F2768" s="6" t="str">
        <f t="shared" si="97"/>
        <v>0102013103</v>
      </c>
    </row>
    <row r="2769" spans="1:6" x14ac:dyDescent="0.3">
      <c r="A2769" s="6" t="s">
        <v>494</v>
      </c>
      <c r="B2769">
        <v>1107082402</v>
      </c>
      <c r="C2769">
        <v>2</v>
      </c>
      <c r="D2769" t="str">
        <f t="shared" si="98"/>
        <v>02</v>
      </c>
      <c r="E2769" t="str">
        <f>VLOOKUP(B2769,'HOGARES-ENDLINE'!$A:$B,2,FALSE)</f>
        <v>01020131</v>
      </c>
      <c r="F2769" s="6" t="str">
        <f t="shared" si="97"/>
        <v>0102013102</v>
      </c>
    </row>
    <row r="2770" spans="1:6" x14ac:dyDescent="0.3">
      <c r="A2770" s="6" t="s">
        <v>500</v>
      </c>
      <c r="B2770">
        <v>1107096112</v>
      </c>
      <c r="C2770">
        <v>1</v>
      </c>
      <c r="D2770" t="str">
        <f t="shared" si="98"/>
        <v>01</v>
      </c>
      <c r="E2770" t="str">
        <f>VLOOKUP(B2770,'HOGARES-ENDLINE'!$A:$B,2,FALSE)</f>
        <v>00020133</v>
      </c>
      <c r="F2770" s="6" t="str">
        <f t="shared" si="97"/>
        <v>0002013301</v>
      </c>
    </row>
    <row r="2771" spans="1:6" x14ac:dyDescent="0.3">
      <c r="A2771" s="6" t="s">
        <v>498</v>
      </c>
      <c r="B2771">
        <v>1107096112</v>
      </c>
      <c r="C2771">
        <v>4</v>
      </c>
      <c r="D2771" t="str">
        <f t="shared" si="98"/>
        <v>04</v>
      </c>
      <c r="E2771" t="str">
        <f>VLOOKUP(B2771,'HOGARES-ENDLINE'!$A:$B,2,FALSE)</f>
        <v>00020133</v>
      </c>
      <c r="F2771" s="6" t="str">
        <f t="shared" si="97"/>
        <v>0002013304</v>
      </c>
    </row>
    <row r="2772" spans="1:6" x14ac:dyDescent="0.3">
      <c r="A2772" s="6" t="s">
        <v>501</v>
      </c>
      <c r="B2772">
        <v>1107096112</v>
      </c>
      <c r="C2772">
        <v>3</v>
      </c>
      <c r="D2772" t="str">
        <f t="shared" si="98"/>
        <v>03</v>
      </c>
      <c r="E2772" t="str">
        <f>VLOOKUP(B2772,'HOGARES-ENDLINE'!$A:$B,2,FALSE)</f>
        <v>00020133</v>
      </c>
      <c r="F2772" s="6" t="str">
        <f t="shared" si="97"/>
        <v>0002013303</v>
      </c>
    </row>
    <row r="2773" spans="1:6" x14ac:dyDescent="0.3">
      <c r="A2773" s="6" t="s">
        <v>499</v>
      </c>
      <c r="B2773">
        <v>1107096112</v>
      </c>
      <c r="C2773">
        <v>2</v>
      </c>
      <c r="D2773" t="str">
        <f t="shared" si="98"/>
        <v>02</v>
      </c>
      <c r="E2773" t="str">
        <f>VLOOKUP(B2773,'HOGARES-ENDLINE'!$A:$B,2,FALSE)</f>
        <v>00020133</v>
      </c>
      <c r="F2773" s="6" t="str">
        <f t="shared" si="97"/>
        <v>0002013302</v>
      </c>
    </row>
    <row r="2774" spans="1:6" x14ac:dyDescent="0.3">
      <c r="A2774" s="6" t="s">
        <v>504</v>
      </c>
      <c r="B2774">
        <v>1107101692</v>
      </c>
      <c r="C2774">
        <v>1</v>
      </c>
      <c r="D2774" t="str">
        <f t="shared" si="98"/>
        <v>01</v>
      </c>
      <c r="E2774" t="str">
        <f>VLOOKUP(B2774,'HOGARES-ENDLINE'!$A:$B,2,FALSE)</f>
        <v>01020134</v>
      </c>
      <c r="F2774" s="6" t="str">
        <f t="shared" si="97"/>
        <v>0102013401</v>
      </c>
    </row>
    <row r="2775" spans="1:6" x14ac:dyDescent="0.3">
      <c r="A2775" s="6" t="s">
        <v>505</v>
      </c>
      <c r="B2775">
        <v>1107511494</v>
      </c>
      <c r="C2775">
        <v>1</v>
      </c>
      <c r="D2775" t="str">
        <f t="shared" si="98"/>
        <v>01</v>
      </c>
      <c r="E2775" t="str">
        <f>VLOOKUP(B2775,'HOGARES-ENDLINE'!$A:$B,2,FALSE)</f>
        <v>00020135</v>
      </c>
      <c r="F2775" s="6" t="str">
        <f t="shared" si="97"/>
        <v>0002013501</v>
      </c>
    </row>
    <row r="2776" spans="1:6" x14ac:dyDescent="0.3">
      <c r="A2776" s="6" t="s">
        <v>507</v>
      </c>
      <c r="B2776">
        <v>1107511973</v>
      </c>
      <c r="C2776">
        <v>2</v>
      </c>
      <c r="D2776" t="str">
        <f t="shared" si="98"/>
        <v>02</v>
      </c>
      <c r="E2776" t="str">
        <f>VLOOKUP(B2776,'HOGARES-ENDLINE'!$A:$B,2,FALSE)</f>
        <v>00020136</v>
      </c>
      <c r="F2776" s="6" t="str">
        <f t="shared" si="97"/>
        <v>0002013602</v>
      </c>
    </row>
    <row r="2777" spans="1:6" x14ac:dyDescent="0.3">
      <c r="A2777" s="6" t="s">
        <v>508</v>
      </c>
      <c r="B2777">
        <v>1107511973</v>
      </c>
      <c r="C2777">
        <v>1</v>
      </c>
      <c r="D2777" t="str">
        <f t="shared" si="98"/>
        <v>01</v>
      </c>
      <c r="E2777" t="str">
        <f>VLOOKUP(B2777,'HOGARES-ENDLINE'!$A:$B,2,FALSE)</f>
        <v>00020136</v>
      </c>
      <c r="F2777" s="6" t="str">
        <f t="shared" si="97"/>
        <v>0002013601</v>
      </c>
    </row>
    <row r="2778" spans="1:6" x14ac:dyDescent="0.3">
      <c r="A2778" s="6" t="s">
        <v>506</v>
      </c>
      <c r="B2778">
        <v>1107511973</v>
      </c>
      <c r="C2778">
        <v>3</v>
      </c>
      <c r="D2778" t="str">
        <f t="shared" si="98"/>
        <v>03</v>
      </c>
      <c r="E2778" t="str">
        <f>VLOOKUP(B2778,'HOGARES-ENDLINE'!$A:$B,2,FALSE)</f>
        <v>00020136</v>
      </c>
      <c r="F2778" s="6" t="str">
        <f t="shared" si="97"/>
        <v>0002013603</v>
      </c>
    </row>
    <row r="2779" spans="1:6" x14ac:dyDescent="0.3">
      <c r="A2779" s="6" t="s">
        <v>509</v>
      </c>
      <c r="B2779">
        <v>1107528203</v>
      </c>
      <c r="C2779">
        <v>2</v>
      </c>
      <c r="D2779" t="str">
        <f t="shared" si="98"/>
        <v>02</v>
      </c>
      <c r="E2779" t="str">
        <f>VLOOKUP(B2779,'HOGARES-ENDLINE'!$A:$B,2,FALSE)</f>
        <v>01020137</v>
      </c>
      <c r="F2779" s="6" t="str">
        <f t="shared" si="97"/>
        <v>0102013702</v>
      </c>
    </row>
    <row r="2780" spans="1:6" x14ac:dyDescent="0.3">
      <c r="A2780" s="6" t="s">
        <v>511</v>
      </c>
      <c r="B2780">
        <v>1107528203</v>
      </c>
      <c r="C2780">
        <v>3</v>
      </c>
      <c r="D2780" t="str">
        <f t="shared" si="98"/>
        <v>03</v>
      </c>
      <c r="E2780" t="str">
        <f>VLOOKUP(B2780,'HOGARES-ENDLINE'!$A:$B,2,FALSE)</f>
        <v>01020137</v>
      </c>
      <c r="F2780" s="6" t="str">
        <f t="shared" si="97"/>
        <v>0102013703</v>
      </c>
    </row>
    <row r="2781" spans="1:6" x14ac:dyDescent="0.3">
      <c r="A2781" s="6" t="s">
        <v>510</v>
      </c>
      <c r="B2781">
        <v>1107528203</v>
      </c>
      <c r="C2781">
        <v>1</v>
      </c>
      <c r="D2781" t="str">
        <f t="shared" si="98"/>
        <v>01</v>
      </c>
      <c r="E2781" t="str">
        <f>VLOOKUP(B2781,'HOGARES-ENDLINE'!$A:$B,2,FALSE)</f>
        <v>01020137</v>
      </c>
      <c r="F2781" s="6" t="str">
        <f t="shared" si="97"/>
        <v>0102013701</v>
      </c>
    </row>
    <row r="2782" spans="1:6" x14ac:dyDescent="0.3">
      <c r="A2782" s="6" t="s">
        <v>515</v>
      </c>
      <c r="B2782">
        <v>1108641125</v>
      </c>
      <c r="C2782">
        <v>1</v>
      </c>
      <c r="D2782" t="str">
        <f t="shared" si="98"/>
        <v>01</v>
      </c>
      <c r="E2782" t="str">
        <f>VLOOKUP(B2782,'HOGARES-ENDLINE'!$A:$B,2,FALSE)</f>
        <v>00020138</v>
      </c>
      <c r="F2782" s="6" t="str">
        <f t="shared" si="97"/>
        <v>0002013801</v>
      </c>
    </row>
    <row r="2783" spans="1:6" x14ac:dyDescent="0.3">
      <c r="A2783" s="6" t="s">
        <v>513</v>
      </c>
      <c r="B2783">
        <v>1108641125</v>
      </c>
      <c r="C2783">
        <v>2</v>
      </c>
      <c r="D2783" t="str">
        <f t="shared" si="98"/>
        <v>02</v>
      </c>
      <c r="E2783" t="str">
        <f>VLOOKUP(B2783,'HOGARES-ENDLINE'!$A:$B,2,FALSE)</f>
        <v>00020138</v>
      </c>
      <c r="F2783" s="6" t="str">
        <f t="shared" si="97"/>
        <v>0002013802</v>
      </c>
    </row>
    <row r="2784" spans="1:6" x14ac:dyDescent="0.3">
      <c r="A2784" s="6" t="s">
        <v>516</v>
      </c>
      <c r="B2784">
        <v>1108641125</v>
      </c>
      <c r="C2784">
        <v>3</v>
      </c>
      <c r="D2784" t="str">
        <f t="shared" si="98"/>
        <v>03</v>
      </c>
      <c r="E2784" t="str">
        <f>VLOOKUP(B2784,'HOGARES-ENDLINE'!$A:$B,2,FALSE)</f>
        <v>00020138</v>
      </c>
      <c r="F2784" s="6" t="str">
        <f t="shared" si="97"/>
        <v>0002013803</v>
      </c>
    </row>
    <row r="2785" spans="1:6" x14ac:dyDescent="0.3">
      <c r="A2785" s="6" t="s">
        <v>512</v>
      </c>
      <c r="B2785">
        <v>1108641125</v>
      </c>
      <c r="C2785">
        <v>4</v>
      </c>
      <c r="D2785" t="str">
        <f t="shared" si="98"/>
        <v>04</v>
      </c>
      <c r="E2785" t="str">
        <f>VLOOKUP(B2785,'HOGARES-ENDLINE'!$A:$B,2,FALSE)</f>
        <v>00020138</v>
      </c>
      <c r="F2785" s="6" t="str">
        <f t="shared" si="97"/>
        <v>0002013804</v>
      </c>
    </row>
    <row r="2786" spans="1:6" x14ac:dyDescent="0.3">
      <c r="A2786" s="6" t="s">
        <v>514</v>
      </c>
      <c r="B2786">
        <v>1108641125</v>
      </c>
      <c r="C2786">
        <v>5</v>
      </c>
      <c r="D2786" t="str">
        <f t="shared" si="98"/>
        <v>05</v>
      </c>
      <c r="E2786" t="str">
        <f>VLOOKUP(B2786,'HOGARES-ENDLINE'!$A:$B,2,FALSE)</f>
        <v>00020138</v>
      </c>
      <c r="F2786" s="6" t="str">
        <f t="shared" si="97"/>
        <v>0002013805</v>
      </c>
    </row>
    <row r="2787" spans="1:6" x14ac:dyDescent="0.3">
      <c r="A2787" s="6" t="s">
        <v>517</v>
      </c>
      <c r="B2787">
        <v>1112459228</v>
      </c>
      <c r="C2787">
        <v>2</v>
      </c>
      <c r="D2787" t="str">
        <f t="shared" si="98"/>
        <v>02</v>
      </c>
      <c r="E2787" t="str">
        <f>VLOOKUP(B2787,'HOGARES-ENDLINE'!$A:$B,2,FALSE)</f>
        <v>01020139</v>
      </c>
      <c r="F2787" s="6" t="str">
        <f t="shared" si="97"/>
        <v>0102013902</v>
      </c>
    </row>
    <row r="2788" spans="1:6" x14ac:dyDescent="0.3">
      <c r="A2788" s="6" t="s">
        <v>519</v>
      </c>
      <c r="B2788">
        <v>1112459228</v>
      </c>
      <c r="C2788">
        <v>1</v>
      </c>
      <c r="D2788" t="str">
        <f t="shared" si="98"/>
        <v>01</v>
      </c>
      <c r="E2788" t="str">
        <f>VLOOKUP(B2788,'HOGARES-ENDLINE'!$A:$B,2,FALSE)</f>
        <v>01020139</v>
      </c>
      <c r="F2788" s="6" t="str">
        <f t="shared" si="97"/>
        <v>0102013901</v>
      </c>
    </row>
    <row r="2789" spans="1:6" x14ac:dyDescent="0.3">
      <c r="A2789" s="6" t="s">
        <v>518</v>
      </c>
      <c r="B2789">
        <v>1112459228</v>
      </c>
      <c r="C2789">
        <v>3</v>
      </c>
      <c r="D2789" t="str">
        <f t="shared" si="98"/>
        <v>03</v>
      </c>
      <c r="E2789" t="str">
        <f>VLOOKUP(B2789,'HOGARES-ENDLINE'!$A:$B,2,FALSE)</f>
        <v>01020139</v>
      </c>
      <c r="F2789" s="6" t="str">
        <f t="shared" si="97"/>
        <v>0102013903</v>
      </c>
    </row>
    <row r="2790" spans="1:6" x14ac:dyDescent="0.3">
      <c r="A2790" s="6" t="s">
        <v>520</v>
      </c>
      <c r="B2790">
        <v>1112460885</v>
      </c>
      <c r="C2790">
        <v>1</v>
      </c>
      <c r="D2790" t="str">
        <f t="shared" si="98"/>
        <v>01</v>
      </c>
      <c r="E2790" t="str">
        <f>VLOOKUP(B2790,'HOGARES-ENDLINE'!$A:$B,2,FALSE)</f>
        <v>01020140</v>
      </c>
      <c r="F2790" s="6" t="str">
        <f t="shared" si="97"/>
        <v>0102014001</v>
      </c>
    </row>
    <row r="2791" spans="1:6" x14ac:dyDescent="0.3">
      <c r="A2791" s="6" t="s">
        <v>522</v>
      </c>
      <c r="B2791">
        <v>1112460885</v>
      </c>
      <c r="C2791">
        <v>2</v>
      </c>
      <c r="D2791" t="str">
        <f t="shared" si="98"/>
        <v>02</v>
      </c>
      <c r="E2791" t="str">
        <f>VLOOKUP(B2791,'HOGARES-ENDLINE'!$A:$B,2,FALSE)</f>
        <v>01020140</v>
      </c>
      <c r="F2791" s="6" t="str">
        <f t="shared" si="97"/>
        <v>0102014002</v>
      </c>
    </row>
    <row r="2792" spans="1:6" x14ac:dyDescent="0.3">
      <c r="A2792" s="6" t="s">
        <v>523</v>
      </c>
      <c r="B2792">
        <v>1112460885</v>
      </c>
      <c r="C2792">
        <v>3</v>
      </c>
      <c r="D2792" t="str">
        <f t="shared" si="98"/>
        <v>03</v>
      </c>
      <c r="E2792" t="str">
        <f>VLOOKUP(B2792,'HOGARES-ENDLINE'!$A:$B,2,FALSE)</f>
        <v>01020140</v>
      </c>
      <c r="F2792" s="6" t="str">
        <f t="shared" si="97"/>
        <v>0102014003</v>
      </c>
    </row>
    <row r="2793" spans="1:6" x14ac:dyDescent="0.3">
      <c r="A2793" s="6" t="s">
        <v>521</v>
      </c>
      <c r="B2793">
        <v>1112460885</v>
      </c>
      <c r="C2793">
        <v>4</v>
      </c>
      <c r="D2793" t="str">
        <f t="shared" si="98"/>
        <v>04</v>
      </c>
      <c r="E2793" t="str">
        <f>VLOOKUP(B2793,'HOGARES-ENDLINE'!$A:$B,2,FALSE)</f>
        <v>01020140</v>
      </c>
      <c r="F2793" s="6" t="str">
        <f t="shared" si="97"/>
        <v>0102014004</v>
      </c>
    </row>
    <row r="2794" spans="1:6" x14ac:dyDescent="0.3">
      <c r="A2794" s="6" t="s">
        <v>525</v>
      </c>
      <c r="B2794">
        <v>1112464691</v>
      </c>
      <c r="C2794">
        <v>2</v>
      </c>
      <c r="D2794" t="str">
        <f t="shared" si="98"/>
        <v>02</v>
      </c>
      <c r="E2794" t="str">
        <f>VLOOKUP(B2794,'HOGARES-ENDLINE'!$A:$B,2,FALSE)</f>
        <v>01020141</v>
      </c>
      <c r="F2794" s="6" t="str">
        <f t="shared" si="97"/>
        <v>0102014102</v>
      </c>
    </row>
    <row r="2795" spans="1:6" x14ac:dyDescent="0.3">
      <c r="A2795" s="6" t="s">
        <v>524</v>
      </c>
      <c r="B2795">
        <v>1112464691</v>
      </c>
      <c r="C2795">
        <v>1</v>
      </c>
      <c r="D2795" t="str">
        <f t="shared" si="98"/>
        <v>01</v>
      </c>
      <c r="E2795" t="str">
        <f>VLOOKUP(B2795,'HOGARES-ENDLINE'!$A:$B,2,FALSE)</f>
        <v>01020141</v>
      </c>
      <c r="F2795" s="6" t="str">
        <f t="shared" si="97"/>
        <v>0102014101</v>
      </c>
    </row>
    <row r="2796" spans="1:6" x14ac:dyDescent="0.3">
      <c r="A2796" s="6" t="s">
        <v>530</v>
      </c>
      <c r="B2796">
        <v>1112473004</v>
      </c>
      <c r="C2796">
        <v>1</v>
      </c>
      <c r="D2796" t="str">
        <f t="shared" si="98"/>
        <v>01</v>
      </c>
      <c r="E2796" t="str">
        <f>VLOOKUP(B2796,'HOGARES-ENDLINE'!$A:$B,2,FALSE)</f>
        <v>00020142</v>
      </c>
      <c r="F2796" s="6" t="str">
        <f t="shared" si="97"/>
        <v>0002014201</v>
      </c>
    </row>
    <row r="2797" spans="1:6" x14ac:dyDescent="0.3">
      <c r="A2797" s="6" t="s">
        <v>529</v>
      </c>
      <c r="B2797">
        <v>1112473004</v>
      </c>
      <c r="C2797">
        <v>2</v>
      </c>
      <c r="D2797" t="str">
        <f t="shared" si="98"/>
        <v>02</v>
      </c>
      <c r="E2797" t="str">
        <f>VLOOKUP(B2797,'HOGARES-ENDLINE'!$A:$B,2,FALSE)</f>
        <v>00020142</v>
      </c>
      <c r="F2797" s="6" t="str">
        <f t="shared" si="97"/>
        <v>0002014202</v>
      </c>
    </row>
    <row r="2798" spans="1:6" x14ac:dyDescent="0.3">
      <c r="A2798" s="6" t="s">
        <v>531</v>
      </c>
      <c r="B2798">
        <v>1114729169</v>
      </c>
      <c r="C2798">
        <v>1</v>
      </c>
      <c r="D2798" t="str">
        <f t="shared" si="98"/>
        <v>01</v>
      </c>
      <c r="E2798" t="str">
        <f>VLOOKUP(B2798,'HOGARES-ENDLINE'!$A:$B,2,FALSE)</f>
        <v>01020143</v>
      </c>
      <c r="F2798" s="6" t="str">
        <f t="shared" si="97"/>
        <v>0102014301</v>
      </c>
    </row>
    <row r="2799" spans="1:6" x14ac:dyDescent="0.3">
      <c r="A2799" s="6" t="s">
        <v>539</v>
      </c>
      <c r="B2799">
        <v>1114731315</v>
      </c>
      <c r="C2799">
        <v>7</v>
      </c>
      <c r="D2799" t="str">
        <f t="shared" si="98"/>
        <v>07</v>
      </c>
      <c r="E2799" t="str">
        <f>VLOOKUP(B2799,'HOGARES-ENDLINE'!$A:$B,2,FALSE)</f>
        <v>00020144</v>
      </c>
      <c r="F2799" s="6" t="str">
        <f t="shared" si="97"/>
        <v>0002014407</v>
      </c>
    </row>
    <row r="2800" spans="1:6" x14ac:dyDescent="0.3">
      <c r="A2800" s="6" t="s">
        <v>542</v>
      </c>
      <c r="B2800">
        <v>1114731315</v>
      </c>
      <c r="C2800">
        <v>5</v>
      </c>
      <c r="D2800" t="str">
        <f t="shared" si="98"/>
        <v>05</v>
      </c>
      <c r="E2800" t="str">
        <f>VLOOKUP(B2800,'HOGARES-ENDLINE'!$A:$B,2,FALSE)</f>
        <v>00020144</v>
      </c>
      <c r="F2800" s="6" t="str">
        <f t="shared" si="97"/>
        <v>0002014405</v>
      </c>
    </row>
    <row r="2801" spans="1:6" x14ac:dyDescent="0.3">
      <c r="A2801" s="6" t="s">
        <v>537</v>
      </c>
      <c r="B2801">
        <v>1114731315</v>
      </c>
      <c r="C2801">
        <v>3</v>
      </c>
      <c r="D2801" t="str">
        <f t="shared" si="98"/>
        <v>03</v>
      </c>
      <c r="E2801" t="str">
        <f>VLOOKUP(B2801,'HOGARES-ENDLINE'!$A:$B,2,FALSE)</f>
        <v>00020144</v>
      </c>
      <c r="F2801" s="6" t="str">
        <f t="shared" si="97"/>
        <v>0002014403</v>
      </c>
    </row>
    <row r="2802" spans="1:6" x14ac:dyDescent="0.3">
      <c r="A2802" s="6" t="s">
        <v>541</v>
      </c>
      <c r="B2802">
        <v>1114731315</v>
      </c>
      <c r="C2802">
        <v>4</v>
      </c>
      <c r="D2802" t="str">
        <f t="shared" si="98"/>
        <v>04</v>
      </c>
      <c r="E2802" t="str">
        <f>VLOOKUP(B2802,'HOGARES-ENDLINE'!$A:$B,2,FALSE)</f>
        <v>00020144</v>
      </c>
      <c r="F2802" s="6" t="str">
        <f t="shared" si="97"/>
        <v>0002014404</v>
      </c>
    </row>
    <row r="2803" spans="1:6" x14ac:dyDescent="0.3">
      <c r="A2803" s="6" t="s">
        <v>536</v>
      </c>
      <c r="B2803">
        <v>1114731315</v>
      </c>
      <c r="C2803">
        <v>1</v>
      </c>
      <c r="D2803" t="str">
        <f t="shared" si="98"/>
        <v>01</v>
      </c>
      <c r="E2803" t="str">
        <f>VLOOKUP(B2803,'HOGARES-ENDLINE'!$A:$B,2,FALSE)</f>
        <v>00020144</v>
      </c>
      <c r="F2803" s="6" t="str">
        <f t="shared" si="97"/>
        <v>0002014401</v>
      </c>
    </row>
    <row r="2804" spans="1:6" x14ac:dyDescent="0.3">
      <c r="A2804" s="6" t="s">
        <v>540</v>
      </c>
      <c r="B2804">
        <v>1114731315</v>
      </c>
      <c r="C2804">
        <v>6</v>
      </c>
      <c r="D2804" t="str">
        <f t="shared" si="98"/>
        <v>06</v>
      </c>
      <c r="E2804" t="str">
        <f>VLOOKUP(B2804,'HOGARES-ENDLINE'!$A:$B,2,FALSE)</f>
        <v>00020144</v>
      </c>
      <c r="F2804" s="6" t="str">
        <f t="shared" si="97"/>
        <v>0002014406</v>
      </c>
    </row>
    <row r="2805" spans="1:6" x14ac:dyDescent="0.3">
      <c r="A2805" s="6" t="s">
        <v>538</v>
      </c>
      <c r="B2805">
        <v>1114731315</v>
      </c>
      <c r="C2805">
        <v>2</v>
      </c>
      <c r="D2805" t="str">
        <f t="shared" si="98"/>
        <v>02</v>
      </c>
      <c r="E2805" t="str">
        <f>VLOOKUP(B2805,'HOGARES-ENDLINE'!$A:$B,2,FALSE)</f>
        <v>00020144</v>
      </c>
      <c r="F2805" s="6" t="str">
        <f t="shared" si="97"/>
        <v>0002014402</v>
      </c>
    </row>
    <row r="2806" spans="1:6" x14ac:dyDescent="0.3">
      <c r="A2806" s="6" t="s">
        <v>544</v>
      </c>
      <c r="B2806">
        <v>1118256990</v>
      </c>
      <c r="C2806">
        <v>3</v>
      </c>
      <c r="D2806" t="str">
        <f t="shared" si="98"/>
        <v>03</v>
      </c>
      <c r="E2806" t="str">
        <f>VLOOKUP(B2806,'HOGARES-ENDLINE'!$A:$B,2,FALSE)</f>
        <v>01020145</v>
      </c>
      <c r="F2806" s="6" t="str">
        <f t="shared" si="97"/>
        <v>0102014503</v>
      </c>
    </row>
    <row r="2807" spans="1:6" x14ac:dyDescent="0.3">
      <c r="A2807" s="6" t="s">
        <v>543</v>
      </c>
      <c r="B2807">
        <v>1118256990</v>
      </c>
      <c r="C2807">
        <v>2</v>
      </c>
      <c r="D2807" t="str">
        <f t="shared" si="98"/>
        <v>02</v>
      </c>
      <c r="E2807" t="str">
        <f>VLOOKUP(B2807,'HOGARES-ENDLINE'!$A:$B,2,FALSE)</f>
        <v>01020145</v>
      </c>
      <c r="F2807" s="6" t="str">
        <f t="shared" si="97"/>
        <v>0102014502</v>
      </c>
    </row>
    <row r="2808" spans="1:6" x14ac:dyDescent="0.3">
      <c r="A2808" s="6" t="s">
        <v>545</v>
      </c>
      <c r="B2808">
        <v>1118256990</v>
      </c>
      <c r="C2808">
        <v>1</v>
      </c>
      <c r="D2808" t="str">
        <f t="shared" si="98"/>
        <v>01</v>
      </c>
      <c r="E2808" t="str">
        <f>VLOOKUP(B2808,'HOGARES-ENDLINE'!$A:$B,2,FALSE)</f>
        <v>01020145</v>
      </c>
      <c r="F2808" s="6" t="str">
        <f t="shared" si="97"/>
        <v>0102014501</v>
      </c>
    </row>
    <row r="2809" spans="1:6" x14ac:dyDescent="0.3">
      <c r="A2809" s="6" t="s">
        <v>547</v>
      </c>
      <c r="B2809">
        <v>1128165897</v>
      </c>
      <c r="C2809">
        <v>2</v>
      </c>
      <c r="D2809" t="str">
        <f t="shared" si="98"/>
        <v>02</v>
      </c>
      <c r="E2809" t="str">
        <f>VLOOKUP(B2809,'HOGARES-ENDLINE'!$A:$B,2,FALSE)</f>
        <v>00030146</v>
      </c>
      <c r="F2809" s="6" t="str">
        <f t="shared" si="97"/>
        <v>0003014602</v>
      </c>
    </row>
    <row r="2810" spans="1:6" x14ac:dyDescent="0.3">
      <c r="A2810" s="6" t="s">
        <v>546</v>
      </c>
      <c r="B2810">
        <v>1128165897</v>
      </c>
      <c r="C2810">
        <v>1</v>
      </c>
      <c r="D2810" t="str">
        <f t="shared" si="98"/>
        <v>01</v>
      </c>
      <c r="E2810" t="str">
        <f>VLOOKUP(B2810,'HOGARES-ENDLINE'!$A:$B,2,FALSE)</f>
        <v>00030146</v>
      </c>
      <c r="F2810" s="6" t="str">
        <f t="shared" si="97"/>
        <v>0003014601</v>
      </c>
    </row>
    <row r="2811" spans="1:6" x14ac:dyDescent="0.3">
      <c r="A2811" s="6" t="s">
        <v>548</v>
      </c>
      <c r="B2811">
        <v>1128271580</v>
      </c>
      <c r="C2811">
        <v>1</v>
      </c>
      <c r="D2811" t="str">
        <f t="shared" si="98"/>
        <v>01</v>
      </c>
      <c r="E2811" t="str">
        <f>VLOOKUP(B2811,'HOGARES-ENDLINE'!$A:$B,2,FALSE)</f>
        <v>01010147</v>
      </c>
      <c r="F2811" s="6" t="str">
        <f t="shared" si="97"/>
        <v>0101014701</v>
      </c>
    </row>
    <row r="2812" spans="1:6" x14ac:dyDescent="0.3">
      <c r="A2812" s="6" t="s">
        <v>552</v>
      </c>
      <c r="B2812">
        <v>1128271580</v>
      </c>
      <c r="C2812">
        <v>4</v>
      </c>
      <c r="D2812" t="str">
        <f t="shared" si="98"/>
        <v>04</v>
      </c>
      <c r="E2812" t="str">
        <f>VLOOKUP(B2812,'HOGARES-ENDLINE'!$A:$B,2,FALSE)</f>
        <v>01010147</v>
      </c>
      <c r="F2812" s="6" t="str">
        <f t="shared" si="97"/>
        <v>0101014704</v>
      </c>
    </row>
    <row r="2813" spans="1:6" x14ac:dyDescent="0.3">
      <c r="A2813" s="6" t="s">
        <v>549</v>
      </c>
      <c r="B2813">
        <v>1128271580</v>
      </c>
      <c r="C2813">
        <v>5</v>
      </c>
      <c r="D2813" t="str">
        <f t="shared" si="98"/>
        <v>05</v>
      </c>
      <c r="E2813" t="str">
        <f>VLOOKUP(B2813,'HOGARES-ENDLINE'!$A:$B,2,FALSE)</f>
        <v>01010147</v>
      </c>
      <c r="F2813" s="6" t="str">
        <f t="shared" si="97"/>
        <v>0101014705</v>
      </c>
    </row>
    <row r="2814" spans="1:6" x14ac:dyDescent="0.3">
      <c r="A2814" s="6" t="s">
        <v>551</v>
      </c>
      <c r="B2814">
        <v>1128271580</v>
      </c>
      <c r="C2814">
        <v>2</v>
      </c>
      <c r="D2814" t="str">
        <f t="shared" si="98"/>
        <v>02</v>
      </c>
      <c r="E2814" t="str">
        <f>VLOOKUP(B2814,'HOGARES-ENDLINE'!$A:$B,2,FALSE)</f>
        <v>01010147</v>
      </c>
      <c r="F2814" s="6" t="str">
        <f t="shared" si="97"/>
        <v>0101014702</v>
      </c>
    </row>
    <row r="2815" spans="1:6" x14ac:dyDescent="0.3">
      <c r="A2815" s="6" t="s">
        <v>550</v>
      </c>
      <c r="B2815">
        <v>1128271580</v>
      </c>
      <c r="C2815">
        <v>3</v>
      </c>
      <c r="D2815" t="str">
        <f t="shared" si="98"/>
        <v>03</v>
      </c>
      <c r="E2815" t="str">
        <f>VLOOKUP(B2815,'HOGARES-ENDLINE'!$A:$B,2,FALSE)</f>
        <v>01010147</v>
      </c>
      <c r="F2815" s="6" t="str">
        <f t="shared" si="97"/>
        <v>0101014703</v>
      </c>
    </row>
    <row r="2816" spans="1:6" x14ac:dyDescent="0.3">
      <c r="A2816" s="6" t="s">
        <v>554</v>
      </c>
      <c r="B2816">
        <v>1128407663</v>
      </c>
      <c r="C2816">
        <v>2</v>
      </c>
      <c r="D2816" t="str">
        <f t="shared" si="98"/>
        <v>02</v>
      </c>
      <c r="E2816" t="str">
        <f>VLOOKUP(B2816,'HOGARES-ENDLINE'!$A:$B,2,FALSE)</f>
        <v>00010148</v>
      </c>
      <c r="F2816" s="6" t="str">
        <f t="shared" si="97"/>
        <v>0001014802</v>
      </c>
    </row>
    <row r="2817" spans="1:6" x14ac:dyDescent="0.3">
      <c r="A2817" s="6" t="s">
        <v>553</v>
      </c>
      <c r="B2817">
        <v>1128407663</v>
      </c>
      <c r="C2817">
        <v>1</v>
      </c>
      <c r="D2817" t="str">
        <f t="shared" si="98"/>
        <v>01</v>
      </c>
      <c r="E2817" t="str">
        <f>VLOOKUP(B2817,'HOGARES-ENDLINE'!$A:$B,2,FALSE)</f>
        <v>00010148</v>
      </c>
      <c r="F2817" s="6" t="str">
        <f t="shared" si="97"/>
        <v>0001014801</v>
      </c>
    </row>
    <row r="2818" spans="1:6" x14ac:dyDescent="0.3">
      <c r="A2818" s="6" t="s">
        <v>556</v>
      </c>
      <c r="B2818">
        <v>1128424631</v>
      </c>
      <c r="C2818">
        <v>1</v>
      </c>
      <c r="D2818" t="str">
        <f t="shared" si="98"/>
        <v>01</v>
      </c>
      <c r="E2818" t="str">
        <f>VLOOKUP(B2818,'HOGARES-ENDLINE'!$A:$B,2,FALSE)</f>
        <v>00010149</v>
      </c>
      <c r="F2818" s="6" t="str">
        <f t="shared" si="97"/>
        <v>0001014901</v>
      </c>
    </row>
    <row r="2819" spans="1:6" x14ac:dyDescent="0.3">
      <c r="A2819" s="6" t="s">
        <v>555</v>
      </c>
      <c r="B2819">
        <v>1128424631</v>
      </c>
      <c r="C2819">
        <v>2</v>
      </c>
      <c r="D2819" t="str">
        <f t="shared" si="98"/>
        <v>02</v>
      </c>
      <c r="E2819" t="str">
        <f>VLOOKUP(B2819,'HOGARES-ENDLINE'!$A:$B,2,FALSE)</f>
        <v>00010149</v>
      </c>
      <c r="F2819" s="6" t="str">
        <f t="shared" ref="F2819:F2882" si="99">_xlfn.CONCAT(E2819,D2819)</f>
        <v>0001014902</v>
      </c>
    </row>
    <row r="2820" spans="1:6" x14ac:dyDescent="0.3">
      <c r="A2820" s="6" t="s">
        <v>558</v>
      </c>
      <c r="B2820">
        <v>1128424714</v>
      </c>
      <c r="C2820">
        <v>2</v>
      </c>
      <c r="D2820" t="str">
        <f t="shared" si="98"/>
        <v>02</v>
      </c>
      <c r="E2820" t="str">
        <f>VLOOKUP(B2820,'HOGARES-ENDLINE'!$A:$B,2,FALSE)</f>
        <v>00010150</v>
      </c>
      <c r="F2820" s="6" t="str">
        <f t="shared" si="99"/>
        <v>0001015002</v>
      </c>
    </row>
    <row r="2821" spans="1:6" x14ac:dyDescent="0.3">
      <c r="A2821" s="6" t="s">
        <v>557</v>
      </c>
      <c r="B2821">
        <v>1128424714</v>
      </c>
      <c r="C2821">
        <v>1</v>
      </c>
      <c r="D2821" t="str">
        <f t="shared" si="98"/>
        <v>01</v>
      </c>
      <c r="E2821" t="str">
        <f>VLOOKUP(B2821,'HOGARES-ENDLINE'!$A:$B,2,FALSE)</f>
        <v>00010150</v>
      </c>
      <c r="F2821" s="6" t="str">
        <f t="shared" si="99"/>
        <v>0001015001</v>
      </c>
    </row>
    <row r="2822" spans="1:6" x14ac:dyDescent="0.3">
      <c r="A2822" s="6" t="s">
        <v>561</v>
      </c>
      <c r="B2822">
        <v>1128427798</v>
      </c>
      <c r="C2822">
        <v>6</v>
      </c>
      <c r="D2822" t="str">
        <f t="shared" si="98"/>
        <v>06</v>
      </c>
      <c r="E2822" t="str">
        <f>VLOOKUP(B2822,'HOGARES-ENDLINE'!$A:$B,2,FALSE)</f>
        <v>00010151</v>
      </c>
      <c r="F2822" s="6" t="str">
        <f t="shared" si="99"/>
        <v>0001015106</v>
      </c>
    </row>
    <row r="2823" spans="1:6" x14ac:dyDescent="0.3">
      <c r="A2823" s="6" t="s">
        <v>562</v>
      </c>
      <c r="B2823">
        <v>1128427798</v>
      </c>
      <c r="C2823">
        <v>3</v>
      </c>
      <c r="D2823" t="str">
        <f t="shared" si="98"/>
        <v>03</v>
      </c>
      <c r="E2823" t="str">
        <f>VLOOKUP(B2823,'HOGARES-ENDLINE'!$A:$B,2,FALSE)</f>
        <v>00010151</v>
      </c>
      <c r="F2823" s="6" t="str">
        <f t="shared" si="99"/>
        <v>0001015103</v>
      </c>
    </row>
    <row r="2824" spans="1:6" x14ac:dyDescent="0.3">
      <c r="A2824" s="6" t="s">
        <v>563</v>
      </c>
      <c r="B2824">
        <v>1128427798</v>
      </c>
      <c r="C2824">
        <v>2</v>
      </c>
      <c r="D2824" t="str">
        <f t="shared" si="98"/>
        <v>02</v>
      </c>
      <c r="E2824" t="str">
        <f>VLOOKUP(B2824,'HOGARES-ENDLINE'!$A:$B,2,FALSE)</f>
        <v>00010151</v>
      </c>
      <c r="F2824" s="6" t="str">
        <f t="shared" si="99"/>
        <v>0001015102</v>
      </c>
    </row>
    <row r="2825" spans="1:6" x14ac:dyDescent="0.3">
      <c r="A2825" s="6" t="s">
        <v>564</v>
      </c>
      <c r="B2825">
        <v>1128427798</v>
      </c>
      <c r="C2825">
        <v>1</v>
      </c>
      <c r="D2825" t="str">
        <f t="shared" ref="D2825:D2888" si="100">_xlfn.CONCAT(0,C2825)</f>
        <v>01</v>
      </c>
      <c r="E2825" t="str">
        <f>VLOOKUP(B2825,'HOGARES-ENDLINE'!$A:$B,2,FALSE)</f>
        <v>00010151</v>
      </c>
      <c r="F2825" s="6" t="str">
        <f t="shared" si="99"/>
        <v>0001015101</v>
      </c>
    </row>
    <row r="2826" spans="1:6" x14ac:dyDescent="0.3">
      <c r="A2826" s="6" t="s">
        <v>559</v>
      </c>
      <c r="B2826">
        <v>1128427798</v>
      </c>
      <c r="C2826">
        <v>5</v>
      </c>
      <c r="D2826" t="str">
        <f t="shared" si="100"/>
        <v>05</v>
      </c>
      <c r="E2826" t="str">
        <f>VLOOKUP(B2826,'HOGARES-ENDLINE'!$A:$B,2,FALSE)</f>
        <v>00010151</v>
      </c>
      <c r="F2826" s="6" t="str">
        <f t="shared" si="99"/>
        <v>0001015105</v>
      </c>
    </row>
    <row r="2827" spans="1:6" x14ac:dyDescent="0.3">
      <c r="A2827" s="6" t="s">
        <v>566</v>
      </c>
      <c r="B2827">
        <v>1128437441</v>
      </c>
      <c r="C2827">
        <v>2</v>
      </c>
      <c r="D2827" t="str">
        <f t="shared" si="100"/>
        <v>02</v>
      </c>
      <c r="E2827" t="str">
        <f>VLOOKUP(B2827,'HOGARES-ENDLINE'!$A:$B,2,FALSE)</f>
        <v>00010152</v>
      </c>
      <c r="F2827" s="6" t="str">
        <f t="shared" si="99"/>
        <v>0001015202</v>
      </c>
    </row>
    <row r="2828" spans="1:6" x14ac:dyDescent="0.3">
      <c r="A2828" s="6" t="s">
        <v>565</v>
      </c>
      <c r="B2828">
        <v>1128437441</v>
      </c>
      <c r="C2828">
        <v>1</v>
      </c>
      <c r="D2828" t="str">
        <f t="shared" si="100"/>
        <v>01</v>
      </c>
      <c r="E2828" t="str">
        <f>VLOOKUP(B2828,'HOGARES-ENDLINE'!$A:$B,2,FALSE)</f>
        <v>00010152</v>
      </c>
      <c r="F2828" s="6" t="str">
        <f t="shared" si="99"/>
        <v>0001015201</v>
      </c>
    </row>
    <row r="2829" spans="1:6" x14ac:dyDescent="0.3">
      <c r="A2829" s="6" t="s">
        <v>570</v>
      </c>
      <c r="B2829">
        <v>1128437636</v>
      </c>
      <c r="C2829">
        <v>2</v>
      </c>
      <c r="D2829" t="str">
        <f t="shared" si="100"/>
        <v>02</v>
      </c>
      <c r="E2829" t="str">
        <f>VLOOKUP(B2829,'HOGARES-ENDLINE'!$A:$B,2,FALSE)</f>
        <v>00010153</v>
      </c>
      <c r="F2829" s="6" t="str">
        <f t="shared" si="99"/>
        <v>0001015302</v>
      </c>
    </row>
    <row r="2830" spans="1:6" x14ac:dyDescent="0.3">
      <c r="A2830" s="6" t="s">
        <v>567</v>
      </c>
      <c r="B2830">
        <v>1128437636</v>
      </c>
      <c r="C2830">
        <v>1</v>
      </c>
      <c r="D2830" t="str">
        <f t="shared" si="100"/>
        <v>01</v>
      </c>
      <c r="E2830" t="str">
        <f>VLOOKUP(B2830,'HOGARES-ENDLINE'!$A:$B,2,FALSE)</f>
        <v>00010153</v>
      </c>
      <c r="F2830" s="6" t="str">
        <f t="shared" si="99"/>
        <v>0001015301</v>
      </c>
    </row>
    <row r="2831" spans="1:6" x14ac:dyDescent="0.3">
      <c r="A2831" s="6" t="s">
        <v>568</v>
      </c>
      <c r="B2831">
        <v>1128437636</v>
      </c>
      <c r="C2831">
        <v>3</v>
      </c>
      <c r="D2831" t="str">
        <f t="shared" si="100"/>
        <v>03</v>
      </c>
      <c r="E2831" t="str">
        <f>VLOOKUP(B2831,'HOGARES-ENDLINE'!$A:$B,2,FALSE)</f>
        <v>00010153</v>
      </c>
      <c r="F2831" s="6" t="str">
        <f t="shared" si="99"/>
        <v>0001015303</v>
      </c>
    </row>
    <row r="2832" spans="1:6" x14ac:dyDescent="0.3">
      <c r="A2832" s="6" t="s">
        <v>571</v>
      </c>
      <c r="B2832">
        <v>1128437636</v>
      </c>
      <c r="C2832">
        <v>5</v>
      </c>
      <c r="D2832" t="str">
        <f t="shared" si="100"/>
        <v>05</v>
      </c>
      <c r="E2832" t="str">
        <f>VLOOKUP(B2832,'HOGARES-ENDLINE'!$A:$B,2,FALSE)</f>
        <v>00010153</v>
      </c>
      <c r="F2832" s="6" t="str">
        <f t="shared" si="99"/>
        <v>0001015305</v>
      </c>
    </row>
    <row r="2833" spans="1:6" x14ac:dyDescent="0.3">
      <c r="A2833" s="6" t="s">
        <v>569</v>
      </c>
      <c r="B2833">
        <v>1128437636</v>
      </c>
      <c r="C2833">
        <v>4</v>
      </c>
      <c r="D2833" t="str">
        <f t="shared" si="100"/>
        <v>04</v>
      </c>
      <c r="E2833" t="str">
        <f>VLOOKUP(B2833,'HOGARES-ENDLINE'!$A:$B,2,FALSE)</f>
        <v>00010153</v>
      </c>
      <c r="F2833" s="6" t="str">
        <f t="shared" si="99"/>
        <v>0001015304</v>
      </c>
    </row>
    <row r="2834" spans="1:6" x14ac:dyDescent="0.3">
      <c r="A2834" s="6" t="s">
        <v>576</v>
      </c>
      <c r="B2834">
        <v>1128481612</v>
      </c>
      <c r="C2834">
        <v>3</v>
      </c>
      <c r="D2834" t="str">
        <f t="shared" si="100"/>
        <v>03</v>
      </c>
      <c r="E2834" t="str">
        <f>VLOOKUP(B2834,'HOGARES-ENDLINE'!$A:$B,2,FALSE)</f>
        <v>00010154</v>
      </c>
      <c r="F2834" s="6" t="str">
        <f t="shared" si="99"/>
        <v>0001015403</v>
      </c>
    </row>
    <row r="2835" spans="1:6" x14ac:dyDescent="0.3">
      <c r="A2835" s="6" t="s">
        <v>574</v>
      </c>
      <c r="B2835">
        <v>1128481612</v>
      </c>
      <c r="C2835">
        <v>4</v>
      </c>
      <c r="D2835" t="str">
        <f t="shared" si="100"/>
        <v>04</v>
      </c>
      <c r="E2835" t="str">
        <f>VLOOKUP(B2835,'HOGARES-ENDLINE'!$A:$B,2,FALSE)</f>
        <v>00010154</v>
      </c>
      <c r="F2835" s="6" t="str">
        <f t="shared" si="99"/>
        <v>0001015404</v>
      </c>
    </row>
    <row r="2836" spans="1:6" x14ac:dyDescent="0.3">
      <c r="A2836" s="6" t="s">
        <v>572</v>
      </c>
      <c r="B2836">
        <v>1128481612</v>
      </c>
      <c r="C2836">
        <v>2</v>
      </c>
      <c r="D2836" t="str">
        <f t="shared" si="100"/>
        <v>02</v>
      </c>
      <c r="E2836" t="str">
        <f>VLOOKUP(B2836,'HOGARES-ENDLINE'!$A:$B,2,FALSE)</f>
        <v>00010154</v>
      </c>
      <c r="F2836" s="6" t="str">
        <f t="shared" si="99"/>
        <v>0001015402</v>
      </c>
    </row>
    <row r="2837" spans="1:6" x14ac:dyDescent="0.3">
      <c r="A2837" s="6" t="s">
        <v>573</v>
      </c>
      <c r="B2837">
        <v>1128481612</v>
      </c>
      <c r="C2837">
        <v>5</v>
      </c>
      <c r="D2837" t="str">
        <f t="shared" si="100"/>
        <v>05</v>
      </c>
      <c r="E2837" t="str">
        <f>VLOOKUP(B2837,'HOGARES-ENDLINE'!$A:$B,2,FALSE)</f>
        <v>00010154</v>
      </c>
      <c r="F2837" s="6" t="str">
        <f t="shared" si="99"/>
        <v>0001015405</v>
      </c>
    </row>
    <row r="2838" spans="1:6" x14ac:dyDescent="0.3">
      <c r="A2838" s="6" t="s">
        <v>575</v>
      </c>
      <c r="B2838">
        <v>1128481612</v>
      </c>
      <c r="C2838">
        <v>1</v>
      </c>
      <c r="D2838" t="str">
        <f t="shared" si="100"/>
        <v>01</v>
      </c>
      <c r="E2838" t="str">
        <f>VLOOKUP(B2838,'HOGARES-ENDLINE'!$A:$B,2,FALSE)</f>
        <v>00010154</v>
      </c>
      <c r="F2838" s="6" t="str">
        <f t="shared" si="99"/>
        <v>0001015401</v>
      </c>
    </row>
    <row r="2839" spans="1:6" x14ac:dyDescent="0.3">
      <c r="A2839" s="6" t="s">
        <v>5208</v>
      </c>
      <c r="B2839">
        <v>1129487310</v>
      </c>
      <c r="C2839">
        <v>3</v>
      </c>
      <c r="D2839" t="str">
        <f t="shared" si="100"/>
        <v>03</v>
      </c>
      <c r="E2839" t="str">
        <f>VLOOKUP(B2839,'HOGARES-ENDLINE'!$A:$B,2,FALSE)</f>
        <v>01030155</v>
      </c>
      <c r="F2839" s="6" t="str">
        <f t="shared" si="99"/>
        <v>0103015503</v>
      </c>
    </row>
    <row r="2840" spans="1:6" x14ac:dyDescent="0.3">
      <c r="A2840" s="6" t="s">
        <v>578</v>
      </c>
      <c r="B2840">
        <v>1129487310</v>
      </c>
      <c r="C2840">
        <v>1</v>
      </c>
      <c r="D2840" t="str">
        <f t="shared" si="100"/>
        <v>01</v>
      </c>
      <c r="E2840" t="str">
        <f>VLOOKUP(B2840,'HOGARES-ENDLINE'!$A:$B,2,FALSE)</f>
        <v>01030155</v>
      </c>
      <c r="F2840" s="6" t="str">
        <f t="shared" si="99"/>
        <v>0103015501</v>
      </c>
    </row>
    <row r="2841" spans="1:6" x14ac:dyDescent="0.3">
      <c r="A2841" s="6" t="s">
        <v>5209</v>
      </c>
      <c r="B2841">
        <v>1129487310</v>
      </c>
      <c r="C2841">
        <v>4</v>
      </c>
      <c r="D2841" t="str">
        <f t="shared" si="100"/>
        <v>04</v>
      </c>
      <c r="E2841" t="str">
        <f>VLOOKUP(B2841,'HOGARES-ENDLINE'!$A:$B,2,FALSE)</f>
        <v>01030155</v>
      </c>
      <c r="F2841" s="6" t="str">
        <f t="shared" si="99"/>
        <v>0103015504</v>
      </c>
    </row>
    <row r="2842" spans="1:6" x14ac:dyDescent="0.3">
      <c r="A2842" s="6" t="s">
        <v>577</v>
      </c>
      <c r="B2842">
        <v>1129487310</v>
      </c>
      <c r="C2842">
        <v>2</v>
      </c>
      <c r="D2842" t="str">
        <f t="shared" si="100"/>
        <v>02</v>
      </c>
      <c r="E2842" t="str">
        <f>VLOOKUP(B2842,'HOGARES-ENDLINE'!$A:$B,2,FALSE)</f>
        <v>01030155</v>
      </c>
      <c r="F2842" s="6" t="str">
        <f t="shared" si="99"/>
        <v>0103015502</v>
      </c>
    </row>
    <row r="2843" spans="1:6" x14ac:dyDescent="0.3">
      <c r="A2843" s="6" t="s">
        <v>582</v>
      </c>
      <c r="B2843">
        <v>1129497775</v>
      </c>
      <c r="C2843">
        <v>2</v>
      </c>
      <c r="D2843" t="str">
        <f t="shared" si="100"/>
        <v>02</v>
      </c>
      <c r="E2843" t="str">
        <f>VLOOKUP(B2843,'HOGARES-ENDLINE'!$A:$B,2,FALSE)</f>
        <v>01030156</v>
      </c>
      <c r="F2843" s="6" t="str">
        <f t="shared" si="99"/>
        <v>0103015602</v>
      </c>
    </row>
    <row r="2844" spans="1:6" x14ac:dyDescent="0.3">
      <c r="A2844" s="6" t="s">
        <v>580</v>
      </c>
      <c r="B2844">
        <v>1129497775</v>
      </c>
      <c r="C2844">
        <v>3</v>
      </c>
      <c r="D2844" t="str">
        <f t="shared" si="100"/>
        <v>03</v>
      </c>
      <c r="E2844" t="str">
        <f>VLOOKUP(B2844,'HOGARES-ENDLINE'!$A:$B,2,FALSE)</f>
        <v>01030156</v>
      </c>
      <c r="F2844" s="6" t="str">
        <f t="shared" si="99"/>
        <v>0103015603</v>
      </c>
    </row>
    <row r="2845" spans="1:6" x14ac:dyDescent="0.3">
      <c r="A2845" s="6" t="s">
        <v>585</v>
      </c>
      <c r="B2845">
        <v>1129497775</v>
      </c>
      <c r="C2845">
        <v>5</v>
      </c>
      <c r="D2845" t="str">
        <f t="shared" si="100"/>
        <v>05</v>
      </c>
      <c r="E2845" t="str">
        <f>VLOOKUP(B2845,'HOGARES-ENDLINE'!$A:$B,2,FALSE)</f>
        <v>01030156</v>
      </c>
      <c r="F2845" s="6" t="str">
        <f t="shared" si="99"/>
        <v>0103015605</v>
      </c>
    </row>
    <row r="2846" spans="1:6" x14ac:dyDescent="0.3">
      <c r="A2846" s="6" t="s">
        <v>583</v>
      </c>
      <c r="B2846">
        <v>1129497775</v>
      </c>
      <c r="C2846">
        <v>1</v>
      </c>
      <c r="D2846" t="str">
        <f t="shared" si="100"/>
        <v>01</v>
      </c>
      <c r="E2846" t="str">
        <f>VLOOKUP(B2846,'HOGARES-ENDLINE'!$A:$B,2,FALSE)</f>
        <v>01030156</v>
      </c>
      <c r="F2846" s="6" t="str">
        <f t="shared" si="99"/>
        <v>0103015601</v>
      </c>
    </row>
    <row r="2847" spans="1:6" x14ac:dyDescent="0.3">
      <c r="A2847" s="6" t="s">
        <v>584</v>
      </c>
      <c r="B2847">
        <v>1129497775</v>
      </c>
      <c r="C2847">
        <v>4</v>
      </c>
      <c r="D2847" t="str">
        <f t="shared" si="100"/>
        <v>04</v>
      </c>
      <c r="E2847" t="str">
        <f>VLOOKUP(B2847,'HOGARES-ENDLINE'!$A:$B,2,FALSE)</f>
        <v>01030156</v>
      </c>
      <c r="F2847" s="6" t="str">
        <f t="shared" si="99"/>
        <v>0103015604</v>
      </c>
    </row>
    <row r="2848" spans="1:6" x14ac:dyDescent="0.3">
      <c r="A2848" s="6" t="s">
        <v>579</v>
      </c>
      <c r="B2848">
        <v>1129497775</v>
      </c>
      <c r="C2848">
        <v>6</v>
      </c>
      <c r="D2848" t="str">
        <f t="shared" si="100"/>
        <v>06</v>
      </c>
      <c r="E2848" t="str">
        <f>VLOOKUP(B2848,'HOGARES-ENDLINE'!$A:$B,2,FALSE)</f>
        <v>01030156</v>
      </c>
      <c r="F2848" s="6" t="str">
        <f t="shared" si="99"/>
        <v>0103015606</v>
      </c>
    </row>
    <row r="2849" spans="1:6" x14ac:dyDescent="0.3">
      <c r="A2849" s="6" t="s">
        <v>581</v>
      </c>
      <c r="B2849">
        <v>1129497775</v>
      </c>
      <c r="C2849">
        <v>7</v>
      </c>
      <c r="D2849" t="str">
        <f t="shared" si="100"/>
        <v>07</v>
      </c>
      <c r="E2849" t="str">
        <f>VLOOKUP(B2849,'HOGARES-ENDLINE'!$A:$B,2,FALSE)</f>
        <v>01030156</v>
      </c>
      <c r="F2849" s="6" t="str">
        <f t="shared" si="99"/>
        <v>0103015607</v>
      </c>
    </row>
    <row r="2850" spans="1:6" x14ac:dyDescent="0.3">
      <c r="A2850" s="6" t="s">
        <v>587</v>
      </c>
      <c r="B2850">
        <v>1129498810</v>
      </c>
      <c r="C2850">
        <v>4</v>
      </c>
      <c r="D2850" t="str">
        <f t="shared" si="100"/>
        <v>04</v>
      </c>
      <c r="E2850" t="str">
        <f>VLOOKUP(B2850,'HOGARES-ENDLINE'!$A:$B,2,FALSE)</f>
        <v>01030157</v>
      </c>
      <c r="F2850" s="6" t="str">
        <f t="shared" si="99"/>
        <v>0103015704</v>
      </c>
    </row>
    <row r="2851" spans="1:6" x14ac:dyDescent="0.3">
      <c r="A2851" s="6" t="s">
        <v>588</v>
      </c>
      <c r="B2851">
        <v>1129498810</v>
      </c>
      <c r="C2851">
        <v>2</v>
      </c>
      <c r="D2851" t="str">
        <f t="shared" si="100"/>
        <v>02</v>
      </c>
      <c r="E2851" t="str">
        <f>VLOOKUP(B2851,'HOGARES-ENDLINE'!$A:$B,2,FALSE)</f>
        <v>01030157</v>
      </c>
      <c r="F2851" s="6" t="str">
        <f t="shared" si="99"/>
        <v>0103015702</v>
      </c>
    </row>
    <row r="2852" spans="1:6" x14ac:dyDescent="0.3">
      <c r="A2852" s="6" t="s">
        <v>589</v>
      </c>
      <c r="B2852">
        <v>1129498810</v>
      </c>
      <c r="C2852">
        <v>1</v>
      </c>
      <c r="D2852" t="str">
        <f t="shared" si="100"/>
        <v>01</v>
      </c>
      <c r="E2852" t="str">
        <f>VLOOKUP(B2852,'HOGARES-ENDLINE'!$A:$B,2,FALSE)</f>
        <v>01030157</v>
      </c>
      <c r="F2852" s="6" t="str">
        <f t="shared" si="99"/>
        <v>0103015701</v>
      </c>
    </row>
    <row r="2853" spans="1:6" x14ac:dyDescent="0.3">
      <c r="A2853" s="6" t="s">
        <v>586</v>
      </c>
      <c r="B2853">
        <v>1129498810</v>
      </c>
      <c r="C2853">
        <v>3</v>
      </c>
      <c r="D2853" t="str">
        <f t="shared" si="100"/>
        <v>03</v>
      </c>
      <c r="E2853" t="str">
        <f>VLOOKUP(B2853,'HOGARES-ENDLINE'!$A:$B,2,FALSE)</f>
        <v>01030157</v>
      </c>
      <c r="F2853" s="6" t="str">
        <f t="shared" si="99"/>
        <v>0103015703</v>
      </c>
    </row>
    <row r="2854" spans="1:6" x14ac:dyDescent="0.3">
      <c r="A2854" s="6" t="s">
        <v>593</v>
      </c>
      <c r="B2854">
        <v>1129504681</v>
      </c>
      <c r="C2854">
        <v>2</v>
      </c>
      <c r="D2854" t="str">
        <f t="shared" si="100"/>
        <v>02</v>
      </c>
      <c r="E2854" t="str">
        <f>VLOOKUP(B2854,'HOGARES-ENDLINE'!$A:$B,2,FALSE)</f>
        <v>00030158</v>
      </c>
      <c r="F2854" s="6" t="str">
        <f t="shared" si="99"/>
        <v>0003015802</v>
      </c>
    </row>
    <row r="2855" spans="1:6" x14ac:dyDescent="0.3">
      <c r="A2855" s="6" t="s">
        <v>592</v>
      </c>
      <c r="B2855">
        <v>1129504681</v>
      </c>
      <c r="C2855">
        <v>4</v>
      </c>
      <c r="D2855" t="str">
        <f t="shared" si="100"/>
        <v>04</v>
      </c>
      <c r="E2855" t="str">
        <f>VLOOKUP(B2855,'HOGARES-ENDLINE'!$A:$B,2,FALSE)</f>
        <v>00030158</v>
      </c>
      <c r="F2855" s="6" t="str">
        <f t="shared" si="99"/>
        <v>0003015804</v>
      </c>
    </row>
    <row r="2856" spans="1:6" x14ac:dyDescent="0.3">
      <c r="A2856" s="6" t="s">
        <v>590</v>
      </c>
      <c r="B2856">
        <v>1129504681</v>
      </c>
      <c r="C2856">
        <v>1</v>
      </c>
      <c r="D2856" t="str">
        <f t="shared" si="100"/>
        <v>01</v>
      </c>
      <c r="E2856" t="str">
        <f>VLOOKUP(B2856,'HOGARES-ENDLINE'!$A:$B,2,FALSE)</f>
        <v>00030158</v>
      </c>
      <c r="F2856" s="6" t="str">
        <f t="shared" si="99"/>
        <v>0003015801</v>
      </c>
    </row>
    <row r="2857" spans="1:6" x14ac:dyDescent="0.3">
      <c r="A2857" s="6" t="s">
        <v>591</v>
      </c>
      <c r="B2857">
        <v>1129504681</v>
      </c>
      <c r="C2857">
        <v>3</v>
      </c>
      <c r="D2857" t="str">
        <f t="shared" si="100"/>
        <v>03</v>
      </c>
      <c r="E2857" t="str">
        <f>VLOOKUP(B2857,'HOGARES-ENDLINE'!$A:$B,2,FALSE)</f>
        <v>00030158</v>
      </c>
      <c r="F2857" s="6" t="str">
        <f t="shared" si="99"/>
        <v>0003015803</v>
      </c>
    </row>
    <row r="2858" spans="1:6" x14ac:dyDescent="0.3">
      <c r="A2858" s="6" t="s">
        <v>598</v>
      </c>
      <c r="B2858">
        <v>1129510023</v>
      </c>
      <c r="C2858">
        <v>5</v>
      </c>
      <c r="D2858" t="str">
        <f t="shared" si="100"/>
        <v>05</v>
      </c>
      <c r="E2858" t="str">
        <f>VLOOKUP(B2858,'HOGARES-ENDLINE'!$A:$B,2,FALSE)</f>
        <v>00030159</v>
      </c>
      <c r="F2858" s="6" t="str">
        <f t="shared" si="99"/>
        <v>0003015905</v>
      </c>
    </row>
    <row r="2859" spans="1:6" x14ac:dyDescent="0.3">
      <c r="A2859" s="6" t="s">
        <v>595</v>
      </c>
      <c r="B2859">
        <v>1129510023</v>
      </c>
      <c r="C2859">
        <v>2</v>
      </c>
      <c r="D2859" t="str">
        <f t="shared" si="100"/>
        <v>02</v>
      </c>
      <c r="E2859" t="str">
        <f>VLOOKUP(B2859,'HOGARES-ENDLINE'!$A:$B,2,FALSE)</f>
        <v>00030159</v>
      </c>
      <c r="F2859" s="6" t="str">
        <f t="shared" si="99"/>
        <v>0003015902</v>
      </c>
    </row>
    <row r="2860" spans="1:6" x14ac:dyDescent="0.3">
      <c r="A2860" s="6" t="s">
        <v>597</v>
      </c>
      <c r="B2860">
        <v>1129510023</v>
      </c>
      <c r="C2860">
        <v>3</v>
      </c>
      <c r="D2860" t="str">
        <f t="shared" si="100"/>
        <v>03</v>
      </c>
      <c r="E2860" t="str">
        <f>VLOOKUP(B2860,'HOGARES-ENDLINE'!$A:$B,2,FALSE)</f>
        <v>00030159</v>
      </c>
      <c r="F2860" s="6" t="str">
        <f t="shared" si="99"/>
        <v>0003015903</v>
      </c>
    </row>
    <row r="2861" spans="1:6" x14ac:dyDescent="0.3">
      <c r="A2861" s="6" t="s">
        <v>594</v>
      </c>
      <c r="B2861">
        <v>1129510023</v>
      </c>
      <c r="C2861">
        <v>4</v>
      </c>
      <c r="D2861" t="str">
        <f t="shared" si="100"/>
        <v>04</v>
      </c>
      <c r="E2861" t="str">
        <f>VLOOKUP(B2861,'HOGARES-ENDLINE'!$A:$B,2,FALSE)</f>
        <v>00030159</v>
      </c>
      <c r="F2861" s="6" t="str">
        <f t="shared" si="99"/>
        <v>0003015904</v>
      </c>
    </row>
    <row r="2862" spans="1:6" x14ac:dyDescent="0.3">
      <c r="A2862" s="6" t="s">
        <v>596</v>
      </c>
      <c r="B2862">
        <v>1129510023</v>
      </c>
      <c r="C2862">
        <v>1</v>
      </c>
      <c r="D2862" t="str">
        <f t="shared" si="100"/>
        <v>01</v>
      </c>
      <c r="E2862" t="str">
        <f>VLOOKUP(B2862,'HOGARES-ENDLINE'!$A:$B,2,FALSE)</f>
        <v>00030159</v>
      </c>
      <c r="F2862" s="6" t="str">
        <f t="shared" si="99"/>
        <v>0003015901</v>
      </c>
    </row>
    <row r="2863" spans="1:6" x14ac:dyDescent="0.3">
      <c r="A2863" s="6" t="s">
        <v>600</v>
      </c>
      <c r="B2863">
        <v>1129514883</v>
      </c>
      <c r="C2863">
        <v>2</v>
      </c>
      <c r="D2863" t="str">
        <f t="shared" si="100"/>
        <v>02</v>
      </c>
      <c r="E2863" t="str">
        <f>VLOOKUP(B2863,'HOGARES-ENDLINE'!$A:$B,2,FALSE)</f>
        <v>00030160</v>
      </c>
      <c r="F2863" s="6" t="str">
        <f t="shared" si="99"/>
        <v>0003016002</v>
      </c>
    </row>
    <row r="2864" spans="1:6" x14ac:dyDescent="0.3">
      <c r="A2864" s="6" t="s">
        <v>601</v>
      </c>
      <c r="B2864">
        <v>1129514883</v>
      </c>
      <c r="C2864">
        <v>1</v>
      </c>
      <c r="D2864" t="str">
        <f t="shared" si="100"/>
        <v>01</v>
      </c>
      <c r="E2864" t="str">
        <f>VLOOKUP(B2864,'HOGARES-ENDLINE'!$A:$B,2,FALSE)</f>
        <v>00030160</v>
      </c>
      <c r="F2864" s="6" t="str">
        <f t="shared" si="99"/>
        <v>0003016001</v>
      </c>
    </row>
    <row r="2865" spans="1:6" x14ac:dyDescent="0.3">
      <c r="A2865" s="6" t="s">
        <v>603</v>
      </c>
      <c r="B2865">
        <v>1129519478</v>
      </c>
      <c r="C2865">
        <v>3</v>
      </c>
      <c r="D2865" t="str">
        <f t="shared" si="100"/>
        <v>03</v>
      </c>
      <c r="E2865" t="str">
        <f>VLOOKUP(B2865,'HOGARES-ENDLINE'!$A:$B,2,FALSE)</f>
        <v>00030161</v>
      </c>
      <c r="F2865" s="6" t="str">
        <f t="shared" si="99"/>
        <v>0003016103</v>
      </c>
    </row>
    <row r="2866" spans="1:6" x14ac:dyDescent="0.3">
      <c r="A2866" s="6" t="s">
        <v>605</v>
      </c>
      <c r="B2866">
        <v>1129519478</v>
      </c>
      <c r="C2866">
        <v>2</v>
      </c>
      <c r="D2866" t="str">
        <f t="shared" si="100"/>
        <v>02</v>
      </c>
      <c r="E2866" t="str">
        <f>VLOOKUP(B2866,'HOGARES-ENDLINE'!$A:$B,2,FALSE)</f>
        <v>00030161</v>
      </c>
      <c r="F2866" s="6" t="str">
        <f t="shared" si="99"/>
        <v>0003016102</v>
      </c>
    </row>
    <row r="2867" spans="1:6" x14ac:dyDescent="0.3">
      <c r="A2867" s="6" t="s">
        <v>604</v>
      </c>
      <c r="B2867">
        <v>1129519478</v>
      </c>
      <c r="C2867">
        <v>1</v>
      </c>
      <c r="D2867" t="str">
        <f t="shared" si="100"/>
        <v>01</v>
      </c>
      <c r="E2867" t="str">
        <f>VLOOKUP(B2867,'HOGARES-ENDLINE'!$A:$B,2,FALSE)</f>
        <v>00030161</v>
      </c>
      <c r="F2867" s="6" t="str">
        <f t="shared" si="99"/>
        <v>0003016101</v>
      </c>
    </row>
    <row r="2868" spans="1:6" x14ac:dyDescent="0.3">
      <c r="A2868" s="6" t="s">
        <v>5210</v>
      </c>
      <c r="B2868">
        <v>1129520081</v>
      </c>
      <c r="C2868">
        <v>7</v>
      </c>
      <c r="D2868" t="str">
        <f t="shared" si="100"/>
        <v>07</v>
      </c>
      <c r="E2868" t="str">
        <f>VLOOKUP(B2868,'HOGARES-ENDLINE'!$A:$B,2,FALSE)</f>
        <v>01030162</v>
      </c>
      <c r="F2868" s="6" t="str">
        <f t="shared" si="99"/>
        <v>0103016207</v>
      </c>
    </row>
    <row r="2869" spans="1:6" x14ac:dyDescent="0.3">
      <c r="A2869" s="6" t="s">
        <v>5211</v>
      </c>
      <c r="B2869">
        <v>1129520081</v>
      </c>
      <c r="C2869">
        <v>6</v>
      </c>
      <c r="D2869" t="str">
        <f t="shared" si="100"/>
        <v>06</v>
      </c>
      <c r="E2869" t="str">
        <f>VLOOKUP(B2869,'HOGARES-ENDLINE'!$A:$B,2,FALSE)</f>
        <v>01030162</v>
      </c>
      <c r="F2869" s="6" t="str">
        <f t="shared" si="99"/>
        <v>0103016206</v>
      </c>
    </row>
    <row r="2870" spans="1:6" x14ac:dyDescent="0.3">
      <c r="A2870" s="6" t="s">
        <v>609</v>
      </c>
      <c r="B2870">
        <v>1129520081</v>
      </c>
      <c r="C2870">
        <v>2</v>
      </c>
      <c r="D2870" t="str">
        <f t="shared" si="100"/>
        <v>02</v>
      </c>
      <c r="E2870" t="str">
        <f>VLOOKUP(B2870,'HOGARES-ENDLINE'!$A:$B,2,FALSE)</f>
        <v>01030162</v>
      </c>
      <c r="F2870" s="6" t="str">
        <f t="shared" si="99"/>
        <v>0103016202</v>
      </c>
    </row>
    <row r="2871" spans="1:6" x14ac:dyDescent="0.3">
      <c r="A2871" s="6" t="s">
        <v>608</v>
      </c>
      <c r="B2871">
        <v>1129520081</v>
      </c>
      <c r="C2871">
        <v>3</v>
      </c>
      <c r="D2871" t="str">
        <f t="shared" si="100"/>
        <v>03</v>
      </c>
      <c r="E2871" t="str">
        <f>VLOOKUP(B2871,'HOGARES-ENDLINE'!$A:$B,2,FALSE)</f>
        <v>01030162</v>
      </c>
      <c r="F2871" s="6" t="str">
        <f t="shared" si="99"/>
        <v>0103016203</v>
      </c>
    </row>
    <row r="2872" spans="1:6" x14ac:dyDescent="0.3">
      <c r="A2872" s="6" t="s">
        <v>607</v>
      </c>
      <c r="B2872">
        <v>1129520081</v>
      </c>
      <c r="C2872">
        <v>1</v>
      </c>
      <c r="D2872" t="str">
        <f t="shared" si="100"/>
        <v>01</v>
      </c>
      <c r="E2872" t="str">
        <f>VLOOKUP(B2872,'HOGARES-ENDLINE'!$A:$B,2,FALSE)</f>
        <v>01030162</v>
      </c>
      <c r="F2872" s="6" t="str">
        <f t="shared" si="99"/>
        <v>0103016201</v>
      </c>
    </row>
    <row r="2873" spans="1:6" x14ac:dyDescent="0.3">
      <c r="A2873" s="6" t="s">
        <v>5212</v>
      </c>
      <c r="B2873">
        <v>1129520081</v>
      </c>
      <c r="C2873">
        <v>8</v>
      </c>
      <c r="D2873" t="str">
        <f t="shared" si="100"/>
        <v>08</v>
      </c>
      <c r="E2873" t="str">
        <f>VLOOKUP(B2873,'HOGARES-ENDLINE'!$A:$B,2,FALSE)</f>
        <v>01030162</v>
      </c>
      <c r="F2873" s="6" t="str">
        <f t="shared" si="99"/>
        <v>0103016208</v>
      </c>
    </row>
    <row r="2874" spans="1:6" x14ac:dyDescent="0.3">
      <c r="A2874" s="6" t="s">
        <v>5213</v>
      </c>
      <c r="B2874">
        <v>1129520081</v>
      </c>
      <c r="C2874">
        <v>5</v>
      </c>
      <c r="D2874" t="str">
        <f t="shared" si="100"/>
        <v>05</v>
      </c>
      <c r="E2874" t="str">
        <f>VLOOKUP(B2874,'HOGARES-ENDLINE'!$A:$B,2,FALSE)</f>
        <v>01030162</v>
      </c>
      <c r="F2874" s="6" t="str">
        <f t="shared" si="99"/>
        <v>0103016205</v>
      </c>
    </row>
    <row r="2875" spans="1:6" x14ac:dyDescent="0.3">
      <c r="A2875" s="6" t="s">
        <v>606</v>
      </c>
      <c r="B2875">
        <v>1129520081</v>
      </c>
      <c r="C2875">
        <v>4</v>
      </c>
      <c r="D2875" t="str">
        <f t="shared" si="100"/>
        <v>04</v>
      </c>
      <c r="E2875" t="str">
        <f>VLOOKUP(B2875,'HOGARES-ENDLINE'!$A:$B,2,FALSE)</f>
        <v>01030162</v>
      </c>
      <c r="F2875" s="6" t="str">
        <f t="shared" si="99"/>
        <v>0103016204</v>
      </c>
    </row>
    <row r="2876" spans="1:6" x14ac:dyDescent="0.3">
      <c r="A2876" s="6" t="s">
        <v>613</v>
      </c>
      <c r="B2876">
        <v>1129543553</v>
      </c>
      <c r="C2876">
        <v>2</v>
      </c>
      <c r="D2876" t="str">
        <f t="shared" si="100"/>
        <v>02</v>
      </c>
      <c r="E2876" t="str">
        <f>VLOOKUP(B2876,'HOGARES-ENDLINE'!$A:$B,2,FALSE)</f>
        <v>00030163</v>
      </c>
      <c r="F2876" s="6" t="str">
        <f t="shared" si="99"/>
        <v>0003016302</v>
      </c>
    </row>
    <row r="2877" spans="1:6" x14ac:dyDescent="0.3">
      <c r="A2877" s="6" t="s">
        <v>611</v>
      </c>
      <c r="B2877">
        <v>1129543553</v>
      </c>
      <c r="C2877">
        <v>4</v>
      </c>
      <c r="D2877" t="str">
        <f t="shared" si="100"/>
        <v>04</v>
      </c>
      <c r="E2877" t="str">
        <f>VLOOKUP(B2877,'HOGARES-ENDLINE'!$A:$B,2,FALSE)</f>
        <v>00030163</v>
      </c>
      <c r="F2877" s="6" t="str">
        <f t="shared" si="99"/>
        <v>0003016304</v>
      </c>
    </row>
    <row r="2878" spans="1:6" x14ac:dyDescent="0.3">
      <c r="A2878" s="6" t="s">
        <v>612</v>
      </c>
      <c r="B2878">
        <v>1129543553</v>
      </c>
      <c r="C2878">
        <v>3</v>
      </c>
      <c r="D2878" t="str">
        <f t="shared" si="100"/>
        <v>03</v>
      </c>
      <c r="E2878" t="str">
        <f>VLOOKUP(B2878,'HOGARES-ENDLINE'!$A:$B,2,FALSE)</f>
        <v>00030163</v>
      </c>
      <c r="F2878" s="6" t="str">
        <f t="shared" si="99"/>
        <v>0003016303</v>
      </c>
    </row>
    <row r="2879" spans="1:6" x14ac:dyDescent="0.3">
      <c r="A2879" s="6" t="s">
        <v>610</v>
      </c>
      <c r="B2879">
        <v>1129543553</v>
      </c>
      <c r="C2879">
        <v>1</v>
      </c>
      <c r="D2879" t="str">
        <f t="shared" si="100"/>
        <v>01</v>
      </c>
      <c r="E2879" t="str">
        <f>VLOOKUP(B2879,'HOGARES-ENDLINE'!$A:$B,2,FALSE)</f>
        <v>00030163</v>
      </c>
      <c r="F2879" s="6" t="str">
        <f t="shared" si="99"/>
        <v>0003016301</v>
      </c>
    </row>
    <row r="2880" spans="1:6" x14ac:dyDescent="0.3">
      <c r="A2880" s="6" t="s">
        <v>614</v>
      </c>
      <c r="B2880">
        <v>1129565229</v>
      </c>
      <c r="C2880">
        <v>3</v>
      </c>
      <c r="D2880" t="str">
        <f t="shared" si="100"/>
        <v>03</v>
      </c>
      <c r="E2880" t="str">
        <f>VLOOKUP(B2880,'HOGARES-ENDLINE'!$A:$B,2,FALSE)</f>
        <v>00030164</v>
      </c>
      <c r="F2880" s="6" t="str">
        <f t="shared" si="99"/>
        <v>0003016403</v>
      </c>
    </row>
    <row r="2881" spans="1:6" x14ac:dyDescent="0.3">
      <c r="A2881" s="6" t="s">
        <v>615</v>
      </c>
      <c r="B2881">
        <v>1129565229</v>
      </c>
      <c r="C2881">
        <v>1</v>
      </c>
      <c r="D2881" t="str">
        <f t="shared" si="100"/>
        <v>01</v>
      </c>
      <c r="E2881" t="str">
        <f>VLOOKUP(B2881,'HOGARES-ENDLINE'!$A:$B,2,FALSE)</f>
        <v>00030164</v>
      </c>
      <c r="F2881" s="6" t="str">
        <f t="shared" si="99"/>
        <v>0003016401</v>
      </c>
    </row>
    <row r="2882" spans="1:6" x14ac:dyDescent="0.3">
      <c r="A2882" s="6" t="s">
        <v>616</v>
      </c>
      <c r="B2882">
        <v>1129565229</v>
      </c>
      <c r="C2882">
        <v>2</v>
      </c>
      <c r="D2882" t="str">
        <f t="shared" si="100"/>
        <v>02</v>
      </c>
      <c r="E2882" t="str">
        <f>VLOOKUP(B2882,'HOGARES-ENDLINE'!$A:$B,2,FALSE)</f>
        <v>00030164</v>
      </c>
      <c r="F2882" s="6" t="str">
        <f t="shared" si="99"/>
        <v>0003016402</v>
      </c>
    </row>
    <row r="2883" spans="1:6" x14ac:dyDescent="0.3">
      <c r="A2883" s="6" t="s">
        <v>618</v>
      </c>
      <c r="B2883">
        <v>1129566300</v>
      </c>
      <c r="C2883">
        <v>2</v>
      </c>
      <c r="D2883" t="str">
        <f t="shared" si="100"/>
        <v>02</v>
      </c>
      <c r="E2883" t="str">
        <f>VLOOKUP(B2883,'HOGARES-ENDLINE'!$A:$B,2,FALSE)</f>
        <v>01030165</v>
      </c>
      <c r="F2883" s="6" t="str">
        <f t="shared" ref="F2883:F2946" si="101">_xlfn.CONCAT(E2883,D2883)</f>
        <v>0103016502</v>
      </c>
    </row>
    <row r="2884" spans="1:6" x14ac:dyDescent="0.3">
      <c r="A2884" s="6" t="s">
        <v>5214</v>
      </c>
      <c r="B2884">
        <v>1129566300</v>
      </c>
      <c r="C2884">
        <v>4</v>
      </c>
      <c r="D2884" t="str">
        <f t="shared" si="100"/>
        <v>04</v>
      </c>
      <c r="E2884" t="str">
        <f>VLOOKUP(B2884,'HOGARES-ENDLINE'!$A:$B,2,FALSE)</f>
        <v>01030165</v>
      </c>
      <c r="F2884" s="6" t="str">
        <f t="shared" si="101"/>
        <v>0103016504</v>
      </c>
    </row>
    <row r="2885" spans="1:6" x14ac:dyDescent="0.3">
      <c r="A2885" s="6" t="s">
        <v>5215</v>
      </c>
      <c r="B2885">
        <v>1129566300</v>
      </c>
      <c r="C2885">
        <v>5</v>
      </c>
      <c r="D2885" t="str">
        <f t="shared" si="100"/>
        <v>05</v>
      </c>
      <c r="E2885" t="str">
        <f>VLOOKUP(B2885,'HOGARES-ENDLINE'!$A:$B,2,FALSE)</f>
        <v>01030165</v>
      </c>
      <c r="F2885" s="6" t="str">
        <f t="shared" si="101"/>
        <v>0103016505</v>
      </c>
    </row>
    <row r="2886" spans="1:6" x14ac:dyDescent="0.3">
      <c r="A2886" s="6" t="s">
        <v>617</v>
      </c>
      <c r="B2886">
        <v>1129566300</v>
      </c>
      <c r="C2886">
        <v>1</v>
      </c>
      <c r="D2886" t="str">
        <f t="shared" si="100"/>
        <v>01</v>
      </c>
      <c r="E2886" t="str">
        <f>VLOOKUP(B2886,'HOGARES-ENDLINE'!$A:$B,2,FALSE)</f>
        <v>01030165</v>
      </c>
      <c r="F2886" s="6" t="str">
        <f t="shared" si="101"/>
        <v>0103016501</v>
      </c>
    </row>
    <row r="2887" spans="1:6" x14ac:dyDescent="0.3">
      <c r="A2887" s="6" t="s">
        <v>621</v>
      </c>
      <c r="B2887">
        <v>1129583301</v>
      </c>
      <c r="C2887">
        <v>1</v>
      </c>
      <c r="D2887" t="str">
        <f t="shared" si="100"/>
        <v>01</v>
      </c>
      <c r="E2887" t="str">
        <f>VLOOKUP(B2887,'HOGARES-ENDLINE'!$A:$B,2,FALSE)</f>
        <v>00030166</v>
      </c>
      <c r="F2887" s="6" t="str">
        <f t="shared" si="101"/>
        <v>0003016601</v>
      </c>
    </row>
    <row r="2888" spans="1:6" x14ac:dyDescent="0.3">
      <c r="A2888" s="6" t="s">
        <v>620</v>
      </c>
      <c r="B2888">
        <v>1129583301</v>
      </c>
      <c r="C2888">
        <v>2</v>
      </c>
      <c r="D2888" t="str">
        <f t="shared" si="100"/>
        <v>02</v>
      </c>
      <c r="E2888" t="str">
        <f>VLOOKUP(B2888,'HOGARES-ENDLINE'!$A:$B,2,FALSE)</f>
        <v>00030166</v>
      </c>
      <c r="F2888" s="6" t="str">
        <f t="shared" si="101"/>
        <v>0003016602</v>
      </c>
    </row>
    <row r="2889" spans="1:6" x14ac:dyDescent="0.3">
      <c r="A2889" s="6" t="s">
        <v>625</v>
      </c>
      <c r="B2889">
        <v>1130590826</v>
      </c>
      <c r="C2889">
        <v>3</v>
      </c>
      <c r="D2889" t="str">
        <f t="shared" ref="D2889:D2952" si="102">_xlfn.CONCAT(0,C2889)</f>
        <v>03</v>
      </c>
      <c r="E2889" t="str">
        <f>VLOOKUP(B2889,'HOGARES-ENDLINE'!$A:$B,2,FALSE)</f>
        <v>01020167</v>
      </c>
      <c r="F2889" s="6" t="str">
        <f t="shared" si="101"/>
        <v>0102016703</v>
      </c>
    </row>
    <row r="2890" spans="1:6" x14ac:dyDescent="0.3">
      <c r="A2890" s="6" t="s">
        <v>622</v>
      </c>
      <c r="B2890">
        <v>1130590826</v>
      </c>
      <c r="C2890">
        <v>1</v>
      </c>
      <c r="D2890" t="str">
        <f t="shared" si="102"/>
        <v>01</v>
      </c>
      <c r="E2890" t="str">
        <f>VLOOKUP(B2890,'HOGARES-ENDLINE'!$A:$B,2,FALSE)</f>
        <v>01020167</v>
      </c>
      <c r="F2890" s="6" t="str">
        <f t="shared" si="101"/>
        <v>0102016701</v>
      </c>
    </row>
    <row r="2891" spans="1:6" x14ac:dyDescent="0.3">
      <c r="A2891" s="6" t="s">
        <v>623</v>
      </c>
      <c r="B2891">
        <v>1130590826</v>
      </c>
      <c r="C2891">
        <v>2</v>
      </c>
      <c r="D2891" t="str">
        <f t="shared" si="102"/>
        <v>02</v>
      </c>
      <c r="E2891" t="str">
        <f>VLOOKUP(B2891,'HOGARES-ENDLINE'!$A:$B,2,FALSE)</f>
        <v>01020167</v>
      </c>
      <c r="F2891" s="6" t="str">
        <f t="shared" si="101"/>
        <v>0102016702</v>
      </c>
    </row>
    <row r="2892" spans="1:6" x14ac:dyDescent="0.3">
      <c r="A2892" s="6" t="s">
        <v>624</v>
      </c>
      <c r="B2892">
        <v>1130590826</v>
      </c>
      <c r="C2892">
        <v>4</v>
      </c>
      <c r="D2892" t="str">
        <f t="shared" si="102"/>
        <v>04</v>
      </c>
      <c r="E2892" t="str">
        <f>VLOOKUP(B2892,'HOGARES-ENDLINE'!$A:$B,2,FALSE)</f>
        <v>01020167</v>
      </c>
      <c r="F2892" s="6" t="str">
        <f t="shared" si="101"/>
        <v>0102016704</v>
      </c>
    </row>
    <row r="2893" spans="1:6" x14ac:dyDescent="0.3">
      <c r="A2893" s="6" t="s">
        <v>5216</v>
      </c>
      <c r="B2893">
        <v>1130591575</v>
      </c>
      <c r="C2893">
        <v>5</v>
      </c>
      <c r="D2893" t="str">
        <f t="shared" si="102"/>
        <v>05</v>
      </c>
      <c r="E2893" t="str">
        <f>VLOOKUP(B2893,'HOGARES-ENDLINE'!$A:$B,2,FALSE)</f>
        <v>01020168</v>
      </c>
      <c r="F2893" s="6" t="str">
        <f t="shared" si="101"/>
        <v>0102016805</v>
      </c>
    </row>
    <row r="2894" spans="1:6" x14ac:dyDescent="0.3">
      <c r="A2894" s="6" t="s">
        <v>5217</v>
      </c>
      <c r="B2894">
        <v>1130591575</v>
      </c>
      <c r="C2894">
        <v>6</v>
      </c>
      <c r="D2894" t="str">
        <f t="shared" si="102"/>
        <v>06</v>
      </c>
      <c r="E2894" t="str">
        <f>VLOOKUP(B2894,'HOGARES-ENDLINE'!$A:$B,2,FALSE)</f>
        <v>01020168</v>
      </c>
      <c r="F2894" s="6" t="str">
        <f t="shared" si="101"/>
        <v>0102016806</v>
      </c>
    </row>
    <row r="2895" spans="1:6" x14ac:dyDescent="0.3">
      <c r="A2895" s="6" t="s">
        <v>627</v>
      </c>
      <c r="B2895">
        <v>1130591575</v>
      </c>
      <c r="C2895">
        <v>1</v>
      </c>
      <c r="D2895" t="str">
        <f t="shared" si="102"/>
        <v>01</v>
      </c>
      <c r="E2895" t="str">
        <f>VLOOKUP(B2895,'HOGARES-ENDLINE'!$A:$B,2,FALSE)</f>
        <v>01020168</v>
      </c>
      <c r="F2895" s="6" t="str">
        <f t="shared" si="101"/>
        <v>0102016801</v>
      </c>
    </row>
    <row r="2896" spans="1:6" x14ac:dyDescent="0.3">
      <c r="A2896" s="6" t="s">
        <v>628</v>
      </c>
      <c r="B2896">
        <v>1130591575</v>
      </c>
      <c r="C2896">
        <v>3</v>
      </c>
      <c r="D2896" t="str">
        <f t="shared" si="102"/>
        <v>03</v>
      </c>
      <c r="E2896" t="str">
        <f>VLOOKUP(B2896,'HOGARES-ENDLINE'!$A:$B,2,FALSE)</f>
        <v>01020168</v>
      </c>
      <c r="F2896" s="6" t="str">
        <f t="shared" si="101"/>
        <v>0102016803</v>
      </c>
    </row>
    <row r="2897" spans="1:6" x14ac:dyDescent="0.3">
      <c r="A2897" s="6" t="s">
        <v>5218</v>
      </c>
      <c r="B2897">
        <v>1130591575</v>
      </c>
      <c r="C2897">
        <v>4</v>
      </c>
      <c r="D2897" t="str">
        <f t="shared" si="102"/>
        <v>04</v>
      </c>
      <c r="E2897" t="str">
        <f>VLOOKUP(B2897,'HOGARES-ENDLINE'!$A:$B,2,FALSE)</f>
        <v>01020168</v>
      </c>
      <c r="F2897" s="6" t="str">
        <f t="shared" si="101"/>
        <v>0102016804</v>
      </c>
    </row>
    <row r="2898" spans="1:6" x14ac:dyDescent="0.3">
      <c r="A2898" s="6" t="s">
        <v>626</v>
      </c>
      <c r="B2898">
        <v>1130591575</v>
      </c>
      <c r="C2898">
        <v>2</v>
      </c>
      <c r="D2898" t="str">
        <f t="shared" si="102"/>
        <v>02</v>
      </c>
      <c r="E2898" t="str">
        <f>VLOOKUP(B2898,'HOGARES-ENDLINE'!$A:$B,2,FALSE)</f>
        <v>01020168</v>
      </c>
      <c r="F2898" s="6" t="str">
        <f t="shared" si="101"/>
        <v>0102016802</v>
      </c>
    </row>
    <row r="2899" spans="1:6" x14ac:dyDescent="0.3">
      <c r="A2899" s="6" t="s">
        <v>629</v>
      </c>
      <c r="B2899">
        <v>1130594662</v>
      </c>
      <c r="C2899">
        <v>1</v>
      </c>
      <c r="D2899" t="str">
        <f t="shared" si="102"/>
        <v>01</v>
      </c>
      <c r="E2899" t="str">
        <f>VLOOKUP(B2899,'HOGARES-ENDLINE'!$A:$B,2,FALSE)</f>
        <v>00020169</v>
      </c>
      <c r="F2899" s="6" t="str">
        <f t="shared" si="101"/>
        <v>0002016901</v>
      </c>
    </row>
    <row r="2900" spans="1:6" x14ac:dyDescent="0.3">
      <c r="A2900" s="6" t="s">
        <v>632</v>
      </c>
      <c r="B2900">
        <v>1130598844</v>
      </c>
      <c r="C2900">
        <v>3</v>
      </c>
      <c r="D2900" t="str">
        <f t="shared" si="102"/>
        <v>03</v>
      </c>
      <c r="E2900" t="str">
        <f>VLOOKUP(B2900,'HOGARES-ENDLINE'!$A:$B,2,FALSE)</f>
        <v>00020170</v>
      </c>
      <c r="F2900" s="6" t="str">
        <f t="shared" si="101"/>
        <v>0002017003</v>
      </c>
    </row>
    <row r="2901" spans="1:6" x14ac:dyDescent="0.3">
      <c r="A2901" s="6" t="s">
        <v>630</v>
      </c>
      <c r="B2901">
        <v>1130598844</v>
      </c>
      <c r="C2901">
        <v>2</v>
      </c>
      <c r="D2901" t="str">
        <f t="shared" si="102"/>
        <v>02</v>
      </c>
      <c r="E2901" t="str">
        <f>VLOOKUP(B2901,'HOGARES-ENDLINE'!$A:$B,2,FALSE)</f>
        <v>00020170</v>
      </c>
      <c r="F2901" s="6" t="str">
        <f t="shared" si="101"/>
        <v>0002017002</v>
      </c>
    </row>
    <row r="2902" spans="1:6" x14ac:dyDescent="0.3">
      <c r="A2902" s="6" t="s">
        <v>631</v>
      </c>
      <c r="B2902">
        <v>1130598844</v>
      </c>
      <c r="C2902">
        <v>1</v>
      </c>
      <c r="D2902" t="str">
        <f t="shared" si="102"/>
        <v>01</v>
      </c>
      <c r="E2902" t="str">
        <f>VLOOKUP(B2902,'HOGARES-ENDLINE'!$A:$B,2,FALSE)</f>
        <v>00020170</v>
      </c>
      <c r="F2902" s="6" t="str">
        <f t="shared" si="101"/>
        <v>0002017001</v>
      </c>
    </row>
    <row r="2903" spans="1:6" x14ac:dyDescent="0.3">
      <c r="A2903" s="6" t="s">
        <v>636</v>
      </c>
      <c r="B2903">
        <v>1130602891</v>
      </c>
      <c r="C2903">
        <v>1</v>
      </c>
      <c r="D2903" t="str">
        <f t="shared" si="102"/>
        <v>01</v>
      </c>
      <c r="E2903" t="str">
        <f>VLOOKUP(B2903,'HOGARES-ENDLINE'!$A:$B,2,FALSE)</f>
        <v>00020172</v>
      </c>
      <c r="F2903" s="6" t="str">
        <f t="shared" si="101"/>
        <v>0002017201</v>
      </c>
    </row>
    <row r="2904" spans="1:6" x14ac:dyDescent="0.3">
      <c r="A2904" s="6" t="s">
        <v>637</v>
      </c>
      <c r="B2904">
        <v>1130602891</v>
      </c>
      <c r="C2904">
        <v>2</v>
      </c>
      <c r="D2904" t="str">
        <f t="shared" si="102"/>
        <v>02</v>
      </c>
      <c r="E2904" t="str">
        <f>VLOOKUP(B2904,'HOGARES-ENDLINE'!$A:$B,2,FALSE)</f>
        <v>00020172</v>
      </c>
      <c r="F2904" s="6" t="str">
        <f t="shared" si="101"/>
        <v>0002017202</v>
      </c>
    </row>
    <row r="2905" spans="1:6" x14ac:dyDescent="0.3">
      <c r="A2905" s="6" t="s">
        <v>640</v>
      </c>
      <c r="B2905">
        <v>1130609656</v>
      </c>
      <c r="C2905">
        <v>1</v>
      </c>
      <c r="D2905" t="str">
        <f t="shared" si="102"/>
        <v>01</v>
      </c>
      <c r="E2905" t="str">
        <f>VLOOKUP(B2905,'HOGARES-ENDLINE'!$A:$B,2,FALSE)</f>
        <v>01020173</v>
      </c>
      <c r="F2905" s="6" t="str">
        <f t="shared" si="101"/>
        <v>0102017301</v>
      </c>
    </row>
    <row r="2906" spans="1:6" x14ac:dyDescent="0.3">
      <c r="A2906" s="6" t="s">
        <v>642</v>
      </c>
      <c r="B2906">
        <v>1130609656</v>
      </c>
      <c r="C2906">
        <v>4</v>
      </c>
      <c r="D2906" t="str">
        <f t="shared" si="102"/>
        <v>04</v>
      </c>
      <c r="E2906" t="str">
        <f>VLOOKUP(B2906,'HOGARES-ENDLINE'!$A:$B,2,FALSE)</f>
        <v>01020173</v>
      </c>
      <c r="F2906" s="6" t="str">
        <f t="shared" si="101"/>
        <v>0102017304</v>
      </c>
    </row>
    <row r="2907" spans="1:6" x14ac:dyDescent="0.3">
      <c r="A2907" s="6" t="s">
        <v>639</v>
      </c>
      <c r="B2907">
        <v>1130609656</v>
      </c>
      <c r="C2907">
        <v>2</v>
      </c>
      <c r="D2907" t="str">
        <f t="shared" si="102"/>
        <v>02</v>
      </c>
      <c r="E2907" t="str">
        <f>VLOOKUP(B2907,'HOGARES-ENDLINE'!$A:$B,2,FALSE)</f>
        <v>01020173</v>
      </c>
      <c r="F2907" s="6" t="str">
        <f t="shared" si="101"/>
        <v>0102017302</v>
      </c>
    </row>
    <row r="2908" spans="1:6" x14ac:dyDescent="0.3">
      <c r="A2908" s="6" t="s">
        <v>638</v>
      </c>
      <c r="B2908">
        <v>1130609656</v>
      </c>
      <c r="C2908">
        <v>5</v>
      </c>
      <c r="D2908" t="str">
        <f t="shared" si="102"/>
        <v>05</v>
      </c>
      <c r="E2908" t="str">
        <f>VLOOKUP(B2908,'HOGARES-ENDLINE'!$A:$B,2,FALSE)</f>
        <v>01020173</v>
      </c>
      <c r="F2908" s="6" t="str">
        <f t="shared" si="101"/>
        <v>0102017305</v>
      </c>
    </row>
    <row r="2909" spans="1:6" x14ac:dyDescent="0.3">
      <c r="A2909" s="6" t="s">
        <v>643</v>
      </c>
      <c r="B2909">
        <v>1130611960</v>
      </c>
      <c r="C2909">
        <v>1</v>
      </c>
      <c r="D2909" t="str">
        <f t="shared" si="102"/>
        <v>01</v>
      </c>
      <c r="E2909" t="str">
        <f>VLOOKUP(B2909,'HOGARES-ENDLINE'!$A:$B,2,FALSE)</f>
        <v>01020174</v>
      </c>
      <c r="F2909" s="6" t="str">
        <f t="shared" si="101"/>
        <v>0102017401</v>
      </c>
    </row>
    <row r="2910" spans="1:6" x14ac:dyDescent="0.3">
      <c r="A2910" s="6" t="s">
        <v>649</v>
      </c>
      <c r="B2910">
        <v>1130612532</v>
      </c>
      <c r="C2910">
        <v>4</v>
      </c>
      <c r="D2910" t="str">
        <f t="shared" si="102"/>
        <v>04</v>
      </c>
      <c r="E2910" t="str">
        <f>VLOOKUP(B2910,'HOGARES-ENDLINE'!$A:$B,2,FALSE)</f>
        <v>00020175</v>
      </c>
      <c r="F2910" s="6" t="str">
        <f t="shared" si="101"/>
        <v>0002017504</v>
      </c>
    </row>
    <row r="2911" spans="1:6" x14ac:dyDescent="0.3">
      <c r="A2911" s="6" t="s">
        <v>648</v>
      </c>
      <c r="B2911">
        <v>1130612532</v>
      </c>
      <c r="C2911">
        <v>2</v>
      </c>
      <c r="D2911" t="str">
        <f t="shared" si="102"/>
        <v>02</v>
      </c>
      <c r="E2911" t="str">
        <f>VLOOKUP(B2911,'HOGARES-ENDLINE'!$A:$B,2,FALSE)</f>
        <v>00020175</v>
      </c>
      <c r="F2911" s="6" t="str">
        <f t="shared" si="101"/>
        <v>0002017502</v>
      </c>
    </row>
    <row r="2912" spans="1:6" x14ac:dyDescent="0.3">
      <c r="A2912" s="6" t="s">
        <v>646</v>
      </c>
      <c r="B2912">
        <v>1130612532</v>
      </c>
      <c r="C2912">
        <v>3</v>
      </c>
      <c r="D2912" t="str">
        <f t="shared" si="102"/>
        <v>03</v>
      </c>
      <c r="E2912" t="str">
        <f>VLOOKUP(B2912,'HOGARES-ENDLINE'!$A:$B,2,FALSE)</f>
        <v>00020175</v>
      </c>
      <c r="F2912" s="6" t="str">
        <f t="shared" si="101"/>
        <v>0002017503</v>
      </c>
    </row>
    <row r="2913" spans="1:6" x14ac:dyDescent="0.3">
      <c r="A2913" s="6" t="s">
        <v>647</v>
      </c>
      <c r="B2913">
        <v>1130612532</v>
      </c>
      <c r="C2913">
        <v>1</v>
      </c>
      <c r="D2913" t="str">
        <f t="shared" si="102"/>
        <v>01</v>
      </c>
      <c r="E2913" t="str">
        <f>VLOOKUP(B2913,'HOGARES-ENDLINE'!$A:$B,2,FALSE)</f>
        <v>00020175</v>
      </c>
      <c r="F2913" s="6" t="str">
        <f t="shared" si="101"/>
        <v>0002017501</v>
      </c>
    </row>
    <row r="2914" spans="1:6" x14ac:dyDescent="0.3">
      <c r="A2914" s="6" t="s">
        <v>651</v>
      </c>
      <c r="B2914">
        <v>1130614058</v>
      </c>
      <c r="C2914">
        <v>1</v>
      </c>
      <c r="D2914" t="str">
        <f t="shared" si="102"/>
        <v>01</v>
      </c>
      <c r="E2914" t="str">
        <f>VLOOKUP(B2914,'HOGARES-ENDLINE'!$A:$B,2,FALSE)</f>
        <v>00020176</v>
      </c>
      <c r="F2914" s="6" t="str">
        <f t="shared" si="101"/>
        <v>0002017601</v>
      </c>
    </row>
    <row r="2915" spans="1:6" x14ac:dyDescent="0.3">
      <c r="A2915" s="6" t="s">
        <v>652</v>
      </c>
      <c r="B2915">
        <v>1130614058</v>
      </c>
      <c r="C2915">
        <v>3</v>
      </c>
      <c r="D2915" t="str">
        <f t="shared" si="102"/>
        <v>03</v>
      </c>
      <c r="E2915" t="str">
        <f>VLOOKUP(B2915,'HOGARES-ENDLINE'!$A:$B,2,FALSE)</f>
        <v>00020176</v>
      </c>
      <c r="F2915" s="6" t="str">
        <f t="shared" si="101"/>
        <v>0002017603</v>
      </c>
    </row>
    <row r="2916" spans="1:6" x14ac:dyDescent="0.3">
      <c r="A2916" s="6" t="s">
        <v>653</v>
      </c>
      <c r="B2916">
        <v>1130621848</v>
      </c>
      <c r="C2916">
        <v>2</v>
      </c>
      <c r="D2916" t="str">
        <f t="shared" si="102"/>
        <v>02</v>
      </c>
      <c r="E2916" t="str">
        <f>VLOOKUP(B2916,'HOGARES-ENDLINE'!$A:$B,2,FALSE)</f>
        <v>01020177</v>
      </c>
      <c r="F2916" s="6" t="str">
        <f t="shared" si="101"/>
        <v>0102017702</v>
      </c>
    </row>
    <row r="2917" spans="1:6" x14ac:dyDescent="0.3">
      <c r="A2917" s="6" t="s">
        <v>654</v>
      </c>
      <c r="B2917">
        <v>1130621848</v>
      </c>
      <c r="C2917">
        <v>1</v>
      </c>
      <c r="D2917" t="str">
        <f t="shared" si="102"/>
        <v>01</v>
      </c>
      <c r="E2917" t="str">
        <f>VLOOKUP(B2917,'HOGARES-ENDLINE'!$A:$B,2,FALSE)</f>
        <v>01020177</v>
      </c>
      <c r="F2917" s="6" t="str">
        <f t="shared" si="101"/>
        <v>0102017701</v>
      </c>
    </row>
    <row r="2918" spans="1:6" x14ac:dyDescent="0.3">
      <c r="A2918" s="6" t="s">
        <v>5219</v>
      </c>
      <c r="B2918">
        <v>1130668655</v>
      </c>
      <c r="C2918">
        <v>4</v>
      </c>
      <c r="D2918" t="str">
        <f t="shared" si="102"/>
        <v>04</v>
      </c>
      <c r="E2918" t="str">
        <f>VLOOKUP(B2918,'HOGARES-ENDLINE'!$A:$B,2,FALSE)</f>
        <v>01020178</v>
      </c>
      <c r="F2918" s="6" t="str">
        <f t="shared" si="101"/>
        <v>0102017804</v>
      </c>
    </row>
    <row r="2919" spans="1:6" x14ac:dyDescent="0.3">
      <c r="A2919" s="6" t="s">
        <v>655</v>
      </c>
      <c r="B2919">
        <v>1130668655</v>
      </c>
      <c r="C2919">
        <v>1</v>
      </c>
      <c r="D2919" t="str">
        <f t="shared" si="102"/>
        <v>01</v>
      </c>
      <c r="E2919" t="str">
        <f>VLOOKUP(B2919,'HOGARES-ENDLINE'!$A:$B,2,FALSE)</f>
        <v>01020178</v>
      </c>
      <c r="F2919" s="6" t="str">
        <f t="shared" si="101"/>
        <v>0102017801</v>
      </c>
    </row>
    <row r="2920" spans="1:6" x14ac:dyDescent="0.3">
      <c r="A2920" s="6" t="s">
        <v>656</v>
      </c>
      <c r="B2920">
        <v>1130668655</v>
      </c>
      <c r="C2920">
        <v>2</v>
      </c>
      <c r="D2920" t="str">
        <f t="shared" si="102"/>
        <v>02</v>
      </c>
      <c r="E2920" t="str">
        <f>VLOOKUP(B2920,'HOGARES-ENDLINE'!$A:$B,2,FALSE)</f>
        <v>01020178</v>
      </c>
      <c r="F2920" s="6" t="str">
        <f t="shared" si="101"/>
        <v>0102017802</v>
      </c>
    </row>
    <row r="2921" spans="1:6" x14ac:dyDescent="0.3">
      <c r="A2921" s="6" t="s">
        <v>661</v>
      </c>
      <c r="B2921">
        <v>1140822745</v>
      </c>
      <c r="C2921">
        <v>1</v>
      </c>
      <c r="D2921" t="str">
        <f t="shared" si="102"/>
        <v>01</v>
      </c>
      <c r="E2921" t="str">
        <f>VLOOKUP(B2921,'HOGARES-ENDLINE'!$A:$B,2,FALSE)</f>
        <v>01030180</v>
      </c>
      <c r="F2921" s="6" t="str">
        <f t="shared" si="101"/>
        <v>0103018001</v>
      </c>
    </row>
    <row r="2922" spans="1:6" x14ac:dyDescent="0.3">
      <c r="A2922" s="6" t="s">
        <v>666</v>
      </c>
      <c r="B2922">
        <v>1140837632</v>
      </c>
      <c r="C2922">
        <v>1</v>
      </c>
      <c r="D2922" t="str">
        <f t="shared" si="102"/>
        <v>01</v>
      </c>
      <c r="E2922" t="str">
        <f>VLOOKUP(B2922,'HOGARES-ENDLINE'!$A:$B,2,FALSE)</f>
        <v>01030181</v>
      </c>
      <c r="F2922" s="6" t="str">
        <f t="shared" si="101"/>
        <v>0103018101</v>
      </c>
    </row>
    <row r="2923" spans="1:6" x14ac:dyDescent="0.3">
      <c r="A2923" s="6" t="s">
        <v>665</v>
      </c>
      <c r="B2923">
        <v>1140837632</v>
      </c>
      <c r="C2923">
        <v>4</v>
      </c>
      <c r="D2923" t="str">
        <f t="shared" si="102"/>
        <v>04</v>
      </c>
      <c r="E2923" t="str">
        <f>VLOOKUP(B2923,'HOGARES-ENDLINE'!$A:$B,2,FALSE)</f>
        <v>01030181</v>
      </c>
      <c r="F2923" s="6" t="str">
        <f t="shared" si="101"/>
        <v>0103018104</v>
      </c>
    </row>
    <row r="2924" spans="1:6" x14ac:dyDescent="0.3">
      <c r="A2924" s="6" t="s">
        <v>663</v>
      </c>
      <c r="B2924">
        <v>1140837632</v>
      </c>
      <c r="C2924">
        <v>2</v>
      </c>
      <c r="D2924" t="str">
        <f t="shared" si="102"/>
        <v>02</v>
      </c>
      <c r="E2924" t="str">
        <f>VLOOKUP(B2924,'HOGARES-ENDLINE'!$A:$B,2,FALSE)</f>
        <v>01030181</v>
      </c>
      <c r="F2924" s="6" t="str">
        <f t="shared" si="101"/>
        <v>0103018102</v>
      </c>
    </row>
    <row r="2925" spans="1:6" x14ac:dyDescent="0.3">
      <c r="A2925" s="6" t="s">
        <v>664</v>
      </c>
      <c r="B2925">
        <v>1140837632</v>
      </c>
      <c r="C2925">
        <v>3</v>
      </c>
      <c r="D2925" t="str">
        <f t="shared" si="102"/>
        <v>03</v>
      </c>
      <c r="E2925" t="str">
        <f>VLOOKUP(B2925,'HOGARES-ENDLINE'!$A:$B,2,FALSE)</f>
        <v>01030181</v>
      </c>
      <c r="F2925" s="6" t="str">
        <f t="shared" si="101"/>
        <v>0103018103</v>
      </c>
    </row>
    <row r="2926" spans="1:6" x14ac:dyDescent="0.3">
      <c r="A2926" s="6" t="s">
        <v>667</v>
      </c>
      <c r="B2926">
        <v>1143115892</v>
      </c>
      <c r="C2926">
        <v>2</v>
      </c>
      <c r="D2926" t="str">
        <f t="shared" si="102"/>
        <v>02</v>
      </c>
      <c r="E2926" t="str">
        <f>VLOOKUP(B2926,'HOGARES-ENDLINE'!$A:$B,2,FALSE)</f>
        <v>00030182</v>
      </c>
      <c r="F2926" s="6" t="str">
        <f t="shared" si="101"/>
        <v>0003018202</v>
      </c>
    </row>
    <row r="2927" spans="1:6" x14ac:dyDescent="0.3">
      <c r="A2927" s="6" t="s">
        <v>669</v>
      </c>
      <c r="B2927">
        <v>1143115892</v>
      </c>
      <c r="C2927">
        <v>1</v>
      </c>
      <c r="D2927" t="str">
        <f t="shared" si="102"/>
        <v>01</v>
      </c>
      <c r="E2927" t="str">
        <f>VLOOKUP(B2927,'HOGARES-ENDLINE'!$A:$B,2,FALSE)</f>
        <v>00030182</v>
      </c>
      <c r="F2927" s="6" t="str">
        <f t="shared" si="101"/>
        <v>0003018201</v>
      </c>
    </row>
    <row r="2928" spans="1:6" x14ac:dyDescent="0.3">
      <c r="A2928" s="6" t="s">
        <v>668</v>
      </c>
      <c r="B2928">
        <v>1143115892</v>
      </c>
      <c r="C2928">
        <v>3</v>
      </c>
      <c r="D2928" t="str">
        <f t="shared" si="102"/>
        <v>03</v>
      </c>
      <c r="E2928" t="str">
        <f>VLOOKUP(B2928,'HOGARES-ENDLINE'!$A:$B,2,FALSE)</f>
        <v>00030182</v>
      </c>
      <c r="F2928" s="6" t="str">
        <f t="shared" si="101"/>
        <v>0003018203</v>
      </c>
    </row>
    <row r="2929" spans="1:6" x14ac:dyDescent="0.3">
      <c r="A2929" s="6" t="s">
        <v>670</v>
      </c>
      <c r="B2929">
        <v>1143121744</v>
      </c>
      <c r="C2929">
        <v>2</v>
      </c>
      <c r="D2929" t="str">
        <f t="shared" si="102"/>
        <v>02</v>
      </c>
      <c r="E2929" t="str">
        <f>VLOOKUP(B2929,'HOGARES-ENDLINE'!$A:$B,2,FALSE)</f>
        <v>00030183</v>
      </c>
      <c r="F2929" s="6" t="str">
        <f t="shared" si="101"/>
        <v>0003018302</v>
      </c>
    </row>
    <row r="2930" spans="1:6" x14ac:dyDescent="0.3">
      <c r="A2930" s="6" t="s">
        <v>672</v>
      </c>
      <c r="B2930">
        <v>1143121744</v>
      </c>
      <c r="C2930">
        <v>1</v>
      </c>
      <c r="D2930" t="str">
        <f t="shared" si="102"/>
        <v>01</v>
      </c>
      <c r="E2930" t="str">
        <f>VLOOKUP(B2930,'HOGARES-ENDLINE'!$A:$B,2,FALSE)</f>
        <v>00030183</v>
      </c>
      <c r="F2930" s="6" t="str">
        <f t="shared" si="101"/>
        <v>0003018301</v>
      </c>
    </row>
    <row r="2931" spans="1:6" x14ac:dyDescent="0.3">
      <c r="A2931" s="6" t="s">
        <v>671</v>
      </c>
      <c r="B2931">
        <v>1143121744</v>
      </c>
      <c r="C2931">
        <v>3</v>
      </c>
      <c r="D2931" t="str">
        <f t="shared" si="102"/>
        <v>03</v>
      </c>
      <c r="E2931" t="str">
        <f>VLOOKUP(B2931,'HOGARES-ENDLINE'!$A:$B,2,FALSE)</f>
        <v>00030183</v>
      </c>
      <c r="F2931" s="6" t="str">
        <f t="shared" si="101"/>
        <v>0003018303</v>
      </c>
    </row>
    <row r="2932" spans="1:6" x14ac:dyDescent="0.3">
      <c r="A2932" s="6" t="s">
        <v>676</v>
      </c>
      <c r="B2932">
        <v>1143122394</v>
      </c>
      <c r="C2932">
        <v>3</v>
      </c>
      <c r="D2932" t="str">
        <f t="shared" si="102"/>
        <v>03</v>
      </c>
      <c r="E2932" t="str">
        <f>VLOOKUP(B2932,'HOGARES-ENDLINE'!$A:$B,2,FALSE)</f>
        <v>00030184</v>
      </c>
      <c r="F2932" s="6" t="str">
        <f t="shared" si="101"/>
        <v>0003018403</v>
      </c>
    </row>
    <row r="2933" spans="1:6" x14ac:dyDescent="0.3">
      <c r="A2933" s="6" t="s">
        <v>673</v>
      </c>
      <c r="B2933">
        <v>1143122394</v>
      </c>
      <c r="C2933">
        <v>4</v>
      </c>
      <c r="D2933" t="str">
        <f t="shared" si="102"/>
        <v>04</v>
      </c>
      <c r="E2933" t="str">
        <f>VLOOKUP(B2933,'HOGARES-ENDLINE'!$A:$B,2,FALSE)</f>
        <v>00030184</v>
      </c>
      <c r="F2933" s="6" t="str">
        <f t="shared" si="101"/>
        <v>0003018404</v>
      </c>
    </row>
    <row r="2934" spans="1:6" x14ac:dyDescent="0.3">
      <c r="A2934" s="6" t="s">
        <v>675</v>
      </c>
      <c r="B2934">
        <v>1143122394</v>
      </c>
      <c r="C2934">
        <v>1</v>
      </c>
      <c r="D2934" t="str">
        <f t="shared" si="102"/>
        <v>01</v>
      </c>
      <c r="E2934" t="str">
        <f>VLOOKUP(B2934,'HOGARES-ENDLINE'!$A:$B,2,FALSE)</f>
        <v>00030184</v>
      </c>
      <c r="F2934" s="6" t="str">
        <f t="shared" si="101"/>
        <v>0003018401</v>
      </c>
    </row>
    <row r="2935" spans="1:6" x14ac:dyDescent="0.3">
      <c r="A2935" s="6" t="s">
        <v>674</v>
      </c>
      <c r="B2935">
        <v>1143122394</v>
      </c>
      <c r="C2935">
        <v>2</v>
      </c>
      <c r="D2935" t="str">
        <f t="shared" si="102"/>
        <v>02</v>
      </c>
      <c r="E2935" t="str">
        <f>VLOOKUP(B2935,'HOGARES-ENDLINE'!$A:$B,2,FALSE)</f>
        <v>00030184</v>
      </c>
      <c r="F2935" s="6" t="str">
        <f t="shared" si="101"/>
        <v>0003018402</v>
      </c>
    </row>
    <row r="2936" spans="1:6" x14ac:dyDescent="0.3">
      <c r="A2936" s="6" t="s">
        <v>678</v>
      </c>
      <c r="B2936">
        <v>1143125383</v>
      </c>
      <c r="C2936">
        <v>3</v>
      </c>
      <c r="D2936" t="str">
        <f t="shared" si="102"/>
        <v>03</v>
      </c>
      <c r="E2936" t="str">
        <f>VLOOKUP(B2936,'HOGARES-ENDLINE'!$A:$B,2,FALSE)</f>
        <v>00030185</v>
      </c>
      <c r="F2936" s="6" t="str">
        <f t="shared" si="101"/>
        <v>0003018503</v>
      </c>
    </row>
    <row r="2937" spans="1:6" x14ac:dyDescent="0.3">
      <c r="A2937" s="6" t="s">
        <v>680</v>
      </c>
      <c r="B2937">
        <v>1143125383</v>
      </c>
      <c r="C2937">
        <v>2</v>
      </c>
      <c r="D2937" t="str">
        <f t="shared" si="102"/>
        <v>02</v>
      </c>
      <c r="E2937" t="str">
        <f>VLOOKUP(B2937,'HOGARES-ENDLINE'!$A:$B,2,FALSE)</f>
        <v>00030185</v>
      </c>
      <c r="F2937" s="6" t="str">
        <f t="shared" si="101"/>
        <v>0003018502</v>
      </c>
    </row>
    <row r="2938" spans="1:6" x14ac:dyDescent="0.3">
      <c r="A2938" s="6" t="s">
        <v>679</v>
      </c>
      <c r="B2938">
        <v>1143125383</v>
      </c>
      <c r="C2938">
        <v>4</v>
      </c>
      <c r="D2938" t="str">
        <f t="shared" si="102"/>
        <v>04</v>
      </c>
      <c r="E2938" t="str">
        <f>VLOOKUP(B2938,'HOGARES-ENDLINE'!$A:$B,2,FALSE)</f>
        <v>00030185</v>
      </c>
      <c r="F2938" s="6" t="str">
        <f t="shared" si="101"/>
        <v>0003018504</v>
      </c>
    </row>
    <row r="2939" spans="1:6" x14ac:dyDescent="0.3">
      <c r="A2939" s="6" t="s">
        <v>681</v>
      </c>
      <c r="B2939">
        <v>1143125383</v>
      </c>
      <c r="C2939">
        <v>5</v>
      </c>
      <c r="D2939" t="str">
        <f t="shared" si="102"/>
        <v>05</v>
      </c>
      <c r="E2939" t="str">
        <f>VLOOKUP(B2939,'HOGARES-ENDLINE'!$A:$B,2,FALSE)</f>
        <v>00030185</v>
      </c>
      <c r="F2939" s="6" t="str">
        <f t="shared" si="101"/>
        <v>0003018505</v>
      </c>
    </row>
    <row r="2940" spans="1:6" x14ac:dyDescent="0.3">
      <c r="A2940" s="6" t="s">
        <v>677</v>
      </c>
      <c r="B2940">
        <v>1143125383</v>
      </c>
      <c r="C2940">
        <v>1</v>
      </c>
      <c r="D2940" t="str">
        <f t="shared" si="102"/>
        <v>01</v>
      </c>
      <c r="E2940" t="str">
        <f>VLOOKUP(B2940,'HOGARES-ENDLINE'!$A:$B,2,FALSE)</f>
        <v>00030185</v>
      </c>
      <c r="F2940" s="6" t="str">
        <f t="shared" si="101"/>
        <v>0003018501</v>
      </c>
    </row>
    <row r="2941" spans="1:6" x14ac:dyDescent="0.3">
      <c r="A2941" s="6" t="s">
        <v>684</v>
      </c>
      <c r="B2941">
        <v>1143138306</v>
      </c>
      <c r="C2941">
        <v>3</v>
      </c>
      <c r="D2941" t="str">
        <f t="shared" si="102"/>
        <v>03</v>
      </c>
      <c r="E2941" t="str">
        <f>VLOOKUP(B2941,'HOGARES-ENDLINE'!$A:$B,2,FALSE)</f>
        <v>00030186</v>
      </c>
      <c r="F2941" s="6" t="str">
        <f t="shared" si="101"/>
        <v>0003018603</v>
      </c>
    </row>
    <row r="2942" spans="1:6" x14ac:dyDescent="0.3">
      <c r="A2942" s="6" t="s">
        <v>683</v>
      </c>
      <c r="B2942">
        <v>1143138306</v>
      </c>
      <c r="C2942">
        <v>2</v>
      </c>
      <c r="D2942" t="str">
        <f t="shared" si="102"/>
        <v>02</v>
      </c>
      <c r="E2942" t="str">
        <f>VLOOKUP(B2942,'HOGARES-ENDLINE'!$A:$B,2,FALSE)</f>
        <v>00030186</v>
      </c>
      <c r="F2942" s="6" t="str">
        <f t="shared" si="101"/>
        <v>0003018602</v>
      </c>
    </row>
    <row r="2943" spans="1:6" x14ac:dyDescent="0.3">
      <c r="A2943" s="6" t="s">
        <v>682</v>
      </c>
      <c r="B2943">
        <v>1143138306</v>
      </c>
      <c r="C2943">
        <v>1</v>
      </c>
      <c r="D2943" t="str">
        <f t="shared" si="102"/>
        <v>01</v>
      </c>
      <c r="E2943" t="str">
        <f>VLOOKUP(B2943,'HOGARES-ENDLINE'!$A:$B,2,FALSE)</f>
        <v>00030186</v>
      </c>
      <c r="F2943" s="6" t="str">
        <f t="shared" si="101"/>
        <v>0003018601</v>
      </c>
    </row>
    <row r="2944" spans="1:6" x14ac:dyDescent="0.3">
      <c r="A2944" s="6" t="s">
        <v>686</v>
      </c>
      <c r="B2944">
        <v>1143224673</v>
      </c>
      <c r="C2944">
        <v>2</v>
      </c>
      <c r="D2944" t="str">
        <f t="shared" si="102"/>
        <v>02</v>
      </c>
      <c r="E2944" t="str">
        <f>VLOOKUP(B2944,'HOGARES-ENDLINE'!$A:$B,2,FALSE)</f>
        <v>01030187</v>
      </c>
      <c r="F2944" s="6" t="str">
        <f t="shared" si="101"/>
        <v>0103018702</v>
      </c>
    </row>
    <row r="2945" spans="1:6" x14ac:dyDescent="0.3">
      <c r="A2945" s="6" t="s">
        <v>689</v>
      </c>
      <c r="B2945">
        <v>1143224673</v>
      </c>
      <c r="C2945">
        <v>5</v>
      </c>
      <c r="D2945" t="str">
        <f t="shared" si="102"/>
        <v>05</v>
      </c>
      <c r="E2945" t="str">
        <f>VLOOKUP(B2945,'HOGARES-ENDLINE'!$A:$B,2,FALSE)</f>
        <v>01030187</v>
      </c>
      <c r="F2945" s="6" t="str">
        <f t="shared" si="101"/>
        <v>0103018705</v>
      </c>
    </row>
    <row r="2946" spans="1:6" x14ac:dyDescent="0.3">
      <c r="A2946" s="6" t="s">
        <v>685</v>
      </c>
      <c r="B2946">
        <v>1143224673</v>
      </c>
      <c r="C2946">
        <v>3</v>
      </c>
      <c r="D2946" t="str">
        <f t="shared" si="102"/>
        <v>03</v>
      </c>
      <c r="E2946" t="str">
        <f>VLOOKUP(B2946,'HOGARES-ENDLINE'!$A:$B,2,FALSE)</f>
        <v>01030187</v>
      </c>
      <c r="F2946" s="6" t="str">
        <f t="shared" si="101"/>
        <v>0103018703</v>
      </c>
    </row>
    <row r="2947" spans="1:6" x14ac:dyDescent="0.3">
      <c r="A2947" s="6" t="s">
        <v>688</v>
      </c>
      <c r="B2947">
        <v>1143224673</v>
      </c>
      <c r="C2947">
        <v>4</v>
      </c>
      <c r="D2947" t="str">
        <f t="shared" si="102"/>
        <v>04</v>
      </c>
      <c r="E2947" t="str">
        <f>VLOOKUP(B2947,'HOGARES-ENDLINE'!$A:$B,2,FALSE)</f>
        <v>01030187</v>
      </c>
      <c r="F2947" s="6" t="str">
        <f t="shared" ref="F2947:F3010" si="103">_xlfn.CONCAT(E2947,D2947)</f>
        <v>0103018704</v>
      </c>
    </row>
    <row r="2948" spans="1:6" x14ac:dyDescent="0.3">
      <c r="A2948" s="6" t="s">
        <v>687</v>
      </c>
      <c r="B2948">
        <v>1143224673</v>
      </c>
      <c r="C2948">
        <v>1</v>
      </c>
      <c r="D2948" t="str">
        <f t="shared" si="102"/>
        <v>01</v>
      </c>
      <c r="E2948" t="str">
        <f>VLOOKUP(B2948,'HOGARES-ENDLINE'!$A:$B,2,FALSE)</f>
        <v>01030187</v>
      </c>
      <c r="F2948" s="6" t="str">
        <f t="shared" si="103"/>
        <v>0103018701</v>
      </c>
    </row>
    <row r="2949" spans="1:6" x14ac:dyDescent="0.3">
      <c r="A2949" s="6" t="s">
        <v>691</v>
      </c>
      <c r="B2949">
        <v>1143229612</v>
      </c>
      <c r="C2949">
        <v>1</v>
      </c>
      <c r="D2949" t="str">
        <f t="shared" si="102"/>
        <v>01</v>
      </c>
      <c r="E2949" t="str">
        <f>VLOOKUP(B2949,'HOGARES-ENDLINE'!$A:$B,2,FALSE)</f>
        <v>01030188</v>
      </c>
      <c r="F2949" s="6" t="str">
        <f t="shared" si="103"/>
        <v>0103018801</v>
      </c>
    </row>
    <row r="2950" spans="1:6" x14ac:dyDescent="0.3">
      <c r="A2950" s="6" t="s">
        <v>690</v>
      </c>
      <c r="B2950">
        <v>1143229612</v>
      </c>
      <c r="C2950">
        <v>2</v>
      </c>
      <c r="D2950" t="str">
        <f t="shared" si="102"/>
        <v>02</v>
      </c>
      <c r="E2950" t="str">
        <f>VLOOKUP(B2950,'HOGARES-ENDLINE'!$A:$B,2,FALSE)</f>
        <v>01030188</v>
      </c>
      <c r="F2950" s="6" t="str">
        <f t="shared" si="103"/>
        <v>0103018802</v>
      </c>
    </row>
    <row r="2951" spans="1:6" x14ac:dyDescent="0.3">
      <c r="A2951" s="6" t="s">
        <v>693</v>
      </c>
      <c r="B2951">
        <v>1143229612</v>
      </c>
      <c r="C2951">
        <v>4</v>
      </c>
      <c r="D2951" t="str">
        <f t="shared" si="102"/>
        <v>04</v>
      </c>
      <c r="E2951" t="str">
        <f>VLOOKUP(B2951,'HOGARES-ENDLINE'!$A:$B,2,FALSE)</f>
        <v>01030188</v>
      </c>
      <c r="F2951" s="6" t="str">
        <f t="shared" si="103"/>
        <v>0103018804</v>
      </c>
    </row>
    <row r="2952" spans="1:6" x14ac:dyDescent="0.3">
      <c r="A2952" s="6" t="s">
        <v>700</v>
      </c>
      <c r="B2952">
        <v>1143243433</v>
      </c>
      <c r="C2952">
        <v>8</v>
      </c>
      <c r="D2952" t="str">
        <f t="shared" si="102"/>
        <v>08</v>
      </c>
      <c r="E2952" t="str">
        <f>VLOOKUP(B2952,'HOGARES-ENDLINE'!$A:$B,2,FALSE)</f>
        <v>01030189</v>
      </c>
      <c r="F2952" s="6" t="str">
        <f t="shared" si="103"/>
        <v>0103018908</v>
      </c>
    </row>
    <row r="2953" spans="1:6" x14ac:dyDescent="0.3">
      <c r="A2953" s="6" t="s">
        <v>698</v>
      </c>
      <c r="B2953">
        <v>1143243433</v>
      </c>
      <c r="C2953">
        <v>4</v>
      </c>
      <c r="D2953" t="str">
        <f t="shared" ref="D2953:D2986" si="104">_xlfn.CONCAT(0,C2953)</f>
        <v>04</v>
      </c>
      <c r="E2953" t="str">
        <f>VLOOKUP(B2953,'HOGARES-ENDLINE'!$A:$B,2,FALSE)</f>
        <v>01030189</v>
      </c>
      <c r="F2953" s="6" t="str">
        <f t="shared" si="103"/>
        <v>0103018904</v>
      </c>
    </row>
    <row r="2954" spans="1:6" x14ac:dyDescent="0.3">
      <c r="A2954" s="6" t="s">
        <v>694</v>
      </c>
      <c r="B2954">
        <v>1143243433</v>
      </c>
      <c r="C2954">
        <v>3</v>
      </c>
      <c r="D2954" t="str">
        <f t="shared" si="104"/>
        <v>03</v>
      </c>
      <c r="E2954" t="str">
        <f>VLOOKUP(B2954,'HOGARES-ENDLINE'!$A:$B,2,FALSE)</f>
        <v>01030189</v>
      </c>
      <c r="F2954" s="6" t="str">
        <f t="shared" si="103"/>
        <v>0103018903</v>
      </c>
    </row>
    <row r="2955" spans="1:6" x14ac:dyDescent="0.3">
      <c r="A2955" s="6" t="s">
        <v>5220</v>
      </c>
      <c r="B2955">
        <v>1143243433</v>
      </c>
      <c r="C2955">
        <v>9</v>
      </c>
      <c r="D2955" t="str">
        <f t="shared" si="104"/>
        <v>09</v>
      </c>
      <c r="E2955" t="str">
        <f>VLOOKUP(B2955,'HOGARES-ENDLINE'!$A:$B,2,FALSE)</f>
        <v>01030189</v>
      </c>
      <c r="F2955" s="6" t="str">
        <f t="shared" si="103"/>
        <v>0103018909</v>
      </c>
    </row>
    <row r="2956" spans="1:6" x14ac:dyDescent="0.3">
      <c r="A2956" s="6" t="s">
        <v>701</v>
      </c>
      <c r="B2956">
        <v>1143243433</v>
      </c>
      <c r="C2956">
        <v>6</v>
      </c>
      <c r="D2956" t="str">
        <f t="shared" si="104"/>
        <v>06</v>
      </c>
      <c r="E2956" t="str">
        <f>VLOOKUP(B2956,'HOGARES-ENDLINE'!$A:$B,2,FALSE)</f>
        <v>01030189</v>
      </c>
      <c r="F2956" s="6" t="str">
        <f t="shared" si="103"/>
        <v>0103018906</v>
      </c>
    </row>
    <row r="2957" spans="1:6" x14ac:dyDescent="0.3">
      <c r="A2957" s="6" t="s">
        <v>696</v>
      </c>
      <c r="B2957">
        <v>1143243433</v>
      </c>
      <c r="C2957">
        <v>1</v>
      </c>
      <c r="D2957" t="str">
        <f t="shared" si="104"/>
        <v>01</v>
      </c>
      <c r="E2957" t="str">
        <f>VLOOKUP(B2957,'HOGARES-ENDLINE'!$A:$B,2,FALSE)</f>
        <v>01030189</v>
      </c>
      <c r="F2957" s="6" t="str">
        <f t="shared" si="103"/>
        <v>0103018901</v>
      </c>
    </row>
    <row r="2958" spans="1:6" x14ac:dyDescent="0.3">
      <c r="A2958" s="6" t="s">
        <v>699</v>
      </c>
      <c r="B2958">
        <v>1143243433</v>
      </c>
      <c r="C2958">
        <v>2</v>
      </c>
      <c r="D2958" t="str">
        <f t="shared" si="104"/>
        <v>02</v>
      </c>
      <c r="E2958" t="str">
        <f>VLOOKUP(B2958,'HOGARES-ENDLINE'!$A:$B,2,FALSE)</f>
        <v>01030189</v>
      </c>
      <c r="F2958" s="6" t="str">
        <f t="shared" si="103"/>
        <v>0103018902</v>
      </c>
    </row>
    <row r="2959" spans="1:6" x14ac:dyDescent="0.3">
      <c r="A2959" s="6" t="s">
        <v>695</v>
      </c>
      <c r="B2959">
        <v>1143243433</v>
      </c>
      <c r="C2959">
        <v>7</v>
      </c>
      <c r="D2959" t="str">
        <f t="shared" si="104"/>
        <v>07</v>
      </c>
      <c r="E2959" t="str">
        <f>VLOOKUP(B2959,'HOGARES-ENDLINE'!$A:$B,2,FALSE)</f>
        <v>01030189</v>
      </c>
      <c r="F2959" s="6" t="str">
        <f t="shared" si="103"/>
        <v>0103018907</v>
      </c>
    </row>
    <row r="2960" spans="1:6" x14ac:dyDescent="0.3">
      <c r="A2960" s="6" t="s">
        <v>702</v>
      </c>
      <c r="B2960">
        <v>1143246211</v>
      </c>
      <c r="C2960">
        <v>2</v>
      </c>
      <c r="D2960" t="str">
        <f t="shared" si="104"/>
        <v>02</v>
      </c>
      <c r="E2960" t="str">
        <f>VLOOKUP(B2960,'HOGARES-ENDLINE'!$A:$B,2,FALSE)</f>
        <v>01030190</v>
      </c>
      <c r="F2960" s="6" t="str">
        <f t="shared" si="103"/>
        <v>0103019002</v>
      </c>
    </row>
    <row r="2961" spans="1:6" x14ac:dyDescent="0.3">
      <c r="A2961" s="6" t="s">
        <v>703</v>
      </c>
      <c r="B2961">
        <v>1143246211</v>
      </c>
      <c r="C2961">
        <v>4</v>
      </c>
      <c r="D2961" t="str">
        <f t="shared" si="104"/>
        <v>04</v>
      </c>
      <c r="E2961" t="str">
        <f>VLOOKUP(B2961,'HOGARES-ENDLINE'!$A:$B,2,FALSE)</f>
        <v>01030190</v>
      </c>
      <c r="F2961" s="6" t="str">
        <f t="shared" si="103"/>
        <v>0103019004</v>
      </c>
    </row>
    <row r="2962" spans="1:6" x14ac:dyDescent="0.3">
      <c r="A2962" s="6" t="s">
        <v>704</v>
      </c>
      <c r="B2962">
        <v>1143246211</v>
      </c>
      <c r="C2962">
        <v>3</v>
      </c>
      <c r="D2962" t="str">
        <f t="shared" si="104"/>
        <v>03</v>
      </c>
      <c r="E2962" t="str">
        <f>VLOOKUP(B2962,'HOGARES-ENDLINE'!$A:$B,2,FALSE)</f>
        <v>01030190</v>
      </c>
      <c r="F2962" s="6" t="str">
        <f t="shared" si="103"/>
        <v>0103019003</v>
      </c>
    </row>
    <row r="2963" spans="1:6" x14ac:dyDescent="0.3">
      <c r="A2963" s="6" t="s">
        <v>705</v>
      </c>
      <c r="B2963">
        <v>1143246211</v>
      </c>
      <c r="C2963">
        <v>1</v>
      </c>
      <c r="D2963" t="str">
        <f t="shared" si="104"/>
        <v>01</v>
      </c>
      <c r="E2963" t="str">
        <f>VLOOKUP(B2963,'HOGARES-ENDLINE'!$A:$B,2,FALSE)</f>
        <v>01030190</v>
      </c>
      <c r="F2963" s="6" t="str">
        <f t="shared" si="103"/>
        <v>0103019001</v>
      </c>
    </row>
    <row r="2964" spans="1:6" x14ac:dyDescent="0.3">
      <c r="A2964" s="6" t="s">
        <v>706</v>
      </c>
      <c r="B2964">
        <v>1143247447</v>
      </c>
      <c r="C2964">
        <v>2</v>
      </c>
      <c r="D2964" t="str">
        <f t="shared" si="104"/>
        <v>02</v>
      </c>
      <c r="E2964" t="str">
        <f>VLOOKUP(B2964,'HOGARES-ENDLINE'!$A:$B,2,FALSE)</f>
        <v>01030191</v>
      </c>
      <c r="F2964" s="6" t="str">
        <f t="shared" si="103"/>
        <v>0103019102</v>
      </c>
    </row>
    <row r="2965" spans="1:6" x14ac:dyDescent="0.3">
      <c r="A2965" s="6" t="s">
        <v>709</v>
      </c>
      <c r="B2965">
        <v>1143247447</v>
      </c>
      <c r="C2965">
        <v>1</v>
      </c>
      <c r="D2965" t="str">
        <f t="shared" si="104"/>
        <v>01</v>
      </c>
      <c r="E2965" t="str">
        <f>VLOOKUP(B2965,'HOGARES-ENDLINE'!$A:$B,2,FALSE)</f>
        <v>01030191</v>
      </c>
      <c r="F2965" s="6" t="str">
        <f t="shared" si="103"/>
        <v>0103019101</v>
      </c>
    </row>
    <row r="2966" spans="1:6" x14ac:dyDescent="0.3">
      <c r="A2966" s="6" t="s">
        <v>708</v>
      </c>
      <c r="B2966">
        <v>1143247447</v>
      </c>
      <c r="C2966">
        <v>4</v>
      </c>
      <c r="D2966" t="str">
        <f t="shared" si="104"/>
        <v>04</v>
      </c>
      <c r="E2966" t="str">
        <f>VLOOKUP(B2966,'HOGARES-ENDLINE'!$A:$B,2,FALSE)</f>
        <v>01030191</v>
      </c>
      <c r="F2966" s="6" t="str">
        <f t="shared" si="103"/>
        <v>0103019104</v>
      </c>
    </row>
    <row r="2967" spans="1:6" x14ac:dyDescent="0.3">
      <c r="A2967" s="6" t="s">
        <v>707</v>
      </c>
      <c r="B2967">
        <v>1143247447</v>
      </c>
      <c r="C2967">
        <v>3</v>
      </c>
      <c r="D2967" t="str">
        <f t="shared" si="104"/>
        <v>03</v>
      </c>
      <c r="E2967" t="str">
        <f>VLOOKUP(B2967,'HOGARES-ENDLINE'!$A:$B,2,FALSE)</f>
        <v>01030191</v>
      </c>
      <c r="F2967" s="6" t="str">
        <f t="shared" si="103"/>
        <v>0103019103</v>
      </c>
    </row>
    <row r="2968" spans="1:6" x14ac:dyDescent="0.3">
      <c r="A2968" s="6" t="s">
        <v>712</v>
      </c>
      <c r="B2968">
        <v>1143259102</v>
      </c>
      <c r="C2968">
        <v>2</v>
      </c>
      <c r="D2968" t="str">
        <f t="shared" si="104"/>
        <v>02</v>
      </c>
      <c r="E2968" t="str">
        <f>VLOOKUP(B2968,'HOGARES-ENDLINE'!$A:$B,2,FALSE)</f>
        <v>01030192</v>
      </c>
      <c r="F2968" s="6" t="str">
        <f t="shared" si="103"/>
        <v>0103019202</v>
      </c>
    </row>
    <row r="2969" spans="1:6" x14ac:dyDescent="0.3">
      <c r="A2969" s="6" t="s">
        <v>710</v>
      </c>
      <c r="B2969">
        <v>1143259102</v>
      </c>
      <c r="C2969">
        <v>1</v>
      </c>
      <c r="D2969" t="str">
        <f t="shared" si="104"/>
        <v>01</v>
      </c>
      <c r="E2969" t="str">
        <f>VLOOKUP(B2969,'HOGARES-ENDLINE'!$A:$B,2,FALSE)</f>
        <v>01030192</v>
      </c>
      <c r="F2969" s="6" t="str">
        <f t="shared" si="103"/>
        <v>0103019201</v>
      </c>
    </row>
    <row r="2970" spans="1:6" x14ac:dyDescent="0.3">
      <c r="A2970" s="6" t="s">
        <v>713</v>
      </c>
      <c r="B2970">
        <v>1143259102</v>
      </c>
      <c r="C2970">
        <v>4</v>
      </c>
      <c r="D2970" t="str">
        <f t="shared" si="104"/>
        <v>04</v>
      </c>
      <c r="E2970" t="str">
        <f>VLOOKUP(B2970,'HOGARES-ENDLINE'!$A:$B,2,FALSE)</f>
        <v>01030192</v>
      </c>
      <c r="F2970" s="6" t="str">
        <f t="shared" si="103"/>
        <v>0103019204</v>
      </c>
    </row>
    <row r="2971" spans="1:6" x14ac:dyDescent="0.3">
      <c r="A2971" s="6" t="s">
        <v>711</v>
      </c>
      <c r="B2971">
        <v>1143259102</v>
      </c>
      <c r="C2971">
        <v>3</v>
      </c>
      <c r="D2971" t="str">
        <f t="shared" si="104"/>
        <v>03</v>
      </c>
      <c r="E2971" t="str">
        <f>VLOOKUP(B2971,'HOGARES-ENDLINE'!$A:$B,2,FALSE)</f>
        <v>01030192</v>
      </c>
      <c r="F2971" s="6" t="str">
        <f t="shared" si="103"/>
        <v>0103019203</v>
      </c>
    </row>
    <row r="2972" spans="1:6" x14ac:dyDescent="0.3">
      <c r="A2972" s="6" t="s">
        <v>717</v>
      </c>
      <c r="B2972">
        <v>1143429421</v>
      </c>
      <c r="C2972">
        <v>2</v>
      </c>
      <c r="D2972" t="str">
        <f t="shared" si="104"/>
        <v>02</v>
      </c>
      <c r="E2972" t="str">
        <f>VLOOKUP(B2972,'HOGARES-ENDLINE'!$A:$B,2,FALSE)</f>
        <v>00030193</v>
      </c>
      <c r="F2972" s="6" t="str">
        <f t="shared" si="103"/>
        <v>0003019302</v>
      </c>
    </row>
    <row r="2973" spans="1:6" x14ac:dyDescent="0.3">
      <c r="A2973" s="6" t="s">
        <v>716</v>
      </c>
      <c r="B2973">
        <v>1143429421</v>
      </c>
      <c r="C2973">
        <v>4</v>
      </c>
      <c r="D2973" t="str">
        <f t="shared" si="104"/>
        <v>04</v>
      </c>
      <c r="E2973" t="str">
        <f>VLOOKUP(B2973,'HOGARES-ENDLINE'!$A:$B,2,FALSE)</f>
        <v>00030193</v>
      </c>
      <c r="F2973" s="6" t="str">
        <f t="shared" si="103"/>
        <v>0003019304</v>
      </c>
    </row>
    <row r="2974" spans="1:6" x14ac:dyDescent="0.3">
      <c r="A2974" s="6" t="s">
        <v>718</v>
      </c>
      <c r="B2974">
        <v>1143429421</v>
      </c>
      <c r="C2974">
        <v>5</v>
      </c>
      <c r="D2974" t="str">
        <f t="shared" si="104"/>
        <v>05</v>
      </c>
      <c r="E2974" t="str">
        <f>VLOOKUP(B2974,'HOGARES-ENDLINE'!$A:$B,2,FALSE)</f>
        <v>00030193</v>
      </c>
      <c r="F2974" s="6" t="str">
        <f t="shared" si="103"/>
        <v>0003019305</v>
      </c>
    </row>
    <row r="2975" spans="1:6" x14ac:dyDescent="0.3">
      <c r="A2975" s="6" t="s">
        <v>714</v>
      </c>
      <c r="B2975">
        <v>1143429421</v>
      </c>
      <c r="C2975">
        <v>1</v>
      </c>
      <c r="D2975" t="str">
        <f t="shared" si="104"/>
        <v>01</v>
      </c>
      <c r="E2975" t="str">
        <f>VLOOKUP(B2975,'HOGARES-ENDLINE'!$A:$B,2,FALSE)</f>
        <v>00030193</v>
      </c>
      <c r="F2975" s="6" t="str">
        <f t="shared" si="103"/>
        <v>0003019301</v>
      </c>
    </row>
    <row r="2976" spans="1:6" x14ac:dyDescent="0.3">
      <c r="A2976" s="6" t="s">
        <v>715</v>
      </c>
      <c r="B2976">
        <v>1143429421</v>
      </c>
      <c r="C2976">
        <v>3</v>
      </c>
      <c r="D2976" t="str">
        <f t="shared" si="104"/>
        <v>03</v>
      </c>
      <c r="E2976" t="str">
        <f>VLOOKUP(B2976,'HOGARES-ENDLINE'!$A:$B,2,FALSE)</f>
        <v>00030193</v>
      </c>
      <c r="F2976" s="6" t="str">
        <f t="shared" si="103"/>
        <v>0003019303</v>
      </c>
    </row>
    <row r="2977" spans="1:6" x14ac:dyDescent="0.3">
      <c r="A2977" s="6" t="s">
        <v>719</v>
      </c>
      <c r="B2977">
        <v>1143830506</v>
      </c>
      <c r="C2977">
        <v>4</v>
      </c>
      <c r="D2977" t="str">
        <f t="shared" si="104"/>
        <v>04</v>
      </c>
      <c r="E2977" t="str">
        <f>VLOOKUP(B2977,'HOGARES-ENDLINE'!$A:$B,2,FALSE)</f>
        <v>01020194</v>
      </c>
      <c r="F2977" s="6" t="str">
        <f t="shared" si="103"/>
        <v>0102019404</v>
      </c>
    </row>
    <row r="2978" spans="1:6" x14ac:dyDescent="0.3">
      <c r="A2978" s="6" t="s">
        <v>722</v>
      </c>
      <c r="B2978">
        <v>1143830506</v>
      </c>
      <c r="C2978">
        <v>2</v>
      </c>
      <c r="D2978" t="str">
        <f t="shared" si="104"/>
        <v>02</v>
      </c>
      <c r="E2978" t="str">
        <f>VLOOKUP(B2978,'HOGARES-ENDLINE'!$A:$B,2,FALSE)</f>
        <v>01020194</v>
      </c>
      <c r="F2978" s="6" t="str">
        <f t="shared" si="103"/>
        <v>0102019402</v>
      </c>
    </row>
    <row r="2979" spans="1:6" x14ac:dyDescent="0.3">
      <c r="A2979" s="6" t="s">
        <v>721</v>
      </c>
      <c r="B2979">
        <v>1143830506</v>
      </c>
      <c r="C2979">
        <v>1</v>
      </c>
      <c r="D2979" t="str">
        <f t="shared" si="104"/>
        <v>01</v>
      </c>
      <c r="E2979" t="str">
        <f>VLOOKUP(B2979,'HOGARES-ENDLINE'!$A:$B,2,FALSE)</f>
        <v>01020194</v>
      </c>
      <c r="F2979" s="6" t="str">
        <f t="shared" si="103"/>
        <v>0102019401</v>
      </c>
    </row>
    <row r="2980" spans="1:6" x14ac:dyDescent="0.3">
      <c r="A2980" s="6" t="s">
        <v>720</v>
      </c>
      <c r="B2980">
        <v>1143830506</v>
      </c>
      <c r="C2980">
        <v>3</v>
      </c>
      <c r="D2980" t="str">
        <f t="shared" si="104"/>
        <v>03</v>
      </c>
      <c r="E2980" t="str">
        <f>VLOOKUP(B2980,'HOGARES-ENDLINE'!$A:$B,2,FALSE)</f>
        <v>01020194</v>
      </c>
      <c r="F2980" s="6" t="str">
        <f t="shared" si="103"/>
        <v>0102019403</v>
      </c>
    </row>
    <row r="2981" spans="1:6" x14ac:dyDescent="0.3">
      <c r="A2981" s="6" t="s">
        <v>723</v>
      </c>
      <c r="B2981">
        <v>1143831016</v>
      </c>
      <c r="C2981">
        <v>6</v>
      </c>
      <c r="D2981" t="str">
        <f t="shared" si="104"/>
        <v>06</v>
      </c>
      <c r="E2981" t="str">
        <f>VLOOKUP(B2981,'HOGARES-ENDLINE'!$A:$B,2,FALSE)</f>
        <v>01020195</v>
      </c>
      <c r="F2981" s="6" t="str">
        <f t="shared" si="103"/>
        <v>0102019506</v>
      </c>
    </row>
    <row r="2982" spans="1:6" x14ac:dyDescent="0.3">
      <c r="A2982" s="6" t="s">
        <v>724</v>
      </c>
      <c r="B2982">
        <v>1143831016</v>
      </c>
      <c r="C2982">
        <v>9</v>
      </c>
      <c r="D2982" t="str">
        <f t="shared" si="104"/>
        <v>09</v>
      </c>
      <c r="E2982" t="str">
        <f>VLOOKUP(B2982,'HOGARES-ENDLINE'!$A:$B,2,FALSE)</f>
        <v>01020195</v>
      </c>
      <c r="F2982" s="6" t="str">
        <f t="shared" si="103"/>
        <v>0102019509</v>
      </c>
    </row>
    <row r="2983" spans="1:6" x14ac:dyDescent="0.3">
      <c r="A2983" s="6" t="s">
        <v>731</v>
      </c>
      <c r="B2983">
        <v>1143831016</v>
      </c>
      <c r="C2983">
        <v>4</v>
      </c>
      <c r="D2983" t="str">
        <f t="shared" si="104"/>
        <v>04</v>
      </c>
      <c r="E2983" t="str">
        <f>VLOOKUP(B2983,'HOGARES-ENDLINE'!$A:$B,2,FALSE)</f>
        <v>01020195</v>
      </c>
      <c r="F2983" s="6" t="str">
        <f t="shared" si="103"/>
        <v>0102019504</v>
      </c>
    </row>
    <row r="2984" spans="1:6" x14ac:dyDescent="0.3">
      <c r="A2984" s="6" t="s">
        <v>725</v>
      </c>
      <c r="B2984">
        <v>1143831016</v>
      </c>
      <c r="C2984">
        <v>8</v>
      </c>
      <c r="D2984" t="str">
        <f t="shared" si="104"/>
        <v>08</v>
      </c>
      <c r="E2984" t="str">
        <f>VLOOKUP(B2984,'HOGARES-ENDLINE'!$A:$B,2,FALSE)</f>
        <v>01020195</v>
      </c>
      <c r="F2984" s="6" t="str">
        <f t="shared" si="103"/>
        <v>0102019508</v>
      </c>
    </row>
    <row r="2985" spans="1:6" x14ac:dyDescent="0.3">
      <c r="A2985" s="6" t="s">
        <v>732</v>
      </c>
      <c r="B2985">
        <v>1143831016</v>
      </c>
      <c r="C2985">
        <v>5</v>
      </c>
      <c r="D2985" t="str">
        <f t="shared" si="104"/>
        <v>05</v>
      </c>
      <c r="E2985" t="str">
        <f>VLOOKUP(B2985,'HOGARES-ENDLINE'!$A:$B,2,FALSE)</f>
        <v>01020195</v>
      </c>
      <c r="F2985" s="6" t="str">
        <f t="shared" si="103"/>
        <v>0102019505</v>
      </c>
    </row>
    <row r="2986" spans="1:6" x14ac:dyDescent="0.3">
      <c r="A2986" s="6" t="s">
        <v>730</v>
      </c>
      <c r="B2986">
        <v>1143831016</v>
      </c>
      <c r="C2986">
        <v>2</v>
      </c>
      <c r="D2986" t="str">
        <f t="shared" si="104"/>
        <v>02</v>
      </c>
      <c r="E2986" t="str">
        <f>VLOOKUP(B2986,'HOGARES-ENDLINE'!$A:$B,2,FALSE)</f>
        <v>01020195</v>
      </c>
      <c r="F2986" s="6" t="str">
        <f t="shared" si="103"/>
        <v>0102019502</v>
      </c>
    </row>
    <row r="2987" spans="1:6" x14ac:dyDescent="0.3">
      <c r="A2987" s="6" t="s">
        <v>729</v>
      </c>
      <c r="B2987">
        <v>1143831016</v>
      </c>
      <c r="C2987">
        <v>10</v>
      </c>
      <c r="D2987">
        <f>C2987</f>
        <v>10</v>
      </c>
      <c r="E2987" t="str">
        <f>VLOOKUP(B2987,'HOGARES-ENDLINE'!$A:$B,2,FALSE)</f>
        <v>01020195</v>
      </c>
      <c r="F2987" s="6" t="str">
        <f t="shared" si="103"/>
        <v>0102019510</v>
      </c>
    </row>
    <row r="2988" spans="1:6" x14ac:dyDescent="0.3">
      <c r="A2988" s="6" t="s">
        <v>726</v>
      </c>
      <c r="B2988">
        <v>1143831016</v>
      </c>
      <c r="C2988">
        <v>3</v>
      </c>
      <c r="D2988" t="str">
        <f t="shared" ref="D2988:D3051" si="105">_xlfn.CONCAT(0,C2988)</f>
        <v>03</v>
      </c>
      <c r="E2988" t="str">
        <f>VLOOKUP(B2988,'HOGARES-ENDLINE'!$A:$B,2,FALSE)</f>
        <v>01020195</v>
      </c>
      <c r="F2988" s="6" t="str">
        <f t="shared" si="103"/>
        <v>0102019503</v>
      </c>
    </row>
    <row r="2989" spans="1:6" x14ac:dyDescent="0.3">
      <c r="A2989" s="6" t="s">
        <v>727</v>
      </c>
      <c r="B2989">
        <v>1143831016</v>
      </c>
      <c r="C2989">
        <v>7</v>
      </c>
      <c r="D2989" t="str">
        <f t="shared" si="105"/>
        <v>07</v>
      </c>
      <c r="E2989" t="str">
        <f>VLOOKUP(B2989,'HOGARES-ENDLINE'!$A:$B,2,FALSE)</f>
        <v>01020195</v>
      </c>
      <c r="F2989" s="6" t="str">
        <f t="shared" si="103"/>
        <v>0102019507</v>
      </c>
    </row>
    <row r="2990" spans="1:6" x14ac:dyDescent="0.3">
      <c r="A2990" s="6" t="s">
        <v>728</v>
      </c>
      <c r="B2990">
        <v>1143831016</v>
      </c>
      <c r="C2990">
        <v>1</v>
      </c>
      <c r="D2990" t="str">
        <f t="shared" si="105"/>
        <v>01</v>
      </c>
      <c r="E2990" t="str">
        <f>VLOOKUP(B2990,'HOGARES-ENDLINE'!$A:$B,2,FALSE)</f>
        <v>01020195</v>
      </c>
      <c r="F2990" s="6" t="str">
        <f t="shared" si="103"/>
        <v>0102019501</v>
      </c>
    </row>
    <row r="2991" spans="1:6" x14ac:dyDescent="0.3">
      <c r="A2991" s="6" t="s">
        <v>733</v>
      </c>
      <c r="B2991">
        <v>1143831802</v>
      </c>
      <c r="C2991">
        <v>1</v>
      </c>
      <c r="D2991" t="str">
        <f t="shared" si="105"/>
        <v>01</v>
      </c>
      <c r="E2991" t="str">
        <f>VLOOKUP(B2991,'HOGARES-ENDLINE'!$A:$B,2,FALSE)</f>
        <v>00020196</v>
      </c>
      <c r="F2991" s="6" t="str">
        <f t="shared" si="103"/>
        <v>0002019601</v>
      </c>
    </row>
    <row r="2992" spans="1:6" x14ac:dyDescent="0.3">
      <c r="A2992" s="6" t="s">
        <v>734</v>
      </c>
      <c r="B2992">
        <v>1143831802</v>
      </c>
      <c r="C2992">
        <v>2</v>
      </c>
      <c r="D2992" t="str">
        <f t="shared" si="105"/>
        <v>02</v>
      </c>
      <c r="E2992" t="str">
        <f>VLOOKUP(B2992,'HOGARES-ENDLINE'!$A:$B,2,FALSE)</f>
        <v>00020196</v>
      </c>
      <c r="F2992" s="6" t="str">
        <f t="shared" si="103"/>
        <v>0002019602</v>
      </c>
    </row>
    <row r="2993" spans="1:6" x14ac:dyDescent="0.3">
      <c r="A2993" s="6" t="s">
        <v>738</v>
      </c>
      <c r="B2993">
        <v>1143831857</v>
      </c>
      <c r="C2993">
        <v>1</v>
      </c>
      <c r="D2993" t="str">
        <f t="shared" si="105"/>
        <v>01</v>
      </c>
      <c r="E2993" t="str">
        <f>VLOOKUP(B2993,'HOGARES-ENDLINE'!$A:$B,2,FALSE)</f>
        <v>00020197</v>
      </c>
      <c r="F2993" s="6" t="str">
        <f t="shared" si="103"/>
        <v>0002019701</v>
      </c>
    </row>
    <row r="2994" spans="1:6" x14ac:dyDescent="0.3">
      <c r="A2994" s="6" t="s">
        <v>735</v>
      </c>
      <c r="B2994">
        <v>1143831857</v>
      </c>
      <c r="C2994">
        <v>2</v>
      </c>
      <c r="D2994" t="str">
        <f t="shared" si="105"/>
        <v>02</v>
      </c>
      <c r="E2994" t="str">
        <f>VLOOKUP(B2994,'HOGARES-ENDLINE'!$A:$B,2,FALSE)</f>
        <v>00020197</v>
      </c>
      <c r="F2994" s="6" t="str">
        <f t="shared" si="103"/>
        <v>0002019702</v>
      </c>
    </row>
    <row r="2995" spans="1:6" x14ac:dyDescent="0.3">
      <c r="A2995" s="6" t="s">
        <v>736</v>
      </c>
      <c r="B2995">
        <v>1143831857</v>
      </c>
      <c r="C2995">
        <v>3</v>
      </c>
      <c r="D2995" t="str">
        <f t="shared" si="105"/>
        <v>03</v>
      </c>
      <c r="E2995" t="str">
        <f>VLOOKUP(B2995,'HOGARES-ENDLINE'!$A:$B,2,FALSE)</f>
        <v>00020197</v>
      </c>
      <c r="F2995" s="6" t="str">
        <f t="shared" si="103"/>
        <v>0002019703</v>
      </c>
    </row>
    <row r="2996" spans="1:6" x14ac:dyDescent="0.3">
      <c r="A2996" s="6" t="s">
        <v>737</v>
      </c>
      <c r="B2996">
        <v>1143831857</v>
      </c>
      <c r="C2996">
        <v>4</v>
      </c>
      <c r="D2996" t="str">
        <f t="shared" si="105"/>
        <v>04</v>
      </c>
      <c r="E2996" t="str">
        <f>VLOOKUP(B2996,'HOGARES-ENDLINE'!$A:$B,2,FALSE)</f>
        <v>00020197</v>
      </c>
      <c r="F2996" s="6" t="str">
        <f t="shared" si="103"/>
        <v>0002019704</v>
      </c>
    </row>
    <row r="2997" spans="1:6" x14ac:dyDescent="0.3">
      <c r="A2997" s="6" t="s">
        <v>742</v>
      </c>
      <c r="B2997">
        <v>1143833310</v>
      </c>
      <c r="C2997">
        <v>1</v>
      </c>
      <c r="D2997" t="str">
        <f t="shared" si="105"/>
        <v>01</v>
      </c>
      <c r="E2997" t="str">
        <f>VLOOKUP(B2997,'HOGARES-ENDLINE'!$A:$B,2,FALSE)</f>
        <v>00020198</v>
      </c>
      <c r="F2997" s="6" t="str">
        <f t="shared" si="103"/>
        <v>0002019801</v>
      </c>
    </row>
    <row r="2998" spans="1:6" x14ac:dyDescent="0.3">
      <c r="A2998" s="6" t="s">
        <v>739</v>
      </c>
      <c r="B2998">
        <v>1143833310</v>
      </c>
      <c r="C2998">
        <v>4</v>
      </c>
      <c r="D2998" t="str">
        <f t="shared" si="105"/>
        <v>04</v>
      </c>
      <c r="E2998" t="str">
        <f>VLOOKUP(B2998,'HOGARES-ENDLINE'!$A:$B,2,FALSE)</f>
        <v>00020198</v>
      </c>
      <c r="F2998" s="6" t="str">
        <f t="shared" si="103"/>
        <v>0002019804</v>
      </c>
    </row>
    <row r="2999" spans="1:6" x14ac:dyDescent="0.3">
      <c r="A2999" s="6" t="s">
        <v>743</v>
      </c>
      <c r="B2999">
        <v>1143833310</v>
      </c>
      <c r="C2999">
        <v>5</v>
      </c>
      <c r="D2999" t="str">
        <f t="shared" si="105"/>
        <v>05</v>
      </c>
      <c r="E2999" t="str">
        <f>VLOOKUP(B2999,'HOGARES-ENDLINE'!$A:$B,2,FALSE)</f>
        <v>00020198</v>
      </c>
      <c r="F2999" s="6" t="str">
        <f t="shared" si="103"/>
        <v>0002019805</v>
      </c>
    </row>
    <row r="3000" spans="1:6" x14ac:dyDescent="0.3">
      <c r="A3000" s="6" t="s">
        <v>740</v>
      </c>
      <c r="B3000">
        <v>1143833310</v>
      </c>
      <c r="C3000">
        <v>3</v>
      </c>
      <c r="D3000" t="str">
        <f t="shared" si="105"/>
        <v>03</v>
      </c>
      <c r="E3000" t="str">
        <f>VLOOKUP(B3000,'HOGARES-ENDLINE'!$A:$B,2,FALSE)</f>
        <v>00020198</v>
      </c>
      <c r="F3000" s="6" t="str">
        <f t="shared" si="103"/>
        <v>0002019803</v>
      </c>
    </row>
    <row r="3001" spans="1:6" x14ac:dyDescent="0.3">
      <c r="A3001" s="6" t="s">
        <v>741</v>
      </c>
      <c r="B3001">
        <v>1143833310</v>
      </c>
      <c r="C3001">
        <v>2</v>
      </c>
      <c r="D3001" t="str">
        <f t="shared" si="105"/>
        <v>02</v>
      </c>
      <c r="E3001" t="str">
        <f>VLOOKUP(B3001,'HOGARES-ENDLINE'!$A:$B,2,FALSE)</f>
        <v>00020198</v>
      </c>
      <c r="F3001" s="6" t="str">
        <f t="shared" si="103"/>
        <v>0002019802</v>
      </c>
    </row>
    <row r="3002" spans="1:6" x14ac:dyDescent="0.3">
      <c r="A3002" s="6" t="s">
        <v>747</v>
      </c>
      <c r="B3002">
        <v>1143834208</v>
      </c>
      <c r="C3002">
        <v>1</v>
      </c>
      <c r="D3002" t="str">
        <f t="shared" si="105"/>
        <v>01</v>
      </c>
      <c r="E3002" t="str">
        <f>VLOOKUP(B3002,'HOGARES-ENDLINE'!$A:$B,2,FALSE)</f>
        <v>00020199</v>
      </c>
      <c r="F3002" s="6" t="str">
        <f t="shared" si="103"/>
        <v>0002019901</v>
      </c>
    </row>
    <row r="3003" spans="1:6" x14ac:dyDescent="0.3">
      <c r="A3003" s="6" t="s">
        <v>746</v>
      </c>
      <c r="B3003">
        <v>1143834208</v>
      </c>
      <c r="C3003">
        <v>4</v>
      </c>
      <c r="D3003" t="str">
        <f t="shared" si="105"/>
        <v>04</v>
      </c>
      <c r="E3003" t="str">
        <f>VLOOKUP(B3003,'HOGARES-ENDLINE'!$A:$B,2,FALSE)</f>
        <v>00020199</v>
      </c>
      <c r="F3003" s="6" t="str">
        <f t="shared" si="103"/>
        <v>0002019904</v>
      </c>
    </row>
    <row r="3004" spans="1:6" x14ac:dyDescent="0.3">
      <c r="A3004" s="6" t="s">
        <v>744</v>
      </c>
      <c r="B3004">
        <v>1143834208</v>
      </c>
      <c r="C3004">
        <v>3</v>
      </c>
      <c r="D3004" t="str">
        <f t="shared" si="105"/>
        <v>03</v>
      </c>
      <c r="E3004" t="str">
        <f>VLOOKUP(B3004,'HOGARES-ENDLINE'!$A:$B,2,FALSE)</f>
        <v>00020199</v>
      </c>
      <c r="F3004" s="6" t="str">
        <f t="shared" si="103"/>
        <v>0002019903</v>
      </c>
    </row>
    <row r="3005" spans="1:6" x14ac:dyDescent="0.3">
      <c r="A3005" s="6" t="s">
        <v>745</v>
      </c>
      <c r="B3005">
        <v>1143834208</v>
      </c>
      <c r="C3005">
        <v>2</v>
      </c>
      <c r="D3005" t="str">
        <f t="shared" si="105"/>
        <v>02</v>
      </c>
      <c r="E3005" t="str">
        <f>VLOOKUP(B3005,'HOGARES-ENDLINE'!$A:$B,2,FALSE)</f>
        <v>00020199</v>
      </c>
      <c r="F3005" s="6" t="str">
        <f t="shared" si="103"/>
        <v>0002019902</v>
      </c>
    </row>
    <row r="3006" spans="1:6" x14ac:dyDescent="0.3">
      <c r="A3006" s="6" t="s">
        <v>752</v>
      </c>
      <c r="B3006">
        <v>1143838084</v>
      </c>
      <c r="C3006">
        <v>1</v>
      </c>
      <c r="D3006" t="str">
        <f t="shared" si="105"/>
        <v>01</v>
      </c>
      <c r="E3006" t="str">
        <f>VLOOKUP(B3006,'HOGARES-ENDLINE'!$A:$B,2,FALSE)</f>
        <v>00020200</v>
      </c>
      <c r="F3006" s="6" t="str">
        <f t="shared" si="103"/>
        <v>0002020001</v>
      </c>
    </row>
    <row r="3007" spans="1:6" x14ac:dyDescent="0.3">
      <c r="A3007" s="6" t="s">
        <v>750</v>
      </c>
      <c r="B3007">
        <v>1143838084</v>
      </c>
      <c r="C3007">
        <v>5</v>
      </c>
      <c r="D3007" t="str">
        <f t="shared" si="105"/>
        <v>05</v>
      </c>
      <c r="E3007" t="str">
        <f>VLOOKUP(B3007,'HOGARES-ENDLINE'!$A:$B,2,FALSE)</f>
        <v>00020200</v>
      </c>
      <c r="F3007" s="6" t="str">
        <f t="shared" si="103"/>
        <v>0002020005</v>
      </c>
    </row>
    <row r="3008" spans="1:6" x14ac:dyDescent="0.3">
      <c r="A3008" s="6" t="s">
        <v>748</v>
      </c>
      <c r="B3008">
        <v>1143838084</v>
      </c>
      <c r="C3008">
        <v>3</v>
      </c>
      <c r="D3008" t="str">
        <f t="shared" si="105"/>
        <v>03</v>
      </c>
      <c r="E3008" t="str">
        <f>VLOOKUP(B3008,'HOGARES-ENDLINE'!$A:$B,2,FALSE)</f>
        <v>00020200</v>
      </c>
      <c r="F3008" s="6" t="str">
        <f t="shared" si="103"/>
        <v>0002020003</v>
      </c>
    </row>
    <row r="3009" spans="1:6" x14ac:dyDescent="0.3">
      <c r="A3009" s="6" t="s">
        <v>749</v>
      </c>
      <c r="B3009">
        <v>1143838084</v>
      </c>
      <c r="C3009">
        <v>4</v>
      </c>
      <c r="D3009" t="str">
        <f t="shared" si="105"/>
        <v>04</v>
      </c>
      <c r="E3009" t="str">
        <f>VLOOKUP(B3009,'HOGARES-ENDLINE'!$A:$B,2,FALSE)</f>
        <v>00020200</v>
      </c>
      <c r="F3009" s="6" t="str">
        <f t="shared" si="103"/>
        <v>0002020004</v>
      </c>
    </row>
    <row r="3010" spans="1:6" x14ac:dyDescent="0.3">
      <c r="A3010" s="6" t="s">
        <v>754</v>
      </c>
      <c r="B3010">
        <v>1143841537</v>
      </c>
      <c r="C3010">
        <v>1</v>
      </c>
      <c r="D3010" t="str">
        <f t="shared" si="105"/>
        <v>01</v>
      </c>
      <c r="E3010" t="str">
        <f>VLOOKUP(B3010,'HOGARES-ENDLINE'!$A:$B,2,FALSE)</f>
        <v>01020201</v>
      </c>
      <c r="F3010" s="6" t="str">
        <f t="shared" si="103"/>
        <v>0102020101</v>
      </c>
    </row>
    <row r="3011" spans="1:6" x14ac:dyDescent="0.3">
      <c r="A3011" s="6" t="s">
        <v>759</v>
      </c>
      <c r="B3011">
        <v>1143841673</v>
      </c>
      <c r="C3011">
        <v>1</v>
      </c>
      <c r="D3011" t="str">
        <f t="shared" si="105"/>
        <v>01</v>
      </c>
      <c r="E3011" t="str">
        <f>VLOOKUP(B3011,'HOGARES-ENDLINE'!$A:$B,2,FALSE)</f>
        <v>00020202</v>
      </c>
      <c r="F3011" s="6" t="str">
        <f t="shared" ref="F3011:F3074" si="106">_xlfn.CONCAT(E3011,D3011)</f>
        <v>0002020201</v>
      </c>
    </row>
    <row r="3012" spans="1:6" x14ac:dyDescent="0.3">
      <c r="A3012" s="6" t="s">
        <v>758</v>
      </c>
      <c r="B3012">
        <v>1143841673</v>
      </c>
      <c r="C3012">
        <v>3</v>
      </c>
      <c r="D3012" t="str">
        <f t="shared" si="105"/>
        <v>03</v>
      </c>
      <c r="E3012" t="str">
        <f>VLOOKUP(B3012,'HOGARES-ENDLINE'!$A:$B,2,FALSE)</f>
        <v>00020202</v>
      </c>
      <c r="F3012" s="6" t="str">
        <f t="shared" si="106"/>
        <v>0002020203</v>
      </c>
    </row>
    <row r="3013" spans="1:6" x14ac:dyDescent="0.3">
      <c r="A3013" s="6" t="s">
        <v>760</v>
      </c>
      <c r="B3013">
        <v>1143843397</v>
      </c>
      <c r="C3013">
        <v>3</v>
      </c>
      <c r="D3013" t="str">
        <f t="shared" si="105"/>
        <v>03</v>
      </c>
      <c r="E3013" t="str">
        <f>VLOOKUP(B3013,'HOGARES-ENDLINE'!$A:$B,2,FALSE)</f>
        <v>00020203</v>
      </c>
      <c r="F3013" s="6" t="str">
        <f t="shared" si="106"/>
        <v>0002020303</v>
      </c>
    </row>
    <row r="3014" spans="1:6" x14ac:dyDescent="0.3">
      <c r="A3014" s="6" t="s">
        <v>761</v>
      </c>
      <c r="B3014">
        <v>1143843397</v>
      </c>
      <c r="C3014">
        <v>2</v>
      </c>
      <c r="D3014" t="str">
        <f t="shared" si="105"/>
        <v>02</v>
      </c>
      <c r="E3014" t="str">
        <f>VLOOKUP(B3014,'HOGARES-ENDLINE'!$A:$B,2,FALSE)</f>
        <v>00020203</v>
      </c>
      <c r="F3014" s="6" t="str">
        <f t="shared" si="106"/>
        <v>0002020302</v>
      </c>
    </row>
    <row r="3015" spans="1:6" x14ac:dyDescent="0.3">
      <c r="A3015" s="6" t="s">
        <v>762</v>
      </c>
      <c r="B3015">
        <v>1143843397</v>
      </c>
      <c r="C3015">
        <v>1</v>
      </c>
      <c r="D3015" t="str">
        <f t="shared" si="105"/>
        <v>01</v>
      </c>
      <c r="E3015" t="str">
        <f>VLOOKUP(B3015,'HOGARES-ENDLINE'!$A:$B,2,FALSE)</f>
        <v>00020203</v>
      </c>
      <c r="F3015" s="6" t="str">
        <f t="shared" si="106"/>
        <v>0002020301</v>
      </c>
    </row>
    <row r="3016" spans="1:6" x14ac:dyDescent="0.3">
      <c r="A3016" s="6" t="s">
        <v>763</v>
      </c>
      <c r="B3016">
        <v>1143845493</v>
      </c>
      <c r="C3016">
        <v>2</v>
      </c>
      <c r="D3016" t="str">
        <f t="shared" si="105"/>
        <v>02</v>
      </c>
      <c r="E3016" t="str">
        <f>VLOOKUP(B3016,'HOGARES-ENDLINE'!$A:$B,2,FALSE)</f>
        <v>01020204</v>
      </c>
      <c r="F3016" s="6" t="str">
        <f t="shared" si="106"/>
        <v>0102020402</v>
      </c>
    </row>
    <row r="3017" spans="1:6" x14ac:dyDescent="0.3">
      <c r="A3017" s="6" t="s">
        <v>764</v>
      </c>
      <c r="B3017">
        <v>1143845493</v>
      </c>
      <c r="C3017">
        <v>1</v>
      </c>
      <c r="D3017" t="str">
        <f t="shared" si="105"/>
        <v>01</v>
      </c>
      <c r="E3017" t="str">
        <f>VLOOKUP(B3017,'HOGARES-ENDLINE'!$A:$B,2,FALSE)</f>
        <v>01020204</v>
      </c>
      <c r="F3017" s="6" t="str">
        <f t="shared" si="106"/>
        <v>0102020401</v>
      </c>
    </row>
    <row r="3018" spans="1:6" x14ac:dyDescent="0.3">
      <c r="A3018" s="6" t="s">
        <v>765</v>
      </c>
      <c r="B3018">
        <v>1143845493</v>
      </c>
      <c r="C3018">
        <v>3</v>
      </c>
      <c r="D3018" t="str">
        <f t="shared" si="105"/>
        <v>03</v>
      </c>
      <c r="E3018" t="str">
        <f>VLOOKUP(B3018,'HOGARES-ENDLINE'!$A:$B,2,FALSE)</f>
        <v>01020204</v>
      </c>
      <c r="F3018" s="6" t="str">
        <f t="shared" si="106"/>
        <v>0102020403</v>
      </c>
    </row>
    <row r="3019" spans="1:6" x14ac:dyDescent="0.3">
      <c r="A3019" s="6" t="s">
        <v>766</v>
      </c>
      <c r="B3019">
        <v>1143845493</v>
      </c>
      <c r="C3019">
        <v>4</v>
      </c>
      <c r="D3019" t="str">
        <f t="shared" si="105"/>
        <v>04</v>
      </c>
      <c r="E3019" t="str">
        <f>VLOOKUP(B3019,'HOGARES-ENDLINE'!$A:$B,2,FALSE)</f>
        <v>01020204</v>
      </c>
      <c r="F3019" s="6" t="str">
        <f t="shared" si="106"/>
        <v>0102020404</v>
      </c>
    </row>
    <row r="3020" spans="1:6" x14ac:dyDescent="0.3">
      <c r="A3020" s="6" t="s">
        <v>768</v>
      </c>
      <c r="B3020">
        <v>1143846263</v>
      </c>
      <c r="C3020">
        <v>2</v>
      </c>
      <c r="D3020" t="str">
        <f t="shared" si="105"/>
        <v>02</v>
      </c>
      <c r="E3020" t="str">
        <f>VLOOKUP(B3020,'HOGARES-ENDLINE'!$A:$B,2,FALSE)</f>
        <v>00020205</v>
      </c>
      <c r="F3020" s="6" t="str">
        <f t="shared" si="106"/>
        <v>0002020502</v>
      </c>
    </row>
    <row r="3021" spans="1:6" x14ac:dyDescent="0.3">
      <c r="A3021" s="6" t="s">
        <v>767</v>
      </c>
      <c r="B3021">
        <v>1143846263</v>
      </c>
      <c r="C3021">
        <v>1</v>
      </c>
      <c r="D3021" t="str">
        <f t="shared" si="105"/>
        <v>01</v>
      </c>
      <c r="E3021" t="str">
        <f>VLOOKUP(B3021,'HOGARES-ENDLINE'!$A:$B,2,FALSE)</f>
        <v>00020205</v>
      </c>
      <c r="F3021" s="6" t="str">
        <f t="shared" si="106"/>
        <v>0002020501</v>
      </c>
    </row>
    <row r="3022" spans="1:6" x14ac:dyDescent="0.3">
      <c r="A3022" s="6" t="s">
        <v>770</v>
      </c>
      <c r="B3022">
        <v>1143846465</v>
      </c>
      <c r="C3022">
        <v>1</v>
      </c>
      <c r="D3022" t="str">
        <f t="shared" si="105"/>
        <v>01</v>
      </c>
      <c r="E3022" t="str">
        <f>VLOOKUP(B3022,'HOGARES-ENDLINE'!$A:$B,2,FALSE)</f>
        <v>00020206</v>
      </c>
      <c r="F3022" s="6" t="str">
        <f t="shared" si="106"/>
        <v>0002020601</v>
      </c>
    </row>
    <row r="3023" spans="1:6" x14ac:dyDescent="0.3">
      <c r="A3023" s="6" t="s">
        <v>771</v>
      </c>
      <c r="B3023">
        <v>1143846465</v>
      </c>
      <c r="C3023">
        <v>2</v>
      </c>
      <c r="D3023" t="str">
        <f t="shared" si="105"/>
        <v>02</v>
      </c>
      <c r="E3023" t="str">
        <f>VLOOKUP(B3023,'HOGARES-ENDLINE'!$A:$B,2,FALSE)</f>
        <v>00020206</v>
      </c>
      <c r="F3023" s="6" t="str">
        <f t="shared" si="106"/>
        <v>0002020602</v>
      </c>
    </row>
    <row r="3024" spans="1:6" x14ac:dyDescent="0.3">
      <c r="A3024" s="6" t="s">
        <v>769</v>
      </c>
      <c r="B3024">
        <v>1143846465</v>
      </c>
      <c r="C3024">
        <v>3</v>
      </c>
      <c r="D3024" t="str">
        <f t="shared" si="105"/>
        <v>03</v>
      </c>
      <c r="E3024" t="str">
        <f>VLOOKUP(B3024,'HOGARES-ENDLINE'!$A:$B,2,FALSE)</f>
        <v>00020206</v>
      </c>
      <c r="F3024" s="6" t="str">
        <f t="shared" si="106"/>
        <v>0002020603</v>
      </c>
    </row>
    <row r="3025" spans="1:6" x14ac:dyDescent="0.3">
      <c r="A3025" s="6" t="s">
        <v>772</v>
      </c>
      <c r="B3025">
        <v>1143847668</v>
      </c>
      <c r="C3025">
        <v>6</v>
      </c>
      <c r="D3025" t="str">
        <f t="shared" si="105"/>
        <v>06</v>
      </c>
      <c r="E3025" t="str">
        <f>VLOOKUP(B3025,'HOGARES-ENDLINE'!$A:$B,2,FALSE)</f>
        <v>00020207</v>
      </c>
      <c r="F3025" s="6" t="str">
        <f t="shared" si="106"/>
        <v>0002020706</v>
      </c>
    </row>
    <row r="3026" spans="1:6" x14ac:dyDescent="0.3">
      <c r="A3026" s="6" t="s">
        <v>776</v>
      </c>
      <c r="B3026">
        <v>1143847668</v>
      </c>
      <c r="C3026">
        <v>2</v>
      </c>
      <c r="D3026" t="str">
        <f t="shared" si="105"/>
        <v>02</v>
      </c>
      <c r="E3026" t="str">
        <f>VLOOKUP(B3026,'HOGARES-ENDLINE'!$A:$B,2,FALSE)</f>
        <v>00020207</v>
      </c>
      <c r="F3026" s="6" t="str">
        <f t="shared" si="106"/>
        <v>0002020702</v>
      </c>
    </row>
    <row r="3027" spans="1:6" x14ac:dyDescent="0.3">
      <c r="A3027" s="6" t="s">
        <v>777</v>
      </c>
      <c r="B3027">
        <v>1143847668</v>
      </c>
      <c r="C3027">
        <v>4</v>
      </c>
      <c r="D3027" t="str">
        <f t="shared" si="105"/>
        <v>04</v>
      </c>
      <c r="E3027" t="str">
        <f>VLOOKUP(B3027,'HOGARES-ENDLINE'!$A:$B,2,FALSE)</f>
        <v>00020207</v>
      </c>
      <c r="F3027" s="6" t="str">
        <f t="shared" si="106"/>
        <v>0002020704</v>
      </c>
    </row>
    <row r="3028" spans="1:6" x14ac:dyDescent="0.3">
      <c r="A3028" s="6" t="s">
        <v>773</v>
      </c>
      <c r="B3028">
        <v>1143847668</v>
      </c>
      <c r="C3028">
        <v>3</v>
      </c>
      <c r="D3028" t="str">
        <f t="shared" si="105"/>
        <v>03</v>
      </c>
      <c r="E3028" t="str">
        <f>VLOOKUP(B3028,'HOGARES-ENDLINE'!$A:$B,2,FALSE)</f>
        <v>00020207</v>
      </c>
      <c r="F3028" s="6" t="str">
        <f t="shared" si="106"/>
        <v>0002020703</v>
      </c>
    </row>
    <row r="3029" spans="1:6" x14ac:dyDescent="0.3">
      <c r="A3029" s="6" t="s">
        <v>775</v>
      </c>
      <c r="B3029">
        <v>1143847668</v>
      </c>
      <c r="C3029">
        <v>1</v>
      </c>
      <c r="D3029" t="str">
        <f t="shared" si="105"/>
        <v>01</v>
      </c>
      <c r="E3029" t="str">
        <f>VLOOKUP(B3029,'HOGARES-ENDLINE'!$A:$B,2,FALSE)</f>
        <v>00020207</v>
      </c>
      <c r="F3029" s="6" t="str">
        <f t="shared" si="106"/>
        <v>0002020701</v>
      </c>
    </row>
    <row r="3030" spans="1:6" x14ac:dyDescent="0.3">
      <c r="A3030" s="6" t="s">
        <v>774</v>
      </c>
      <c r="B3030">
        <v>1143847668</v>
      </c>
      <c r="C3030">
        <v>5</v>
      </c>
      <c r="D3030" t="str">
        <f t="shared" si="105"/>
        <v>05</v>
      </c>
      <c r="E3030" t="str">
        <f>VLOOKUP(B3030,'HOGARES-ENDLINE'!$A:$B,2,FALSE)</f>
        <v>00020207</v>
      </c>
      <c r="F3030" s="6" t="str">
        <f t="shared" si="106"/>
        <v>0002020705</v>
      </c>
    </row>
    <row r="3031" spans="1:6" x14ac:dyDescent="0.3">
      <c r="A3031" s="6" t="s">
        <v>778</v>
      </c>
      <c r="B3031">
        <v>1143853115</v>
      </c>
      <c r="C3031">
        <v>2</v>
      </c>
      <c r="D3031" t="str">
        <f t="shared" si="105"/>
        <v>02</v>
      </c>
      <c r="E3031" t="str">
        <f>VLOOKUP(B3031,'HOGARES-ENDLINE'!$A:$B,2,FALSE)</f>
        <v>00020208</v>
      </c>
      <c r="F3031" s="6" t="str">
        <f t="shared" si="106"/>
        <v>0002020802</v>
      </c>
    </row>
    <row r="3032" spans="1:6" x14ac:dyDescent="0.3">
      <c r="A3032" s="6" t="s">
        <v>779</v>
      </c>
      <c r="B3032">
        <v>1143853115</v>
      </c>
      <c r="C3032">
        <v>1</v>
      </c>
      <c r="D3032" t="str">
        <f t="shared" si="105"/>
        <v>01</v>
      </c>
      <c r="E3032" t="str">
        <f>VLOOKUP(B3032,'HOGARES-ENDLINE'!$A:$B,2,FALSE)</f>
        <v>00020208</v>
      </c>
      <c r="F3032" s="6" t="str">
        <f t="shared" si="106"/>
        <v>0002020801</v>
      </c>
    </row>
    <row r="3033" spans="1:6" x14ac:dyDescent="0.3">
      <c r="A3033" s="6" t="s">
        <v>780</v>
      </c>
      <c r="B3033">
        <v>1143853115</v>
      </c>
      <c r="C3033">
        <v>3</v>
      </c>
      <c r="D3033" t="str">
        <f t="shared" si="105"/>
        <v>03</v>
      </c>
      <c r="E3033" t="str">
        <f>VLOOKUP(B3033,'HOGARES-ENDLINE'!$A:$B,2,FALSE)</f>
        <v>00020208</v>
      </c>
      <c r="F3033" s="6" t="str">
        <f t="shared" si="106"/>
        <v>0002020803</v>
      </c>
    </row>
    <row r="3034" spans="1:6" x14ac:dyDescent="0.3">
      <c r="A3034" s="6" t="s">
        <v>784</v>
      </c>
      <c r="B3034">
        <v>1143853293</v>
      </c>
      <c r="C3034">
        <v>1</v>
      </c>
      <c r="D3034" t="str">
        <f t="shared" si="105"/>
        <v>01</v>
      </c>
      <c r="E3034" t="str">
        <f>VLOOKUP(B3034,'HOGARES-ENDLINE'!$A:$B,2,FALSE)</f>
        <v>00020209</v>
      </c>
      <c r="F3034" s="6" t="str">
        <f t="shared" si="106"/>
        <v>0002020901</v>
      </c>
    </row>
    <row r="3035" spans="1:6" x14ac:dyDescent="0.3">
      <c r="A3035" s="6" t="s">
        <v>782</v>
      </c>
      <c r="B3035">
        <v>1143853293</v>
      </c>
      <c r="C3035">
        <v>4</v>
      </c>
      <c r="D3035" t="str">
        <f t="shared" si="105"/>
        <v>04</v>
      </c>
      <c r="E3035" t="str">
        <f>VLOOKUP(B3035,'HOGARES-ENDLINE'!$A:$B,2,FALSE)</f>
        <v>00020209</v>
      </c>
      <c r="F3035" s="6" t="str">
        <f t="shared" si="106"/>
        <v>0002020904</v>
      </c>
    </row>
    <row r="3036" spans="1:6" x14ac:dyDescent="0.3">
      <c r="A3036" s="6" t="s">
        <v>783</v>
      </c>
      <c r="B3036">
        <v>1143853293</v>
      </c>
      <c r="C3036">
        <v>3</v>
      </c>
      <c r="D3036" t="str">
        <f t="shared" si="105"/>
        <v>03</v>
      </c>
      <c r="E3036" t="str">
        <f>VLOOKUP(B3036,'HOGARES-ENDLINE'!$A:$B,2,FALSE)</f>
        <v>00020209</v>
      </c>
      <c r="F3036" s="6" t="str">
        <f t="shared" si="106"/>
        <v>0002020903</v>
      </c>
    </row>
    <row r="3037" spans="1:6" x14ac:dyDescent="0.3">
      <c r="A3037" s="6" t="s">
        <v>788</v>
      </c>
      <c r="B3037">
        <v>1143853398</v>
      </c>
      <c r="C3037">
        <v>1</v>
      </c>
      <c r="D3037" t="str">
        <f t="shared" si="105"/>
        <v>01</v>
      </c>
      <c r="E3037" t="str">
        <f>VLOOKUP(B3037,'HOGARES-ENDLINE'!$A:$B,2,FALSE)</f>
        <v>00020210</v>
      </c>
      <c r="F3037" s="6" t="str">
        <f t="shared" si="106"/>
        <v>0002021001</v>
      </c>
    </row>
    <row r="3038" spans="1:6" x14ac:dyDescent="0.3">
      <c r="A3038" s="6" t="s">
        <v>785</v>
      </c>
      <c r="B3038">
        <v>1143853398</v>
      </c>
      <c r="C3038">
        <v>2</v>
      </c>
      <c r="D3038" t="str">
        <f t="shared" si="105"/>
        <v>02</v>
      </c>
      <c r="E3038" t="str">
        <f>VLOOKUP(B3038,'HOGARES-ENDLINE'!$A:$B,2,FALSE)</f>
        <v>00020210</v>
      </c>
      <c r="F3038" s="6" t="str">
        <f t="shared" si="106"/>
        <v>0002021002</v>
      </c>
    </row>
    <row r="3039" spans="1:6" x14ac:dyDescent="0.3">
      <c r="A3039" s="6" t="s">
        <v>787</v>
      </c>
      <c r="B3039">
        <v>1143853398</v>
      </c>
      <c r="C3039">
        <v>3</v>
      </c>
      <c r="D3039" t="str">
        <f t="shared" si="105"/>
        <v>03</v>
      </c>
      <c r="E3039" t="str">
        <f>VLOOKUP(B3039,'HOGARES-ENDLINE'!$A:$B,2,FALSE)</f>
        <v>00020210</v>
      </c>
      <c r="F3039" s="6" t="str">
        <f t="shared" si="106"/>
        <v>0002021003</v>
      </c>
    </row>
    <row r="3040" spans="1:6" x14ac:dyDescent="0.3">
      <c r="A3040" s="6" t="s">
        <v>786</v>
      </c>
      <c r="B3040">
        <v>1143853398</v>
      </c>
      <c r="C3040">
        <v>4</v>
      </c>
      <c r="D3040" t="str">
        <f t="shared" si="105"/>
        <v>04</v>
      </c>
      <c r="E3040" t="str">
        <f>VLOOKUP(B3040,'HOGARES-ENDLINE'!$A:$B,2,FALSE)</f>
        <v>00020210</v>
      </c>
      <c r="F3040" s="6" t="str">
        <f t="shared" si="106"/>
        <v>0002021004</v>
      </c>
    </row>
    <row r="3041" spans="1:6" x14ac:dyDescent="0.3">
      <c r="A3041" s="6" t="s">
        <v>791</v>
      </c>
      <c r="B3041">
        <v>1143857197</v>
      </c>
      <c r="C3041">
        <v>1</v>
      </c>
      <c r="D3041" t="str">
        <f t="shared" si="105"/>
        <v>01</v>
      </c>
      <c r="E3041" t="str">
        <f>VLOOKUP(B3041,'HOGARES-ENDLINE'!$A:$B,2,FALSE)</f>
        <v>00020211</v>
      </c>
      <c r="F3041" s="6" t="str">
        <f t="shared" si="106"/>
        <v>0002021101</v>
      </c>
    </row>
    <row r="3042" spans="1:6" x14ac:dyDescent="0.3">
      <c r="A3042" s="6" t="s">
        <v>792</v>
      </c>
      <c r="B3042">
        <v>1143857197</v>
      </c>
      <c r="C3042">
        <v>2</v>
      </c>
      <c r="D3042" t="str">
        <f t="shared" si="105"/>
        <v>02</v>
      </c>
      <c r="E3042" t="str">
        <f>VLOOKUP(B3042,'HOGARES-ENDLINE'!$A:$B,2,FALSE)</f>
        <v>00020211</v>
      </c>
      <c r="F3042" s="6" t="str">
        <f t="shared" si="106"/>
        <v>0002021102</v>
      </c>
    </row>
    <row r="3043" spans="1:6" x14ac:dyDescent="0.3">
      <c r="A3043" s="6" t="s">
        <v>790</v>
      </c>
      <c r="B3043">
        <v>1143857197</v>
      </c>
      <c r="C3043">
        <v>4</v>
      </c>
      <c r="D3043" t="str">
        <f t="shared" si="105"/>
        <v>04</v>
      </c>
      <c r="E3043" t="str">
        <f>VLOOKUP(B3043,'HOGARES-ENDLINE'!$A:$B,2,FALSE)</f>
        <v>00020211</v>
      </c>
      <c r="F3043" s="6" t="str">
        <f t="shared" si="106"/>
        <v>0002021104</v>
      </c>
    </row>
    <row r="3044" spans="1:6" x14ac:dyDescent="0.3">
      <c r="A3044" s="6" t="s">
        <v>789</v>
      </c>
      <c r="B3044">
        <v>1143857197</v>
      </c>
      <c r="C3044">
        <v>3</v>
      </c>
      <c r="D3044" t="str">
        <f t="shared" si="105"/>
        <v>03</v>
      </c>
      <c r="E3044" t="str">
        <f>VLOOKUP(B3044,'HOGARES-ENDLINE'!$A:$B,2,FALSE)</f>
        <v>00020211</v>
      </c>
      <c r="F3044" s="6" t="str">
        <f t="shared" si="106"/>
        <v>0002021103</v>
      </c>
    </row>
    <row r="3045" spans="1:6" x14ac:dyDescent="0.3">
      <c r="A3045" s="6" t="s">
        <v>793</v>
      </c>
      <c r="B3045">
        <v>1143958126</v>
      </c>
      <c r="C3045">
        <v>1</v>
      </c>
      <c r="D3045" t="str">
        <f t="shared" si="105"/>
        <v>01</v>
      </c>
      <c r="E3045" t="str">
        <f>VLOOKUP(B3045,'HOGARES-ENDLINE'!$A:$B,2,FALSE)</f>
        <v>00020212</v>
      </c>
      <c r="F3045" s="6" t="str">
        <f t="shared" si="106"/>
        <v>0002021201</v>
      </c>
    </row>
    <row r="3046" spans="1:6" x14ac:dyDescent="0.3">
      <c r="A3046" s="6" t="s">
        <v>796</v>
      </c>
      <c r="B3046">
        <v>1143958126</v>
      </c>
      <c r="C3046">
        <v>4</v>
      </c>
      <c r="D3046" t="str">
        <f t="shared" si="105"/>
        <v>04</v>
      </c>
      <c r="E3046" t="str">
        <f>VLOOKUP(B3046,'HOGARES-ENDLINE'!$A:$B,2,FALSE)</f>
        <v>00020212</v>
      </c>
      <c r="F3046" s="6" t="str">
        <f t="shared" si="106"/>
        <v>0002021204</v>
      </c>
    </row>
    <row r="3047" spans="1:6" x14ac:dyDescent="0.3">
      <c r="A3047" s="6" t="s">
        <v>794</v>
      </c>
      <c r="B3047">
        <v>1143958126</v>
      </c>
      <c r="C3047">
        <v>3</v>
      </c>
      <c r="D3047" t="str">
        <f t="shared" si="105"/>
        <v>03</v>
      </c>
      <c r="E3047" t="str">
        <f>VLOOKUP(B3047,'HOGARES-ENDLINE'!$A:$B,2,FALSE)</f>
        <v>00020212</v>
      </c>
      <c r="F3047" s="6" t="str">
        <f t="shared" si="106"/>
        <v>0002021203</v>
      </c>
    </row>
    <row r="3048" spans="1:6" x14ac:dyDescent="0.3">
      <c r="A3048" s="6" t="s">
        <v>800</v>
      </c>
      <c r="B3048">
        <v>1144024517</v>
      </c>
      <c r="C3048">
        <v>4</v>
      </c>
      <c r="D3048" t="str">
        <f t="shared" si="105"/>
        <v>04</v>
      </c>
      <c r="E3048" t="str">
        <f>VLOOKUP(B3048,'HOGARES-ENDLINE'!$A:$B,2,FALSE)</f>
        <v>01020213</v>
      </c>
      <c r="F3048" s="6" t="str">
        <f t="shared" si="106"/>
        <v>0102021304</v>
      </c>
    </row>
    <row r="3049" spans="1:6" x14ac:dyDescent="0.3">
      <c r="A3049" s="6" t="s">
        <v>799</v>
      </c>
      <c r="B3049">
        <v>1144024517</v>
      </c>
      <c r="C3049">
        <v>1</v>
      </c>
      <c r="D3049" t="str">
        <f t="shared" si="105"/>
        <v>01</v>
      </c>
      <c r="E3049" t="str">
        <f>VLOOKUP(B3049,'HOGARES-ENDLINE'!$A:$B,2,FALSE)</f>
        <v>01020213</v>
      </c>
      <c r="F3049" s="6" t="str">
        <f t="shared" si="106"/>
        <v>0102021301</v>
      </c>
    </row>
    <row r="3050" spans="1:6" x14ac:dyDescent="0.3">
      <c r="A3050" s="6" t="s">
        <v>798</v>
      </c>
      <c r="B3050">
        <v>1144024517</v>
      </c>
      <c r="C3050">
        <v>2</v>
      </c>
      <c r="D3050" t="str">
        <f t="shared" si="105"/>
        <v>02</v>
      </c>
      <c r="E3050" t="str">
        <f>VLOOKUP(B3050,'HOGARES-ENDLINE'!$A:$B,2,FALSE)</f>
        <v>01020213</v>
      </c>
      <c r="F3050" s="6" t="str">
        <f t="shared" si="106"/>
        <v>0102021302</v>
      </c>
    </row>
    <row r="3051" spans="1:6" x14ac:dyDescent="0.3">
      <c r="A3051" s="6" t="s">
        <v>797</v>
      </c>
      <c r="B3051">
        <v>1144024517</v>
      </c>
      <c r="C3051">
        <v>3</v>
      </c>
      <c r="D3051" t="str">
        <f t="shared" si="105"/>
        <v>03</v>
      </c>
      <c r="E3051" t="str">
        <f>VLOOKUP(B3051,'HOGARES-ENDLINE'!$A:$B,2,FALSE)</f>
        <v>01020213</v>
      </c>
      <c r="F3051" s="6" t="str">
        <f t="shared" si="106"/>
        <v>0102021303</v>
      </c>
    </row>
    <row r="3052" spans="1:6" x14ac:dyDescent="0.3">
      <c r="A3052" s="6" t="s">
        <v>810</v>
      </c>
      <c r="B3052">
        <v>1144031654</v>
      </c>
      <c r="C3052">
        <v>1</v>
      </c>
      <c r="D3052" t="str">
        <f t="shared" ref="D3052:D3110" si="107">_xlfn.CONCAT(0,C3052)</f>
        <v>01</v>
      </c>
      <c r="E3052" t="str">
        <f>VLOOKUP(B3052,'HOGARES-ENDLINE'!$A:$B,2,FALSE)</f>
        <v>01020216</v>
      </c>
      <c r="F3052" s="6" t="str">
        <f t="shared" si="106"/>
        <v>0102021601</v>
      </c>
    </row>
    <row r="3053" spans="1:6" x14ac:dyDescent="0.3">
      <c r="A3053" s="6" t="s">
        <v>809</v>
      </c>
      <c r="B3053">
        <v>1144031654</v>
      </c>
      <c r="C3053">
        <v>3</v>
      </c>
      <c r="D3053" t="str">
        <f t="shared" si="107"/>
        <v>03</v>
      </c>
      <c r="E3053" t="str">
        <f>VLOOKUP(B3053,'HOGARES-ENDLINE'!$A:$B,2,FALSE)</f>
        <v>01020216</v>
      </c>
      <c r="F3053" s="6" t="str">
        <f t="shared" si="106"/>
        <v>0102021603</v>
      </c>
    </row>
    <row r="3054" spans="1:6" x14ac:dyDescent="0.3">
      <c r="A3054" s="6" t="s">
        <v>808</v>
      </c>
      <c r="B3054">
        <v>1144031654</v>
      </c>
      <c r="C3054">
        <v>2</v>
      </c>
      <c r="D3054" t="str">
        <f t="shared" si="107"/>
        <v>02</v>
      </c>
      <c r="E3054" t="str">
        <f>VLOOKUP(B3054,'HOGARES-ENDLINE'!$A:$B,2,FALSE)</f>
        <v>01020216</v>
      </c>
      <c r="F3054" s="6" t="str">
        <f t="shared" si="106"/>
        <v>0102021602</v>
      </c>
    </row>
    <row r="3055" spans="1:6" x14ac:dyDescent="0.3">
      <c r="A3055" s="6" t="s">
        <v>812</v>
      </c>
      <c r="B3055">
        <v>1144034037</v>
      </c>
      <c r="C3055">
        <v>1</v>
      </c>
      <c r="D3055" t="str">
        <f t="shared" si="107"/>
        <v>01</v>
      </c>
      <c r="E3055" t="str">
        <f>VLOOKUP(B3055,'HOGARES-ENDLINE'!$A:$B,2,FALSE)</f>
        <v>01020217</v>
      </c>
      <c r="F3055" s="6" t="str">
        <f t="shared" si="106"/>
        <v>0102021701</v>
      </c>
    </row>
    <row r="3056" spans="1:6" x14ac:dyDescent="0.3">
      <c r="A3056" s="6" t="s">
        <v>814</v>
      </c>
      <c r="B3056">
        <v>1144035169</v>
      </c>
      <c r="C3056">
        <v>1</v>
      </c>
      <c r="D3056" t="str">
        <f t="shared" si="107"/>
        <v>01</v>
      </c>
      <c r="E3056" t="str">
        <f>VLOOKUP(B3056,'HOGARES-ENDLINE'!$A:$B,2,FALSE)</f>
        <v>01020218</v>
      </c>
      <c r="F3056" s="6" t="str">
        <f t="shared" si="106"/>
        <v>0102021801</v>
      </c>
    </row>
    <row r="3057" spans="1:6" x14ac:dyDescent="0.3">
      <c r="A3057" s="6" t="s">
        <v>813</v>
      </c>
      <c r="B3057">
        <v>1144035169</v>
      </c>
      <c r="C3057">
        <v>2</v>
      </c>
      <c r="D3057" t="str">
        <f t="shared" si="107"/>
        <v>02</v>
      </c>
      <c r="E3057" t="str">
        <f>VLOOKUP(B3057,'HOGARES-ENDLINE'!$A:$B,2,FALSE)</f>
        <v>01020218</v>
      </c>
      <c r="F3057" s="6" t="str">
        <f t="shared" si="106"/>
        <v>0102021802</v>
      </c>
    </row>
    <row r="3058" spans="1:6" x14ac:dyDescent="0.3">
      <c r="A3058" s="6" t="s">
        <v>816</v>
      </c>
      <c r="B3058">
        <v>1144037995</v>
      </c>
      <c r="C3058">
        <v>1</v>
      </c>
      <c r="D3058" t="str">
        <f t="shared" si="107"/>
        <v>01</v>
      </c>
      <c r="E3058" t="str">
        <f>VLOOKUP(B3058,'HOGARES-ENDLINE'!$A:$B,2,FALSE)</f>
        <v>01020219</v>
      </c>
      <c r="F3058" s="6" t="str">
        <f t="shared" si="106"/>
        <v>0102021901</v>
      </c>
    </row>
    <row r="3059" spans="1:6" x14ac:dyDescent="0.3">
      <c r="A3059" s="6" t="s">
        <v>815</v>
      </c>
      <c r="B3059">
        <v>1144037995</v>
      </c>
      <c r="C3059">
        <v>3</v>
      </c>
      <c r="D3059" t="str">
        <f t="shared" si="107"/>
        <v>03</v>
      </c>
      <c r="E3059" t="str">
        <f>VLOOKUP(B3059,'HOGARES-ENDLINE'!$A:$B,2,FALSE)</f>
        <v>01020219</v>
      </c>
      <c r="F3059" s="6" t="str">
        <f t="shared" si="106"/>
        <v>0102021903</v>
      </c>
    </row>
    <row r="3060" spans="1:6" x14ac:dyDescent="0.3">
      <c r="A3060" s="6" t="s">
        <v>817</v>
      </c>
      <c r="B3060">
        <v>1144037995</v>
      </c>
      <c r="C3060">
        <v>2</v>
      </c>
      <c r="D3060" t="str">
        <f t="shared" si="107"/>
        <v>02</v>
      </c>
      <c r="E3060" t="str">
        <f>VLOOKUP(B3060,'HOGARES-ENDLINE'!$A:$B,2,FALSE)</f>
        <v>01020219</v>
      </c>
      <c r="F3060" s="6" t="str">
        <f t="shared" si="106"/>
        <v>0102021902</v>
      </c>
    </row>
    <row r="3061" spans="1:6" x14ac:dyDescent="0.3">
      <c r="A3061" s="6" t="s">
        <v>821</v>
      </c>
      <c r="B3061">
        <v>1144038733</v>
      </c>
      <c r="C3061">
        <v>1</v>
      </c>
      <c r="D3061" t="str">
        <f t="shared" si="107"/>
        <v>01</v>
      </c>
      <c r="E3061" t="str">
        <f>VLOOKUP(B3061,'HOGARES-ENDLINE'!$A:$B,2,FALSE)</f>
        <v>01020221</v>
      </c>
      <c r="F3061" s="6" t="str">
        <f t="shared" si="106"/>
        <v>0102022101</v>
      </c>
    </row>
    <row r="3062" spans="1:6" x14ac:dyDescent="0.3">
      <c r="A3062" s="6" t="s">
        <v>824</v>
      </c>
      <c r="B3062">
        <v>1144043798</v>
      </c>
      <c r="C3062">
        <v>1</v>
      </c>
      <c r="D3062" t="str">
        <f t="shared" si="107"/>
        <v>01</v>
      </c>
      <c r="E3062" t="str">
        <f>VLOOKUP(B3062,'HOGARES-ENDLINE'!$A:$B,2,FALSE)</f>
        <v>01020222</v>
      </c>
      <c r="F3062" s="6" t="str">
        <f t="shared" si="106"/>
        <v>0102022201</v>
      </c>
    </row>
    <row r="3063" spans="1:6" x14ac:dyDescent="0.3">
      <c r="A3063" s="6" t="s">
        <v>5221</v>
      </c>
      <c r="B3063">
        <v>1144043798</v>
      </c>
      <c r="C3063">
        <v>6</v>
      </c>
      <c r="D3063" t="str">
        <f t="shared" si="107"/>
        <v>06</v>
      </c>
      <c r="E3063" t="str">
        <f>VLOOKUP(B3063,'HOGARES-ENDLINE'!$A:$B,2,FALSE)</f>
        <v>01020222</v>
      </c>
      <c r="F3063" s="6" t="str">
        <f t="shared" si="106"/>
        <v>0102022206</v>
      </c>
    </row>
    <row r="3064" spans="1:6" x14ac:dyDescent="0.3">
      <c r="A3064" s="6" t="s">
        <v>823</v>
      </c>
      <c r="B3064">
        <v>1144043798</v>
      </c>
      <c r="C3064">
        <v>3</v>
      </c>
      <c r="D3064" t="str">
        <f t="shared" si="107"/>
        <v>03</v>
      </c>
      <c r="E3064" t="str">
        <f>VLOOKUP(B3064,'HOGARES-ENDLINE'!$A:$B,2,FALSE)</f>
        <v>01020222</v>
      </c>
      <c r="F3064" s="6" t="str">
        <f t="shared" si="106"/>
        <v>0102022203</v>
      </c>
    </row>
    <row r="3065" spans="1:6" x14ac:dyDescent="0.3">
      <c r="A3065" s="6" t="s">
        <v>5222</v>
      </c>
      <c r="B3065">
        <v>1144043798</v>
      </c>
      <c r="C3065">
        <v>5</v>
      </c>
      <c r="D3065" t="str">
        <f t="shared" si="107"/>
        <v>05</v>
      </c>
      <c r="E3065" t="str">
        <f>VLOOKUP(B3065,'HOGARES-ENDLINE'!$A:$B,2,FALSE)</f>
        <v>01020222</v>
      </c>
      <c r="F3065" s="6" t="str">
        <f t="shared" si="106"/>
        <v>0102022205</v>
      </c>
    </row>
    <row r="3066" spans="1:6" x14ac:dyDescent="0.3">
      <c r="A3066" s="6" t="s">
        <v>825</v>
      </c>
      <c r="B3066">
        <v>1144043798</v>
      </c>
      <c r="C3066">
        <v>2</v>
      </c>
      <c r="D3066" t="str">
        <f t="shared" si="107"/>
        <v>02</v>
      </c>
      <c r="E3066" t="str">
        <f>VLOOKUP(B3066,'HOGARES-ENDLINE'!$A:$B,2,FALSE)</f>
        <v>01020222</v>
      </c>
      <c r="F3066" s="6" t="str">
        <f t="shared" si="106"/>
        <v>0102022202</v>
      </c>
    </row>
    <row r="3067" spans="1:6" x14ac:dyDescent="0.3">
      <c r="A3067" s="6" t="s">
        <v>822</v>
      </c>
      <c r="B3067">
        <v>1144043798</v>
      </c>
      <c r="C3067">
        <v>4</v>
      </c>
      <c r="D3067" t="str">
        <f t="shared" si="107"/>
        <v>04</v>
      </c>
      <c r="E3067" t="str">
        <f>VLOOKUP(B3067,'HOGARES-ENDLINE'!$A:$B,2,FALSE)</f>
        <v>01020222</v>
      </c>
      <c r="F3067" s="6" t="str">
        <f t="shared" si="106"/>
        <v>0102022204</v>
      </c>
    </row>
    <row r="3068" spans="1:6" x14ac:dyDescent="0.3">
      <c r="A3068" s="6" t="s">
        <v>828</v>
      </c>
      <c r="B3068">
        <v>1144045256</v>
      </c>
      <c r="C3068">
        <v>3</v>
      </c>
      <c r="D3068" t="str">
        <f t="shared" si="107"/>
        <v>03</v>
      </c>
      <c r="E3068" t="str">
        <f>VLOOKUP(B3068,'HOGARES-ENDLINE'!$A:$B,2,FALSE)</f>
        <v>01020223</v>
      </c>
      <c r="F3068" s="6" t="str">
        <f t="shared" si="106"/>
        <v>0102022303</v>
      </c>
    </row>
    <row r="3069" spans="1:6" x14ac:dyDescent="0.3">
      <c r="A3069" s="6" t="s">
        <v>829</v>
      </c>
      <c r="B3069">
        <v>1144045256</v>
      </c>
      <c r="C3069">
        <v>1</v>
      </c>
      <c r="D3069" t="str">
        <f t="shared" si="107"/>
        <v>01</v>
      </c>
      <c r="E3069" t="str">
        <f>VLOOKUP(B3069,'HOGARES-ENDLINE'!$A:$B,2,FALSE)</f>
        <v>01020223</v>
      </c>
      <c r="F3069" s="6" t="str">
        <f t="shared" si="106"/>
        <v>0102022301</v>
      </c>
    </row>
    <row r="3070" spans="1:6" x14ac:dyDescent="0.3">
      <c r="A3070" s="6" t="s">
        <v>826</v>
      </c>
      <c r="B3070">
        <v>1144045256</v>
      </c>
      <c r="C3070">
        <v>2</v>
      </c>
      <c r="D3070" t="str">
        <f t="shared" si="107"/>
        <v>02</v>
      </c>
      <c r="E3070" t="str">
        <f>VLOOKUP(B3070,'HOGARES-ENDLINE'!$A:$B,2,FALSE)</f>
        <v>01020223</v>
      </c>
      <c r="F3070" s="6" t="str">
        <f t="shared" si="106"/>
        <v>0102022302</v>
      </c>
    </row>
    <row r="3071" spans="1:6" x14ac:dyDescent="0.3">
      <c r="A3071" s="6" t="s">
        <v>827</v>
      </c>
      <c r="B3071">
        <v>1144045256</v>
      </c>
      <c r="C3071">
        <v>4</v>
      </c>
      <c r="D3071" t="str">
        <f t="shared" si="107"/>
        <v>04</v>
      </c>
      <c r="E3071" t="str">
        <f>VLOOKUP(B3071,'HOGARES-ENDLINE'!$A:$B,2,FALSE)</f>
        <v>01020223</v>
      </c>
      <c r="F3071" s="6" t="str">
        <f t="shared" si="106"/>
        <v>0102022304</v>
      </c>
    </row>
    <row r="3072" spans="1:6" x14ac:dyDescent="0.3">
      <c r="A3072" s="6" t="s">
        <v>832</v>
      </c>
      <c r="B3072">
        <v>1144046314</v>
      </c>
      <c r="C3072">
        <v>3</v>
      </c>
      <c r="D3072" t="str">
        <f t="shared" si="107"/>
        <v>03</v>
      </c>
      <c r="E3072" t="str">
        <f>VLOOKUP(B3072,'HOGARES-ENDLINE'!$A:$B,2,FALSE)</f>
        <v>01020224</v>
      </c>
      <c r="F3072" s="6" t="str">
        <f t="shared" si="106"/>
        <v>0102022403</v>
      </c>
    </row>
    <row r="3073" spans="1:6" x14ac:dyDescent="0.3">
      <c r="A3073" s="6" t="s">
        <v>831</v>
      </c>
      <c r="B3073">
        <v>1144046314</v>
      </c>
      <c r="C3073">
        <v>2</v>
      </c>
      <c r="D3073" t="str">
        <f t="shared" si="107"/>
        <v>02</v>
      </c>
      <c r="E3073" t="str">
        <f>VLOOKUP(B3073,'HOGARES-ENDLINE'!$A:$B,2,FALSE)</f>
        <v>01020224</v>
      </c>
      <c r="F3073" s="6" t="str">
        <f t="shared" si="106"/>
        <v>0102022402</v>
      </c>
    </row>
    <row r="3074" spans="1:6" x14ac:dyDescent="0.3">
      <c r="A3074" s="6" t="s">
        <v>830</v>
      </c>
      <c r="B3074">
        <v>1144046314</v>
      </c>
      <c r="C3074">
        <v>1</v>
      </c>
      <c r="D3074" t="str">
        <f t="shared" si="107"/>
        <v>01</v>
      </c>
      <c r="E3074" t="str">
        <f>VLOOKUP(B3074,'HOGARES-ENDLINE'!$A:$B,2,FALSE)</f>
        <v>01020224</v>
      </c>
      <c r="F3074" s="6" t="str">
        <f t="shared" si="106"/>
        <v>0102022401</v>
      </c>
    </row>
    <row r="3075" spans="1:6" x14ac:dyDescent="0.3">
      <c r="A3075" s="6" t="s">
        <v>833</v>
      </c>
      <c r="B3075">
        <v>1144046952</v>
      </c>
      <c r="C3075">
        <v>1</v>
      </c>
      <c r="D3075" t="str">
        <f t="shared" si="107"/>
        <v>01</v>
      </c>
      <c r="E3075" t="str">
        <f>VLOOKUP(B3075,'HOGARES-ENDLINE'!$A:$B,2,FALSE)</f>
        <v>01020225</v>
      </c>
      <c r="F3075" s="6" t="str">
        <f t="shared" ref="F3075:F3138" si="108">_xlfn.CONCAT(E3075,D3075)</f>
        <v>0102022501</v>
      </c>
    </row>
    <row r="3076" spans="1:6" x14ac:dyDescent="0.3">
      <c r="A3076" s="6" t="s">
        <v>5223</v>
      </c>
      <c r="B3076">
        <v>1144046952</v>
      </c>
      <c r="C3076">
        <v>4</v>
      </c>
      <c r="D3076" t="str">
        <f t="shared" si="107"/>
        <v>04</v>
      </c>
      <c r="E3076" t="str">
        <f>VLOOKUP(B3076,'HOGARES-ENDLINE'!$A:$B,2,FALSE)</f>
        <v>01020225</v>
      </c>
      <c r="F3076" s="6" t="str">
        <f t="shared" si="108"/>
        <v>0102022504</v>
      </c>
    </row>
    <row r="3077" spans="1:6" x14ac:dyDescent="0.3">
      <c r="A3077" s="6" t="s">
        <v>835</v>
      </c>
      <c r="B3077">
        <v>1144046952</v>
      </c>
      <c r="C3077">
        <v>2</v>
      </c>
      <c r="D3077" t="str">
        <f t="shared" si="107"/>
        <v>02</v>
      </c>
      <c r="E3077" t="str">
        <f>VLOOKUP(B3077,'HOGARES-ENDLINE'!$A:$B,2,FALSE)</f>
        <v>01020225</v>
      </c>
      <c r="F3077" s="6" t="str">
        <f t="shared" si="108"/>
        <v>0102022502</v>
      </c>
    </row>
    <row r="3078" spans="1:6" x14ac:dyDescent="0.3">
      <c r="A3078" s="6" t="s">
        <v>834</v>
      </c>
      <c r="B3078">
        <v>1144046952</v>
      </c>
      <c r="C3078">
        <v>3</v>
      </c>
      <c r="D3078" t="str">
        <f t="shared" si="107"/>
        <v>03</v>
      </c>
      <c r="E3078" t="str">
        <f>VLOOKUP(B3078,'HOGARES-ENDLINE'!$A:$B,2,FALSE)</f>
        <v>01020225</v>
      </c>
      <c r="F3078" s="6" t="str">
        <f t="shared" si="108"/>
        <v>0102022503</v>
      </c>
    </row>
    <row r="3079" spans="1:6" x14ac:dyDescent="0.3">
      <c r="A3079" s="6" t="s">
        <v>838</v>
      </c>
      <c r="B3079">
        <v>1144051270</v>
      </c>
      <c r="C3079">
        <v>1</v>
      </c>
      <c r="D3079" t="str">
        <f t="shared" si="107"/>
        <v>01</v>
      </c>
      <c r="E3079" t="str">
        <f>VLOOKUP(B3079,'HOGARES-ENDLINE'!$A:$B,2,FALSE)</f>
        <v>01020226</v>
      </c>
      <c r="F3079" s="6" t="str">
        <f t="shared" si="108"/>
        <v>0102022601</v>
      </c>
    </row>
    <row r="3080" spans="1:6" x14ac:dyDescent="0.3">
      <c r="A3080" s="6" t="s">
        <v>841</v>
      </c>
      <c r="B3080">
        <v>1144059852</v>
      </c>
      <c r="C3080">
        <v>1</v>
      </c>
      <c r="D3080" t="str">
        <f t="shared" si="107"/>
        <v>01</v>
      </c>
      <c r="E3080" t="str">
        <f>VLOOKUP(B3080,'HOGARES-ENDLINE'!$A:$B,2,FALSE)</f>
        <v>01020227</v>
      </c>
      <c r="F3080" s="6" t="str">
        <f t="shared" si="108"/>
        <v>0102022701</v>
      </c>
    </row>
    <row r="3081" spans="1:6" x14ac:dyDescent="0.3">
      <c r="A3081" s="6" t="s">
        <v>839</v>
      </c>
      <c r="B3081">
        <v>1144059852</v>
      </c>
      <c r="C3081">
        <v>2</v>
      </c>
      <c r="D3081" t="str">
        <f t="shared" si="107"/>
        <v>02</v>
      </c>
      <c r="E3081" t="str">
        <f>VLOOKUP(B3081,'HOGARES-ENDLINE'!$A:$B,2,FALSE)</f>
        <v>01020227</v>
      </c>
      <c r="F3081" s="6" t="str">
        <f t="shared" si="108"/>
        <v>0102022702</v>
      </c>
    </row>
    <row r="3082" spans="1:6" x14ac:dyDescent="0.3">
      <c r="A3082" s="6" t="s">
        <v>840</v>
      </c>
      <c r="B3082">
        <v>1144059852</v>
      </c>
      <c r="C3082">
        <v>3</v>
      </c>
      <c r="D3082" t="str">
        <f t="shared" si="107"/>
        <v>03</v>
      </c>
      <c r="E3082" t="str">
        <f>VLOOKUP(B3082,'HOGARES-ENDLINE'!$A:$B,2,FALSE)</f>
        <v>01020227</v>
      </c>
      <c r="F3082" s="6" t="str">
        <f t="shared" si="108"/>
        <v>0102022703</v>
      </c>
    </row>
    <row r="3083" spans="1:6" x14ac:dyDescent="0.3">
      <c r="A3083" s="6" t="s">
        <v>842</v>
      </c>
      <c r="B3083">
        <v>1144065963</v>
      </c>
      <c r="C3083">
        <v>2</v>
      </c>
      <c r="D3083" t="str">
        <f t="shared" si="107"/>
        <v>02</v>
      </c>
      <c r="E3083" t="str">
        <f>VLOOKUP(B3083,'HOGARES-ENDLINE'!$A:$B,2,FALSE)</f>
        <v>01020228</v>
      </c>
      <c r="F3083" s="6" t="str">
        <f t="shared" si="108"/>
        <v>0102022802</v>
      </c>
    </row>
    <row r="3084" spans="1:6" x14ac:dyDescent="0.3">
      <c r="A3084" s="6" t="s">
        <v>843</v>
      </c>
      <c r="B3084">
        <v>1144065963</v>
      </c>
      <c r="C3084">
        <v>1</v>
      </c>
      <c r="D3084" t="str">
        <f t="shared" si="107"/>
        <v>01</v>
      </c>
      <c r="E3084" t="str">
        <f>VLOOKUP(B3084,'HOGARES-ENDLINE'!$A:$B,2,FALSE)</f>
        <v>01020228</v>
      </c>
      <c r="F3084" s="6" t="str">
        <f t="shared" si="108"/>
        <v>0102022801</v>
      </c>
    </row>
    <row r="3085" spans="1:6" x14ac:dyDescent="0.3">
      <c r="A3085" s="6" t="s">
        <v>845</v>
      </c>
      <c r="B3085">
        <v>1144068248</v>
      </c>
      <c r="C3085">
        <v>5</v>
      </c>
      <c r="D3085" t="str">
        <f t="shared" si="107"/>
        <v>05</v>
      </c>
      <c r="E3085" t="str">
        <f>VLOOKUP(B3085,'HOGARES-ENDLINE'!$A:$B,2,FALSE)</f>
        <v>00020229</v>
      </c>
      <c r="F3085" s="6" t="str">
        <f t="shared" si="108"/>
        <v>0002022905</v>
      </c>
    </row>
    <row r="3086" spans="1:6" x14ac:dyDescent="0.3">
      <c r="A3086" s="6" t="s">
        <v>847</v>
      </c>
      <c r="B3086">
        <v>1144068248</v>
      </c>
      <c r="C3086">
        <v>3</v>
      </c>
      <c r="D3086" t="str">
        <f t="shared" si="107"/>
        <v>03</v>
      </c>
      <c r="E3086" t="str">
        <f>VLOOKUP(B3086,'HOGARES-ENDLINE'!$A:$B,2,FALSE)</f>
        <v>00020229</v>
      </c>
      <c r="F3086" s="6" t="str">
        <f t="shared" si="108"/>
        <v>0002022903</v>
      </c>
    </row>
    <row r="3087" spans="1:6" x14ac:dyDescent="0.3">
      <c r="A3087" s="6" t="s">
        <v>848</v>
      </c>
      <c r="B3087">
        <v>1144068248</v>
      </c>
      <c r="C3087">
        <v>1</v>
      </c>
      <c r="D3087" t="str">
        <f t="shared" si="107"/>
        <v>01</v>
      </c>
      <c r="E3087" t="str">
        <f>VLOOKUP(B3087,'HOGARES-ENDLINE'!$A:$B,2,FALSE)</f>
        <v>00020229</v>
      </c>
      <c r="F3087" s="6" t="str">
        <f t="shared" si="108"/>
        <v>0002022901</v>
      </c>
    </row>
    <row r="3088" spans="1:6" x14ac:dyDescent="0.3">
      <c r="A3088" s="6" t="s">
        <v>844</v>
      </c>
      <c r="B3088">
        <v>1144068248</v>
      </c>
      <c r="C3088">
        <v>2</v>
      </c>
      <c r="D3088" t="str">
        <f t="shared" si="107"/>
        <v>02</v>
      </c>
      <c r="E3088" t="str">
        <f>VLOOKUP(B3088,'HOGARES-ENDLINE'!$A:$B,2,FALSE)</f>
        <v>00020229</v>
      </c>
      <c r="F3088" s="6" t="str">
        <f t="shared" si="108"/>
        <v>0002022902</v>
      </c>
    </row>
    <row r="3089" spans="1:6" x14ac:dyDescent="0.3">
      <c r="A3089" s="6" t="s">
        <v>846</v>
      </c>
      <c r="B3089">
        <v>1144068248</v>
      </c>
      <c r="C3089">
        <v>4</v>
      </c>
      <c r="D3089" t="str">
        <f t="shared" si="107"/>
        <v>04</v>
      </c>
      <c r="E3089" t="str">
        <f>VLOOKUP(B3089,'HOGARES-ENDLINE'!$A:$B,2,FALSE)</f>
        <v>00020229</v>
      </c>
      <c r="F3089" s="6" t="str">
        <f t="shared" si="108"/>
        <v>0002022904</v>
      </c>
    </row>
    <row r="3090" spans="1:6" x14ac:dyDescent="0.3">
      <c r="A3090" s="6" t="s">
        <v>852</v>
      </c>
      <c r="B3090">
        <v>1144071056</v>
      </c>
      <c r="C3090">
        <v>5</v>
      </c>
      <c r="D3090" t="str">
        <f t="shared" si="107"/>
        <v>05</v>
      </c>
      <c r="E3090" t="str">
        <f>VLOOKUP(B3090,'HOGARES-ENDLINE'!$A:$B,2,FALSE)</f>
        <v>01020230</v>
      </c>
      <c r="F3090" s="6" t="str">
        <f t="shared" si="108"/>
        <v>0102023005</v>
      </c>
    </row>
    <row r="3091" spans="1:6" x14ac:dyDescent="0.3">
      <c r="A3091" s="6" t="s">
        <v>853</v>
      </c>
      <c r="B3091">
        <v>1144071056</v>
      </c>
      <c r="C3091">
        <v>2</v>
      </c>
      <c r="D3091" t="str">
        <f t="shared" si="107"/>
        <v>02</v>
      </c>
      <c r="E3091" t="str">
        <f>VLOOKUP(B3091,'HOGARES-ENDLINE'!$A:$B,2,FALSE)</f>
        <v>01020230</v>
      </c>
      <c r="F3091" s="6" t="str">
        <f t="shared" si="108"/>
        <v>0102023002</v>
      </c>
    </row>
    <row r="3092" spans="1:6" x14ac:dyDescent="0.3">
      <c r="A3092" s="6" t="s">
        <v>850</v>
      </c>
      <c r="B3092">
        <v>1144071056</v>
      </c>
      <c r="C3092">
        <v>4</v>
      </c>
      <c r="D3092" t="str">
        <f t="shared" si="107"/>
        <v>04</v>
      </c>
      <c r="E3092" t="str">
        <f>VLOOKUP(B3092,'HOGARES-ENDLINE'!$A:$B,2,FALSE)</f>
        <v>01020230</v>
      </c>
      <c r="F3092" s="6" t="str">
        <f t="shared" si="108"/>
        <v>0102023004</v>
      </c>
    </row>
    <row r="3093" spans="1:6" x14ac:dyDescent="0.3">
      <c r="A3093" s="6" t="s">
        <v>849</v>
      </c>
      <c r="B3093">
        <v>1144071056</v>
      </c>
      <c r="C3093">
        <v>3</v>
      </c>
      <c r="D3093" t="str">
        <f t="shared" si="107"/>
        <v>03</v>
      </c>
      <c r="E3093" t="str">
        <f>VLOOKUP(B3093,'HOGARES-ENDLINE'!$A:$B,2,FALSE)</f>
        <v>01020230</v>
      </c>
      <c r="F3093" s="6" t="str">
        <f t="shared" si="108"/>
        <v>0102023003</v>
      </c>
    </row>
    <row r="3094" spans="1:6" x14ac:dyDescent="0.3">
      <c r="A3094" s="6" t="s">
        <v>851</v>
      </c>
      <c r="B3094">
        <v>1144071056</v>
      </c>
      <c r="C3094">
        <v>1</v>
      </c>
      <c r="D3094" t="str">
        <f t="shared" si="107"/>
        <v>01</v>
      </c>
      <c r="E3094" t="str">
        <f>VLOOKUP(B3094,'HOGARES-ENDLINE'!$A:$B,2,FALSE)</f>
        <v>01020230</v>
      </c>
      <c r="F3094" s="6" t="str">
        <f t="shared" si="108"/>
        <v>0102023001</v>
      </c>
    </row>
    <row r="3095" spans="1:6" x14ac:dyDescent="0.3">
      <c r="A3095" s="6" t="s">
        <v>855</v>
      </c>
      <c r="B3095">
        <v>1144082561</v>
      </c>
      <c r="C3095">
        <v>1</v>
      </c>
      <c r="D3095" t="str">
        <f t="shared" si="107"/>
        <v>01</v>
      </c>
      <c r="E3095" t="str">
        <f>VLOOKUP(B3095,'HOGARES-ENDLINE'!$A:$B,2,FALSE)</f>
        <v>01020231</v>
      </c>
      <c r="F3095" s="6" t="str">
        <f t="shared" si="108"/>
        <v>0102023101</v>
      </c>
    </row>
    <row r="3096" spans="1:6" x14ac:dyDescent="0.3">
      <c r="A3096" s="6" t="s">
        <v>854</v>
      </c>
      <c r="B3096">
        <v>1144082561</v>
      </c>
      <c r="C3096">
        <v>2</v>
      </c>
      <c r="D3096" t="str">
        <f t="shared" si="107"/>
        <v>02</v>
      </c>
      <c r="E3096" t="str">
        <f>VLOOKUP(B3096,'HOGARES-ENDLINE'!$A:$B,2,FALSE)</f>
        <v>01020231</v>
      </c>
      <c r="F3096" s="6" t="str">
        <f t="shared" si="108"/>
        <v>0102023102</v>
      </c>
    </row>
    <row r="3097" spans="1:6" x14ac:dyDescent="0.3">
      <c r="A3097" s="6" t="s">
        <v>856</v>
      </c>
      <c r="B3097">
        <v>1144082561</v>
      </c>
      <c r="C3097">
        <v>3</v>
      </c>
      <c r="D3097" t="str">
        <f t="shared" si="107"/>
        <v>03</v>
      </c>
      <c r="E3097" t="str">
        <f>VLOOKUP(B3097,'HOGARES-ENDLINE'!$A:$B,2,FALSE)</f>
        <v>01020231</v>
      </c>
      <c r="F3097" s="6" t="str">
        <f t="shared" si="108"/>
        <v>0102023103</v>
      </c>
    </row>
    <row r="3098" spans="1:6" x14ac:dyDescent="0.3">
      <c r="A3098" s="6" t="s">
        <v>862</v>
      </c>
      <c r="B3098">
        <v>1144094813</v>
      </c>
      <c r="C3098">
        <v>5</v>
      </c>
      <c r="D3098" t="str">
        <f t="shared" si="107"/>
        <v>05</v>
      </c>
      <c r="E3098" t="str">
        <f>VLOOKUP(B3098,'HOGARES-ENDLINE'!$A:$B,2,FALSE)</f>
        <v>01020232</v>
      </c>
      <c r="F3098" s="6" t="str">
        <f t="shared" si="108"/>
        <v>0102023205</v>
      </c>
    </row>
    <row r="3099" spans="1:6" x14ac:dyDescent="0.3">
      <c r="A3099" s="6" t="s">
        <v>858</v>
      </c>
      <c r="B3099">
        <v>1144094813</v>
      </c>
      <c r="C3099">
        <v>6</v>
      </c>
      <c r="D3099" t="str">
        <f t="shared" si="107"/>
        <v>06</v>
      </c>
      <c r="E3099" t="str">
        <f>VLOOKUP(B3099,'HOGARES-ENDLINE'!$A:$B,2,FALSE)</f>
        <v>01020232</v>
      </c>
      <c r="F3099" s="6" t="str">
        <f t="shared" si="108"/>
        <v>0102023206</v>
      </c>
    </row>
    <row r="3100" spans="1:6" x14ac:dyDescent="0.3">
      <c r="A3100" s="6" t="s">
        <v>861</v>
      </c>
      <c r="B3100">
        <v>1144094813</v>
      </c>
      <c r="C3100">
        <v>2</v>
      </c>
      <c r="D3100" t="str">
        <f t="shared" si="107"/>
        <v>02</v>
      </c>
      <c r="E3100" t="str">
        <f>VLOOKUP(B3100,'HOGARES-ENDLINE'!$A:$B,2,FALSE)</f>
        <v>01020232</v>
      </c>
      <c r="F3100" s="6" t="str">
        <f t="shared" si="108"/>
        <v>0102023202</v>
      </c>
    </row>
    <row r="3101" spans="1:6" x14ac:dyDescent="0.3">
      <c r="A3101" s="6" t="s">
        <v>857</v>
      </c>
      <c r="B3101">
        <v>1144094813</v>
      </c>
      <c r="C3101">
        <v>3</v>
      </c>
      <c r="D3101" t="str">
        <f t="shared" si="107"/>
        <v>03</v>
      </c>
      <c r="E3101" t="str">
        <f>VLOOKUP(B3101,'HOGARES-ENDLINE'!$A:$B,2,FALSE)</f>
        <v>01020232</v>
      </c>
      <c r="F3101" s="6" t="str">
        <f t="shared" si="108"/>
        <v>0102023203</v>
      </c>
    </row>
    <row r="3102" spans="1:6" x14ac:dyDescent="0.3">
      <c r="A3102" s="6" t="s">
        <v>860</v>
      </c>
      <c r="B3102">
        <v>1144094813</v>
      </c>
      <c r="C3102">
        <v>1</v>
      </c>
      <c r="D3102" t="str">
        <f t="shared" si="107"/>
        <v>01</v>
      </c>
      <c r="E3102" t="str">
        <f>VLOOKUP(B3102,'HOGARES-ENDLINE'!$A:$B,2,FALSE)</f>
        <v>01020232</v>
      </c>
      <c r="F3102" s="6" t="str">
        <f t="shared" si="108"/>
        <v>0102023201</v>
      </c>
    </row>
    <row r="3103" spans="1:6" x14ac:dyDescent="0.3">
      <c r="A3103" s="6" t="s">
        <v>859</v>
      </c>
      <c r="B3103">
        <v>1144094813</v>
      </c>
      <c r="C3103">
        <v>4</v>
      </c>
      <c r="D3103" t="str">
        <f t="shared" si="107"/>
        <v>04</v>
      </c>
      <c r="E3103" t="str">
        <f>VLOOKUP(B3103,'HOGARES-ENDLINE'!$A:$B,2,FALSE)</f>
        <v>01020232</v>
      </c>
      <c r="F3103" s="6" t="str">
        <f t="shared" si="108"/>
        <v>0102023204</v>
      </c>
    </row>
    <row r="3104" spans="1:6" x14ac:dyDescent="0.3">
      <c r="A3104" s="6" t="s">
        <v>863</v>
      </c>
      <c r="B3104">
        <v>1144097141</v>
      </c>
      <c r="C3104">
        <v>1</v>
      </c>
      <c r="D3104" t="str">
        <f t="shared" si="107"/>
        <v>01</v>
      </c>
      <c r="E3104" t="str">
        <f>VLOOKUP(B3104,'HOGARES-ENDLINE'!$A:$B,2,FALSE)</f>
        <v>00020233</v>
      </c>
      <c r="F3104" s="6" t="str">
        <f t="shared" si="108"/>
        <v>0002023301</v>
      </c>
    </row>
    <row r="3105" spans="1:6" x14ac:dyDescent="0.3">
      <c r="A3105" s="6" t="s">
        <v>864</v>
      </c>
      <c r="B3105">
        <v>1144097141</v>
      </c>
      <c r="C3105">
        <v>2</v>
      </c>
      <c r="D3105" t="str">
        <f t="shared" si="107"/>
        <v>02</v>
      </c>
      <c r="E3105" t="str">
        <f>VLOOKUP(B3105,'HOGARES-ENDLINE'!$A:$B,2,FALSE)</f>
        <v>00020233</v>
      </c>
      <c r="F3105" s="6" t="str">
        <f t="shared" si="108"/>
        <v>0002023302</v>
      </c>
    </row>
    <row r="3106" spans="1:6" x14ac:dyDescent="0.3">
      <c r="A3106" s="6" t="s">
        <v>867</v>
      </c>
      <c r="B3106">
        <v>1144101026</v>
      </c>
      <c r="C3106">
        <v>3</v>
      </c>
      <c r="D3106" t="str">
        <f t="shared" si="107"/>
        <v>03</v>
      </c>
      <c r="E3106" t="str">
        <f>VLOOKUP(B3106,'HOGARES-ENDLINE'!$A:$B,2,FALSE)</f>
        <v>01020234</v>
      </c>
      <c r="F3106" s="6" t="str">
        <f t="shared" si="108"/>
        <v>0102023403</v>
      </c>
    </row>
    <row r="3107" spans="1:6" x14ac:dyDescent="0.3">
      <c r="A3107" s="6" t="s">
        <v>865</v>
      </c>
      <c r="B3107">
        <v>1144101026</v>
      </c>
      <c r="C3107">
        <v>1</v>
      </c>
      <c r="D3107" t="str">
        <f t="shared" si="107"/>
        <v>01</v>
      </c>
      <c r="E3107" t="str">
        <f>VLOOKUP(B3107,'HOGARES-ENDLINE'!$A:$B,2,FALSE)</f>
        <v>01020234</v>
      </c>
      <c r="F3107" s="6" t="str">
        <f t="shared" si="108"/>
        <v>0102023401</v>
      </c>
    </row>
    <row r="3108" spans="1:6" x14ac:dyDescent="0.3">
      <c r="A3108" s="6" t="s">
        <v>866</v>
      </c>
      <c r="B3108">
        <v>1144101026</v>
      </c>
      <c r="C3108">
        <v>2</v>
      </c>
      <c r="D3108" t="str">
        <f t="shared" si="107"/>
        <v>02</v>
      </c>
      <c r="E3108" t="str">
        <f>VLOOKUP(B3108,'HOGARES-ENDLINE'!$A:$B,2,FALSE)</f>
        <v>01020234</v>
      </c>
      <c r="F3108" s="6" t="str">
        <f t="shared" si="108"/>
        <v>0102023402</v>
      </c>
    </row>
    <row r="3109" spans="1:6" x14ac:dyDescent="0.3">
      <c r="A3109" s="6" t="s">
        <v>869</v>
      </c>
      <c r="B3109">
        <v>1144160399</v>
      </c>
      <c r="C3109">
        <v>2</v>
      </c>
      <c r="D3109" t="str">
        <f t="shared" si="107"/>
        <v>02</v>
      </c>
      <c r="E3109" t="str">
        <f>VLOOKUP(B3109,'HOGARES-ENDLINE'!$A:$B,2,FALSE)</f>
        <v>01020235</v>
      </c>
      <c r="F3109" s="6" t="str">
        <f t="shared" si="108"/>
        <v>0102023502</v>
      </c>
    </row>
    <row r="3110" spans="1:6" x14ac:dyDescent="0.3">
      <c r="A3110" s="6" t="s">
        <v>868</v>
      </c>
      <c r="B3110">
        <v>1144160399</v>
      </c>
      <c r="C3110">
        <v>1</v>
      </c>
      <c r="D3110" t="str">
        <f t="shared" si="107"/>
        <v>01</v>
      </c>
      <c r="E3110" t="str">
        <f>VLOOKUP(B3110,'HOGARES-ENDLINE'!$A:$B,2,FALSE)</f>
        <v>01020235</v>
      </c>
      <c r="F3110" s="6" t="str">
        <f t="shared" si="108"/>
        <v>0102023501</v>
      </c>
    </row>
    <row r="3111" spans="1:6" x14ac:dyDescent="0.3">
      <c r="A3111" s="6" t="s">
        <v>875</v>
      </c>
      <c r="B3111">
        <v>1146434251</v>
      </c>
      <c r="C3111">
        <v>11</v>
      </c>
      <c r="D3111">
        <f>C3111</f>
        <v>11</v>
      </c>
      <c r="E3111" t="str">
        <f>VLOOKUP(B3111,'HOGARES-ENDLINE'!$A:$B,2,FALSE)</f>
        <v>01010237</v>
      </c>
      <c r="F3111" s="6" t="str">
        <f t="shared" si="108"/>
        <v>0101023711</v>
      </c>
    </row>
    <row r="3112" spans="1:6" x14ac:dyDescent="0.3">
      <c r="A3112" s="6" t="s">
        <v>873</v>
      </c>
      <c r="B3112">
        <v>1146434251</v>
      </c>
      <c r="C3112">
        <v>3</v>
      </c>
      <c r="D3112" t="str">
        <f t="shared" ref="D3112:D3119" si="109">_xlfn.CONCAT(0,C3112)</f>
        <v>03</v>
      </c>
      <c r="E3112" t="str">
        <f>VLOOKUP(B3112,'HOGARES-ENDLINE'!$A:$B,2,FALSE)</f>
        <v>01010237</v>
      </c>
      <c r="F3112" s="6" t="str">
        <f t="shared" si="108"/>
        <v>0101023703</v>
      </c>
    </row>
    <row r="3113" spans="1:6" x14ac:dyDescent="0.3">
      <c r="A3113" s="6" t="s">
        <v>880</v>
      </c>
      <c r="B3113">
        <v>1146434251</v>
      </c>
      <c r="C3113">
        <v>1</v>
      </c>
      <c r="D3113" t="str">
        <f t="shared" si="109"/>
        <v>01</v>
      </c>
      <c r="E3113" t="str">
        <f>VLOOKUP(B3113,'HOGARES-ENDLINE'!$A:$B,2,FALSE)</f>
        <v>01010237</v>
      </c>
      <c r="F3113" s="6" t="str">
        <f t="shared" si="108"/>
        <v>0101023701</v>
      </c>
    </row>
    <row r="3114" spans="1:6" x14ac:dyDescent="0.3">
      <c r="A3114" s="6" t="s">
        <v>883</v>
      </c>
      <c r="B3114">
        <v>1146434251</v>
      </c>
      <c r="C3114">
        <v>8</v>
      </c>
      <c r="D3114" t="str">
        <f t="shared" si="109"/>
        <v>08</v>
      </c>
      <c r="E3114" t="str">
        <f>VLOOKUP(B3114,'HOGARES-ENDLINE'!$A:$B,2,FALSE)</f>
        <v>01010237</v>
      </c>
      <c r="F3114" s="6" t="str">
        <f t="shared" si="108"/>
        <v>0101023708</v>
      </c>
    </row>
    <row r="3115" spans="1:6" x14ac:dyDescent="0.3">
      <c r="A3115" s="6" t="s">
        <v>882</v>
      </c>
      <c r="B3115">
        <v>1146434251</v>
      </c>
      <c r="C3115">
        <v>4</v>
      </c>
      <c r="D3115" t="str">
        <f t="shared" si="109"/>
        <v>04</v>
      </c>
      <c r="E3115" t="str">
        <f>VLOOKUP(B3115,'HOGARES-ENDLINE'!$A:$B,2,FALSE)</f>
        <v>01010237</v>
      </c>
      <c r="F3115" s="6" t="str">
        <f t="shared" si="108"/>
        <v>0101023704</v>
      </c>
    </row>
    <row r="3116" spans="1:6" x14ac:dyDescent="0.3">
      <c r="A3116" s="6" t="s">
        <v>877</v>
      </c>
      <c r="B3116">
        <v>1146434251</v>
      </c>
      <c r="C3116">
        <v>2</v>
      </c>
      <c r="D3116" t="str">
        <f t="shared" si="109"/>
        <v>02</v>
      </c>
      <c r="E3116" t="str">
        <f>VLOOKUP(B3116,'HOGARES-ENDLINE'!$A:$B,2,FALSE)</f>
        <v>01010237</v>
      </c>
      <c r="F3116" s="6" t="str">
        <f t="shared" si="108"/>
        <v>0101023702</v>
      </c>
    </row>
    <row r="3117" spans="1:6" x14ac:dyDescent="0.3">
      <c r="A3117" s="6" t="s">
        <v>878</v>
      </c>
      <c r="B3117">
        <v>1146434251</v>
      </c>
      <c r="C3117">
        <v>7</v>
      </c>
      <c r="D3117" t="str">
        <f t="shared" si="109"/>
        <v>07</v>
      </c>
      <c r="E3117" t="str">
        <f>VLOOKUP(B3117,'HOGARES-ENDLINE'!$A:$B,2,FALSE)</f>
        <v>01010237</v>
      </c>
      <c r="F3117" s="6" t="str">
        <f t="shared" si="108"/>
        <v>0101023707</v>
      </c>
    </row>
    <row r="3118" spans="1:6" x14ac:dyDescent="0.3">
      <c r="A3118" s="6" t="s">
        <v>876</v>
      </c>
      <c r="B3118">
        <v>1146434251</v>
      </c>
      <c r="C3118">
        <v>5</v>
      </c>
      <c r="D3118" t="str">
        <f t="shared" si="109"/>
        <v>05</v>
      </c>
      <c r="E3118" t="str">
        <f>VLOOKUP(B3118,'HOGARES-ENDLINE'!$A:$B,2,FALSE)</f>
        <v>01010237</v>
      </c>
      <c r="F3118" s="6" t="str">
        <f t="shared" si="108"/>
        <v>0101023705</v>
      </c>
    </row>
    <row r="3119" spans="1:6" x14ac:dyDescent="0.3">
      <c r="A3119" s="6" t="s">
        <v>874</v>
      </c>
      <c r="B3119">
        <v>1146434251</v>
      </c>
      <c r="C3119">
        <v>6</v>
      </c>
      <c r="D3119" t="str">
        <f t="shared" si="109"/>
        <v>06</v>
      </c>
      <c r="E3119" t="str">
        <f>VLOOKUP(B3119,'HOGARES-ENDLINE'!$A:$B,2,FALSE)</f>
        <v>01010237</v>
      </c>
      <c r="F3119" s="6" t="str">
        <f t="shared" si="108"/>
        <v>0101023706</v>
      </c>
    </row>
    <row r="3120" spans="1:6" x14ac:dyDescent="0.3">
      <c r="A3120" s="6" t="s">
        <v>879</v>
      </c>
      <c r="B3120">
        <v>1146434251</v>
      </c>
      <c r="C3120">
        <v>10</v>
      </c>
      <c r="D3120">
        <f>C3120</f>
        <v>10</v>
      </c>
      <c r="E3120" t="str">
        <f>VLOOKUP(B3120,'HOGARES-ENDLINE'!$A:$B,2,FALSE)</f>
        <v>01010237</v>
      </c>
      <c r="F3120" s="6" t="str">
        <f t="shared" si="108"/>
        <v>0101023710</v>
      </c>
    </row>
    <row r="3121" spans="1:6" x14ac:dyDescent="0.3">
      <c r="A3121" s="6" t="s">
        <v>887</v>
      </c>
      <c r="B3121">
        <v>1147950412</v>
      </c>
      <c r="C3121">
        <v>1</v>
      </c>
      <c r="D3121" t="str">
        <f t="shared" ref="D3121:D3124" si="110">_xlfn.CONCAT(0,C3121)</f>
        <v>01</v>
      </c>
      <c r="E3121" t="str">
        <f>VLOOKUP(B3121,'HOGARES-ENDLINE'!$A:$B,2,FALSE)</f>
        <v>01010238</v>
      </c>
      <c r="F3121" s="6" t="str">
        <f t="shared" si="108"/>
        <v>0101023801</v>
      </c>
    </row>
    <row r="3122" spans="1:6" x14ac:dyDescent="0.3">
      <c r="A3122" s="6" t="s">
        <v>889</v>
      </c>
      <c r="B3122">
        <v>1147957415</v>
      </c>
      <c r="C3122">
        <v>1</v>
      </c>
      <c r="D3122" t="str">
        <f t="shared" si="110"/>
        <v>01</v>
      </c>
      <c r="E3122" t="str">
        <f>VLOOKUP(B3122,'HOGARES-ENDLINE'!$A:$B,2,FALSE)</f>
        <v>01010239</v>
      </c>
      <c r="F3122" s="6" t="str">
        <f t="shared" si="108"/>
        <v>0101023901</v>
      </c>
    </row>
    <row r="3123" spans="1:6" x14ac:dyDescent="0.3">
      <c r="A3123" s="6" t="s">
        <v>888</v>
      </c>
      <c r="B3123">
        <v>1147957415</v>
      </c>
      <c r="C3123">
        <v>2</v>
      </c>
      <c r="D3123" t="str">
        <f t="shared" si="110"/>
        <v>02</v>
      </c>
      <c r="E3123" t="str">
        <f>VLOOKUP(B3123,'HOGARES-ENDLINE'!$A:$B,2,FALSE)</f>
        <v>01010239</v>
      </c>
      <c r="F3123" s="6" t="str">
        <f t="shared" si="108"/>
        <v>0101023902</v>
      </c>
    </row>
    <row r="3124" spans="1:6" x14ac:dyDescent="0.3">
      <c r="A3124" s="6" t="s">
        <v>5224</v>
      </c>
      <c r="B3124">
        <v>1149440235</v>
      </c>
      <c r="C3124">
        <v>9</v>
      </c>
      <c r="D3124" t="str">
        <f t="shared" si="110"/>
        <v>09</v>
      </c>
      <c r="E3124" t="str">
        <f>VLOOKUP(B3124,'HOGARES-ENDLINE'!$A:$B,2,FALSE)</f>
        <v>01030240</v>
      </c>
      <c r="F3124" s="6" t="str">
        <f t="shared" si="108"/>
        <v>0103024009</v>
      </c>
    </row>
    <row r="3125" spans="1:6" x14ac:dyDescent="0.3">
      <c r="A3125" s="6" t="s">
        <v>5225</v>
      </c>
      <c r="B3125">
        <v>1149440235</v>
      </c>
      <c r="C3125">
        <v>10</v>
      </c>
      <c r="D3125">
        <f>C3125</f>
        <v>10</v>
      </c>
      <c r="E3125" t="str">
        <f>VLOOKUP(B3125,'HOGARES-ENDLINE'!$A:$B,2,FALSE)</f>
        <v>01030240</v>
      </c>
      <c r="F3125" s="6" t="str">
        <f t="shared" si="108"/>
        <v>0103024010</v>
      </c>
    </row>
    <row r="3126" spans="1:6" x14ac:dyDescent="0.3">
      <c r="A3126" s="6" t="s">
        <v>5226</v>
      </c>
      <c r="B3126">
        <v>1149440235</v>
      </c>
      <c r="C3126">
        <v>8</v>
      </c>
      <c r="D3126" t="str">
        <f t="shared" ref="D3126:D3170" si="111">_xlfn.CONCAT(0,C3126)</f>
        <v>08</v>
      </c>
      <c r="E3126" t="str">
        <f>VLOOKUP(B3126,'HOGARES-ENDLINE'!$A:$B,2,FALSE)</f>
        <v>01030240</v>
      </c>
      <c r="F3126" s="6" t="str">
        <f t="shared" si="108"/>
        <v>0103024008</v>
      </c>
    </row>
    <row r="3127" spans="1:6" x14ac:dyDescent="0.3">
      <c r="A3127" s="6" t="s">
        <v>5227</v>
      </c>
      <c r="B3127">
        <v>1149440235</v>
      </c>
      <c r="C3127">
        <v>5</v>
      </c>
      <c r="D3127" t="str">
        <f t="shared" si="111"/>
        <v>05</v>
      </c>
      <c r="E3127" t="str">
        <f>VLOOKUP(B3127,'HOGARES-ENDLINE'!$A:$B,2,FALSE)</f>
        <v>01030240</v>
      </c>
      <c r="F3127" s="6" t="str">
        <f t="shared" si="108"/>
        <v>0103024005</v>
      </c>
    </row>
    <row r="3128" spans="1:6" x14ac:dyDescent="0.3">
      <c r="A3128" s="6" t="s">
        <v>5228</v>
      </c>
      <c r="B3128">
        <v>1149440235</v>
      </c>
      <c r="C3128">
        <v>6</v>
      </c>
      <c r="D3128" t="str">
        <f t="shared" si="111"/>
        <v>06</v>
      </c>
      <c r="E3128" t="str">
        <f>VLOOKUP(B3128,'HOGARES-ENDLINE'!$A:$B,2,FALSE)</f>
        <v>01030240</v>
      </c>
      <c r="F3128" s="6" t="str">
        <f t="shared" si="108"/>
        <v>0103024006</v>
      </c>
    </row>
    <row r="3129" spans="1:6" x14ac:dyDescent="0.3">
      <c r="A3129" s="6" t="s">
        <v>892</v>
      </c>
      <c r="B3129">
        <v>1149440235</v>
      </c>
      <c r="C3129">
        <v>1</v>
      </c>
      <c r="D3129" t="str">
        <f t="shared" si="111"/>
        <v>01</v>
      </c>
      <c r="E3129" t="str">
        <f>VLOOKUP(B3129,'HOGARES-ENDLINE'!$A:$B,2,FALSE)</f>
        <v>01030240</v>
      </c>
      <c r="F3129" s="6" t="str">
        <f t="shared" si="108"/>
        <v>0103024001</v>
      </c>
    </row>
    <row r="3130" spans="1:6" x14ac:dyDescent="0.3">
      <c r="A3130" s="6" t="s">
        <v>890</v>
      </c>
      <c r="B3130">
        <v>1149440235</v>
      </c>
      <c r="C3130">
        <v>3</v>
      </c>
      <c r="D3130" t="str">
        <f t="shared" si="111"/>
        <v>03</v>
      </c>
      <c r="E3130" t="str">
        <f>VLOOKUP(B3130,'HOGARES-ENDLINE'!$A:$B,2,FALSE)</f>
        <v>01030240</v>
      </c>
      <c r="F3130" s="6" t="str">
        <f t="shared" si="108"/>
        <v>0103024003</v>
      </c>
    </row>
    <row r="3131" spans="1:6" x14ac:dyDescent="0.3">
      <c r="A3131" s="6" t="s">
        <v>5229</v>
      </c>
      <c r="B3131">
        <v>1149440235</v>
      </c>
      <c r="C3131">
        <v>7</v>
      </c>
      <c r="D3131" t="str">
        <f t="shared" si="111"/>
        <v>07</v>
      </c>
      <c r="E3131" t="str">
        <f>VLOOKUP(B3131,'HOGARES-ENDLINE'!$A:$B,2,FALSE)</f>
        <v>01030240</v>
      </c>
      <c r="F3131" s="6" t="str">
        <f t="shared" si="108"/>
        <v>0103024007</v>
      </c>
    </row>
    <row r="3132" spans="1:6" x14ac:dyDescent="0.3">
      <c r="A3132" s="6" t="s">
        <v>5230</v>
      </c>
      <c r="B3132">
        <v>1149440235</v>
      </c>
      <c r="C3132">
        <v>4</v>
      </c>
      <c r="D3132" t="str">
        <f t="shared" si="111"/>
        <v>04</v>
      </c>
      <c r="E3132" t="str">
        <f>VLOOKUP(B3132,'HOGARES-ENDLINE'!$A:$B,2,FALSE)</f>
        <v>01030240</v>
      </c>
      <c r="F3132" s="6" t="str">
        <f t="shared" si="108"/>
        <v>0103024004</v>
      </c>
    </row>
    <row r="3133" spans="1:6" x14ac:dyDescent="0.3">
      <c r="A3133" s="6" t="s">
        <v>891</v>
      </c>
      <c r="B3133">
        <v>1149440235</v>
      </c>
      <c r="C3133">
        <v>2</v>
      </c>
      <c r="D3133" t="str">
        <f t="shared" si="111"/>
        <v>02</v>
      </c>
      <c r="E3133" t="str">
        <f>VLOOKUP(B3133,'HOGARES-ENDLINE'!$A:$B,2,FALSE)</f>
        <v>01030240</v>
      </c>
      <c r="F3133" s="6" t="str">
        <f t="shared" si="108"/>
        <v>0103024002</v>
      </c>
    </row>
    <row r="3134" spans="1:6" x14ac:dyDescent="0.3">
      <c r="A3134" s="6" t="s">
        <v>896</v>
      </c>
      <c r="B3134">
        <v>1152204057</v>
      </c>
      <c r="C3134">
        <v>5</v>
      </c>
      <c r="D3134" t="str">
        <f t="shared" si="111"/>
        <v>05</v>
      </c>
      <c r="E3134" t="str">
        <f>VLOOKUP(B3134,'HOGARES-ENDLINE'!$A:$B,2,FALSE)</f>
        <v>01010241</v>
      </c>
      <c r="F3134" s="6" t="str">
        <f t="shared" si="108"/>
        <v>0101024105</v>
      </c>
    </row>
    <row r="3135" spans="1:6" x14ac:dyDescent="0.3">
      <c r="A3135" s="6" t="s">
        <v>893</v>
      </c>
      <c r="B3135">
        <v>1152204057</v>
      </c>
      <c r="C3135">
        <v>2</v>
      </c>
      <c r="D3135" t="str">
        <f t="shared" si="111"/>
        <v>02</v>
      </c>
      <c r="E3135" t="str">
        <f>VLOOKUP(B3135,'HOGARES-ENDLINE'!$A:$B,2,FALSE)</f>
        <v>01010241</v>
      </c>
      <c r="F3135" s="6" t="str">
        <f t="shared" si="108"/>
        <v>0101024102</v>
      </c>
    </row>
    <row r="3136" spans="1:6" x14ac:dyDescent="0.3">
      <c r="A3136" s="6" t="s">
        <v>894</v>
      </c>
      <c r="B3136">
        <v>1152204057</v>
      </c>
      <c r="C3136">
        <v>1</v>
      </c>
      <c r="D3136" t="str">
        <f t="shared" si="111"/>
        <v>01</v>
      </c>
      <c r="E3136" t="str">
        <f>VLOOKUP(B3136,'HOGARES-ENDLINE'!$A:$B,2,FALSE)</f>
        <v>01010241</v>
      </c>
      <c r="F3136" s="6" t="str">
        <f t="shared" si="108"/>
        <v>0101024101</v>
      </c>
    </row>
    <row r="3137" spans="1:6" x14ac:dyDescent="0.3">
      <c r="A3137" s="6" t="s">
        <v>895</v>
      </c>
      <c r="B3137">
        <v>1152204057</v>
      </c>
      <c r="C3137">
        <v>3</v>
      </c>
      <c r="D3137" t="str">
        <f t="shared" si="111"/>
        <v>03</v>
      </c>
      <c r="E3137" t="str">
        <f>VLOOKUP(B3137,'HOGARES-ENDLINE'!$A:$B,2,FALSE)</f>
        <v>01010241</v>
      </c>
      <c r="F3137" s="6" t="str">
        <f t="shared" si="108"/>
        <v>0101024103</v>
      </c>
    </row>
    <row r="3138" spans="1:6" x14ac:dyDescent="0.3">
      <c r="A3138" s="6" t="s">
        <v>897</v>
      </c>
      <c r="B3138">
        <v>1152204057</v>
      </c>
      <c r="C3138">
        <v>4</v>
      </c>
      <c r="D3138" t="str">
        <f t="shared" si="111"/>
        <v>04</v>
      </c>
      <c r="E3138" t="str">
        <f>VLOOKUP(B3138,'HOGARES-ENDLINE'!$A:$B,2,FALSE)</f>
        <v>01010241</v>
      </c>
      <c r="F3138" s="6" t="str">
        <f t="shared" si="108"/>
        <v>0101024104</v>
      </c>
    </row>
    <row r="3139" spans="1:6" x14ac:dyDescent="0.3">
      <c r="A3139" s="6" t="s">
        <v>900</v>
      </c>
      <c r="B3139">
        <v>1152449711</v>
      </c>
      <c r="C3139">
        <v>1</v>
      </c>
      <c r="D3139" t="str">
        <f t="shared" si="111"/>
        <v>01</v>
      </c>
      <c r="E3139" t="str">
        <f>VLOOKUP(B3139,'HOGARES-ENDLINE'!$A:$B,2,FALSE)</f>
        <v>00010242</v>
      </c>
      <c r="F3139" s="6" t="str">
        <f t="shared" ref="F3139:F3170" si="112">_xlfn.CONCAT(E3139,D3139)</f>
        <v>0001024201</v>
      </c>
    </row>
    <row r="3140" spans="1:6" x14ac:dyDescent="0.3">
      <c r="A3140" s="6" t="s">
        <v>898</v>
      </c>
      <c r="B3140">
        <v>1152449711</v>
      </c>
      <c r="C3140">
        <v>2</v>
      </c>
      <c r="D3140" t="str">
        <f t="shared" si="111"/>
        <v>02</v>
      </c>
      <c r="E3140" t="str">
        <f>VLOOKUP(B3140,'HOGARES-ENDLINE'!$A:$B,2,FALSE)</f>
        <v>00010242</v>
      </c>
      <c r="F3140" s="6" t="str">
        <f t="shared" si="112"/>
        <v>0001024202</v>
      </c>
    </row>
    <row r="3141" spans="1:6" x14ac:dyDescent="0.3">
      <c r="A3141" s="6" t="s">
        <v>899</v>
      </c>
      <c r="B3141">
        <v>1152449711</v>
      </c>
      <c r="C3141">
        <v>3</v>
      </c>
      <c r="D3141" t="str">
        <f t="shared" si="111"/>
        <v>03</v>
      </c>
      <c r="E3141" t="str">
        <f>VLOOKUP(B3141,'HOGARES-ENDLINE'!$A:$B,2,FALSE)</f>
        <v>00010242</v>
      </c>
      <c r="F3141" s="6" t="str">
        <f t="shared" si="112"/>
        <v>0001024203</v>
      </c>
    </row>
    <row r="3142" spans="1:6" x14ac:dyDescent="0.3">
      <c r="A3142" s="6" t="s">
        <v>902</v>
      </c>
      <c r="B3142">
        <v>1152716412</v>
      </c>
      <c r="C3142">
        <v>1</v>
      </c>
      <c r="D3142" t="str">
        <f t="shared" si="111"/>
        <v>01</v>
      </c>
      <c r="E3142" t="str">
        <f>VLOOKUP(B3142,'HOGARES-ENDLINE'!$A:$B,2,FALSE)</f>
        <v>00010243</v>
      </c>
      <c r="F3142" s="6" t="str">
        <f t="shared" si="112"/>
        <v>0001024301</v>
      </c>
    </row>
    <row r="3143" spans="1:6" x14ac:dyDescent="0.3">
      <c r="A3143" s="6" t="s">
        <v>901</v>
      </c>
      <c r="B3143">
        <v>1152716412</v>
      </c>
      <c r="C3143">
        <v>5</v>
      </c>
      <c r="D3143" t="str">
        <f t="shared" si="111"/>
        <v>05</v>
      </c>
      <c r="E3143" t="str">
        <f>VLOOKUP(B3143,'HOGARES-ENDLINE'!$A:$B,2,FALSE)</f>
        <v>00010243</v>
      </c>
      <c r="F3143" s="6" t="str">
        <f t="shared" si="112"/>
        <v>0001024305</v>
      </c>
    </row>
    <row r="3144" spans="1:6" x14ac:dyDescent="0.3">
      <c r="A3144" s="6" t="s">
        <v>904</v>
      </c>
      <c r="B3144">
        <v>1152716412</v>
      </c>
      <c r="C3144">
        <v>2</v>
      </c>
      <c r="D3144" t="str">
        <f t="shared" si="111"/>
        <v>02</v>
      </c>
      <c r="E3144" t="str">
        <f>VLOOKUP(B3144,'HOGARES-ENDLINE'!$A:$B,2,FALSE)</f>
        <v>00010243</v>
      </c>
      <c r="F3144" s="6" t="str">
        <f t="shared" si="112"/>
        <v>0001024302</v>
      </c>
    </row>
    <row r="3145" spans="1:6" x14ac:dyDescent="0.3">
      <c r="A3145" s="6" t="s">
        <v>905</v>
      </c>
      <c r="B3145">
        <v>1152716412</v>
      </c>
      <c r="C3145">
        <v>3</v>
      </c>
      <c r="D3145" t="str">
        <f t="shared" si="111"/>
        <v>03</v>
      </c>
      <c r="E3145" t="str">
        <f>VLOOKUP(B3145,'HOGARES-ENDLINE'!$A:$B,2,FALSE)</f>
        <v>00010243</v>
      </c>
      <c r="F3145" s="6" t="str">
        <f t="shared" si="112"/>
        <v>0001024303</v>
      </c>
    </row>
    <row r="3146" spans="1:6" x14ac:dyDescent="0.3">
      <c r="A3146" s="6" t="s">
        <v>5231</v>
      </c>
      <c r="B3146">
        <v>1192898936</v>
      </c>
      <c r="C3146">
        <v>3</v>
      </c>
      <c r="D3146" t="str">
        <f t="shared" si="111"/>
        <v>03</v>
      </c>
      <c r="E3146" t="str">
        <f>VLOOKUP(B3146,'HOGARES-ENDLINE'!$A:$B,2,FALSE)</f>
        <v>01010244</v>
      </c>
      <c r="F3146" s="6" t="str">
        <f t="shared" si="112"/>
        <v>0101024403</v>
      </c>
    </row>
    <row r="3147" spans="1:6" x14ac:dyDescent="0.3">
      <c r="A3147" s="6" t="s">
        <v>906</v>
      </c>
      <c r="B3147">
        <v>1192898936</v>
      </c>
      <c r="C3147">
        <v>1</v>
      </c>
      <c r="D3147" t="str">
        <f t="shared" si="111"/>
        <v>01</v>
      </c>
      <c r="E3147" t="str">
        <f>VLOOKUP(B3147,'HOGARES-ENDLINE'!$A:$B,2,FALSE)</f>
        <v>01010244</v>
      </c>
      <c r="F3147" s="6" t="str">
        <f t="shared" si="112"/>
        <v>0101024401</v>
      </c>
    </row>
    <row r="3148" spans="1:6" x14ac:dyDescent="0.3">
      <c r="A3148" s="6" t="s">
        <v>907</v>
      </c>
      <c r="B3148">
        <v>1192898936</v>
      </c>
      <c r="C3148">
        <v>2</v>
      </c>
      <c r="D3148" t="str">
        <f t="shared" si="111"/>
        <v>02</v>
      </c>
      <c r="E3148" t="str">
        <f>VLOOKUP(B3148,'HOGARES-ENDLINE'!$A:$B,2,FALSE)</f>
        <v>01010244</v>
      </c>
      <c r="F3148" s="6" t="str">
        <f t="shared" si="112"/>
        <v>0101024402</v>
      </c>
    </row>
    <row r="3149" spans="1:6" x14ac:dyDescent="0.3">
      <c r="A3149" s="6" t="s">
        <v>910</v>
      </c>
      <c r="B3149">
        <v>1193298386</v>
      </c>
      <c r="C3149">
        <v>3</v>
      </c>
      <c r="D3149" t="str">
        <f t="shared" si="111"/>
        <v>03</v>
      </c>
      <c r="E3149" t="str">
        <f>VLOOKUP(B3149,'HOGARES-ENDLINE'!$A:$B,2,FALSE)</f>
        <v>00010245</v>
      </c>
      <c r="F3149" s="6" t="str">
        <f t="shared" si="112"/>
        <v>0001024503</v>
      </c>
    </row>
    <row r="3150" spans="1:6" x14ac:dyDescent="0.3">
      <c r="A3150" s="6" t="s">
        <v>909</v>
      </c>
      <c r="B3150">
        <v>1193298386</v>
      </c>
      <c r="C3150">
        <v>1</v>
      </c>
      <c r="D3150" t="str">
        <f t="shared" si="111"/>
        <v>01</v>
      </c>
      <c r="E3150" t="str">
        <f>VLOOKUP(B3150,'HOGARES-ENDLINE'!$A:$B,2,FALSE)</f>
        <v>00010245</v>
      </c>
      <c r="F3150" s="6" t="str">
        <f t="shared" si="112"/>
        <v>0001024501</v>
      </c>
    </row>
    <row r="3151" spans="1:6" x14ac:dyDescent="0.3">
      <c r="A3151" s="6" t="s">
        <v>908</v>
      </c>
      <c r="B3151">
        <v>1193298386</v>
      </c>
      <c r="C3151">
        <v>2</v>
      </c>
      <c r="D3151" t="str">
        <f t="shared" si="111"/>
        <v>02</v>
      </c>
      <c r="E3151" t="str">
        <f>VLOOKUP(B3151,'HOGARES-ENDLINE'!$A:$B,2,FALSE)</f>
        <v>00010245</v>
      </c>
      <c r="F3151" s="6" t="str">
        <f t="shared" si="112"/>
        <v>0001024502</v>
      </c>
    </row>
    <row r="3152" spans="1:6" x14ac:dyDescent="0.3">
      <c r="A3152" s="6" t="s">
        <v>918</v>
      </c>
      <c r="B3152">
        <v>1193327320</v>
      </c>
      <c r="C3152">
        <v>8</v>
      </c>
      <c r="D3152" t="str">
        <f t="shared" si="111"/>
        <v>08</v>
      </c>
      <c r="E3152" t="str">
        <f>VLOOKUP(B3152,'HOGARES-ENDLINE'!$A:$B,2,FALSE)</f>
        <v>01030246</v>
      </c>
      <c r="F3152" s="6" t="str">
        <f t="shared" si="112"/>
        <v>0103024608</v>
      </c>
    </row>
    <row r="3153" spans="1:6" x14ac:dyDescent="0.3">
      <c r="A3153" s="6" t="s">
        <v>913</v>
      </c>
      <c r="B3153">
        <v>1193327320</v>
      </c>
      <c r="C3153">
        <v>7</v>
      </c>
      <c r="D3153" t="str">
        <f t="shared" si="111"/>
        <v>07</v>
      </c>
      <c r="E3153" t="str">
        <f>VLOOKUP(B3153,'HOGARES-ENDLINE'!$A:$B,2,FALSE)</f>
        <v>01030246</v>
      </c>
      <c r="F3153" s="6" t="str">
        <f t="shared" si="112"/>
        <v>0103024607</v>
      </c>
    </row>
    <row r="3154" spans="1:6" x14ac:dyDescent="0.3">
      <c r="A3154" s="6" t="s">
        <v>911</v>
      </c>
      <c r="B3154">
        <v>1193327320</v>
      </c>
      <c r="C3154">
        <v>6</v>
      </c>
      <c r="D3154" t="str">
        <f t="shared" si="111"/>
        <v>06</v>
      </c>
      <c r="E3154" t="str">
        <f>VLOOKUP(B3154,'HOGARES-ENDLINE'!$A:$B,2,FALSE)</f>
        <v>01030246</v>
      </c>
      <c r="F3154" s="6" t="str">
        <f t="shared" si="112"/>
        <v>0103024606</v>
      </c>
    </row>
    <row r="3155" spans="1:6" x14ac:dyDescent="0.3">
      <c r="A3155" s="6" t="s">
        <v>917</v>
      </c>
      <c r="B3155">
        <v>1193327320</v>
      </c>
      <c r="C3155">
        <v>1</v>
      </c>
      <c r="D3155" t="str">
        <f t="shared" si="111"/>
        <v>01</v>
      </c>
      <c r="E3155" t="str">
        <f>VLOOKUP(B3155,'HOGARES-ENDLINE'!$A:$B,2,FALSE)</f>
        <v>01030246</v>
      </c>
      <c r="F3155" s="6" t="str">
        <f t="shared" si="112"/>
        <v>0103024601</v>
      </c>
    </row>
    <row r="3156" spans="1:6" x14ac:dyDescent="0.3">
      <c r="A3156" s="6" t="s">
        <v>912</v>
      </c>
      <c r="B3156">
        <v>1193327320</v>
      </c>
      <c r="C3156">
        <v>3</v>
      </c>
      <c r="D3156" t="str">
        <f t="shared" si="111"/>
        <v>03</v>
      </c>
      <c r="E3156" t="str">
        <f>VLOOKUP(B3156,'HOGARES-ENDLINE'!$A:$B,2,FALSE)</f>
        <v>01030246</v>
      </c>
      <c r="F3156" s="6" t="str">
        <f t="shared" si="112"/>
        <v>0103024603</v>
      </c>
    </row>
    <row r="3157" spans="1:6" x14ac:dyDescent="0.3">
      <c r="A3157" s="6" t="s">
        <v>914</v>
      </c>
      <c r="B3157">
        <v>1193327320</v>
      </c>
      <c r="C3157">
        <v>4</v>
      </c>
      <c r="D3157" t="str">
        <f t="shared" si="111"/>
        <v>04</v>
      </c>
      <c r="E3157" t="str">
        <f>VLOOKUP(B3157,'HOGARES-ENDLINE'!$A:$B,2,FALSE)</f>
        <v>01030246</v>
      </c>
      <c r="F3157" s="6" t="str">
        <f t="shared" si="112"/>
        <v>0103024604</v>
      </c>
    </row>
    <row r="3158" spans="1:6" x14ac:dyDescent="0.3">
      <c r="A3158" s="6" t="s">
        <v>915</v>
      </c>
      <c r="B3158">
        <v>1193327320</v>
      </c>
      <c r="C3158">
        <v>5</v>
      </c>
      <c r="D3158" t="str">
        <f t="shared" si="111"/>
        <v>05</v>
      </c>
      <c r="E3158" t="str">
        <f>VLOOKUP(B3158,'HOGARES-ENDLINE'!$A:$B,2,FALSE)</f>
        <v>01030246</v>
      </c>
      <c r="F3158" s="6" t="str">
        <f t="shared" si="112"/>
        <v>0103024605</v>
      </c>
    </row>
    <row r="3159" spans="1:6" x14ac:dyDescent="0.3">
      <c r="A3159" s="6" t="s">
        <v>5232</v>
      </c>
      <c r="B3159">
        <v>1193327320</v>
      </c>
      <c r="C3159">
        <v>9</v>
      </c>
      <c r="D3159" t="str">
        <f t="shared" si="111"/>
        <v>09</v>
      </c>
      <c r="E3159" t="str">
        <f>VLOOKUP(B3159,'HOGARES-ENDLINE'!$A:$B,2,FALSE)</f>
        <v>01030246</v>
      </c>
      <c r="F3159" s="6" t="str">
        <f t="shared" si="112"/>
        <v>0103024609</v>
      </c>
    </row>
    <row r="3160" spans="1:6" x14ac:dyDescent="0.3">
      <c r="A3160" s="6" t="s">
        <v>916</v>
      </c>
      <c r="B3160">
        <v>1193327320</v>
      </c>
      <c r="C3160">
        <v>2</v>
      </c>
      <c r="D3160" t="str">
        <f t="shared" si="111"/>
        <v>02</v>
      </c>
      <c r="E3160" t="str">
        <f>VLOOKUP(B3160,'HOGARES-ENDLINE'!$A:$B,2,FALSE)</f>
        <v>01030246</v>
      </c>
      <c r="F3160" s="6" t="str">
        <f t="shared" si="112"/>
        <v>0103024602</v>
      </c>
    </row>
    <row r="3161" spans="1:6" x14ac:dyDescent="0.3">
      <c r="A3161" s="6" t="s">
        <v>922</v>
      </c>
      <c r="B3161">
        <v>1193371842</v>
      </c>
      <c r="C3161">
        <v>1</v>
      </c>
      <c r="D3161" t="str">
        <f t="shared" si="111"/>
        <v>01</v>
      </c>
      <c r="E3161" t="str">
        <f>VLOOKUP(B3161,'HOGARES-ENDLINE'!$A:$B,2,FALSE)</f>
        <v>01030247</v>
      </c>
      <c r="F3161" s="6" t="str">
        <f t="shared" si="112"/>
        <v>0103024701</v>
      </c>
    </row>
    <row r="3162" spans="1:6" x14ac:dyDescent="0.3">
      <c r="A3162" s="6" t="s">
        <v>925</v>
      </c>
      <c r="B3162">
        <v>1193456461</v>
      </c>
      <c r="C3162">
        <v>4</v>
      </c>
      <c r="D3162" t="str">
        <f t="shared" si="111"/>
        <v>04</v>
      </c>
      <c r="E3162" t="str">
        <f>VLOOKUP(B3162,'HOGARES-ENDLINE'!$A:$B,2,FALSE)</f>
        <v>00030248</v>
      </c>
      <c r="F3162" s="6" t="str">
        <f t="shared" si="112"/>
        <v>0003024804</v>
      </c>
    </row>
    <row r="3163" spans="1:6" x14ac:dyDescent="0.3">
      <c r="A3163" s="6" t="s">
        <v>927</v>
      </c>
      <c r="B3163">
        <v>1193456461</v>
      </c>
      <c r="C3163">
        <v>3</v>
      </c>
      <c r="D3163" t="str">
        <f t="shared" si="111"/>
        <v>03</v>
      </c>
      <c r="E3163" t="str">
        <f>VLOOKUP(B3163,'HOGARES-ENDLINE'!$A:$B,2,FALSE)</f>
        <v>00030248</v>
      </c>
      <c r="F3163" s="6" t="str">
        <f t="shared" si="112"/>
        <v>0003024803</v>
      </c>
    </row>
    <row r="3164" spans="1:6" x14ac:dyDescent="0.3">
      <c r="A3164" s="6" t="s">
        <v>924</v>
      </c>
      <c r="B3164">
        <v>1193456461</v>
      </c>
      <c r="C3164">
        <v>5</v>
      </c>
      <c r="D3164" t="str">
        <f t="shared" si="111"/>
        <v>05</v>
      </c>
      <c r="E3164" t="str">
        <f>VLOOKUP(B3164,'HOGARES-ENDLINE'!$A:$B,2,FALSE)</f>
        <v>00030248</v>
      </c>
      <c r="F3164" s="6" t="str">
        <f t="shared" si="112"/>
        <v>0003024805</v>
      </c>
    </row>
    <row r="3165" spans="1:6" x14ac:dyDescent="0.3">
      <c r="A3165" s="6" t="s">
        <v>923</v>
      </c>
      <c r="B3165">
        <v>1193456461</v>
      </c>
      <c r="C3165">
        <v>1</v>
      </c>
      <c r="D3165" t="str">
        <f t="shared" si="111"/>
        <v>01</v>
      </c>
      <c r="E3165" t="str">
        <f>VLOOKUP(B3165,'HOGARES-ENDLINE'!$A:$B,2,FALSE)</f>
        <v>00030248</v>
      </c>
      <c r="F3165" s="6" t="str">
        <f t="shared" si="112"/>
        <v>0003024801</v>
      </c>
    </row>
    <row r="3166" spans="1:6" x14ac:dyDescent="0.3">
      <c r="A3166" s="6" t="s">
        <v>926</v>
      </c>
      <c r="B3166">
        <v>1193456461</v>
      </c>
      <c r="C3166">
        <v>2</v>
      </c>
      <c r="D3166" t="str">
        <f t="shared" si="111"/>
        <v>02</v>
      </c>
      <c r="E3166" t="str">
        <f>VLOOKUP(B3166,'HOGARES-ENDLINE'!$A:$B,2,FALSE)</f>
        <v>00030248</v>
      </c>
      <c r="F3166" s="6" t="str">
        <f t="shared" si="112"/>
        <v>0003024802</v>
      </c>
    </row>
    <row r="3167" spans="1:6" x14ac:dyDescent="0.3">
      <c r="A3167" s="6" t="s">
        <v>928</v>
      </c>
      <c r="B3167">
        <v>1193555442</v>
      </c>
      <c r="C3167">
        <v>1</v>
      </c>
      <c r="D3167" t="str">
        <f t="shared" si="111"/>
        <v>01</v>
      </c>
      <c r="E3167" t="str">
        <f>VLOOKUP(B3167,'HOGARES-ENDLINE'!$A:$B,2,FALSE)</f>
        <v>00020249</v>
      </c>
      <c r="F3167" s="6" t="str">
        <f t="shared" si="112"/>
        <v>0002024901</v>
      </c>
    </row>
    <row r="3168" spans="1:6" x14ac:dyDescent="0.3">
      <c r="A3168" s="6" t="s">
        <v>929</v>
      </c>
      <c r="B3168">
        <v>1193555442</v>
      </c>
      <c r="C3168">
        <v>2</v>
      </c>
      <c r="D3168" t="str">
        <f t="shared" si="111"/>
        <v>02</v>
      </c>
      <c r="E3168" t="str">
        <f>VLOOKUP(B3168,'HOGARES-ENDLINE'!$A:$B,2,FALSE)</f>
        <v>00020249</v>
      </c>
      <c r="F3168" s="6" t="str">
        <f t="shared" si="112"/>
        <v>0002024902</v>
      </c>
    </row>
    <row r="3169" spans="1:6" x14ac:dyDescent="0.3">
      <c r="A3169" s="6" t="s">
        <v>940</v>
      </c>
      <c r="B3169">
        <v>1214737888</v>
      </c>
      <c r="C3169">
        <v>1</v>
      </c>
      <c r="D3169" t="str">
        <f t="shared" si="111"/>
        <v>01</v>
      </c>
      <c r="E3169" t="str">
        <f>VLOOKUP(B3169,'HOGARES-ENDLINE'!$A:$B,2,FALSE)</f>
        <v>00010251</v>
      </c>
      <c r="F3169" s="6" t="str">
        <f t="shared" si="112"/>
        <v>0001025101</v>
      </c>
    </row>
    <row r="3170" spans="1:6" x14ac:dyDescent="0.3">
      <c r="A3170" s="6" t="s">
        <v>939</v>
      </c>
      <c r="B3170">
        <v>1214737888</v>
      </c>
      <c r="C3170">
        <v>2</v>
      </c>
      <c r="D3170" t="str">
        <f t="shared" si="111"/>
        <v>02</v>
      </c>
      <c r="E3170" t="str">
        <f>VLOOKUP(B3170,'HOGARES-ENDLINE'!$A:$B,2,FALSE)</f>
        <v>00010251</v>
      </c>
      <c r="F3170" s="6" t="str">
        <f t="shared" si="112"/>
        <v>0001025102</v>
      </c>
    </row>
  </sheetData>
  <autoFilter ref="A1:F3945" xr:uid="{71728B5D-1132-4095-BF03-36FA693F40F6}"/>
  <conditionalFormatting sqref="A1:F1">
    <cfRule type="containsText" dxfId="1" priority="3" operator="containsText" text="SOSPECHOSO">
      <formula>NOT(ISERROR(SEARCH("SOSPECHOSO",A1)))</formula>
    </cfRule>
    <cfRule type="containsText" dxfId="0" priority="4" operator="containsText" text="CORRECTO">
      <formula>NOT(ISERROR(SEARCH("CORRECTO",A1)))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ESTRUCTURA</vt:lpstr>
      <vt:lpstr>HOGARES-BASELINE</vt:lpstr>
      <vt:lpstr>INDIVIDUOS-BASELINE</vt:lpstr>
      <vt:lpstr>HOGARES-ENDLINE</vt:lpstr>
      <vt:lpstr>INDIVIDUOS-ENDLINE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Mejia Tejada</dc:creator>
  <cp:lastModifiedBy>Daniela Mejia Tejada</cp:lastModifiedBy>
  <dcterms:created xsi:type="dcterms:W3CDTF">2024-10-24T19:18:29Z</dcterms:created>
  <dcterms:modified xsi:type="dcterms:W3CDTF">2024-10-24T20:38:58Z</dcterms:modified>
</cp:coreProperties>
</file>