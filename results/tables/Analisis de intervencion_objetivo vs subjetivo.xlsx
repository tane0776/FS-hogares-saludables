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ig\OneDrive\Documentos\hogares-saludables\results\tables\"/>
    </mc:Choice>
  </mc:AlternateContent>
  <xr:revisionPtr revIDLastSave="0" documentId="13_ncr:1_{82A347EB-2373-4CFC-AB18-A1DEA66308F6}" xr6:coauthVersionLast="47" xr6:coauthVersionMax="47" xr10:uidLastSave="{00000000-0000-0000-0000-000000000000}"/>
  <bookViews>
    <workbookView xWindow="-110" yWindow="-110" windowWidth="19420" windowHeight="10300" xr2:uid="{7177D91C-0A5E-4896-9BC4-D63FF8C78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" i="1" l="1"/>
  <c r="G57" i="1"/>
  <c r="C57" i="1"/>
  <c r="K37" i="1"/>
  <c r="G37" i="1"/>
  <c r="C37" i="1"/>
  <c r="K17" i="1"/>
  <c r="G17" i="1"/>
  <c r="J57" i="1"/>
  <c r="F57" i="1"/>
  <c r="G56" i="1" s="1"/>
  <c r="B57" i="1"/>
  <c r="K55" i="1" s="1"/>
  <c r="J37" i="1"/>
  <c r="F37" i="1"/>
  <c r="G36" i="1" s="1"/>
  <c r="B37" i="1"/>
  <c r="J17" i="1"/>
  <c r="F17" i="1"/>
  <c r="G16" i="1" s="1"/>
  <c r="B17" i="1"/>
  <c r="C16" i="1" s="1"/>
  <c r="G55" i="1" l="1"/>
  <c r="G35" i="1"/>
  <c r="G15" i="1"/>
  <c r="K15" i="1"/>
  <c r="K16" i="1"/>
  <c r="K56" i="1"/>
  <c r="K36" i="1"/>
  <c r="C35" i="1"/>
  <c r="K35" i="1"/>
  <c r="C36" i="1"/>
  <c r="C55" i="1"/>
  <c r="C56" i="1"/>
  <c r="C15" i="1"/>
  <c r="C17" i="1" s="1"/>
</calcChain>
</file>

<file path=xl/sharedStrings.xml><?xml version="1.0" encoding="utf-8"?>
<sst xmlns="http://schemas.openxmlformats.org/spreadsheetml/2006/main" count="177" uniqueCount="34">
  <si>
    <t>Intervencion - Objetivo vs Subjetivo</t>
  </si>
  <si>
    <t>Pisos</t>
  </si>
  <si>
    <t>1-1 o 0-0</t>
  </si>
  <si>
    <t># de hogares</t>
  </si>
  <si>
    <t>Coincidencia</t>
  </si>
  <si>
    <t>Objetiva</t>
  </si>
  <si>
    <t>Intervencion de Argos</t>
  </si>
  <si>
    <t>Subjetiva</t>
  </si>
  <si>
    <t>Respuesta de la encuesta</t>
  </si>
  <si>
    <t>Subjetiva:</t>
  </si>
  <si>
    <t>Objetiva:</t>
  </si>
  <si>
    <t>1-0 o 0-1</t>
  </si>
  <si>
    <t>Tabla cruzada</t>
  </si>
  <si>
    <t xml:space="preserve">Metricas </t>
  </si>
  <si>
    <t>Sensibilidad</t>
  </si>
  <si>
    <t>Especificidad</t>
  </si>
  <si>
    <t>Precision</t>
  </si>
  <si>
    <t>Exactitud</t>
  </si>
  <si>
    <t>%</t>
  </si>
  <si>
    <t>Baños</t>
  </si>
  <si>
    <t>Cocina</t>
  </si>
  <si>
    <t>Datos de tratamiento y control</t>
  </si>
  <si>
    <t>Datos de solo tratamiento</t>
  </si>
  <si>
    <t>Datos de solo control</t>
  </si>
  <si>
    <t>Metricas (%)</t>
  </si>
  <si>
    <t>Hay 38 hogares que reportan que no tienen baño en la vivienda, de esos 23 son tratamientos y 15 son controles</t>
  </si>
  <si>
    <t>Categoria</t>
  </si>
  <si>
    <t>Categoría</t>
  </si>
  <si>
    <t># de intervenciones</t>
  </si>
  <si>
    <t>Intervención en baño</t>
  </si>
  <si>
    <t>Intervención en piso</t>
  </si>
  <si>
    <t>Sí</t>
  </si>
  <si>
    <t>No</t>
  </si>
  <si>
    <t>Intervención en cocina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</si>
</sst>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4" borderId="0" xfId="0" applyFont="1" applyFill="1"/>
    <xf numFmtId="0" fontId="2" fillId="4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3DB2-B7DB-4AEB-8A84-A9DBCA49C8CC}">
  <dimension ref="A1:S64"/>
  <sheetViews>
    <sheetView showGridLines="0" tabSelected="1" zoomScale="70" zoomScaleNormal="70" workbookViewId="0">
      <selection activeCell="K57" sqref="K57"/>
    </sheetView>
  </sheetViews>
  <sheetFormatPr baseColWidth="10" defaultRowHeight="15.5" x14ac:dyDescent="0.35"/>
  <cols>
    <col min="1" max="1" width="15" style="1" customWidth="1"/>
    <col min="2" max="2" width="11.6328125" style="1" customWidth="1"/>
    <col min="3" max="3" width="10.90625" style="1"/>
    <col min="4" max="4" width="4" style="1" customWidth="1"/>
    <col min="5" max="5" width="15.7265625" style="1" customWidth="1"/>
    <col min="6" max="7" width="10.90625" style="1"/>
    <col min="8" max="8" width="3.54296875" style="1" customWidth="1"/>
    <col min="9" max="9" width="14.54296875" style="1" customWidth="1"/>
    <col min="10" max="11" width="10.90625" style="1"/>
    <col min="12" max="12" width="5.81640625" style="1" customWidth="1"/>
    <col min="13" max="16384" width="10.90625" style="1"/>
  </cols>
  <sheetData>
    <row r="1" spans="1:19" x14ac:dyDescent="0.35">
      <c r="A1" s="12" t="s">
        <v>0</v>
      </c>
      <c r="B1" s="12"/>
      <c r="C1" s="12"/>
      <c r="D1" s="12"/>
    </row>
    <row r="2" spans="1:19" x14ac:dyDescent="0.35">
      <c r="A2" s="7" t="s">
        <v>10</v>
      </c>
      <c r="B2" s="1" t="s">
        <v>6</v>
      </c>
      <c r="E2" s="14" t="s">
        <v>25</v>
      </c>
      <c r="F2" s="14"/>
      <c r="G2" s="14"/>
      <c r="H2" s="14"/>
      <c r="I2" s="14"/>
    </row>
    <row r="3" spans="1:19" x14ac:dyDescent="0.35">
      <c r="A3" s="6" t="s">
        <v>9</v>
      </c>
      <c r="B3" s="1" t="s">
        <v>8</v>
      </c>
      <c r="E3" s="14"/>
      <c r="F3" s="14"/>
      <c r="G3" s="14"/>
      <c r="H3" s="14"/>
      <c r="I3" s="14"/>
    </row>
    <row r="5" spans="1:19" s="9" customFormat="1" x14ac:dyDescent="0.35">
      <c r="A5" s="10" t="s">
        <v>21</v>
      </c>
      <c r="B5" s="10"/>
      <c r="C5" s="10"/>
    </row>
    <row r="6" spans="1:19" x14ac:dyDescent="0.35">
      <c r="A6" s="2" t="s">
        <v>1</v>
      </c>
      <c r="E6" s="2" t="s">
        <v>19</v>
      </c>
      <c r="I6" s="2" t="s">
        <v>20</v>
      </c>
      <c r="M6" s="2" t="s">
        <v>26</v>
      </c>
    </row>
    <row r="7" spans="1:19" x14ac:dyDescent="0.35">
      <c r="A7" s="3" t="s">
        <v>12</v>
      </c>
      <c r="E7" s="3" t="s">
        <v>12</v>
      </c>
      <c r="I7" s="3" t="s">
        <v>12</v>
      </c>
      <c r="M7" s="3" t="s">
        <v>12</v>
      </c>
    </row>
    <row r="8" spans="1:19" x14ac:dyDescent="0.35">
      <c r="B8" s="11" t="s">
        <v>7</v>
      </c>
      <c r="C8" s="11"/>
      <c r="F8" s="11" t="s">
        <v>7</v>
      </c>
      <c r="G8" s="11"/>
      <c r="J8" s="11" t="s">
        <v>7</v>
      </c>
      <c r="K8" s="11"/>
      <c r="N8" s="11" t="s">
        <v>28</v>
      </c>
      <c r="O8" s="11"/>
      <c r="P8" s="11"/>
    </row>
    <row r="9" spans="1:19" x14ac:dyDescent="0.35">
      <c r="A9" s="8" t="s">
        <v>5</v>
      </c>
      <c r="B9" s="4">
        <v>0</v>
      </c>
      <c r="C9" s="4">
        <v>1</v>
      </c>
      <c r="E9" s="8" t="s">
        <v>5</v>
      </c>
      <c r="F9" s="4">
        <v>0</v>
      </c>
      <c r="G9" s="4">
        <v>1</v>
      </c>
      <c r="I9" s="8" t="s">
        <v>5</v>
      </c>
      <c r="J9" s="4">
        <v>0</v>
      </c>
      <c r="K9" s="4">
        <v>1</v>
      </c>
      <c r="M9" s="15" t="s">
        <v>27</v>
      </c>
      <c r="N9" s="4">
        <v>1</v>
      </c>
      <c r="O9" s="4">
        <v>2</v>
      </c>
      <c r="P9" s="4">
        <v>3</v>
      </c>
    </row>
    <row r="10" spans="1:19" x14ac:dyDescent="0.35">
      <c r="A10" s="4">
        <v>0</v>
      </c>
      <c r="B10" s="4">
        <v>613</v>
      </c>
      <c r="C10" s="4">
        <v>5</v>
      </c>
      <c r="E10" s="4">
        <v>0</v>
      </c>
      <c r="F10" s="4">
        <v>107</v>
      </c>
      <c r="G10" s="4">
        <v>88</v>
      </c>
      <c r="I10" s="4">
        <v>0</v>
      </c>
      <c r="J10" s="4">
        <v>149</v>
      </c>
      <c r="K10" s="4">
        <v>64</v>
      </c>
      <c r="M10" s="4">
        <v>1</v>
      </c>
      <c r="N10" s="4">
        <v>12</v>
      </c>
      <c r="O10" s="4">
        <v>143</v>
      </c>
      <c r="P10" s="4">
        <v>141</v>
      </c>
    </row>
    <row r="11" spans="1:19" x14ac:dyDescent="0.35">
      <c r="A11" s="4">
        <v>1</v>
      </c>
      <c r="B11" s="4">
        <v>372</v>
      </c>
      <c r="C11" s="4">
        <v>45</v>
      </c>
      <c r="E11" s="4">
        <v>1</v>
      </c>
      <c r="F11" s="4">
        <v>81</v>
      </c>
      <c r="G11" s="4">
        <v>721</v>
      </c>
      <c r="I11" s="4">
        <v>1</v>
      </c>
      <c r="J11" s="4">
        <v>442</v>
      </c>
      <c r="K11" s="4">
        <v>380</v>
      </c>
      <c r="M11" s="4">
        <v>2</v>
      </c>
      <c r="N11" s="4">
        <v>75</v>
      </c>
      <c r="O11" s="4">
        <v>434</v>
      </c>
      <c r="P11" s="4">
        <v>68</v>
      </c>
    </row>
    <row r="12" spans="1:19" x14ac:dyDescent="0.35">
      <c r="M12" s="4">
        <v>3</v>
      </c>
      <c r="N12" s="4">
        <v>137</v>
      </c>
      <c r="O12" s="4">
        <v>23</v>
      </c>
      <c r="P12" s="4">
        <v>2</v>
      </c>
    </row>
    <row r="13" spans="1:19" x14ac:dyDescent="0.35">
      <c r="A13" s="3" t="s">
        <v>4</v>
      </c>
      <c r="E13" s="3" t="s">
        <v>4</v>
      </c>
      <c r="I13" s="3" t="s">
        <v>4</v>
      </c>
    </row>
    <row r="14" spans="1:19" x14ac:dyDescent="0.35">
      <c r="B14" s="4" t="s">
        <v>3</v>
      </c>
      <c r="C14" s="5" t="s">
        <v>18</v>
      </c>
      <c r="F14" s="4" t="s">
        <v>3</v>
      </c>
      <c r="G14" s="5"/>
      <c r="J14" s="4" t="s">
        <v>3</v>
      </c>
      <c r="K14" s="5"/>
      <c r="N14" s="16" t="s">
        <v>30</v>
      </c>
      <c r="O14" s="18"/>
      <c r="R14" s="16" t="s">
        <v>29</v>
      </c>
      <c r="S14" s="18"/>
    </row>
    <row r="15" spans="1:19" x14ac:dyDescent="0.35">
      <c r="A15" s="4" t="s">
        <v>2</v>
      </c>
      <c r="B15" s="4">
        <v>658</v>
      </c>
      <c r="C15" s="4">
        <f>(B15/$B$17)*100</f>
        <v>63.574879227053138</v>
      </c>
      <c r="E15" s="4" t="s">
        <v>2</v>
      </c>
      <c r="F15" s="4">
        <v>828</v>
      </c>
      <c r="G15" s="4">
        <f>(F15/$F$17)*100</f>
        <v>83.049147442326969</v>
      </c>
      <c r="I15" s="4" t="s">
        <v>2</v>
      </c>
      <c r="J15" s="4">
        <v>529</v>
      </c>
      <c r="K15" s="4">
        <f>(J15/$B$17)*100</f>
        <v>51.111111111111107</v>
      </c>
      <c r="M15" s="15" t="s">
        <v>27</v>
      </c>
      <c r="N15" s="19" t="s">
        <v>31</v>
      </c>
      <c r="O15" s="19" t="s">
        <v>32</v>
      </c>
      <c r="Q15" s="15" t="s">
        <v>27</v>
      </c>
      <c r="R15" s="19" t="s">
        <v>31</v>
      </c>
      <c r="S15" s="19" t="s">
        <v>32</v>
      </c>
    </row>
    <row r="16" spans="1:19" x14ac:dyDescent="0.35">
      <c r="A16" s="4" t="s">
        <v>11</v>
      </c>
      <c r="B16" s="4">
        <v>377</v>
      </c>
      <c r="C16" s="4">
        <f>(B16/$B$17)*100</f>
        <v>36.425120772946862</v>
      </c>
      <c r="E16" s="4" t="s">
        <v>11</v>
      </c>
      <c r="F16" s="4">
        <v>169</v>
      </c>
      <c r="G16" s="4">
        <f>(F16/$F$17)*100</f>
        <v>16.95085255767302</v>
      </c>
      <c r="I16" s="4" t="s">
        <v>11</v>
      </c>
      <c r="J16" s="4">
        <v>506</v>
      </c>
      <c r="K16" s="4">
        <f>(J16/$B$17)*100</f>
        <v>48.888888888888886</v>
      </c>
      <c r="M16" s="4">
        <v>1</v>
      </c>
      <c r="N16" s="4">
        <v>200</v>
      </c>
      <c r="O16" s="4">
        <v>96</v>
      </c>
      <c r="Q16" s="4">
        <v>1</v>
      </c>
      <c r="R16" s="4">
        <v>247</v>
      </c>
      <c r="S16" s="4">
        <v>49</v>
      </c>
    </row>
    <row r="17" spans="1:19" x14ac:dyDescent="0.35">
      <c r="B17" s="4">
        <f>SUM(B15:B16)</f>
        <v>1035</v>
      </c>
      <c r="C17" s="4">
        <f>SUM(C15:C16)</f>
        <v>100</v>
      </c>
      <c r="F17" s="13">
        <f>SUM(F15:F16)</f>
        <v>997</v>
      </c>
      <c r="G17" s="4">
        <f>SUM(G15:G16)</f>
        <v>99.999999999999986</v>
      </c>
      <c r="J17" s="4">
        <f>SUM(J15:J16)</f>
        <v>1035</v>
      </c>
      <c r="K17" s="4">
        <f>SUM(K15:K16)</f>
        <v>100</v>
      </c>
      <c r="M17" s="4">
        <v>2</v>
      </c>
      <c r="N17" s="4">
        <v>200</v>
      </c>
      <c r="O17" s="4">
        <v>377</v>
      </c>
      <c r="Q17" s="4">
        <v>2</v>
      </c>
      <c r="R17" s="4">
        <v>475</v>
      </c>
      <c r="S17" s="4">
        <v>102</v>
      </c>
    </row>
    <row r="18" spans="1:19" x14ac:dyDescent="0.35">
      <c r="M18" s="4">
        <v>3</v>
      </c>
      <c r="N18" s="4">
        <v>17</v>
      </c>
      <c r="O18" s="4">
        <v>145</v>
      </c>
      <c r="Q18" s="4">
        <v>3</v>
      </c>
      <c r="R18" s="4">
        <v>96</v>
      </c>
      <c r="S18" s="4">
        <v>66</v>
      </c>
    </row>
    <row r="19" spans="1:19" x14ac:dyDescent="0.35">
      <c r="A19" s="3" t="s">
        <v>24</v>
      </c>
      <c r="E19" s="3" t="s">
        <v>13</v>
      </c>
      <c r="I19" s="3" t="s">
        <v>13</v>
      </c>
    </row>
    <row r="20" spans="1:19" x14ac:dyDescent="0.35">
      <c r="A20" s="4" t="s">
        <v>14</v>
      </c>
      <c r="B20" s="4">
        <v>10.791370000000001</v>
      </c>
      <c r="E20" s="4" t="s">
        <v>14</v>
      </c>
      <c r="F20" s="4">
        <v>89.90025</v>
      </c>
      <c r="I20" s="4" t="s">
        <v>14</v>
      </c>
      <c r="J20" s="4">
        <v>46.22871</v>
      </c>
      <c r="N20" s="16" t="s">
        <v>33</v>
      </c>
      <c r="O20" s="18"/>
    </row>
    <row r="21" spans="1:19" x14ac:dyDescent="0.35">
      <c r="A21" s="4" t="s">
        <v>15</v>
      </c>
      <c r="B21" s="4">
        <v>99.190939999999998</v>
      </c>
      <c r="E21" s="4" t="s">
        <v>15</v>
      </c>
      <c r="F21" s="4">
        <v>54.871789999999997</v>
      </c>
      <c r="I21" s="4" t="s">
        <v>15</v>
      </c>
      <c r="J21" s="4">
        <v>69.953050000000005</v>
      </c>
      <c r="M21" s="15" t="s">
        <v>27</v>
      </c>
      <c r="N21" s="19" t="s">
        <v>31</v>
      </c>
      <c r="O21" s="19" t="s">
        <v>32</v>
      </c>
    </row>
    <row r="22" spans="1:19" x14ac:dyDescent="0.35">
      <c r="A22" s="4" t="s">
        <v>16</v>
      </c>
      <c r="B22" s="4">
        <v>90</v>
      </c>
      <c r="E22" s="4" t="s">
        <v>16</v>
      </c>
      <c r="F22" s="4">
        <v>89.122370000000004</v>
      </c>
      <c r="I22" s="4" t="s">
        <v>16</v>
      </c>
      <c r="J22" s="4">
        <v>85.585589999999996</v>
      </c>
      <c r="M22" s="4">
        <v>1</v>
      </c>
      <c r="N22" s="4">
        <v>274</v>
      </c>
      <c r="O22" s="4">
        <v>22</v>
      </c>
    </row>
    <row r="23" spans="1:19" x14ac:dyDescent="0.35">
      <c r="A23" s="4" t="s">
        <v>17</v>
      </c>
      <c r="B23" s="4">
        <v>63.57488</v>
      </c>
      <c r="E23" s="4" t="s">
        <v>17</v>
      </c>
      <c r="F23" s="4">
        <v>83.049149999999997</v>
      </c>
      <c r="I23" s="4" t="s">
        <v>17</v>
      </c>
      <c r="J23" s="4">
        <v>51.111109999999996</v>
      </c>
      <c r="M23" s="4">
        <v>2</v>
      </c>
      <c r="N23" s="4">
        <v>472</v>
      </c>
      <c r="O23" s="4">
        <v>105</v>
      </c>
    </row>
    <row r="24" spans="1:19" x14ac:dyDescent="0.35">
      <c r="M24" s="4">
        <v>3</v>
      </c>
      <c r="N24" s="4">
        <v>76</v>
      </c>
      <c r="O24" s="4">
        <v>86</v>
      </c>
    </row>
    <row r="25" spans="1:19" s="9" customFormat="1" x14ac:dyDescent="0.35">
      <c r="A25" s="10" t="s">
        <v>22</v>
      </c>
      <c r="B25" s="10"/>
      <c r="C25" s="10"/>
    </row>
    <row r="26" spans="1:19" x14ac:dyDescent="0.35">
      <c r="A26" s="2" t="s">
        <v>1</v>
      </c>
      <c r="E26" s="2" t="s">
        <v>19</v>
      </c>
      <c r="I26" s="2" t="s">
        <v>20</v>
      </c>
      <c r="M26" s="2" t="s">
        <v>26</v>
      </c>
    </row>
    <row r="27" spans="1:19" x14ac:dyDescent="0.35">
      <c r="A27" s="3" t="s">
        <v>12</v>
      </c>
      <c r="E27" s="3" t="s">
        <v>12</v>
      </c>
      <c r="I27" s="3" t="s">
        <v>12</v>
      </c>
      <c r="M27" s="3" t="s">
        <v>12</v>
      </c>
    </row>
    <row r="28" spans="1:19" x14ac:dyDescent="0.35">
      <c r="B28" s="11" t="s">
        <v>7</v>
      </c>
      <c r="C28" s="11"/>
      <c r="F28" s="11" t="s">
        <v>7</v>
      </c>
      <c r="G28" s="11"/>
      <c r="J28" s="11" t="s">
        <v>7</v>
      </c>
      <c r="K28" s="11"/>
      <c r="N28" s="16" t="s">
        <v>28</v>
      </c>
      <c r="O28" s="17"/>
      <c r="P28" s="18"/>
    </row>
    <row r="29" spans="1:19" x14ac:dyDescent="0.35">
      <c r="A29" s="8" t="s">
        <v>5</v>
      </c>
      <c r="B29" s="4">
        <v>0</v>
      </c>
      <c r="C29" s="4">
        <v>1</v>
      </c>
      <c r="E29" s="8" t="s">
        <v>5</v>
      </c>
      <c r="F29" s="4">
        <v>0</v>
      </c>
      <c r="G29" s="4">
        <v>1</v>
      </c>
      <c r="I29" s="8" t="s">
        <v>5</v>
      </c>
      <c r="J29" s="4">
        <v>0</v>
      </c>
      <c r="K29" s="4">
        <v>1</v>
      </c>
      <c r="M29" s="15" t="s">
        <v>27</v>
      </c>
      <c r="N29" s="4">
        <v>1</v>
      </c>
      <c r="O29" s="4">
        <v>2</v>
      </c>
      <c r="P29" s="4">
        <v>3</v>
      </c>
    </row>
    <row r="30" spans="1:19" x14ac:dyDescent="0.35">
      <c r="A30" s="4">
        <v>0</v>
      </c>
      <c r="B30" s="4">
        <v>348</v>
      </c>
      <c r="C30" s="4">
        <v>4</v>
      </c>
      <c r="E30" s="4">
        <v>0</v>
      </c>
      <c r="F30" s="4">
        <v>52</v>
      </c>
      <c r="G30" s="4">
        <v>57</v>
      </c>
      <c r="I30" s="4">
        <v>0</v>
      </c>
      <c r="J30" s="4">
        <v>74</v>
      </c>
      <c r="K30" s="4">
        <v>28</v>
      </c>
      <c r="M30" s="4">
        <v>1</v>
      </c>
      <c r="N30" s="4">
        <v>9</v>
      </c>
      <c r="O30" s="4">
        <v>114</v>
      </c>
      <c r="P30" s="4">
        <v>64</v>
      </c>
    </row>
    <row r="31" spans="1:19" x14ac:dyDescent="0.35">
      <c r="A31" s="4">
        <v>1</v>
      </c>
      <c r="B31" s="4">
        <v>184</v>
      </c>
      <c r="C31" s="4">
        <v>38</v>
      </c>
      <c r="E31" s="4">
        <v>1</v>
      </c>
      <c r="F31" s="4">
        <v>43</v>
      </c>
      <c r="G31" s="4">
        <v>399</v>
      </c>
      <c r="I31" s="4">
        <v>1</v>
      </c>
      <c r="J31" s="4">
        <v>266</v>
      </c>
      <c r="K31" s="4">
        <v>206</v>
      </c>
      <c r="M31" s="4">
        <v>2</v>
      </c>
      <c r="N31" s="4">
        <v>29</v>
      </c>
      <c r="O31" s="4">
        <v>250</v>
      </c>
      <c r="P31" s="4">
        <v>28</v>
      </c>
    </row>
    <row r="32" spans="1:19" x14ac:dyDescent="0.35">
      <c r="M32" s="4">
        <v>3</v>
      </c>
      <c r="N32" s="4">
        <v>60</v>
      </c>
      <c r="O32" s="4">
        <v>19</v>
      </c>
      <c r="P32" s="4">
        <v>1</v>
      </c>
    </row>
    <row r="33" spans="1:19" x14ac:dyDescent="0.35">
      <c r="A33" s="3" t="s">
        <v>4</v>
      </c>
      <c r="E33" s="3" t="s">
        <v>4</v>
      </c>
      <c r="I33" s="3" t="s">
        <v>4</v>
      </c>
    </row>
    <row r="34" spans="1:19" x14ac:dyDescent="0.35">
      <c r="B34" s="4" t="s">
        <v>3</v>
      </c>
      <c r="C34" s="5" t="s">
        <v>18</v>
      </c>
      <c r="F34" s="4" t="s">
        <v>3</v>
      </c>
      <c r="G34" s="5"/>
      <c r="J34" s="4" t="s">
        <v>3</v>
      </c>
      <c r="K34" s="5"/>
      <c r="N34" s="16" t="s">
        <v>30</v>
      </c>
      <c r="O34" s="18"/>
      <c r="R34" s="16" t="s">
        <v>29</v>
      </c>
      <c r="S34" s="18"/>
    </row>
    <row r="35" spans="1:19" x14ac:dyDescent="0.35">
      <c r="A35" s="4" t="s">
        <v>2</v>
      </c>
      <c r="B35" s="4">
        <v>386</v>
      </c>
      <c r="C35" s="4">
        <f>(B35/$B$37)*100</f>
        <v>67.247386759581886</v>
      </c>
      <c r="E35" s="4" t="s">
        <v>2</v>
      </c>
      <c r="F35" s="4">
        <v>451</v>
      </c>
      <c r="G35" s="4">
        <f>(F35/$F$37)*100</f>
        <v>81.851179673321241</v>
      </c>
      <c r="I35" s="4" t="s">
        <v>2</v>
      </c>
      <c r="J35" s="4">
        <v>280</v>
      </c>
      <c r="K35" s="4">
        <f>(J35/$B$37)*100</f>
        <v>48.780487804878049</v>
      </c>
      <c r="M35" s="15" t="s">
        <v>27</v>
      </c>
      <c r="N35" s="19" t="s">
        <v>31</v>
      </c>
      <c r="O35" s="19" t="s">
        <v>32</v>
      </c>
      <c r="Q35" s="15" t="s">
        <v>27</v>
      </c>
      <c r="R35" s="19" t="s">
        <v>31</v>
      </c>
      <c r="S35" s="19" t="s">
        <v>32</v>
      </c>
    </row>
    <row r="36" spans="1:19" x14ac:dyDescent="0.35">
      <c r="A36" s="4" t="s">
        <v>11</v>
      </c>
      <c r="B36" s="4">
        <v>188</v>
      </c>
      <c r="C36" s="4">
        <f>(B36/$B$37)*100</f>
        <v>32.752613240418114</v>
      </c>
      <c r="E36" s="4" t="s">
        <v>11</v>
      </c>
      <c r="F36" s="4">
        <v>100</v>
      </c>
      <c r="G36" s="4">
        <f>(F36/$F$37)*100</f>
        <v>18.148820326678766</v>
      </c>
      <c r="I36" s="4" t="s">
        <v>11</v>
      </c>
      <c r="J36" s="4">
        <v>294</v>
      </c>
      <c r="K36" s="4">
        <f>(J36/$B$37)*100</f>
        <v>51.219512195121951</v>
      </c>
      <c r="M36" s="4">
        <v>1</v>
      </c>
      <c r="N36" s="4">
        <v>115</v>
      </c>
      <c r="O36" s="4">
        <v>72</v>
      </c>
      <c r="Q36" s="4">
        <v>1</v>
      </c>
      <c r="R36" s="4">
        <v>145</v>
      </c>
      <c r="S36" s="4">
        <v>42</v>
      </c>
    </row>
    <row r="37" spans="1:19" x14ac:dyDescent="0.35">
      <c r="B37" s="4">
        <f>SUM(B35:B36)</f>
        <v>574</v>
      </c>
      <c r="C37" s="4">
        <f>SUM(C35:C36)</f>
        <v>100</v>
      </c>
      <c r="F37" s="13">
        <f>SUM(F35:F36)</f>
        <v>551</v>
      </c>
      <c r="G37" s="4">
        <f>SUM(G35:G36)</f>
        <v>100</v>
      </c>
      <c r="J37" s="4">
        <f>SUM(J35:J36)</f>
        <v>574</v>
      </c>
      <c r="K37" s="4">
        <f>SUM(K35:K36)</f>
        <v>100</v>
      </c>
      <c r="M37" s="4">
        <v>2</v>
      </c>
      <c r="N37" s="4">
        <v>95</v>
      </c>
      <c r="O37" s="4">
        <v>212</v>
      </c>
      <c r="Q37" s="4">
        <v>2</v>
      </c>
      <c r="R37" s="4">
        <v>249</v>
      </c>
      <c r="S37" s="4">
        <v>58</v>
      </c>
    </row>
    <row r="38" spans="1:19" x14ac:dyDescent="0.35">
      <c r="M38" s="4">
        <v>3</v>
      </c>
      <c r="N38" s="4">
        <v>12</v>
      </c>
      <c r="O38" s="4">
        <v>68</v>
      </c>
      <c r="Q38" s="4">
        <v>3</v>
      </c>
      <c r="R38" s="4">
        <v>55</v>
      </c>
      <c r="S38" s="4">
        <v>25</v>
      </c>
    </row>
    <row r="39" spans="1:19" x14ac:dyDescent="0.35">
      <c r="A39" s="3" t="s">
        <v>13</v>
      </c>
      <c r="E39" s="3" t="s">
        <v>13</v>
      </c>
      <c r="I39" s="3" t="s">
        <v>13</v>
      </c>
    </row>
    <row r="40" spans="1:19" x14ac:dyDescent="0.35">
      <c r="A40" s="4" t="s">
        <v>14</v>
      </c>
      <c r="B40" s="4">
        <v>17.11712</v>
      </c>
      <c r="E40" s="4" t="s">
        <v>14</v>
      </c>
      <c r="F40" s="4">
        <v>90.27149</v>
      </c>
      <c r="I40" s="4" t="s">
        <v>14</v>
      </c>
      <c r="J40" s="4">
        <v>43.644069999999999</v>
      </c>
      <c r="N40" s="16" t="s">
        <v>33</v>
      </c>
      <c r="O40" s="18"/>
    </row>
    <row r="41" spans="1:19" x14ac:dyDescent="0.35">
      <c r="A41" s="4" t="s">
        <v>15</v>
      </c>
      <c r="B41" s="4">
        <v>98.863640000000004</v>
      </c>
      <c r="E41" s="4" t="s">
        <v>15</v>
      </c>
      <c r="F41" s="4">
        <v>47.706420000000001</v>
      </c>
      <c r="I41" s="4" t="s">
        <v>15</v>
      </c>
      <c r="J41" s="4">
        <v>72.549019999999999</v>
      </c>
      <c r="M41" s="15" t="s">
        <v>27</v>
      </c>
      <c r="N41" s="19" t="s">
        <v>31</v>
      </c>
      <c r="O41" s="19" t="s">
        <v>32</v>
      </c>
    </row>
    <row r="42" spans="1:19" x14ac:dyDescent="0.35">
      <c r="A42" s="4" t="s">
        <v>16</v>
      </c>
      <c r="B42" s="4">
        <v>90.476190000000003</v>
      </c>
      <c r="E42" s="4" t="s">
        <v>16</v>
      </c>
      <c r="F42" s="4">
        <v>87.5</v>
      </c>
      <c r="I42" s="4" t="s">
        <v>16</v>
      </c>
      <c r="J42" s="4">
        <v>88.034189999999995</v>
      </c>
      <c r="M42" s="4">
        <v>1</v>
      </c>
      <c r="N42" s="4">
        <v>169</v>
      </c>
      <c r="O42" s="4">
        <v>18</v>
      </c>
    </row>
    <row r="43" spans="1:19" x14ac:dyDescent="0.35">
      <c r="A43" s="4" t="s">
        <v>17</v>
      </c>
      <c r="B43" s="4">
        <v>67.247389999999996</v>
      </c>
      <c r="E43" s="4" t="s">
        <v>17</v>
      </c>
      <c r="F43" s="4">
        <v>81.851179999999999</v>
      </c>
      <c r="I43" s="4" t="s">
        <v>17</v>
      </c>
      <c r="J43" s="4">
        <v>48.78049</v>
      </c>
      <c r="M43" s="4">
        <v>2</v>
      </c>
      <c r="N43" s="4">
        <v>269</v>
      </c>
      <c r="O43" s="4">
        <v>38</v>
      </c>
    </row>
    <row r="44" spans="1:19" x14ac:dyDescent="0.35">
      <c r="M44" s="4">
        <v>3</v>
      </c>
      <c r="N44" s="4">
        <v>34</v>
      </c>
      <c r="O44" s="4">
        <v>46</v>
      </c>
    </row>
    <row r="45" spans="1:19" s="9" customFormat="1" x14ac:dyDescent="0.35">
      <c r="A45" s="10" t="s">
        <v>23</v>
      </c>
      <c r="B45" s="10"/>
      <c r="C45" s="10"/>
    </row>
    <row r="46" spans="1:19" x14ac:dyDescent="0.35">
      <c r="A46" s="2" t="s">
        <v>1</v>
      </c>
      <c r="E46" s="2" t="s">
        <v>19</v>
      </c>
      <c r="I46" s="2" t="s">
        <v>20</v>
      </c>
      <c r="M46" s="2" t="s">
        <v>26</v>
      </c>
    </row>
    <row r="47" spans="1:19" x14ac:dyDescent="0.35">
      <c r="A47" s="3" t="s">
        <v>12</v>
      </c>
      <c r="E47" s="3" t="s">
        <v>12</v>
      </c>
      <c r="I47" s="3" t="s">
        <v>12</v>
      </c>
      <c r="M47" s="3" t="s">
        <v>12</v>
      </c>
    </row>
    <row r="48" spans="1:19" x14ac:dyDescent="0.35">
      <c r="B48" s="11" t="s">
        <v>7</v>
      </c>
      <c r="C48" s="11"/>
      <c r="F48" s="11" t="s">
        <v>7</v>
      </c>
      <c r="G48" s="11"/>
      <c r="J48" s="11" t="s">
        <v>7</v>
      </c>
      <c r="K48" s="11"/>
      <c r="N48" s="16" t="s">
        <v>28</v>
      </c>
      <c r="O48" s="17"/>
      <c r="P48" s="18"/>
    </row>
    <row r="49" spans="1:19" x14ac:dyDescent="0.35">
      <c r="A49" s="8" t="s">
        <v>5</v>
      </c>
      <c r="B49" s="4">
        <v>0</v>
      </c>
      <c r="C49" s="4">
        <v>1</v>
      </c>
      <c r="E49" s="8" t="s">
        <v>5</v>
      </c>
      <c r="F49" s="4">
        <v>0</v>
      </c>
      <c r="G49" s="4">
        <v>1</v>
      </c>
      <c r="I49" s="8" t="s">
        <v>5</v>
      </c>
      <c r="J49" s="4">
        <v>0</v>
      </c>
      <c r="K49" s="4">
        <v>1</v>
      </c>
      <c r="M49" s="15" t="s">
        <v>27</v>
      </c>
      <c r="N49" s="4">
        <v>1</v>
      </c>
      <c r="O49" s="4">
        <v>2</v>
      </c>
      <c r="P49" s="4">
        <v>3</v>
      </c>
    </row>
    <row r="50" spans="1:19" x14ac:dyDescent="0.35">
      <c r="A50" s="4">
        <v>0</v>
      </c>
      <c r="B50" s="4">
        <v>265</v>
      </c>
      <c r="C50" s="4">
        <v>1</v>
      </c>
      <c r="E50" s="4">
        <v>0</v>
      </c>
      <c r="F50" s="4">
        <v>55</v>
      </c>
      <c r="G50" s="4">
        <v>31</v>
      </c>
      <c r="I50" s="4">
        <v>0</v>
      </c>
      <c r="J50" s="4">
        <v>75</v>
      </c>
      <c r="K50" s="4">
        <v>36</v>
      </c>
      <c r="M50" s="4">
        <v>1</v>
      </c>
      <c r="N50" s="4">
        <v>3</v>
      </c>
      <c r="O50" s="4">
        <v>29</v>
      </c>
      <c r="P50" s="4">
        <v>77</v>
      </c>
    </row>
    <row r="51" spans="1:19" x14ac:dyDescent="0.35">
      <c r="A51" s="4">
        <v>1</v>
      </c>
      <c r="B51" s="4">
        <v>188</v>
      </c>
      <c r="C51" s="4">
        <v>7</v>
      </c>
      <c r="E51" s="4">
        <v>1</v>
      </c>
      <c r="F51" s="4">
        <v>38</v>
      </c>
      <c r="G51" s="4">
        <v>322</v>
      </c>
      <c r="I51" s="4">
        <v>1</v>
      </c>
      <c r="J51" s="4">
        <v>176</v>
      </c>
      <c r="K51" s="4">
        <v>174</v>
      </c>
      <c r="M51" s="4">
        <v>2</v>
      </c>
      <c r="N51" s="4">
        <v>46</v>
      </c>
      <c r="O51" s="4">
        <v>184</v>
      </c>
      <c r="P51" s="4">
        <v>40</v>
      </c>
    </row>
    <row r="52" spans="1:19" x14ac:dyDescent="0.35">
      <c r="M52" s="4">
        <v>3</v>
      </c>
      <c r="N52" s="4">
        <v>77</v>
      </c>
      <c r="O52" s="4">
        <v>4</v>
      </c>
      <c r="P52" s="4">
        <v>1</v>
      </c>
    </row>
    <row r="53" spans="1:19" x14ac:dyDescent="0.35">
      <c r="A53" s="3" t="s">
        <v>4</v>
      </c>
      <c r="E53" s="3" t="s">
        <v>4</v>
      </c>
      <c r="I53" s="3" t="s">
        <v>4</v>
      </c>
    </row>
    <row r="54" spans="1:19" x14ac:dyDescent="0.35">
      <c r="B54" s="4" t="s">
        <v>3</v>
      </c>
      <c r="C54" s="5" t="s">
        <v>18</v>
      </c>
      <c r="F54" s="4" t="s">
        <v>3</v>
      </c>
      <c r="G54" s="5"/>
      <c r="J54" s="4" t="s">
        <v>3</v>
      </c>
      <c r="K54" s="5"/>
      <c r="N54" s="16" t="s">
        <v>30</v>
      </c>
      <c r="O54" s="18"/>
      <c r="R54" s="16" t="s">
        <v>29</v>
      </c>
      <c r="S54" s="18"/>
    </row>
    <row r="55" spans="1:19" x14ac:dyDescent="0.35">
      <c r="A55" s="4" t="s">
        <v>2</v>
      </c>
      <c r="B55" s="4">
        <v>272</v>
      </c>
      <c r="C55" s="4">
        <f>(B55/$B$57)*100</f>
        <v>59.00216919739696</v>
      </c>
      <c r="E55" s="4" t="s">
        <v>2</v>
      </c>
      <c r="F55" s="4">
        <v>377</v>
      </c>
      <c r="G55" s="4">
        <f>(F55/$F$57)*100</f>
        <v>84.529147982062781</v>
      </c>
      <c r="I55" s="4" t="s">
        <v>2</v>
      </c>
      <c r="J55" s="4">
        <v>249</v>
      </c>
      <c r="K55" s="4">
        <f>(J55/$B$57)*100</f>
        <v>54.013015184381771</v>
      </c>
      <c r="M55" s="15" t="s">
        <v>27</v>
      </c>
      <c r="N55" s="19" t="s">
        <v>31</v>
      </c>
      <c r="O55" s="19" t="s">
        <v>32</v>
      </c>
      <c r="Q55" s="15" t="s">
        <v>27</v>
      </c>
      <c r="R55" s="19" t="s">
        <v>31</v>
      </c>
      <c r="S55" s="19" t="s">
        <v>32</v>
      </c>
    </row>
    <row r="56" spans="1:19" x14ac:dyDescent="0.35">
      <c r="A56" s="4" t="s">
        <v>11</v>
      </c>
      <c r="B56" s="4">
        <v>189</v>
      </c>
      <c r="C56" s="4">
        <f>(B56/$B$57)*100</f>
        <v>40.997830802603033</v>
      </c>
      <c r="E56" s="4" t="s">
        <v>11</v>
      </c>
      <c r="F56" s="4">
        <v>69</v>
      </c>
      <c r="G56" s="4">
        <f>(F56/$F$57)*100</f>
        <v>15.47085201793722</v>
      </c>
      <c r="I56" s="4" t="s">
        <v>11</v>
      </c>
      <c r="J56" s="4">
        <v>212</v>
      </c>
      <c r="K56" s="4">
        <f>(J56/$B$57)*100</f>
        <v>45.986984815618221</v>
      </c>
      <c r="M56" s="4">
        <v>1</v>
      </c>
      <c r="N56" s="4">
        <v>85</v>
      </c>
      <c r="O56" s="4">
        <v>24</v>
      </c>
      <c r="Q56" s="4">
        <v>1</v>
      </c>
      <c r="R56" s="4">
        <v>102</v>
      </c>
      <c r="S56" s="4">
        <v>7</v>
      </c>
    </row>
    <row r="57" spans="1:19" x14ac:dyDescent="0.35">
      <c r="B57" s="4">
        <f>SUM(B55:B56)</f>
        <v>461</v>
      </c>
      <c r="C57" s="4">
        <f>SUM(C55:C56)</f>
        <v>100</v>
      </c>
      <c r="F57" s="13">
        <f>SUM(F55:F56)</f>
        <v>446</v>
      </c>
      <c r="G57" s="4">
        <f>SUM(G55:G56)</f>
        <v>100</v>
      </c>
      <c r="J57" s="4">
        <f>SUM(J55:J56)</f>
        <v>461</v>
      </c>
      <c r="K57" s="4">
        <f>SUM(K55:K56)</f>
        <v>100</v>
      </c>
      <c r="M57" s="4">
        <v>2</v>
      </c>
      <c r="N57" s="4">
        <v>105</v>
      </c>
      <c r="O57" s="4">
        <v>165</v>
      </c>
      <c r="Q57" s="4">
        <v>2</v>
      </c>
      <c r="R57" s="4">
        <v>226</v>
      </c>
      <c r="S57" s="4">
        <v>44</v>
      </c>
    </row>
    <row r="58" spans="1:19" x14ac:dyDescent="0.35">
      <c r="M58" s="4">
        <v>3</v>
      </c>
      <c r="N58" s="4">
        <v>5</v>
      </c>
      <c r="O58" s="4">
        <v>77</v>
      </c>
      <c r="Q58" s="4">
        <v>3</v>
      </c>
      <c r="R58" s="4">
        <v>41</v>
      </c>
      <c r="S58" s="4">
        <v>41</v>
      </c>
    </row>
    <row r="59" spans="1:19" x14ac:dyDescent="0.35">
      <c r="A59" s="3" t="s">
        <v>13</v>
      </c>
      <c r="E59" s="3" t="s">
        <v>13</v>
      </c>
      <c r="I59" s="3" t="s">
        <v>13</v>
      </c>
    </row>
    <row r="60" spans="1:19" x14ac:dyDescent="0.35">
      <c r="A60" s="4" t="s">
        <v>14</v>
      </c>
      <c r="B60" s="4">
        <v>3.589744</v>
      </c>
      <c r="E60" s="4" t="s">
        <v>14</v>
      </c>
      <c r="F60" s="4">
        <v>89.44444</v>
      </c>
      <c r="I60" s="4" t="s">
        <v>14</v>
      </c>
      <c r="J60" s="4">
        <v>49.714289999999998</v>
      </c>
      <c r="N60" s="16" t="s">
        <v>33</v>
      </c>
      <c r="O60" s="18"/>
    </row>
    <row r="61" spans="1:19" x14ac:dyDescent="0.35">
      <c r="A61" s="4" t="s">
        <v>15</v>
      </c>
      <c r="B61" s="4">
        <v>99.62406</v>
      </c>
      <c r="E61" s="4" t="s">
        <v>15</v>
      </c>
      <c r="F61" s="4">
        <v>63.953490000000002</v>
      </c>
      <c r="I61" s="4" t="s">
        <v>15</v>
      </c>
      <c r="J61" s="4">
        <v>67.567570000000003</v>
      </c>
      <c r="M61" s="15" t="s">
        <v>27</v>
      </c>
      <c r="N61" s="19" t="s">
        <v>31</v>
      </c>
      <c r="O61" s="19" t="s">
        <v>32</v>
      </c>
    </row>
    <row r="62" spans="1:19" x14ac:dyDescent="0.35">
      <c r="A62" s="4" t="s">
        <v>16</v>
      </c>
      <c r="B62" s="4">
        <v>87.5</v>
      </c>
      <c r="E62" s="4" t="s">
        <v>16</v>
      </c>
      <c r="F62" s="4">
        <v>91.218130000000002</v>
      </c>
      <c r="I62" s="4" t="s">
        <v>16</v>
      </c>
      <c r="J62" s="4">
        <v>82.857140000000001</v>
      </c>
      <c r="M62" s="4">
        <v>1</v>
      </c>
      <c r="N62" s="4">
        <v>105</v>
      </c>
      <c r="O62" s="4">
        <v>4</v>
      </c>
    </row>
    <row r="63" spans="1:19" x14ac:dyDescent="0.35">
      <c r="A63" s="4" t="s">
        <v>17</v>
      </c>
      <c r="B63" s="4">
        <v>59.00217</v>
      </c>
      <c r="E63" s="4" t="s">
        <v>17</v>
      </c>
      <c r="F63" s="4">
        <v>84.529150000000001</v>
      </c>
      <c r="I63" s="4" t="s">
        <v>17</v>
      </c>
      <c r="J63" s="4">
        <v>54.013019999999997</v>
      </c>
      <c r="M63" s="4">
        <v>2</v>
      </c>
      <c r="N63" s="4">
        <v>203</v>
      </c>
      <c r="O63" s="4">
        <v>67</v>
      </c>
    </row>
    <row r="64" spans="1:19" x14ac:dyDescent="0.35">
      <c r="M64" s="4">
        <v>3</v>
      </c>
      <c r="N64" s="4">
        <v>42</v>
      </c>
      <c r="O64" s="4">
        <v>40</v>
      </c>
    </row>
  </sheetData>
  <mergeCells count="26">
    <mergeCell ref="N54:O54"/>
    <mergeCell ref="R54:S54"/>
    <mergeCell ref="N60:O60"/>
    <mergeCell ref="R14:S14"/>
    <mergeCell ref="N20:O20"/>
    <mergeCell ref="N34:O34"/>
    <mergeCell ref="R34:S34"/>
    <mergeCell ref="N8:P8"/>
    <mergeCell ref="N28:P28"/>
    <mergeCell ref="N48:P48"/>
    <mergeCell ref="N14:O14"/>
    <mergeCell ref="N40:O40"/>
    <mergeCell ref="A45:C45"/>
    <mergeCell ref="B48:C48"/>
    <mergeCell ref="F48:G48"/>
    <mergeCell ref="J48:K48"/>
    <mergeCell ref="A1:D1"/>
    <mergeCell ref="A5:C5"/>
    <mergeCell ref="A25:C25"/>
    <mergeCell ref="B8:C8"/>
    <mergeCell ref="F8:G8"/>
    <mergeCell ref="J8:K8"/>
    <mergeCell ref="B28:C28"/>
    <mergeCell ref="F28:G28"/>
    <mergeCell ref="J28:K28"/>
    <mergeCell ref="E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BERTHA VELASQUEZ</dc:creator>
  <cp:lastModifiedBy>BERTHA VELASQUEZ</cp:lastModifiedBy>
  <dcterms:created xsi:type="dcterms:W3CDTF">2024-06-27T15:03:06Z</dcterms:created>
  <dcterms:modified xsi:type="dcterms:W3CDTF">2024-06-27T18:49:48Z</dcterms:modified>
</cp:coreProperties>
</file>